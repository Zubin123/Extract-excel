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 AR\Weekly Payroll Files\Weekly Spreadsheets\2022\WE 01 08 22\Whitney\"/>
    </mc:Choice>
  </mc:AlternateContent>
  <xr:revisionPtr revIDLastSave="0" documentId="13_ncr:1_{F7070E8C-B52D-432B-8832-8B8FA5BFFD83}" xr6:coauthVersionLast="47" xr6:coauthVersionMax="47" xr10:uidLastSave="{00000000-0000-0000-0000-000000000000}"/>
  <bookViews>
    <workbookView xWindow="28680" yWindow="-120" windowWidth="29040" windowHeight="15840" tabRatio="806" activeTab="7" xr2:uid="{00000000-000D-0000-FFFF-FFFF00000000}"/>
  </bookViews>
  <sheets>
    <sheet name="Master Template (9) JOB" sheetId="107" r:id="rId1"/>
    <sheet name="Certified Codes" sheetId="103" r:id="rId2"/>
    <sheet name="Employees" sheetId="102" r:id="rId3"/>
    <sheet name="Job Details" sheetId="104" r:id="rId4"/>
    <sheet name="Job List" sheetId="98" r:id="rId5"/>
    <sheet name="Case" sheetId="137" r:id="rId6"/>
    <sheet name="Sanders" sheetId="133" r:id="rId7"/>
    <sheet name="Eric Schmidt" sheetId="158" r:id="rId8"/>
    <sheet name="Raper " sheetId="162" r:id="rId9"/>
    <sheet name="Cutler" sheetId="165" r:id="rId10"/>
    <sheet name="Peake " sheetId="166" r:id="rId11"/>
    <sheet name="Raunig" sheetId="167" r:id="rId12"/>
    <sheet name="MacKenzie" sheetId="114" r:id="rId13"/>
    <sheet name="Zeulner" sheetId="117" r:id="rId14"/>
    <sheet name="Covey" sheetId="161" r:id="rId15"/>
    <sheet name="ColumnLists" sheetId="99" state="very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CurrentRow">[1]Time!$C$14</definedName>
    <definedName name="delete" localSheetId="14">#REF!</definedName>
    <definedName name="delete" localSheetId="9">#REF!</definedName>
    <definedName name="delete" localSheetId="10">#REF!</definedName>
    <definedName name="delete" localSheetId="8">#REF!</definedName>
    <definedName name="delete" localSheetId="11">#REF!</definedName>
    <definedName name="delete">#REF!</definedName>
    <definedName name="dlete" localSheetId="14">[1]Time!#REF!</definedName>
    <definedName name="dlete" localSheetId="9">[1]Time!#REF!</definedName>
    <definedName name="dlete" localSheetId="10">[1]Time!#REF!</definedName>
    <definedName name="dlete" localSheetId="8">[1]Time!#REF!</definedName>
    <definedName name="dlete" localSheetId="11">[1]Time!#REF!</definedName>
    <definedName name="dlete">[1]Time!#REF!</definedName>
    <definedName name="EndRow" localSheetId="5">[1]Time!#REF!</definedName>
    <definedName name="EndRow" localSheetId="14">[1]Time!#REF!</definedName>
    <definedName name="EndRow" localSheetId="9">[1]Time!#REF!</definedName>
    <definedName name="EndRow" localSheetId="7">[1]Time!#REF!</definedName>
    <definedName name="EndRow" localSheetId="12">[1]Time!#REF!</definedName>
    <definedName name="EndRow" localSheetId="0">[1]Time!#REF!</definedName>
    <definedName name="EndRow" localSheetId="10">[1]Time!#REF!</definedName>
    <definedName name="EndRow" localSheetId="8">[1]Time!#REF!</definedName>
    <definedName name="EndRow" localSheetId="11">[1]Time!#REF!</definedName>
    <definedName name="EndRow" localSheetId="6">[1]Time!#REF!</definedName>
    <definedName name="EndRow" localSheetId="13">[1]Time!#REF!</definedName>
    <definedName name="EndRow">[1]Time!#REF!</definedName>
    <definedName name="IsExample">TRUE</definedName>
    <definedName name="JobNumber" localSheetId="5">#REF!</definedName>
    <definedName name="JobNumber" localSheetId="14">#REF!</definedName>
    <definedName name="JobNumber" localSheetId="9">#REF!</definedName>
    <definedName name="JobNumber" localSheetId="7">#REF!</definedName>
    <definedName name="JobNumber" localSheetId="3">'Job Details'!$A$2</definedName>
    <definedName name="JobNumber" localSheetId="12">#REF!</definedName>
    <definedName name="JobNumber" localSheetId="0">#REF!</definedName>
    <definedName name="JobNumber" localSheetId="10">#REF!</definedName>
    <definedName name="JobNumber" localSheetId="8">#REF!</definedName>
    <definedName name="JobNumber" localSheetId="11">#REF!</definedName>
    <definedName name="JobNumber" localSheetId="6">#REF!</definedName>
    <definedName name="JobNumber" localSheetId="13">#REF!</definedName>
    <definedName name="JobNumber">#REF!</definedName>
    <definedName name="LeClaire" localSheetId="14">#REF!</definedName>
    <definedName name="LeClaire" localSheetId="9">#REF!</definedName>
    <definedName name="LeClaire" localSheetId="10">#REF!</definedName>
    <definedName name="LeClaire" localSheetId="8">#REF!</definedName>
    <definedName name="LeClaire" localSheetId="11">#REF!</definedName>
    <definedName name="LeClaire">#REF!</definedName>
    <definedName name="MacroStatus">[1]Information!$E$8</definedName>
    <definedName name="PeriodBegin">[1]Time!$C$5</definedName>
    <definedName name="PeriodEnd">[1]Time!$C$6</definedName>
    <definedName name="_xlnm.Print_Area" localSheetId="5">Case!$A$1:$BH$32</definedName>
    <definedName name="_xlnm.Print_Area" localSheetId="14">Covey!$A$1:$BH$32</definedName>
    <definedName name="_xlnm.Print_Area" localSheetId="9">Cutler!$A$1:$BH$32</definedName>
    <definedName name="_xlnm.Print_Area" localSheetId="7">'Eric Schmidt'!$A$1:$BH$32</definedName>
    <definedName name="_xlnm.Print_Area" localSheetId="12">MacKenzie!$A$1:$BH$32</definedName>
    <definedName name="_xlnm.Print_Area" localSheetId="0">'Master Template (9) JOB'!$A$1:$BH$32</definedName>
    <definedName name="_xlnm.Print_Area" localSheetId="10">'Peake '!$A$1:$BH$32</definedName>
    <definedName name="_xlnm.Print_Area" localSheetId="8">'Raper '!$A$1:$BH$32</definedName>
    <definedName name="_xlnm.Print_Area" localSheetId="11">Raunig!$A$1:$BH$32</definedName>
    <definedName name="_xlnm.Print_Area" localSheetId="6">Sanders!$A$1:$BH$32</definedName>
    <definedName name="_xlnm.Print_Area" localSheetId="13">Zeulner!$A$1:$BH$32</definedName>
    <definedName name="_xlnm.Print_Titles" localSheetId="3">'Job Details'!$1:$10</definedName>
    <definedName name="qryJCCategory" localSheetId="3">'Job Details'!$A$10:$E$229</definedName>
    <definedName name="qryJCExtra" localSheetId="3">'Job Details'!$G$10:$I$12</definedName>
    <definedName name="qryJCExtra" localSheetId="4">'Job List'!#REF!</definedName>
    <definedName name="qryJCJob1" localSheetId="4">'Job List'!$A$2:$H$215</definedName>
    <definedName name="qryJCPhase" localSheetId="3">'Job Details'!$K$10:$L$40</definedName>
    <definedName name="qryPRCertifiedclass" localSheetId="1">'Certified Codes'!$A$2:$D$83</definedName>
    <definedName name="qryPREmployee" localSheetId="2">Employees!$A$2:$I$1725</definedName>
    <definedName name="SampleValues">'[1]Sample Values'!$C$6:$C$7,'[1]Sample Values'!$C$10:$C$16</definedName>
    <definedName name="Skaar" localSheetId="14">[1]Time!#REF!</definedName>
    <definedName name="Skaar" localSheetId="9">[1]Time!#REF!</definedName>
    <definedName name="Skaar" localSheetId="10">[1]Time!#REF!</definedName>
    <definedName name="Skaar" localSheetId="8">[1]Time!#REF!</definedName>
    <definedName name="Skaar" localSheetId="11">[1]Time!#REF!</definedName>
    <definedName name="Skaar">[1]Time!#REF!</definedName>
    <definedName name="Template" localSheetId="14">[1]Time!#REF!</definedName>
    <definedName name="Template" localSheetId="9">[1]Time!#REF!</definedName>
    <definedName name="Template" localSheetId="10">[1]Time!#REF!</definedName>
    <definedName name="Template" localSheetId="8">[1]Time!#REF!</definedName>
    <definedName name="Template" localSheetId="11">[1]Time!#REF!</definedName>
    <definedName name="Template">[1]Time!#REF!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9" i="162" l="1"/>
  <c r="X9" i="167"/>
  <c r="A14" i="166" l="1"/>
  <c r="A15" i="166"/>
  <c r="A16" i="166"/>
  <c r="A17" i="166"/>
  <c r="A18" i="166"/>
  <c r="A19" i="166"/>
  <c r="A20" i="166"/>
  <c r="A21" i="166"/>
  <c r="A22" i="166"/>
  <c r="A23" i="166"/>
  <c r="F32" i="161"/>
  <c r="E32" i="161"/>
  <c r="D32" i="161"/>
  <c r="C32" i="161"/>
  <c r="A32" i="161"/>
  <c r="F31" i="161"/>
  <c r="E31" i="161"/>
  <c r="D31" i="161"/>
  <c r="C31" i="161"/>
  <c r="A31" i="161"/>
  <c r="F30" i="161"/>
  <c r="E30" i="161"/>
  <c r="D30" i="161"/>
  <c r="C30" i="161"/>
  <c r="A30" i="161"/>
  <c r="F29" i="161"/>
  <c r="E29" i="161"/>
  <c r="D29" i="161"/>
  <c r="C29" i="161"/>
  <c r="A29" i="161"/>
  <c r="F28" i="161"/>
  <c r="E28" i="161"/>
  <c r="D28" i="161"/>
  <c r="C28" i="161"/>
  <c r="A28" i="161"/>
  <c r="F27" i="161"/>
  <c r="E27" i="161"/>
  <c r="D27" i="161"/>
  <c r="C27" i="161"/>
  <c r="A27" i="161"/>
  <c r="F26" i="161"/>
  <c r="E26" i="161"/>
  <c r="D26" i="161"/>
  <c r="C26" i="161"/>
  <c r="A26" i="161"/>
  <c r="BA24" i="161"/>
  <c r="AZ24" i="161"/>
  <c r="AY24" i="161"/>
  <c r="AX24" i="161"/>
  <c r="AW24" i="161"/>
  <c r="AV24" i="161"/>
  <c r="AU24" i="161"/>
  <c r="AT24" i="161"/>
  <c r="AS24" i="161"/>
  <c r="AR24" i="161"/>
  <c r="AQ24" i="161"/>
  <c r="AP24" i="161"/>
  <c r="AO24" i="161"/>
  <c r="AN24" i="161"/>
  <c r="AM24" i="161"/>
  <c r="AL24" i="161"/>
  <c r="AK24" i="161"/>
  <c r="AJ24" i="161"/>
  <c r="AI24" i="161"/>
  <c r="AH24" i="161"/>
  <c r="AG24" i="161"/>
  <c r="AF24" i="161"/>
  <c r="AE24" i="161"/>
  <c r="AD24" i="161"/>
  <c r="AC24" i="161"/>
  <c r="AB24" i="161"/>
  <c r="AA24" i="161"/>
  <c r="Z24" i="161"/>
  <c r="Y24" i="161"/>
  <c r="X24" i="161"/>
  <c r="W24" i="161"/>
  <c r="V24" i="161"/>
  <c r="U24" i="161"/>
  <c r="T24" i="161"/>
  <c r="S24" i="161"/>
  <c r="R24" i="161"/>
  <c r="Q24" i="161"/>
  <c r="P24" i="161"/>
  <c r="O24" i="161"/>
  <c r="N24" i="161"/>
  <c r="M24" i="161"/>
  <c r="L24" i="161"/>
  <c r="BG23" i="161"/>
  <c r="BF23" i="161"/>
  <c r="BE23" i="161"/>
  <c r="BD23" i="161"/>
  <c r="BC23" i="161"/>
  <c r="BB23" i="161"/>
  <c r="A23" i="161"/>
  <c r="CL23" i="161" s="1"/>
  <c r="BG22" i="161"/>
  <c r="BF22" i="161"/>
  <c r="BE22" i="161"/>
  <c r="BD22" i="161"/>
  <c r="BC22" i="161"/>
  <c r="BB22" i="161"/>
  <c r="A22" i="161"/>
  <c r="BJ22" i="161" s="1"/>
  <c r="BG21" i="161"/>
  <c r="BF21" i="161"/>
  <c r="BE21" i="161"/>
  <c r="BD21" i="161"/>
  <c r="BC21" i="161"/>
  <c r="BB21" i="161"/>
  <c r="J21" i="161"/>
  <c r="A21" i="161"/>
  <c r="CP21" i="161" s="1"/>
  <c r="BG20" i="161"/>
  <c r="BF20" i="161"/>
  <c r="BE20" i="161"/>
  <c r="BD20" i="161"/>
  <c r="BC20" i="161"/>
  <c r="BB20" i="161"/>
  <c r="J20" i="161"/>
  <c r="A20" i="161"/>
  <c r="CT20" i="161" s="1"/>
  <c r="BG19" i="161"/>
  <c r="BF19" i="161"/>
  <c r="BE19" i="161"/>
  <c r="BD19" i="161"/>
  <c r="BC19" i="161"/>
  <c r="BB19" i="161"/>
  <c r="J19" i="161"/>
  <c r="A19" i="161"/>
  <c r="BG18" i="161"/>
  <c r="BF18" i="161"/>
  <c r="BE18" i="161"/>
  <c r="BD18" i="161"/>
  <c r="BC18" i="161"/>
  <c r="BB18" i="161"/>
  <c r="J18" i="161"/>
  <c r="A18" i="161"/>
  <c r="CL18" i="161" s="1"/>
  <c r="BG17" i="161"/>
  <c r="BF17" i="161"/>
  <c r="BE17" i="161"/>
  <c r="BD17" i="161"/>
  <c r="BC17" i="161"/>
  <c r="BB17" i="161"/>
  <c r="J17" i="161"/>
  <c r="A17" i="161"/>
  <c r="CP17" i="161" s="1"/>
  <c r="BG16" i="161"/>
  <c r="BF16" i="161"/>
  <c r="BE16" i="161"/>
  <c r="BD16" i="161"/>
  <c r="BC16" i="161"/>
  <c r="BB16" i="161"/>
  <c r="J16" i="161"/>
  <c r="A16" i="161"/>
  <c r="CT16" i="161" s="1"/>
  <c r="BG15" i="161"/>
  <c r="BF15" i="161"/>
  <c r="BE15" i="161"/>
  <c r="BD15" i="161"/>
  <c r="BC15" i="161"/>
  <c r="BB15" i="161"/>
  <c r="J15" i="161"/>
  <c r="A15" i="161"/>
  <c r="CX15" i="161" s="1"/>
  <c r="BG14" i="161"/>
  <c r="BF14" i="161"/>
  <c r="BE14" i="161"/>
  <c r="BD14" i="161"/>
  <c r="BC14" i="161"/>
  <c r="BB14" i="161"/>
  <c r="J14" i="161"/>
  <c r="A14" i="161"/>
  <c r="CL14" i="161" s="1"/>
  <c r="BG13" i="161"/>
  <c r="BF13" i="161"/>
  <c r="BE13" i="161"/>
  <c r="BD13" i="161"/>
  <c r="BC13" i="161"/>
  <c r="BB13" i="161"/>
  <c r="J13" i="161"/>
  <c r="A13" i="161"/>
  <c r="CD13" i="161" s="1"/>
  <c r="AV9" i="161"/>
  <c r="AP9" i="161"/>
  <c r="AJ9" i="161"/>
  <c r="AD9" i="161"/>
  <c r="X9" i="161"/>
  <c r="R9" i="161"/>
  <c r="L9" i="161"/>
  <c r="B4" i="161"/>
  <c r="F19" i="161" s="1"/>
  <c r="AV3" i="161"/>
  <c r="CS11" i="161" s="1"/>
  <c r="AP3" i="161"/>
  <c r="CM11" i="161" s="1"/>
  <c r="AJ3" i="161"/>
  <c r="CG11" i="161" s="1"/>
  <c r="AD3" i="161"/>
  <c r="CA11" i="161" s="1"/>
  <c r="X3" i="161"/>
  <c r="BU11" i="161" s="1"/>
  <c r="R3" i="161"/>
  <c r="BO11" i="161" s="1"/>
  <c r="L3" i="161"/>
  <c r="BI11" i="161" s="1"/>
  <c r="B3" i="161"/>
  <c r="A1" i="161"/>
  <c r="F32" i="117"/>
  <c r="E32" i="117"/>
  <c r="C32" i="117"/>
  <c r="A32" i="117"/>
  <c r="F31" i="117"/>
  <c r="E31" i="117"/>
  <c r="D31" i="117"/>
  <c r="C31" i="117"/>
  <c r="A31" i="117"/>
  <c r="F30" i="117"/>
  <c r="E30" i="117"/>
  <c r="D30" i="117"/>
  <c r="C30" i="117"/>
  <c r="A30" i="117"/>
  <c r="F29" i="117"/>
  <c r="E29" i="117"/>
  <c r="D29" i="117"/>
  <c r="C29" i="117"/>
  <c r="A29" i="117"/>
  <c r="F28" i="117"/>
  <c r="E28" i="117"/>
  <c r="D28" i="117"/>
  <c r="C28" i="117"/>
  <c r="A28" i="117"/>
  <c r="F27" i="117"/>
  <c r="E27" i="117"/>
  <c r="D27" i="117"/>
  <c r="C27" i="117"/>
  <c r="A27" i="117"/>
  <c r="F26" i="117"/>
  <c r="E26" i="117"/>
  <c r="D26" i="117"/>
  <c r="C26" i="117"/>
  <c r="A26" i="117"/>
  <c r="BA24" i="117"/>
  <c r="AZ24" i="117"/>
  <c r="AY24" i="117"/>
  <c r="AX24" i="117"/>
  <c r="AW24" i="117"/>
  <c r="AV24" i="117"/>
  <c r="AU24" i="117"/>
  <c r="AT24" i="117"/>
  <c r="AS24" i="117"/>
  <c r="AR24" i="117"/>
  <c r="AQ24" i="117"/>
  <c r="AP24" i="117"/>
  <c r="AO24" i="117"/>
  <c r="AN24" i="117"/>
  <c r="AM24" i="117"/>
  <c r="AL24" i="117"/>
  <c r="AK24" i="117"/>
  <c r="AJ24" i="117"/>
  <c r="AI24" i="117"/>
  <c r="AH24" i="117"/>
  <c r="AG24" i="117"/>
  <c r="AF24" i="117"/>
  <c r="AE24" i="117"/>
  <c r="AD24" i="117"/>
  <c r="AC24" i="117"/>
  <c r="AB24" i="117"/>
  <c r="AA24" i="117"/>
  <c r="Z24" i="117"/>
  <c r="Y24" i="117"/>
  <c r="X24" i="117"/>
  <c r="W24" i="117"/>
  <c r="V24" i="117"/>
  <c r="U24" i="117"/>
  <c r="T24" i="117"/>
  <c r="S24" i="117"/>
  <c r="R24" i="117"/>
  <c r="Q24" i="117"/>
  <c r="P24" i="117"/>
  <c r="O24" i="117"/>
  <c r="N24" i="117"/>
  <c r="M24" i="117"/>
  <c r="L24" i="117"/>
  <c r="BG23" i="117"/>
  <c r="BF23" i="117"/>
  <c r="BE23" i="117"/>
  <c r="BD23" i="117"/>
  <c r="BC23" i="117"/>
  <c r="BB23" i="117"/>
  <c r="J23" i="117"/>
  <c r="A23" i="117"/>
  <c r="CL23" i="117" s="1"/>
  <c r="BG22" i="117"/>
  <c r="BF22" i="117"/>
  <c r="BE22" i="117"/>
  <c r="BD22" i="117"/>
  <c r="BC22" i="117"/>
  <c r="BB22" i="117"/>
  <c r="J22" i="117"/>
  <c r="A22" i="117"/>
  <c r="CP22" i="117" s="1"/>
  <c r="BG21" i="117"/>
  <c r="BF21" i="117"/>
  <c r="BE21" i="117"/>
  <c r="BD21" i="117"/>
  <c r="BC21" i="117"/>
  <c r="BB21" i="117"/>
  <c r="J21" i="117"/>
  <c r="A21" i="117"/>
  <c r="BG20" i="117"/>
  <c r="BF20" i="117"/>
  <c r="BE20" i="117"/>
  <c r="BD20" i="117"/>
  <c r="BC20" i="117"/>
  <c r="BB20" i="117"/>
  <c r="J20" i="117"/>
  <c r="A20" i="117"/>
  <c r="CA20" i="117" s="1"/>
  <c r="BG19" i="117"/>
  <c r="BF19" i="117"/>
  <c r="BE19" i="117"/>
  <c r="BD19" i="117"/>
  <c r="BC19" i="117"/>
  <c r="BB19" i="117"/>
  <c r="J19" i="117"/>
  <c r="A19" i="117"/>
  <c r="CQ19" i="117" s="1"/>
  <c r="BG18" i="117"/>
  <c r="BF18" i="117"/>
  <c r="BE18" i="117"/>
  <c r="BD18" i="117"/>
  <c r="BC18" i="117"/>
  <c r="BB18" i="117"/>
  <c r="J18" i="117"/>
  <c r="A18" i="117"/>
  <c r="CR18" i="117" s="1"/>
  <c r="BG17" i="117"/>
  <c r="BF17" i="117"/>
  <c r="BE17" i="117"/>
  <c r="BD17" i="117"/>
  <c r="BC17" i="117"/>
  <c r="BB17" i="117"/>
  <c r="J17" i="117"/>
  <c r="A17" i="117"/>
  <c r="CT17" i="117" s="1"/>
  <c r="BG16" i="117"/>
  <c r="BF16" i="117"/>
  <c r="BE16" i="117"/>
  <c r="BD16" i="117"/>
  <c r="BC16" i="117"/>
  <c r="BB16" i="117"/>
  <c r="J16" i="117"/>
  <c r="A16" i="117"/>
  <c r="CF16" i="117" s="1"/>
  <c r="BG15" i="117"/>
  <c r="BF15" i="117"/>
  <c r="BE15" i="117"/>
  <c r="BD15" i="117"/>
  <c r="BC15" i="117"/>
  <c r="BB15" i="117"/>
  <c r="J15" i="117"/>
  <c r="A15" i="117"/>
  <c r="CM15" i="117" s="1"/>
  <c r="BG14" i="117"/>
  <c r="BF14" i="117"/>
  <c r="BE14" i="117"/>
  <c r="BD14" i="117"/>
  <c r="BC14" i="117"/>
  <c r="BB14" i="117"/>
  <c r="J14" i="117"/>
  <c r="A14" i="117"/>
  <c r="CC14" i="117" s="1"/>
  <c r="BG13" i="117"/>
  <c r="BF13" i="117"/>
  <c r="BE13" i="117"/>
  <c r="BD13" i="117"/>
  <c r="BC13" i="117"/>
  <c r="BB13" i="117"/>
  <c r="J13" i="117"/>
  <c r="A13" i="117"/>
  <c r="CT13" i="117" s="1"/>
  <c r="AV9" i="117"/>
  <c r="AP9" i="117"/>
  <c r="AJ9" i="117"/>
  <c r="AD9" i="117"/>
  <c r="X9" i="117"/>
  <c r="R9" i="117"/>
  <c r="L9" i="117"/>
  <c r="AV3" i="117"/>
  <c r="CS11" i="117" s="1"/>
  <c r="AP3" i="117"/>
  <c r="CM11" i="117" s="1"/>
  <c r="AJ3" i="117"/>
  <c r="CG11" i="117" s="1"/>
  <c r="AD3" i="117"/>
  <c r="CA11" i="117" s="1"/>
  <c r="X3" i="117"/>
  <c r="BU11" i="117" s="1"/>
  <c r="R3" i="117"/>
  <c r="BO11" i="117" s="1"/>
  <c r="L3" i="117"/>
  <c r="BI11" i="117" s="1"/>
  <c r="F32" i="114"/>
  <c r="E32" i="114"/>
  <c r="C32" i="114"/>
  <c r="A32" i="114"/>
  <c r="F31" i="114"/>
  <c r="E31" i="114"/>
  <c r="D31" i="114"/>
  <c r="C31" i="114"/>
  <c r="A31" i="114"/>
  <c r="F30" i="114"/>
  <c r="E30" i="114"/>
  <c r="D30" i="114"/>
  <c r="C30" i="114"/>
  <c r="A30" i="114"/>
  <c r="F29" i="114"/>
  <c r="E29" i="114"/>
  <c r="D29" i="114"/>
  <c r="C29" i="114"/>
  <c r="A29" i="114"/>
  <c r="F28" i="114"/>
  <c r="E28" i="114"/>
  <c r="D28" i="114"/>
  <c r="C28" i="114"/>
  <c r="A28" i="114"/>
  <c r="F27" i="114"/>
  <c r="E27" i="114"/>
  <c r="D27" i="114"/>
  <c r="C27" i="114"/>
  <c r="A27" i="114"/>
  <c r="F26" i="114"/>
  <c r="E26" i="114"/>
  <c r="D26" i="114"/>
  <c r="C26" i="114"/>
  <c r="A26" i="114"/>
  <c r="BA24" i="114"/>
  <c r="AZ24" i="114"/>
  <c r="AY24" i="114"/>
  <c r="AX24" i="114"/>
  <c r="AW24" i="114"/>
  <c r="AV24" i="114"/>
  <c r="AU24" i="114"/>
  <c r="AT24" i="114"/>
  <c r="AS24" i="114"/>
  <c r="AR24" i="114"/>
  <c r="AQ24" i="114"/>
  <c r="AP24" i="114"/>
  <c r="AO24" i="114"/>
  <c r="AN24" i="114"/>
  <c r="AM24" i="114"/>
  <c r="AL24" i="114"/>
  <c r="AK24" i="114"/>
  <c r="AJ24" i="114"/>
  <c r="AI24" i="114"/>
  <c r="AH24" i="114"/>
  <c r="AG24" i="114"/>
  <c r="AF24" i="114"/>
  <c r="AE24" i="114"/>
  <c r="AD24" i="114"/>
  <c r="AC24" i="114"/>
  <c r="AB24" i="114"/>
  <c r="AA24" i="114"/>
  <c r="Z24" i="114"/>
  <c r="Y24" i="114"/>
  <c r="X24" i="114"/>
  <c r="W24" i="114"/>
  <c r="V24" i="114"/>
  <c r="U24" i="114"/>
  <c r="T24" i="114"/>
  <c r="S24" i="114"/>
  <c r="R24" i="114"/>
  <c r="Q24" i="114"/>
  <c r="P24" i="114"/>
  <c r="O24" i="114"/>
  <c r="N24" i="114"/>
  <c r="M24" i="114"/>
  <c r="L24" i="114"/>
  <c r="BG23" i="114"/>
  <c r="BF23" i="114"/>
  <c r="BE23" i="114"/>
  <c r="BD23" i="114"/>
  <c r="BC23" i="114"/>
  <c r="BB23" i="114"/>
  <c r="A23" i="114"/>
  <c r="CL23" i="114" s="1"/>
  <c r="BG22" i="114"/>
  <c r="BF22" i="114"/>
  <c r="BE22" i="114"/>
  <c r="BD22" i="114"/>
  <c r="BC22" i="114"/>
  <c r="BB22" i="114"/>
  <c r="A22" i="114"/>
  <c r="CN22" i="114" s="1"/>
  <c r="BG21" i="114"/>
  <c r="BF21" i="114"/>
  <c r="BE21" i="114"/>
  <c r="BD21" i="114"/>
  <c r="BC21" i="114"/>
  <c r="BB21" i="114"/>
  <c r="A21" i="114"/>
  <c r="CT21" i="114" s="1"/>
  <c r="BG20" i="114"/>
  <c r="BF20" i="114"/>
  <c r="BE20" i="114"/>
  <c r="BD20" i="114"/>
  <c r="BC20" i="114"/>
  <c r="BB20" i="114"/>
  <c r="J20" i="114"/>
  <c r="A20" i="114"/>
  <c r="CR20" i="114" s="1"/>
  <c r="BG19" i="114"/>
  <c r="BF19" i="114"/>
  <c r="BE19" i="114"/>
  <c r="BD19" i="114"/>
  <c r="BC19" i="114"/>
  <c r="BB19" i="114"/>
  <c r="J19" i="114"/>
  <c r="A19" i="114"/>
  <c r="CQ19" i="114" s="1"/>
  <c r="BG18" i="114"/>
  <c r="BF18" i="114"/>
  <c r="BE18" i="114"/>
  <c r="BD18" i="114"/>
  <c r="BC18" i="114"/>
  <c r="BB18" i="114"/>
  <c r="J18" i="114"/>
  <c r="A18" i="114"/>
  <c r="CK18" i="114" s="1"/>
  <c r="BG17" i="114"/>
  <c r="BF17" i="114"/>
  <c r="BE17" i="114"/>
  <c r="BD17" i="114"/>
  <c r="BC17" i="114"/>
  <c r="BB17" i="114"/>
  <c r="J17" i="114"/>
  <c r="A17" i="114"/>
  <c r="CB17" i="114" s="1"/>
  <c r="BG16" i="114"/>
  <c r="BF16" i="114"/>
  <c r="BE16" i="114"/>
  <c r="BD16" i="114"/>
  <c r="BC16" i="114"/>
  <c r="BB16" i="114"/>
  <c r="J16" i="114"/>
  <c r="A16" i="114"/>
  <c r="CR16" i="114" s="1"/>
  <c r="BG15" i="114"/>
  <c r="BF15" i="114"/>
  <c r="BE15" i="114"/>
  <c r="BD15" i="114"/>
  <c r="BC15" i="114"/>
  <c r="BB15" i="114"/>
  <c r="J15" i="114"/>
  <c r="A15" i="114"/>
  <c r="CI15" i="114" s="1"/>
  <c r="BG14" i="114"/>
  <c r="BF14" i="114"/>
  <c r="BE14" i="114"/>
  <c r="BD14" i="114"/>
  <c r="BC14" i="114"/>
  <c r="BB14" i="114"/>
  <c r="J14" i="114"/>
  <c r="A14" i="114"/>
  <c r="CS14" i="114" s="1"/>
  <c r="BG13" i="114"/>
  <c r="BF13" i="114"/>
  <c r="BE13" i="114"/>
  <c r="BD13" i="114"/>
  <c r="BC13" i="114"/>
  <c r="BB13" i="114"/>
  <c r="J13" i="114"/>
  <c r="A13" i="114"/>
  <c r="CN13" i="114" s="1"/>
  <c r="AV9" i="114"/>
  <c r="AP9" i="114"/>
  <c r="AJ9" i="114"/>
  <c r="AD9" i="114"/>
  <c r="X9" i="114"/>
  <c r="R9" i="114"/>
  <c r="L9" i="114"/>
  <c r="AV3" i="114"/>
  <c r="CS11" i="114" s="1"/>
  <c r="AP3" i="114"/>
  <c r="CM11" i="114" s="1"/>
  <c r="AJ3" i="114"/>
  <c r="CG11" i="114" s="1"/>
  <c r="AD3" i="114"/>
  <c r="CA11" i="114" s="1"/>
  <c r="X3" i="114"/>
  <c r="BU11" i="114" s="1"/>
  <c r="R3" i="114"/>
  <c r="BO11" i="114" s="1"/>
  <c r="L3" i="114"/>
  <c r="BI11" i="114" s="1"/>
  <c r="F32" i="167"/>
  <c r="E32" i="167"/>
  <c r="D32" i="167"/>
  <c r="C32" i="167"/>
  <c r="A32" i="167"/>
  <c r="F31" i="167"/>
  <c r="E31" i="167"/>
  <c r="D31" i="167"/>
  <c r="C31" i="167"/>
  <c r="A31" i="167"/>
  <c r="F30" i="167"/>
  <c r="E30" i="167"/>
  <c r="D30" i="167"/>
  <c r="C30" i="167"/>
  <c r="A30" i="167"/>
  <c r="F29" i="167"/>
  <c r="E29" i="167"/>
  <c r="D29" i="167"/>
  <c r="C29" i="167"/>
  <c r="A29" i="167"/>
  <c r="F28" i="167"/>
  <c r="E28" i="167"/>
  <c r="D28" i="167"/>
  <c r="C28" i="167"/>
  <c r="A28" i="167"/>
  <c r="F27" i="167"/>
  <c r="E27" i="167"/>
  <c r="D27" i="167"/>
  <c r="C27" i="167"/>
  <c r="A27" i="167"/>
  <c r="F26" i="167"/>
  <c r="E26" i="167"/>
  <c r="D26" i="167"/>
  <c r="C26" i="167"/>
  <c r="A26" i="167"/>
  <c r="BA24" i="167"/>
  <c r="AZ24" i="167"/>
  <c r="AY24" i="167"/>
  <c r="AX24" i="167"/>
  <c r="AW24" i="167"/>
  <c r="AV24" i="167"/>
  <c r="AU24" i="167"/>
  <c r="AT24" i="167"/>
  <c r="AS24" i="167"/>
  <c r="AR24" i="167"/>
  <c r="AQ24" i="167"/>
  <c r="AP24" i="167"/>
  <c r="AO24" i="167"/>
  <c r="AN24" i="167"/>
  <c r="AM24" i="167"/>
  <c r="AL24" i="167"/>
  <c r="AK24" i="167"/>
  <c r="AJ24" i="167"/>
  <c r="AI24" i="167"/>
  <c r="AH24" i="167"/>
  <c r="AG24" i="167"/>
  <c r="AF24" i="167"/>
  <c r="AE24" i="167"/>
  <c r="AD24" i="167"/>
  <c r="AC24" i="167"/>
  <c r="AB24" i="167"/>
  <c r="AA24" i="167"/>
  <c r="Z24" i="167"/>
  <c r="Y24" i="167"/>
  <c r="X24" i="167"/>
  <c r="W24" i="167"/>
  <c r="V24" i="167"/>
  <c r="U24" i="167"/>
  <c r="T24" i="167"/>
  <c r="S24" i="167"/>
  <c r="R24" i="167"/>
  <c r="Q24" i="167"/>
  <c r="P24" i="167"/>
  <c r="O24" i="167"/>
  <c r="N24" i="167"/>
  <c r="M24" i="167"/>
  <c r="L24" i="167"/>
  <c r="BG23" i="167"/>
  <c r="BF23" i="167"/>
  <c r="BE23" i="167"/>
  <c r="BD23" i="167"/>
  <c r="BC23" i="167"/>
  <c r="BB23" i="167"/>
  <c r="J23" i="167"/>
  <c r="A23" i="167"/>
  <c r="CL23" i="167" s="1"/>
  <c r="BG22" i="167"/>
  <c r="BF22" i="167"/>
  <c r="BE22" i="167"/>
  <c r="BD22" i="167"/>
  <c r="BC22" i="167"/>
  <c r="BB22" i="167"/>
  <c r="J22" i="167"/>
  <c r="A22" i="167"/>
  <c r="CP22" i="167" s="1"/>
  <c r="BG21" i="167"/>
  <c r="BF21" i="167"/>
  <c r="BE21" i="167"/>
  <c r="BD21" i="167"/>
  <c r="BC21" i="167"/>
  <c r="BB21" i="167"/>
  <c r="J21" i="167"/>
  <c r="A21" i="167"/>
  <c r="CT21" i="167" s="1"/>
  <c r="BG20" i="167"/>
  <c r="BF20" i="167"/>
  <c r="BE20" i="167"/>
  <c r="BD20" i="167"/>
  <c r="BC20" i="167"/>
  <c r="BB20" i="167"/>
  <c r="J20" i="167"/>
  <c r="A20" i="167"/>
  <c r="CX20" i="167" s="1"/>
  <c r="BG19" i="167"/>
  <c r="BF19" i="167"/>
  <c r="BE19" i="167"/>
  <c r="BD19" i="167"/>
  <c r="BC19" i="167"/>
  <c r="BB19" i="167"/>
  <c r="J19" i="167"/>
  <c r="A19" i="167"/>
  <c r="CL19" i="167" s="1"/>
  <c r="BG18" i="167"/>
  <c r="BF18" i="167"/>
  <c r="BE18" i="167"/>
  <c r="BD18" i="167"/>
  <c r="BC18" i="167"/>
  <c r="BB18" i="167"/>
  <c r="J18" i="167"/>
  <c r="A18" i="167"/>
  <c r="CP18" i="167" s="1"/>
  <c r="BG17" i="167"/>
  <c r="BF17" i="167"/>
  <c r="BE17" i="167"/>
  <c r="BD17" i="167"/>
  <c r="BC17" i="167"/>
  <c r="BB17" i="167"/>
  <c r="J17" i="167"/>
  <c r="A17" i="167"/>
  <c r="CT17" i="167" s="1"/>
  <c r="BG16" i="167"/>
  <c r="BF16" i="167"/>
  <c r="BE16" i="167"/>
  <c r="BD16" i="167"/>
  <c r="BC16" i="167"/>
  <c r="BB16" i="167"/>
  <c r="J16" i="167"/>
  <c r="A16" i="167"/>
  <c r="CX16" i="167" s="1"/>
  <c r="CT15" i="167"/>
  <c r="CS15" i="167"/>
  <c r="CN15" i="167"/>
  <c r="CM15" i="167"/>
  <c r="CH15" i="167"/>
  <c r="CB15" i="167"/>
  <c r="CO23" i="161" l="1"/>
  <c r="BL18" i="161"/>
  <c r="BN18" i="161"/>
  <c r="CB18" i="161"/>
  <c r="AD10" i="161"/>
  <c r="AD11" i="161" s="1"/>
  <c r="CT23" i="161"/>
  <c r="CC23" i="167"/>
  <c r="BK18" i="161"/>
  <c r="BQ17" i="117"/>
  <c r="CM19" i="117"/>
  <c r="BW18" i="161"/>
  <c r="CA18" i="161"/>
  <c r="R10" i="161"/>
  <c r="R11" i="161" s="1"/>
  <c r="AJ10" i="117"/>
  <c r="AJ11" i="117" s="1"/>
  <c r="CS22" i="114"/>
  <c r="CU22" i="114"/>
  <c r="CA14" i="117"/>
  <c r="BK21" i="114"/>
  <c r="BI16" i="117"/>
  <c r="CA18" i="167"/>
  <c r="BM21" i="114"/>
  <c r="BY16" i="117"/>
  <c r="BM17" i="161"/>
  <c r="CD18" i="167"/>
  <c r="CQ21" i="114"/>
  <c r="CA17" i="161"/>
  <c r="CE21" i="114"/>
  <c r="CR16" i="117"/>
  <c r="CR18" i="167"/>
  <c r="BH16" i="161"/>
  <c r="CB18" i="167"/>
  <c r="BL17" i="161"/>
  <c r="BX23" i="114"/>
  <c r="CC17" i="161"/>
  <c r="CD17" i="161"/>
  <c r="AJ10" i="161"/>
  <c r="AJ11" i="161" s="1"/>
  <c r="CP20" i="167"/>
  <c r="CK15" i="161"/>
  <c r="CP15" i="161"/>
  <c r="CG17" i="117"/>
  <c r="CR15" i="161"/>
  <c r="CS15" i="161"/>
  <c r="CR20" i="167"/>
  <c r="CT20" i="167"/>
  <c r="AP10" i="114"/>
  <c r="AP11" i="114" s="1"/>
  <c r="BJ15" i="161"/>
  <c r="CR17" i="161"/>
  <c r="CD18" i="161"/>
  <c r="BL20" i="167"/>
  <c r="BK15" i="161"/>
  <c r="CS17" i="161"/>
  <c r="CM18" i="161"/>
  <c r="BP20" i="167"/>
  <c r="BL23" i="167"/>
  <c r="BL15" i="161"/>
  <c r="BY20" i="167"/>
  <c r="BM23" i="167"/>
  <c r="BM15" i="161"/>
  <c r="CD20" i="167"/>
  <c r="BW23" i="167"/>
  <c r="BS15" i="161"/>
  <c r="CL20" i="167"/>
  <c r="BY23" i="167"/>
  <c r="CD22" i="114"/>
  <c r="BU15" i="161"/>
  <c r="BK20" i="167"/>
  <c r="CO20" i="167"/>
  <c r="CB23" i="167"/>
  <c r="CP22" i="114"/>
  <c r="BW15" i="161"/>
  <c r="BZ23" i="114"/>
  <c r="CA23" i="114"/>
  <c r="CO23" i="114"/>
  <c r="CR23" i="114"/>
  <c r="CS14" i="117"/>
  <c r="BN20" i="167"/>
  <c r="CM23" i="167"/>
  <c r="CS23" i="114"/>
  <c r="BH21" i="167"/>
  <c r="CT23" i="114"/>
  <c r="BS20" i="167"/>
  <c r="CA14" i="114"/>
  <c r="CU23" i="114"/>
  <c r="BK23" i="117"/>
  <c r="CP23" i="114"/>
  <c r="CD16" i="114"/>
  <c r="BL23" i="117"/>
  <c r="BV20" i="167"/>
  <c r="BW20" i="167"/>
  <c r="BJ13" i="114"/>
  <c r="CT16" i="114"/>
  <c r="BM23" i="117"/>
  <c r="CT18" i="161"/>
  <c r="CD20" i="114"/>
  <c r="BM23" i="114"/>
  <c r="CA23" i="117"/>
  <c r="CB23" i="117"/>
  <c r="BM13" i="114"/>
  <c r="BZ13" i="114"/>
  <c r="CT20" i="114"/>
  <c r="CF20" i="167"/>
  <c r="BQ21" i="167"/>
  <c r="CB13" i="114"/>
  <c r="BO23" i="114"/>
  <c r="CB22" i="117"/>
  <c r="CC23" i="117"/>
  <c r="CL15" i="161"/>
  <c r="CJ20" i="167"/>
  <c r="CF21" i="167"/>
  <c r="CR13" i="114"/>
  <c r="BP23" i="114"/>
  <c r="CC22" i="117"/>
  <c r="CQ23" i="117"/>
  <c r="CM15" i="161"/>
  <c r="BN23" i="114"/>
  <c r="BL22" i="117"/>
  <c r="BL18" i="167"/>
  <c r="CK20" i="167"/>
  <c r="BI23" i="167"/>
  <c r="CT13" i="114"/>
  <c r="CC22" i="114"/>
  <c r="BW23" i="114"/>
  <c r="CQ22" i="117"/>
  <c r="CN15" i="161"/>
  <c r="CN18" i="114"/>
  <c r="BU20" i="117"/>
  <c r="BF24" i="114"/>
  <c r="CQ18" i="114"/>
  <c r="CB20" i="117"/>
  <c r="BH17" i="161"/>
  <c r="CS23" i="161"/>
  <c r="X10" i="161"/>
  <c r="X11" i="161" s="1"/>
  <c r="AP10" i="161"/>
  <c r="AP11" i="161" s="1"/>
  <c r="CR18" i="114"/>
  <c r="CL20" i="117"/>
  <c r="CS18" i="114"/>
  <c r="CT22" i="114"/>
  <c r="CT20" i="117"/>
  <c r="BH19" i="117"/>
  <c r="CV20" i="117"/>
  <c r="BY23" i="114"/>
  <c r="CV23" i="114"/>
  <c r="BK18" i="114"/>
  <c r="CB23" i="114"/>
  <c r="CR23" i="117"/>
  <c r="BL14" i="161"/>
  <c r="BN18" i="114"/>
  <c r="CC23" i="114"/>
  <c r="CS23" i="117"/>
  <c r="CB14" i="161"/>
  <c r="BL21" i="161"/>
  <c r="BV18" i="114"/>
  <c r="BK22" i="114"/>
  <c r="CE23" i="114"/>
  <c r="AP10" i="117"/>
  <c r="AP11" i="117" s="1"/>
  <c r="CR14" i="161"/>
  <c r="BX15" i="161"/>
  <c r="CA21" i="161"/>
  <c r="BK23" i="161"/>
  <c r="BJ18" i="114"/>
  <c r="BM22" i="167"/>
  <c r="CQ22" i="167"/>
  <c r="BW18" i="114"/>
  <c r="BL22" i="114"/>
  <c r="BH23" i="114"/>
  <c r="CF23" i="114"/>
  <c r="BJ15" i="117"/>
  <c r="BL18" i="117"/>
  <c r="L10" i="117"/>
  <c r="L11" i="117" s="1"/>
  <c r="BY15" i="161"/>
  <c r="CR21" i="161"/>
  <c r="BO23" i="161"/>
  <c r="BZ20" i="167"/>
  <c r="CO23" i="167"/>
  <c r="BM17" i="114"/>
  <c r="BX18" i="114"/>
  <c r="BY19" i="114"/>
  <c r="BM22" i="114"/>
  <c r="BJ23" i="114"/>
  <c r="CI23" i="114"/>
  <c r="CB15" i="117"/>
  <c r="CS18" i="117"/>
  <c r="BZ15" i="161"/>
  <c r="BW23" i="161"/>
  <c r="CA20" i="167"/>
  <c r="CR23" i="167"/>
  <c r="CC17" i="114"/>
  <c r="CA18" i="114"/>
  <c r="CR19" i="114"/>
  <c r="BY22" i="114"/>
  <c r="BK23" i="114"/>
  <c r="CM23" i="114"/>
  <c r="CA15" i="161"/>
  <c r="BZ23" i="161"/>
  <c r="CC22" i="167"/>
  <c r="BH23" i="167"/>
  <c r="CS23" i="167"/>
  <c r="BC24" i="114"/>
  <c r="CQ17" i="114"/>
  <c r="CG18" i="114"/>
  <c r="CB22" i="114"/>
  <c r="BL23" i="114"/>
  <c r="CN23" i="114"/>
  <c r="BJ20" i="117"/>
  <c r="CC15" i="161"/>
  <c r="CQ18" i="161"/>
  <c r="CD23" i="161"/>
  <c r="BT20" i="117"/>
  <c r="CJ15" i="161"/>
  <c r="CR18" i="161"/>
  <c r="CE23" i="161"/>
  <c r="AJ10" i="114"/>
  <c r="AJ11" i="114" s="1"/>
  <c r="AD10" i="114"/>
  <c r="AD11" i="114" s="1"/>
  <c r="X10" i="114"/>
  <c r="X11" i="114" s="1"/>
  <c r="R10" i="114"/>
  <c r="R11" i="114" s="1"/>
  <c r="BH13" i="114"/>
  <c r="L10" i="114"/>
  <c r="L10" i="161"/>
  <c r="L11" i="161" s="1"/>
  <c r="BD24" i="117"/>
  <c r="AD10" i="117"/>
  <c r="AD11" i="117" s="1"/>
  <c r="X10" i="117"/>
  <c r="X11" i="117" s="1"/>
  <c r="R10" i="117"/>
  <c r="R11" i="117" s="1"/>
  <c r="CT15" i="117"/>
  <c r="BI16" i="167"/>
  <c r="CB16" i="167"/>
  <c r="CV16" i="167"/>
  <c r="BI19" i="167"/>
  <c r="BZ22" i="161"/>
  <c r="BJ16" i="167"/>
  <c r="CD14" i="114"/>
  <c r="BL15" i="114"/>
  <c r="BI19" i="114"/>
  <c r="BN16" i="167"/>
  <c r="CJ16" i="167"/>
  <c r="CD19" i="167"/>
  <c r="BG24" i="114"/>
  <c r="BS16" i="167"/>
  <c r="CA16" i="167"/>
  <c r="CL16" i="167"/>
  <c r="CT16" i="167"/>
  <c r="BN18" i="167"/>
  <c r="CT18" i="167"/>
  <c r="BH19" i="167"/>
  <c r="BX19" i="167"/>
  <c r="CN19" i="167"/>
  <c r="BJ20" i="167"/>
  <c r="BU20" i="167"/>
  <c r="CC20" i="167"/>
  <c r="CN20" i="167"/>
  <c r="BP21" i="167"/>
  <c r="CB22" i="167"/>
  <c r="BK23" i="167"/>
  <c r="CA23" i="167"/>
  <c r="CQ23" i="167"/>
  <c r="BX14" i="114"/>
  <c r="BY15" i="114"/>
  <c r="BH18" i="114"/>
  <c r="BX19" i="114"/>
  <c r="CD21" i="114"/>
  <c r="BX16" i="117"/>
  <c r="CQ16" i="117"/>
  <c r="CD19" i="117"/>
  <c r="BS20" i="117"/>
  <c r="CN20" i="117"/>
  <c r="BT16" i="167"/>
  <c r="CB15" i="114"/>
  <c r="CN22" i="161"/>
  <c r="CU22" i="161"/>
  <c r="CE22" i="161"/>
  <c r="BO22" i="161"/>
  <c r="CT22" i="161"/>
  <c r="CD22" i="161"/>
  <c r="BN22" i="161"/>
  <c r="CS22" i="161"/>
  <c r="CC22" i="161"/>
  <c r="BM22" i="161"/>
  <c r="CR22" i="161"/>
  <c r="CB22" i="161"/>
  <c r="BL22" i="161"/>
  <c r="CQ22" i="161"/>
  <c r="CA22" i="161"/>
  <c r="BK22" i="161"/>
  <c r="CO22" i="161"/>
  <c r="BY22" i="161"/>
  <c r="BI22" i="161"/>
  <c r="CV22" i="161"/>
  <c r="CF22" i="161"/>
  <c r="BP22" i="161"/>
  <c r="CN16" i="167"/>
  <c r="BO17" i="167"/>
  <c r="BH20" i="167"/>
  <c r="CJ14" i="114"/>
  <c r="CW14" i="114"/>
  <c r="CM14" i="114"/>
  <c r="BZ14" i="114"/>
  <c r="BM14" i="114"/>
  <c r="CT14" i="114"/>
  <c r="CL14" i="114"/>
  <c r="BY14" i="114"/>
  <c r="BL14" i="114"/>
  <c r="CP14" i="114"/>
  <c r="CC14" i="114"/>
  <c r="BU14" i="114"/>
  <c r="CO14" i="114"/>
  <c r="CB14" i="114"/>
  <c r="BQ14" i="114"/>
  <c r="CV19" i="114"/>
  <c r="CW19" i="114"/>
  <c r="CL19" i="114"/>
  <c r="CA19" i="114"/>
  <c r="BS19" i="114"/>
  <c r="CS19" i="114"/>
  <c r="CK19" i="114"/>
  <c r="BZ19" i="114"/>
  <c r="BR19" i="114"/>
  <c r="CO19" i="114"/>
  <c r="CG19" i="114"/>
  <c r="BV19" i="114"/>
  <c r="BK19" i="114"/>
  <c r="CN19" i="114"/>
  <c r="CC19" i="114"/>
  <c r="BU19" i="114"/>
  <c r="BJ19" i="114"/>
  <c r="CX19" i="114"/>
  <c r="CB16" i="117"/>
  <c r="CV16" i="117"/>
  <c r="CX19" i="161"/>
  <c r="CM19" i="161"/>
  <c r="BZ19" i="161"/>
  <c r="BN19" i="161"/>
  <c r="CL19" i="161"/>
  <c r="BY19" i="161"/>
  <c r="BM19" i="161"/>
  <c r="CS19" i="161"/>
  <c r="CK19" i="161"/>
  <c r="BX19" i="161"/>
  <c r="BL19" i="161"/>
  <c r="CR19" i="161"/>
  <c r="CJ19" i="161"/>
  <c r="BW19" i="161"/>
  <c r="BK19" i="161"/>
  <c r="CQ19" i="161"/>
  <c r="CI19" i="161"/>
  <c r="BV19" i="161"/>
  <c r="BJ19" i="161"/>
  <c r="CO19" i="161"/>
  <c r="CB19" i="161"/>
  <c r="BT19" i="161"/>
  <c r="CN19" i="161"/>
  <c r="CA19" i="161"/>
  <c r="BS19" i="161"/>
  <c r="BI19" i="161"/>
  <c r="CP22" i="161"/>
  <c r="BK16" i="167"/>
  <c r="BV16" i="167"/>
  <c r="CD16" i="167"/>
  <c r="CO16" i="167"/>
  <c r="CE17" i="167"/>
  <c r="CC18" i="167"/>
  <c r="BK19" i="167"/>
  <c r="CA19" i="167"/>
  <c r="CQ19" i="167"/>
  <c r="BM20" i="167"/>
  <c r="BX20" i="167"/>
  <c r="CI20" i="167"/>
  <c r="CQ20" i="167"/>
  <c r="CG21" i="167"/>
  <c r="CR22" i="167"/>
  <c r="BN23" i="167"/>
  <c r="CD23" i="167"/>
  <c r="CT23" i="167"/>
  <c r="BB9" i="114"/>
  <c r="BD24" i="114"/>
  <c r="BJ14" i="114"/>
  <c r="CG14" i="114"/>
  <c r="BM15" i="114"/>
  <c r="CJ18" i="114"/>
  <c r="CW18" i="114"/>
  <c r="CM18" i="114"/>
  <c r="BZ18" i="114"/>
  <c r="BM18" i="114"/>
  <c r="CT18" i="114"/>
  <c r="CL18" i="114"/>
  <c r="BY18" i="114"/>
  <c r="BL18" i="114"/>
  <c r="CP18" i="114"/>
  <c r="CC18" i="114"/>
  <c r="BU18" i="114"/>
  <c r="CO18" i="114"/>
  <c r="CB18" i="114"/>
  <c r="BQ18" i="114"/>
  <c r="BI18" i="114"/>
  <c r="CD18" i="114"/>
  <c r="BL19" i="114"/>
  <c r="CH19" i="114"/>
  <c r="BB9" i="117"/>
  <c r="BF24" i="117"/>
  <c r="BL16" i="117"/>
  <c r="BK19" i="117"/>
  <c r="CT21" i="117"/>
  <c r="BQ21" i="117"/>
  <c r="BP21" i="117"/>
  <c r="BH23" i="117"/>
  <c r="BU19" i="161"/>
  <c r="CM16" i="167"/>
  <c r="CL15" i="114"/>
  <c r="CA15" i="114"/>
  <c r="BS15" i="114"/>
  <c r="CS15" i="114"/>
  <c r="CK15" i="114"/>
  <c r="BZ15" i="114"/>
  <c r="BR15" i="114"/>
  <c r="CG15" i="114"/>
  <c r="BV15" i="114"/>
  <c r="BK15" i="114"/>
  <c r="CN15" i="114"/>
  <c r="CC15" i="114"/>
  <c r="BU15" i="114"/>
  <c r="BJ15" i="114"/>
  <c r="BZ19" i="167"/>
  <c r="CX16" i="117"/>
  <c r="CT16" i="117"/>
  <c r="CL16" i="117"/>
  <c r="CA16" i="117"/>
  <c r="BS16" i="117"/>
  <c r="CS16" i="117"/>
  <c r="CK16" i="117"/>
  <c r="BZ16" i="117"/>
  <c r="BP16" i="117"/>
  <c r="CO16" i="117"/>
  <c r="CD16" i="117"/>
  <c r="BV16" i="117"/>
  <c r="BK16" i="117"/>
  <c r="CN16" i="117"/>
  <c r="CC16" i="117"/>
  <c r="BU16" i="117"/>
  <c r="BJ16" i="117"/>
  <c r="CL19" i="117"/>
  <c r="CP19" i="117"/>
  <c r="BZ19" i="117"/>
  <c r="BJ19" i="117"/>
  <c r="CO19" i="117"/>
  <c r="BY19" i="117"/>
  <c r="BI19" i="117"/>
  <c r="CS19" i="117"/>
  <c r="CC19" i="117"/>
  <c r="BM19" i="117"/>
  <c r="CR19" i="117"/>
  <c r="CB19" i="117"/>
  <c r="BL19" i="117"/>
  <c r="CN19" i="117"/>
  <c r="BH16" i="167"/>
  <c r="BW16" i="167"/>
  <c r="CF16" i="167"/>
  <c r="CP16" i="167"/>
  <c r="CU17" i="167"/>
  <c r="CB19" i="167"/>
  <c r="BK22" i="167"/>
  <c r="BK14" i="114"/>
  <c r="CK14" i="114"/>
  <c r="BQ15" i="114"/>
  <c r="CJ15" i="114"/>
  <c r="BH16" i="114"/>
  <c r="CN17" i="114"/>
  <c r="CP17" i="114"/>
  <c r="BL17" i="114"/>
  <c r="CO17" i="114"/>
  <c r="BK17" i="114"/>
  <c r="CS17" i="114"/>
  <c r="BZ17" i="114"/>
  <c r="CR17" i="114"/>
  <c r="BY17" i="114"/>
  <c r="BI17" i="114"/>
  <c r="BM19" i="114"/>
  <c r="CI19" i="114"/>
  <c r="BH15" i="117"/>
  <c r="BM16" i="117"/>
  <c r="CI16" i="117"/>
  <c r="BN19" i="117"/>
  <c r="CT19" i="117"/>
  <c r="CC19" i="161"/>
  <c r="CO19" i="167"/>
  <c r="BL16" i="167"/>
  <c r="BH17" i="167"/>
  <c r="BL19" i="167"/>
  <c r="CR19" i="167"/>
  <c r="CS22" i="167"/>
  <c r="BM16" i="167"/>
  <c r="BX16" i="167"/>
  <c r="CI16" i="167"/>
  <c r="CQ16" i="167"/>
  <c r="BK18" i="167"/>
  <c r="CQ18" i="167"/>
  <c r="BM19" i="167"/>
  <c r="CC19" i="167"/>
  <c r="CS19" i="167"/>
  <c r="CS20" i="167"/>
  <c r="BL22" i="167"/>
  <c r="BX23" i="167"/>
  <c r="CN23" i="167"/>
  <c r="BN14" i="114"/>
  <c r="CN14" i="114"/>
  <c r="BT15" i="114"/>
  <c r="CM15" i="114"/>
  <c r="BJ17" i="114"/>
  <c r="BQ19" i="114"/>
  <c r="CJ19" i="114"/>
  <c r="BH20" i="114"/>
  <c r="CP21" i="114"/>
  <c r="CS21" i="114"/>
  <c r="BO21" i="114"/>
  <c r="CR21" i="114"/>
  <c r="BN21" i="114"/>
  <c r="CC21" i="114"/>
  <c r="CU21" i="114"/>
  <c r="CB21" i="114"/>
  <c r="BL21" i="114"/>
  <c r="BH22" i="114"/>
  <c r="CP14" i="117"/>
  <c r="CR14" i="117"/>
  <c r="CQ14" i="117"/>
  <c r="BM14" i="117"/>
  <c r="BL14" i="117"/>
  <c r="BK14" i="117"/>
  <c r="BH16" i="117"/>
  <c r="BN16" i="117"/>
  <c r="CJ16" i="117"/>
  <c r="BH17" i="117"/>
  <c r="CP18" i="117"/>
  <c r="CA18" i="117"/>
  <c r="BM18" i="117"/>
  <c r="CQ18" i="117"/>
  <c r="CC18" i="117"/>
  <c r="BK18" i="117"/>
  <c r="BW19" i="117"/>
  <c r="CX20" i="117"/>
  <c r="CQ20" i="117"/>
  <c r="CI20" i="117"/>
  <c r="BX20" i="117"/>
  <c r="CP20" i="117"/>
  <c r="CF20" i="117"/>
  <c r="BW20" i="117"/>
  <c r="BL20" i="117"/>
  <c r="CO20" i="117"/>
  <c r="CD20" i="117"/>
  <c r="BV20" i="117"/>
  <c r="BK20" i="117"/>
  <c r="CS20" i="117"/>
  <c r="CK20" i="117"/>
  <c r="BZ20" i="117"/>
  <c r="BP20" i="117"/>
  <c r="CR20" i="117"/>
  <c r="CJ20" i="117"/>
  <c r="BY20" i="117"/>
  <c r="BN20" i="117"/>
  <c r="BI20" i="117"/>
  <c r="CC20" i="117"/>
  <c r="AV10" i="117"/>
  <c r="CP19" i="161"/>
  <c r="CC16" i="167"/>
  <c r="BJ19" i="167"/>
  <c r="BE24" i="117"/>
  <c r="CR16" i="167"/>
  <c r="BN19" i="167"/>
  <c r="CT19" i="167"/>
  <c r="BH22" i="167"/>
  <c r="CQ14" i="114"/>
  <c r="BW15" i="114"/>
  <c r="BT19" i="114"/>
  <c r="BH21" i="114"/>
  <c r="BT16" i="117"/>
  <c r="CM16" i="117"/>
  <c r="BX19" i="117"/>
  <c r="BY19" i="167"/>
  <c r="BI15" i="114"/>
  <c r="BU16" i="167"/>
  <c r="CP19" i="167"/>
  <c r="BI14" i="114"/>
  <c r="CH15" i="114"/>
  <c r="CB19" i="114"/>
  <c r="BY16" i="167"/>
  <c r="BV14" i="114"/>
  <c r="CM19" i="114"/>
  <c r="BP16" i="167"/>
  <c r="BZ16" i="167"/>
  <c r="CK16" i="167"/>
  <c r="CS16" i="167"/>
  <c r="BH18" i="167"/>
  <c r="BM18" i="167"/>
  <c r="CS18" i="167"/>
  <c r="BW19" i="167"/>
  <c r="CM19" i="167"/>
  <c r="BI20" i="167"/>
  <c r="BT20" i="167"/>
  <c r="CB20" i="167"/>
  <c r="CM20" i="167"/>
  <c r="CV20" i="167"/>
  <c r="CA22" i="167"/>
  <c r="BJ23" i="167"/>
  <c r="BZ23" i="167"/>
  <c r="CP23" i="167"/>
  <c r="BH14" i="114"/>
  <c r="BW14" i="114"/>
  <c r="CR14" i="114"/>
  <c r="BX15" i="114"/>
  <c r="CA17" i="114"/>
  <c r="BW19" i="114"/>
  <c r="CP19" i="114"/>
  <c r="CA21" i="114"/>
  <c r="CB14" i="117"/>
  <c r="BW16" i="117"/>
  <c r="CP16" i="117"/>
  <c r="CB18" i="117"/>
  <c r="CA19" i="117"/>
  <c r="BM20" i="117"/>
  <c r="CM20" i="117"/>
  <c r="CP13" i="161"/>
  <c r="CA13" i="161"/>
  <c r="CT13" i="161"/>
  <c r="BP13" i="161"/>
  <c r="CS13" i="161"/>
  <c r="BN13" i="161"/>
  <c r="CR13" i="161"/>
  <c r="BM13" i="161"/>
  <c r="CQ13" i="161"/>
  <c r="CC13" i="161"/>
  <c r="CB13" i="161"/>
  <c r="CS13" i="114"/>
  <c r="BN16" i="114"/>
  <c r="BN20" i="114"/>
  <c r="BI22" i="114"/>
  <c r="BZ22" i="114"/>
  <c r="CQ22" i="114"/>
  <c r="AV10" i="114"/>
  <c r="BH13" i="117"/>
  <c r="CN15" i="117"/>
  <c r="BP17" i="117"/>
  <c r="BH22" i="117"/>
  <c r="BM22" i="117"/>
  <c r="BI23" i="117"/>
  <c r="BY23" i="117"/>
  <c r="CO23" i="117"/>
  <c r="BF24" i="161"/>
  <c r="BJ14" i="161"/>
  <c r="BZ14" i="161"/>
  <c r="CP14" i="161"/>
  <c r="BH15" i="161"/>
  <c r="BK17" i="161"/>
  <c r="CQ17" i="161"/>
  <c r="BM18" i="161"/>
  <c r="CC18" i="161"/>
  <c r="CS18" i="161"/>
  <c r="BH20" i="161"/>
  <c r="BH21" i="161"/>
  <c r="BM21" i="161"/>
  <c r="CS21" i="161"/>
  <c r="BI23" i="161"/>
  <c r="BX23" i="161"/>
  <c r="CM23" i="161"/>
  <c r="CU23" i="161"/>
  <c r="BH15" i="114"/>
  <c r="BH19" i="114"/>
  <c r="BJ22" i="114"/>
  <c r="CA22" i="114"/>
  <c r="CR22" i="114"/>
  <c r="BC24" i="117"/>
  <c r="BH14" i="117"/>
  <c r="CA22" i="117"/>
  <c r="BJ23" i="117"/>
  <c r="BZ23" i="117"/>
  <c r="CP23" i="117"/>
  <c r="BG24" i="161"/>
  <c r="BK14" i="161"/>
  <c r="CA14" i="161"/>
  <c r="CQ14" i="161"/>
  <c r="BN21" i="161"/>
  <c r="CT21" i="161"/>
  <c r="BJ23" i="161"/>
  <c r="BY23" i="161"/>
  <c r="CN23" i="161"/>
  <c r="BM14" i="161"/>
  <c r="CC14" i="161"/>
  <c r="CS14" i="161"/>
  <c r="BT15" i="161"/>
  <c r="CB15" i="161"/>
  <c r="CO15" i="161"/>
  <c r="BN17" i="161"/>
  <c r="CT17" i="161"/>
  <c r="BH18" i="161"/>
  <c r="BX18" i="161"/>
  <c r="CN18" i="161"/>
  <c r="CB21" i="161"/>
  <c r="BH22" i="161"/>
  <c r="BL23" i="161"/>
  <c r="CA23" i="161"/>
  <c r="CP23" i="161"/>
  <c r="BH13" i="161"/>
  <c r="BN14" i="161"/>
  <c r="CD14" i="161"/>
  <c r="CT14" i="161"/>
  <c r="BI18" i="161"/>
  <c r="BY18" i="161"/>
  <c r="CO18" i="161"/>
  <c r="CC21" i="161"/>
  <c r="BM23" i="161"/>
  <c r="CB23" i="161"/>
  <c r="CQ23" i="161"/>
  <c r="BE24" i="114"/>
  <c r="BN13" i="114"/>
  <c r="BH17" i="114"/>
  <c r="BN22" i="114"/>
  <c r="CE22" i="114"/>
  <c r="BI23" i="114"/>
  <c r="BS23" i="114"/>
  <c r="CD23" i="114"/>
  <c r="CQ23" i="114"/>
  <c r="BG24" i="117"/>
  <c r="CS15" i="117"/>
  <c r="BH18" i="117"/>
  <c r="CR22" i="117"/>
  <c r="BN23" i="117"/>
  <c r="CD23" i="117"/>
  <c r="CT23" i="117"/>
  <c r="BB9" i="161"/>
  <c r="BC24" i="161"/>
  <c r="BW14" i="161"/>
  <c r="CM14" i="161"/>
  <c r="BI15" i="161"/>
  <c r="BV15" i="161"/>
  <c r="CI15" i="161"/>
  <c r="CQ15" i="161"/>
  <c r="CB17" i="161"/>
  <c r="BJ18" i="161"/>
  <c r="BZ18" i="161"/>
  <c r="CP18" i="161"/>
  <c r="BH19" i="161"/>
  <c r="CD21" i="161"/>
  <c r="BN23" i="161"/>
  <c r="CC23" i="161"/>
  <c r="CR23" i="161"/>
  <c r="AV10" i="161"/>
  <c r="BY13" i="114"/>
  <c r="CQ13" i="114"/>
  <c r="BO22" i="114"/>
  <c r="CO22" i="114"/>
  <c r="BP13" i="117"/>
  <c r="BH20" i="117"/>
  <c r="BH21" i="117"/>
  <c r="BK22" i="117"/>
  <c r="CS22" i="117"/>
  <c r="BW23" i="117"/>
  <c r="CM23" i="117"/>
  <c r="BD24" i="161"/>
  <c r="BH14" i="161"/>
  <c r="BX14" i="161"/>
  <c r="CN14" i="161"/>
  <c r="BK21" i="161"/>
  <c r="CQ21" i="161"/>
  <c r="BX23" i="117"/>
  <c r="CN23" i="117"/>
  <c r="BE24" i="161"/>
  <c r="BI14" i="161"/>
  <c r="BY14" i="161"/>
  <c r="CO14" i="161"/>
  <c r="BH23" i="161"/>
  <c r="BP16" i="161"/>
  <c r="BQ16" i="161"/>
  <c r="CG16" i="161"/>
  <c r="CW16" i="161"/>
  <c r="BQ20" i="161"/>
  <c r="CG20" i="161"/>
  <c r="CW20" i="161"/>
  <c r="BR20" i="161"/>
  <c r="CH20" i="161"/>
  <c r="CX20" i="161"/>
  <c r="BO13" i="161"/>
  <c r="CE13" i="161"/>
  <c r="CU13" i="161"/>
  <c r="BS16" i="161"/>
  <c r="CI16" i="161"/>
  <c r="BO17" i="161"/>
  <c r="CE17" i="161"/>
  <c r="CU17" i="161"/>
  <c r="BS20" i="161"/>
  <c r="CI20" i="161"/>
  <c r="BO21" i="161"/>
  <c r="CE21" i="161"/>
  <c r="CU21" i="161"/>
  <c r="CX16" i="161"/>
  <c r="CF13" i="161"/>
  <c r="CV13" i="161"/>
  <c r="BT16" i="161"/>
  <c r="CJ16" i="161"/>
  <c r="F17" i="161"/>
  <c r="BP17" i="161"/>
  <c r="CF17" i="161"/>
  <c r="CV17" i="161"/>
  <c r="BT20" i="161"/>
  <c r="CJ20" i="161"/>
  <c r="F21" i="161"/>
  <c r="BP21" i="161"/>
  <c r="CF21" i="161"/>
  <c r="CV21" i="161"/>
  <c r="CV20" i="161"/>
  <c r="BQ13" i="161"/>
  <c r="CG13" i="161"/>
  <c r="CW13" i="161"/>
  <c r="BU16" i="161"/>
  <c r="CK16" i="161"/>
  <c r="BQ17" i="161"/>
  <c r="CG17" i="161"/>
  <c r="CW17" i="161"/>
  <c r="BU20" i="161"/>
  <c r="CK20" i="161"/>
  <c r="BQ21" i="161"/>
  <c r="CG21" i="161"/>
  <c r="CW21" i="161"/>
  <c r="BB24" i="161"/>
  <c r="CE16" i="161"/>
  <c r="BO20" i="161"/>
  <c r="CV16" i="161"/>
  <c r="BV16" i="161"/>
  <c r="CL16" i="161"/>
  <c r="BR17" i="161"/>
  <c r="CH17" i="161"/>
  <c r="CX17" i="161"/>
  <c r="BV20" i="161"/>
  <c r="CL20" i="161"/>
  <c r="BR21" i="161"/>
  <c r="CH21" i="161"/>
  <c r="CX21" i="161"/>
  <c r="CF20" i="161"/>
  <c r="BS13" i="161"/>
  <c r="CI13" i="161"/>
  <c r="BO14" i="161"/>
  <c r="CE14" i="161"/>
  <c r="CU14" i="161"/>
  <c r="BW16" i="161"/>
  <c r="CM16" i="161"/>
  <c r="BS17" i="161"/>
  <c r="CI17" i="161"/>
  <c r="BO18" i="161"/>
  <c r="CE18" i="161"/>
  <c r="CU18" i="161"/>
  <c r="BW20" i="161"/>
  <c r="CM20" i="161"/>
  <c r="BS21" i="161"/>
  <c r="CI21" i="161"/>
  <c r="BQ22" i="161"/>
  <c r="CG22" i="161"/>
  <c r="CW22" i="161"/>
  <c r="BT13" i="161"/>
  <c r="CJ13" i="161"/>
  <c r="F14" i="161"/>
  <c r="BP14" i="161"/>
  <c r="CF14" i="161"/>
  <c r="CV14" i="161"/>
  <c r="BX16" i="161"/>
  <c r="CN16" i="161"/>
  <c r="BT17" i="161"/>
  <c r="CJ17" i="161"/>
  <c r="F18" i="161"/>
  <c r="BP18" i="161"/>
  <c r="CF18" i="161"/>
  <c r="CV18" i="161"/>
  <c r="BX20" i="161"/>
  <c r="CN20" i="161"/>
  <c r="BT21" i="161"/>
  <c r="CJ21" i="161"/>
  <c r="BR22" i="161"/>
  <c r="CH22" i="161"/>
  <c r="CX22" i="161"/>
  <c r="BP23" i="161"/>
  <c r="CF23" i="161"/>
  <c r="CV23" i="161"/>
  <c r="CF16" i="161"/>
  <c r="CX13" i="161"/>
  <c r="BU13" i="161"/>
  <c r="CK13" i="161"/>
  <c r="BQ14" i="161"/>
  <c r="CG14" i="161"/>
  <c r="CW14" i="161"/>
  <c r="BI16" i="161"/>
  <c r="BY16" i="161"/>
  <c r="CO16" i="161"/>
  <c r="BU17" i="161"/>
  <c r="CK17" i="161"/>
  <c r="BQ18" i="161"/>
  <c r="CG18" i="161"/>
  <c r="CW18" i="161"/>
  <c r="BI20" i="161"/>
  <c r="BY20" i="161"/>
  <c r="CO20" i="161"/>
  <c r="BU21" i="161"/>
  <c r="CK21" i="161"/>
  <c r="BS22" i="161"/>
  <c r="CI22" i="161"/>
  <c r="BQ23" i="161"/>
  <c r="CG23" i="161"/>
  <c r="CW23" i="161"/>
  <c r="BV13" i="161"/>
  <c r="CL13" i="161"/>
  <c r="BR14" i="161"/>
  <c r="CH14" i="161"/>
  <c r="CX14" i="161"/>
  <c r="BN15" i="161"/>
  <c r="CD15" i="161"/>
  <c r="CT15" i="161"/>
  <c r="BJ16" i="161"/>
  <c r="BZ16" i="161"/>
  <c r="CP16" i="161"/>
  <c r="BV17" i="161"/>
  <c r="CL17" i="161"/>
  <c r="BR18" i="161"/>
  <c r="CH18" i="161"/>
  <c r="CX18" i="161"/>
  <c r="CD19" i="161"/>
  <c r="CT19" i="161"/>
  <c r="BJ20" i="161"/>
  <c r="BZ20" i="161"/>
  <c r="CP20" i="161"/>
  <c r="BV21" i="161"/>
  <c r="CL21" i="161"/>
  <c r="BT22" i="161"/>
  <c r="CJ22" i="161"/>
  <c r="BR23" i="161"/>
  <c r="CH23" i="161"/>
  <c r="CX23" i="161"/>
  <c r="F16" i="161"/>
  <c r="F13" i="161"/>
  <c r="CH13" i="161"/>
  <c r="BW13" i="161"/>
  <c r="BS14" i="161"/>
  <c r="CI14" i="161"/>
  <c r="BO15" i="161"/>
  <c r="CE15" i="161"/>
  <c r="CU15" i="161"/>
  <c r="BK16" i="161"/>
  <c r="CA16" i="161"/>
  <c r="CQ16" i="161"/>
  <c r="BW17" i="161"/>
  <c r="CM17" i="161"/>
  <c r="BS18" i="161"/>
  <c r="CI18" i="161"/>
  <c r="BO19" i="161"/>
  <c r="CE19" i="161"/>
  <c r="CU19" i="161"/>
  <c r="BK20" i="161"/>
  <c r="CA20" i="161"/>
  <c r="CQ20" i="161"/>
  <c r="BW21" i="161"/>
  <c r="CM21" i="161"/>
  <c r="BU22" i="161"/>
  <c r="CK22" i="161"/>
  <c r="BS23" i="161"/>
  <c r="CI23" i="161"/>
  <c r="CU16" i="161"/>
  <c r="CE20" i="161"/>
  <c r="F20" i="161"/>
  <c r="CM13" i="161"/>
  <c r="BX13" i="161"/>
  <c r="CN13" i="161"/>
  <c r="BT14" i="161"/>
  <c r="CJ14" i="161"/>
  <c r="F15" i="161"/>
  <c r="BP15" i="161"/>
  <c r="CF15" i="161"/>
  <c r="CV15" i="161"/>
  <c r="BL16" i="161"/>
  <c r="CB16" i="161"/>
  <c r="CR16" i="161"/>
  <c r="BX17" i="161"/>
  <c r="CN17" i="161"/>
  <c r="BT18" i="161"/>
  <c r="CJ18" i="161"/>
  <c r="BP19" i="161"/>
  <c r="CF19" i="161"/>
  <c r="CV19" i="161"/>
  <c r="BL20" i="161"/>
  <c r="CB20" i="161"/>
  <c r="CR20" i="161"/>
  <c r="BX21" i="161"/>
  <c r="CN21" i="161"/>
  <c r="BV22" i="161"/>
  <c r="CL22" i="161"/>
  <c r="BT23" i="161"/>
  <c r="CJ23" i="161"/>
  <c r="BR16" i="161"/>
  <c r="BY13" i="161"/>
  <c r="CO13" i="161"/>
  <c r="BU14" i="161"/>
  <c r="CK14" i="161"/>
  <c r="BQ15" i="161"/>
  <c r="CG15" i="161"/>
  <c r="CW15" i="161"/>
  <c r="BM16" i="161"/>
  <c r="CC16" i="161"/>
  <c r="CS16" i="161"/>
  <c r="BI17" i="161"/>
  <c r="BY17" i="161"/>
  <c r="CO17" i="161"/>
  <c r="BU18" i="161"/>
  <c r="CK18" i="161"/>
  <c r="BQ19" i="161"/>
  <c r="CG19" i="161"/>
  <c r="CW19" i="161"/>
  <c r="BM20" i="161"/>
  <c r="CC20" i="161"/>
  <c r="CS20" i="161"/>
  <c r="BI21" i="161"/>
  <c r="BY21" i="161"/>
  <c r="CO21" i="161"/>
  <c r="BW22" i="161"/>
  <c r="CM22" i="161"/>
  <c r="BU23" i="161"/>
  <c r="CK23" i="161"/>
  <c r="BO16" i="161"/>
  <c r="CU20" i="161"/>
  <c r="BP20" i="161"/>
  <c r="CH16" i="161"/>
  <c r="BR13" i="161"/>
  <c r="BJ13" i="161"/>
  <c r="BZ13" i="161"/>
  <c r="BV14" i="161"/>
  <c r="BR15" i="161"/>
  <c r="CH15" i="161"/>
  <c r="BN16" i="161"/>
  <c r="CD16" i="161"/>
  <c r="BJ17" i="161"/>
  <c r="BZ17" i="161"/>
  <c r="BV18" i="161"/>
  <c r="BR19" i="161"/>
  <c r="CH19" i="161"/>
  <c r="BN20" i="161"/>
  <c r="CD20" i="161"/>
  <c r="BJ21" i="161"/>
  <c r="BZ21" i="161"/>
  <c r="BX22" i="161"/>
  <c r="BV23" i="161"/>
  <c r="BO13" i="117"/>
  <c r="CE13" i="117"/>
  <c r="CU13" i="117"/>
  <c r="BO17" i="117"/>
  <c r="CE17" i="117"/>
  <c r="CU17" i="117"/>
  <c r="BO21" i="117"/>
  <c r="CE21" i="117"/>
  <c r="CU21" i="117"/>
  <c r="CF13" i="117"/>
  <c r="CV13" i="117"/>
  <c r="CF17" i="117"/>
  <c r="CV17" i="117"/>
  <c r="CF21" i="117"/>
  <c r="CV21" i="117"/>
  <c r="CW17" i="117"/>
  <c r="CG21" i="117"/>
  <c r="CW21" i="117"/>
  <c r="BR13" i="117"/>
  <c r="CX13" i="117"/>
  <c r="BN14" i="117"/>
  <c r="CD14" i="117"/>
  <c r="CT14" i="117"/>
  <c r="BR17" i="117"/>
  <c r="CH17" i="117"/>
  <c r="CX17" i="117"/>
  <c r="BN18" i="117"/>
  <c r="CD18" i="117"/>
  <c r="CT18" i="117"/>
  <c r="BR21" i="117"/>
  <c r="CH21" i="117"/>
  <c r="CX21" i="117"/>
  <c r="BN22" i="117"/>
  <c r="CD22" i="117"/>
  <c r="CT22" i="117"/>
  <c r="CG13" i="117"/>
  <c r="BO14" i="117"/>
  <c r="CE14" i="117"/>
  <c r="CU14" i="117"/>
  <c r="BS17" i="117"/>
  <c r="CI17" i="117"/>
  <c r="BO18" i="117"/>
  <c r="CE18" i="117"/>
  <c r="CU18" i="117"/>
  <c r="BS21" i="117"/>
  <c r="CI21" i="117"/>
  <c r="BO22" i="117"/>
  <c r="CE22" i="117"/>
  <c r="CU22" i="117"/>
  <c r="CW13" i="117"/>
  <c r="BT13" i="117"/>
  <c r="CJ13" i="117"/>
  <c r="BP14" i="117"/>
  <c r="CF14" i="117"/>
  <c r="CV14" i="117"/>
  <c r="BT17" i="117"/>
  <c r="CJ17" i="117"/>
  <c r="BP18" i="117"/>
  <c r="CF18" i="117"/>
  <c r="CV18" i="117"/>
  <c r="BT21" i="117"/>
  <c r="CJ21" i="117"/>
  <c r="BP22" i="117"/>
  <c r="CF22" i="117"/>
  <c r="CV22" i="117"/>
  <c r="BS13" i="117"/>
  <c r="BQ14" i="117"/>
  <c r="CG14" i="117"/>
  <c r="CW14" i="117"/>
  <c r="BU17" i="117"/>
  <c r="CK17" i="117"/>
  <c r="BQ18" i="117"/>
  <c r="CG18" i="117"/>
  <c r="CW18" i="117"/>
  <c r="BU21" i="117"/>
  <c r="CK21" i="117"/>
  <c r="BQ22" i="117"/>
  <c r="CG22" i="117"/>
  <c r="CW22" i="117"/>
  <c r="BB24" i="117"/>
  <c r="BQ13" i="117"/>
  <c r="BR14" i="117"/>
  <c r="CH14" i="117"/>
  <c r="CX14" i="117"/>
  <c r="BV17" i="117"/>
  <c r="CL17" i="117"/>
  <c r="BR18" i="117"/>
  <c r="CH18" i="117"/>
  <c r="CX18" i="117"/>
  <c r="BV21" i="117"/>
  <c r="CL21" i="117"/>
  <c r="BR22" i="117"/>
  <c r="CH22" i="117"/>
  <c r="CX22" i="117"/>
  <c r="BW13" i="117"/>
  <c r="CM13" i="117"/>
  <c r="BS14" i="117"/>
  <c r="CI14" i="117"/>
  <c r="BW17" i="117"/>
  <c r="CM17" i="117"/>
  <c r="BS18" i="117"/>
  <c r="CI18" i="117"/>
  <c r="BO19" i="117"/>
  <c r="CE19" i="117"/>
  <c r="CU19" i="117"/>
  <c r="BW21" i="117"/>
  <c r="CM21" i="117"/>
  <c r="BS22" i="117"/>
  <c r="CI22" i="117"/>
  <c r="BO23" i="117"/>
  <c r="CE23" i="117"/>
  <c r="CU23" i="117"/>
  <c r="BU13" i="117"/>
  <c r="BX13" i="117"/>
  <c r="CN13" i="117"/>
  <c r="BT14" i="117"/>
  <c r="CJ14" i="117"/>
  <c r="BP15" i="117"/>
  <c r="BX17" i="117"/>
  <c r="CN17" i="117"/>
  <c r="BT18" i="117"/>
  <c r="CJ18" i="117"/>
  <c r="BP19" i="117"/>
  <c r="CF19" i="117"/>
  <c r="CV19" i="117"/>
  <c r="BX21" i="117"/>
  <c r="CN21" i="117"/>
  <c r="BT22" i="117"/>
  <c r="CJ22" i="117"/>
  <c r="BP23" i="117"/>
  <c r="CF23" i="117"/>
  <c r="CV23" i="117"/>
  <c r="CK13" i="117"/>
  <c r="BI13" i="117"/>
  <c r="BY13" i="117"/>
  <c r="CO13" i="117"/>
  <c r="BU14" i="117"/>
  <c r="CK14" i="117"/>
  <c r="BI17" i="117"/>
  <c r="BY17" i="117"/>
  <c r="CO17" i="117"/>
  <c r="BU18" i="117"/>
  <c r="CK18" i="117"/>
  <c r="BQ19" i="117"/>
  <c r="CG19" i="117"/>
  <c r="CW19" i="117"/>
  <c r="BI21" i="117"/>
  <c r="BY21" i="117"/>
  <c r="CO21" i="117"/>
  <c r="BU22" i="117"/>
  <c r="CK22" i="117"/>
  <c r="BQ23" i="117"/>
  <c r="CG23" i="117"/>
  <c r="CW23" i="117"/>
  <c r="BZ13" i="117"/>
  <c r="CL14" i="117"/>
  <c r="CH15" i="117"/>
  <c r="BJ17" i="117"/>
  <c r="BZ17" i="117"/>
  <c r="CP17" i="117"/>
  <c r="BV18" i="117"/>
  <c r="CL18" i="117"/>
  <c r="BR19" i="117"/>
  <c r="CH19" i="117"/>
  <c r="CX19" i="117"/>
  <c r="BJ21" i="117"/>
  <c r="BZ21" i="117"/>
  <c r="CP21" i="117"/>
  <c r="BV22" i="117"/>
  <c r="CL22" i="117"/>
  <c r="BR23" i="117"/>
  <c r="CH23" i="117"/>
  <c r="CX23" i="117"/>
  <c r="CL13" i="117"/>
  <c r="CP13" i="117"/>
  <c r="BK13" i="117"/>
  <c r="CA13" i="117"/>
  <c r="CQ13" i="117"/>
  <c r="BW14" i="117"/>
  <c r="CM14" i="117"/>
  <c r="BO16" i="117"/>
  <c r="CE16" i="117"/>
  <c r="CU16" i="117"/>
  <c r="BK17" i="117"/>
  <c r="CA17" i="117"/>
  <c r="CQ17" i="117"/>
  <c r="BW18" i="117"/>
  <c r="CM18" i="117"/>
  <c r="BS19" i="117"/>
  <c r="CI19" i="117"/>
  <c r="BO20" i="117"/>
  <c r="CE20" i="117"/>
  <c r="CU20" i="117"/>
  <c r="BK21" i="117"/>
  <c r="CA21" i="117"/>
  <c r="CQ21" i="117"/>
  <c r="BW22" i="117"/>
  <c r="CM22" i="117"/>
  <c r="BS23" i="117"/>
  <c r="CI23" i="117"/>
  <c r="BJ13" i="117"/>
  <c r="CR13" i="117"/>
  <c r="BX14" i="117"/>
  <c r="CN14" i="117"/>
  <c r="BL17" i="117"/>
  <c r="CB17" i="117"/>
  <c r="CR17" i="117"/>
  <c r="BX18" i="117"/>
  <c r="CN18" i="117"/>
  <c r="BT19" i="117"/>
  <c r="CJ19" i="117"/>
  <c r="BL21" i="117"/>
  <c r="CB21" i="117"/>
  <c r="CR21" i="117"/>
  <c r="BX22" i="117"/>
  <c r="CN22" i="117"/>
  <c r="BT23" i="117"/>
  <c r="CJ23" i="117"/>
  <c r="CI13" i="117"/>
  <c r="BV14" i="117"/>
  <c r="BL13" i="117"/>
  <c r="BM13" i="117"/>
  <c r="CC13" i="117"/>
  <c r="CS13" i="117"/>
  <c r="BI14" i="117"/>
  <c r="BY14" i="117"/>
  <c r="CO14" i="117"/>
  <c r="BQ16" i="117"/>
  <c r="CG16" i="117"/>
  <c r="CW16" i="117"/>
  <c r="BM17" i="117"/>
  <c r="CC17" i="117"/>
  <c r="CS17" i="117"/>
  <c r="BI18" i="117"/>
  <c r="BY18" i="117"/>
  <c r="CO18" i="117"/>
  <c r="BU19" i="117"/>
  <c r="CK19" i="117"/>
  <c r="BQ20" i="117"/>
  <c r="CG20" i="117"/>
  <c r="CW20" i="117"/>
  <c r="BM21" i="117"/>
  <c r="CC21" i="117"/>
  <c r="CS21" i="117"/>
  <c r="BI22" i="117"/>
  <c r="BY22" i="117"/>
  <c r="CO22" i="117"/>
  <c r="BU23" i="117"/>
  <c r="CK23" i="117"/>
  <c r="BV13" i="117"/>
  <c r="CB13" i="117"/>
  <c r="BN13" i="117"/>
  <c r="CD13" i="117"/>
  <c r="BJ14" i="117"/>
  <c r="BZ14" i="117"/>
  <c r="BV15" i="117"/>
  <c r="BR16" i="117"/>
  <c r="CH16" i="117"/>
  <c r="BN17" i="117"/>
  <c r="CD17" i="117"/>
  <c r="BJ18" i="117"/>
  <c r="BZ18" i="117"/>
  <c r="BV19" i="117"/>
  <c r="BR20" i="117"/>
  <c r="CH20" i="117"/>
  <c r="BN21" i="117"/>
  <c r="CD21" i="117"/>
  <c r="BJ22" i="117"/>
  <c r="BZ22" i="117"/>
  <c r="BV23" i="117"/>
  <c r="BM16" i="114"/>
  <c r="CC16" i="114"/>
  <c r="CS16" i="114"/>
  <c r="BM20" i="114"/>
  <c r="CC20" i="114"/>
  <c r="CS20" i="114"/>
  <c r="BO16" i="114"/>
  <c r="CE16" i="114"/>
  <c r="BO20" i="114"/>
  <c r="CE20" i="114"/>
  <c r="CU20" i="114"/>
  <c r="BP16" i="114"/>
  <c r="CF16" i="114"/>
  <c r="CV16" i="114"/>
  <c r="BP20" i="114"/>
  <c r="CF20" i="114"/>
  <c r="CV20" i="114"/>
  <c r="BQ20" i="114"/>
  <c r="CG20" i="114"/>
  <c r="CW20" i="114"/>
  <c r="BR16" i="114"/>
  <c r="CH16" i="114"/>
  <c r="CX16" i="114"/>
  <c r="BN17" i="114"/>
  <c r="CD17" i="114"/>
  <c r="CT17" i="114"/>
  <c r="BR20" i="114"/>
  <c r="CH20" i="114"/>
  <c r="CX20" i="114"/>
  <c r="BP21" i="114"/>
  <c r="CF21" i="114"/>
  <c r="CV21" i="114"/>
  <c r="CE13" i="114"/>
  <c r="BS16" i="114"/>
  <c r="CI16" i="114"/>
  <c r="BO17" i="114"/>
  <c r="CE17" i="114"/>
  <c r="CU17" i="114"/>
  <c r="BS20" i="114"/>
  <c r="CI20" i="114"/>
  <c r="BQ21" i="114"/>
  <c r="CG21" i="114"/>
  <c r="CW21" i="114"/>
  <c r="BB24" i="114"/>
  <c r="CW16" i="114"/>
  <c r="L11" i="114"/>
  <c r="BP13" i="114"/>
  <c r="CF13" i="114"/>
  <c r="CV13" i="114"/>
  <c r="BT16" i="114"/>
  <c r="CJ16" i="114"/>
  <c r="BP17" i="114"/>
  <c r="CF17" i="114"/>
  <c r="CV17" i="114"/>
  <c r="BT20" i="114"/>
  <c r="CJ20" i="114"/>
  <c r="BR21" i="114"/>
  <c r="CH21" i="114"/>
  <c r="CX21" i="114"/>
  <c r="BP22" i="114"/>
  <c r="CF22" i="114"/>
  <c r="CV22" i="114"/>
  <c r="CG16" i="114"/>
  <c r="CW13" i="114"/>
  <c r="BU16" i="114"/>
  <c r="CK16" i="114"/>
  <c r="BQ17" i="114"/>
  <c r="CG17" i="114"/>
  <c r="CW17" i="114"/>
  <c r="BU20" i="114"/>
  <c r="CK20" i="114"/>
  <c r="BS21" i="114"/>
  <c r="CI21" i="114"/>
  <c r="BQ22" i="114"/>
  <c r="CG22" i="114"/>
  <c r="CW22" i="114"/>
  <c r="CX13" i="114"/>
  <c r="BV16" i="114"/>
  <c r="CL16" i="114"/>
  <c r="BR17" i="114"/>
  <c r="CH17" i="114"/>
  <c r="CX17" i="114"/>
  <c r="BV20" i="114"/>
  <c r="CL20" i="114"/>
  <c r="BT21" i="114"/>
  <c r="CJ21" i="114"/>
  <c r="BR22" i="114"/>
  <c r="CH22" i="114"/>
  <c r="CX22" i="114"/>
  <c r="CU16" i="114"/>
  <c r="CH13" i="114"/>
  <c r="BS13" i="114"/>
  <c r="BO14" i="114"/>
  <c r="CE14" i="114"/>
  <c r="CU14" i="114"/>
  <c r="BW16" i="114"/>
  <c r="CM16" i="114"/>
  <c r="BS17" i="114"/>
  <c r="CI17" i="114"/>
  <c r="BO18" i="114"/>
  <c r="CE18" i="114"/>
  <c r="CU18" i="114"/>
  <c r="BW20" i="114"/>
  <c r="CM20" i="114"/>
  <c r="BU21" i="114"/>
  <c r="CK21" i="114"/>
  <c r="BS22" i="114"/>
  <c r="CI22" i="114"/>
  <c r="BQ23" i="114"/>
  <c r="CG23" i="114"/>
  <c r="CW23" i="114"/>
  <c r="BT13" i="114"/>
  <c r="BP14" i="114"/>
  <c r="CF14" i="114"/>
  <c r="CV14" i="114"/>
  <c r="BX16" i="114"/>
  <c r="CN16" i="114"/>
  <c r="BT17" i="114"/>
  <c r="CJ17" i="114"/>
  <c r="BP18" i="114"/>
  <c r="CF18" i="114"/>
  <c r="CV18" i="114"/>
  <c r="BX20" i="114"/>
  <c r="CN20" i="114"/>
  <c r="BV21" i="114"/>
  <c r="CL21" i="114"/>
  <c r="BT22" i="114"/>
  <c r="CJ22" i="114"/>
  <c r="BR23" i="114"/>
  <c r="CH23" i="114"/>
  <c r="CX23" i="114"/>
  <c r="BQ16" i="114"/>
  <c r="BY16" i="114"/>
  <c r="BU17" i="114"/>
  <c r="BI20" i="114"/>
  <c r="BY20" i="114"/>
  <c r="CO20" i="114"/>
  <c r="BW21" i="114"/>
  <c r="CM21" i="114"/>
  <c r="BU22" i="114"/>
  <c r="CK22" i="114"/>
  <c r="BV13" i="114"/>
  <c r="CL13" i="114"/>
  <c r="BR14" i="114"/>
  <c r="CH14" i="114"/>
  <c r="CX14" i="114"/>
  <c r="BN15" i="114"/>
  <c r="CD15" i="114"/>
  <c r="CT15" i="114"/>
  <c r="BJ16" i="114"/>
  <c r="BZ16" i="114"/>
  <c r="CP16" i="114"/>
  <c r="BV17" i="114"/>
  <c r="CL17" i="114"/>
  <c r="BR18" i="114"/>
  <c r="CH18" i="114"/>
  <c r="CX18" i="114"/>
  <c r="BN19" i="114"/>
  <c r="CD19" i="114"/>
  <c r="CT19" i="114"/>
  <c r="BJ20" i="114"/>
  <c r="BZ20" i="114"/>
  <c r="CP20" i="114"/>
  <c r="BX21" i="114"/>
  <c r="CN21" i="114"/>
  <c r="BV22" i="114"/>
  <c r="CL22" i="114"/>
  <c r="BT23" i="114"/>
  <c r="CJ23" i="114"/>
  <c r="CU13" i="114"/>
  <c r="CK13" i="114"/>
  <c r="BI16" i="114"/>
  <c r="CO16" i="114"/>
  <c r="CK17" i="114"/>
  <c r="BS14" i="114"/>
  <c r="BO15" i="114"/>
  <c r="CE15" i="114"/>
  <c r="BK16" i="114"/>
  <c r="CA16" i="114"/>
  <c r="CQ16" i="114"/>
  <c r="BW17" i="114"/>
  <c r="CM17" i="114"/>
  <c r="BS18" i="114"/>
  <c r="CI18" i="114"/>
  <c r="BO19" i="114"/>
  <c r="CE19" i="114"/>
  <c r="CU19" i="114"/>
  <c r="BK20" i="114"/>
  <c r="CA20" i="114"/>
  <c r="CQ20" i="114"/>
  <c r="BI21" i="114"/>
  <c r="BY21" i="114"/>
  <c r="CO21" i="114"/>
  <c r="BW22" i="114"/>
  <c r="CM22" i="114"/>
  <c r="BU23" i="114"/>
  <c r="CK23" i="114"/>
  <c r="CM13" i="114"/>
  <c r="CI14" i="114"/>
  <c r="BT14" i="114"/>
  <c r="BP15" i="114"/>
  <c r="CF15" i="114"/>
  <c r="BL16" i="114"/>
  <c r="CB16" i="114"/>
  <c r="BX17" i="114"/>
  <c r="BT18" i="114"/>
  <c r="BP19" i="114"/>
  <c r="CF19" i="114"/>
  <c r="BL20" i="114"/>
  <c r="CB20" i="114"/>
  <c r="BJ21" i="114"/>
  <c r="BZ21" i="114"/>
  <c r="BX22" i="114"/>
  <c r="BV23" i="114"/>
  <c r="BO21" i="167"/>
  <c r="CE21" i="167"/>
  <c r="CU21" i="167"/>
  <c r="CV21" i="167"/>
  <c r="BQ17" i="167"/>
  <c r="CW21" i="167"/>
  <c r="BR21" i="167"/>
  <c r="CH21" i="167"/>
  <c r="CX21" i="167"/>
  <c r="BN22" i="167"/>
  <c r="CD22" i="167"/>
  <c r="CT22" i="167"/>
  <c r="BS21" i="167"/>
  <c r="CI21" i="167"/>
  <c r="BO22" i="167"/>
  <c r="CE22" i="167"/>
  <c r="CU22" i="167"/>
  <c r="BP18" i="167"/>
  <c r="CV18" i="167"/>
  <c r="BT21" i="167"/>
  <c r="CJ21" i="167"/>
  <c r="BP22" i="167"/>
  <c r="CF22" i="167"/>
  <c r="CV22" i="167"/>
  <c r="BS17" i="167"/>
  <c r="BU21" i="167"/>
  <c r="CK21" i="167"/>
  <c r="BQ22" i="167"/>
  <c r="CG22" i="167"/>
  <c r="CW22" i="167"/>
  <c r="CX17" i="167"/>
  <c r="CF18" i="167"/>
  <c r="BU17" i="167"/>
  <c r="CL17" i="167"/>
  <c r="BV21" i="167"/>
  <c r="CL21" i="167"/>
  <c r="BR22" i="167"/>
  <c r="CH22" i="167"/>
  <c r="CX22" i="167"/>
  <c r="CG18" i="167"/>
  <c r="BO19" i="167"/>
  <c r="CE19" i="167"/>
  <c r="CU19" i="167"/>
  <c r="BW21" i="167"/>
  <c r="CM21" i="167"/>
  <c r="BS22" i="167"/>
  <c r="CI22" i="167"/>
  <c r="BO23" i="167"/>
  <c r="CE23" i="167"/>
  <c r="CU23" i="167"/>
  <c r="CV17" i="167"/>
  <c r="CG17" i="167"/>
  <c r="BW17" i="167"/>
  <c r="BT18" i="167"/>
  <c r="CF19" i="167"/>
  <c r="BX21" i="167"/>
  <c r="CN21" i="167"/>
  <c r="BT22" i="167"/>
  <c r="CJ22" i="167"/>
  <c r="BP23" i="167"/>
  <c r="CF23" i="167"/>
  <c r="CV23" i="167"/>
  <c r="CW17" i="167"/>
  <c r="CI17" i="167"/>
  <c r="CW18" i="167"/>
  <c r="CX18" i="167"/>
  <c r="BI17" i="167"/>
  <c r="BY17" i="167"/>
  <c r="CO17" i="167"/>
  <c r="BU18" i="167"/>
  <c r="CK18" i="167"/>
  <c r="BQ19" i="167"/>
  <c r="CG19" i="167"/>
  <c r="CW19" i="167"/>
  <c r="BI21" i="167"/>
  <c r="BY21" i="167"/>
  <c r="CO21" i="167"/>
  <c r="BU22" i="167"/>
  <c r="CK22" i="167"/>
  <c r="BQ23" i="167"/>
  <c r="CG23" i="167"/>
  <c r="CW23" i="167"/>
  <c r="CU18" i="167"/>
  <c r="BV17" i="167"/>
  <c r="BZ17" i="167"/>
  <c r="CL18" i="167"/>
  <c r="CX19" i="167"/>
  <c r="BJ21" i="167"/>
  <c r="BZ21" i="167"/>
  <c r="CP21" i="167"/>
  <c r="BV22" i="167"/>
  <c r="CL22" i="167"/>
  <c r="BR23" i="167"/>
  <c r="CH23" i="167"/>
  <c r="CX23" i="167"/>
  <c r="CF17" i="167"/>
  <c r="BR17" i="167"/>
  <c r="BO18" i="167"/>
  <c r="CK17" i="167"/>
  <c r="CH18" i="167"/>
  <c r="BX17" i="167"/>
  <c r="BP19" i="167"/>
  <c r="BJ17" i="167"/>
  <c r="BV18" i="167"/>
  <c r="BR19" i="167"/>
  <c r="BO16" i="167"/>
  <c r="CE16" i="167"/>
  <c r="CU16" i="167"/>
  <c r="BK17" i="167"/>
  <c r="CA17" i="167"/>
  <c r="CQ17" i="167"/>
  <c r="BW18" i="167"/>
  <c r="CM18" i="167"/>
  <c r="BS19" i="167"/>
  <c r="CI19" i="167"/>
  <c r="BO20" i="167"/>
  <c r="CE20" i="167"/>
  <c r="CU20" i="167"/>
  <c r="BK21" i="167"/>
  <c r="CA21" i="167"/>
  <c r="CQ21" i="167"/>
  <c r="BW22" i="167"/>
  <c r="CM22" i="167"/>
  <c r="BS23" i="167"/>
  <c r="CI23" i="167"/>
  <c r="CJ17" i="167"/>
  <c r="BQ18" i="167"/>
  <c r="BR18" i="167"/>
  <c r="CI18" i="167"/>
  <c r="BL17" i="167"/>
  <c r="CR17" i="167"/>
  <c r="CN18" i="167"/>
  <c r="BT19" i="167"/>
  <c r="CJ19" i="167"/>
  <c r="BL21" i="167"/>
  <c r="CB21" i="167"/>
  <c r="CR21" i="167"/>
  <c r="BX22" i="167"/>
  <c r="CN22" i="167"/>
  <c r="BT23" i="167"/>
  <c r="CJ23" i="167"/>
  <c r="CM17" i="167"/>
  <c r="CN17" i="167"/>
  <c r="CV19" i="167"/>
  <c r="CP17" i="167"/>
  <c r="CH19" i="167"/>
  <c r="CB17" i="167"/>
  <c r="BX18" i="167"/>
  <c r="BQ16" i="167"/>
  <c r="CG16" i="167"/>
  <c r="CW16" i="167"/>
  <c r="BM17" i="167"/>
  <c r="CC17" i="167"/>
  <c r="CS17" i="167"/>
  <c r="BI18" i="167"/>
  <c r="BY18" i="167"/>
  <c r="CO18" i="167"/>
  <c r="BU19" i="167"/>
  <c r="CK19" i="167"/>
  <c r="BQ20" i="167"/>
  <c r="CG20" i="167"/>
  <c r="CW20" i="167"/>
  <c r="BM21" i="167"/>
  <c r="CC21" i="167"/>
  <c r="CS21" i="167"/>
  <c r="BI22" i="167"/>
  <c r="BY22" i="167"/>
  <c r="CO22" i="167"/>
  <c r="BU23" i="167"/>
  <c r="CK23" i="167"/>
  <c r="BP17" i="167"/>
  <c r="CE18" i="167"/>
  <c r="BT17" i="167"/>
  <c r="BS18" i="167"/>
  <c r="CJ18" i="167"/>
  <c r="BR16" i="167"/>
  <c r="CH16" i="167"/>
  <c r="BN17" i="167"/>
  <c r="CD17" i="167"/>
  <c r="BJ18" i="167"/>
  <c r="BZ18" i="167"/>
  <c r="BV19" i="167"/>
  <c r="BR20" i="167"/>
  <c r="CH20" i="167"/>
  <c r="BN21" i="167"/>
  <c r="CD21" i="167"/>
  <c r="BJ22" i="167"/>
  <c r="BZ22" i="167"/>
  <c r="BV23" i="167"/>
  <c r="BV15" i="167"/>
  <c r="BP15" i="167"/>
  <c r="BJ15" i="167"/>
  <c r="BG15" i="167"/>
  <c r="BF15" i="167"/>
  <c r="BE15" i="167"/>
  <c r="BD15" i="167"/>
  <c r="BC15" i="167"/>
  <c r="BB15" i="167"/>
  <c r="J15" i="167"/>
  <c r="BG14" i="167"/>
  <c r="BF14" i="167"/>
  <c r="BE14" i="167"/>
  <c r="BD14" i="167"/>
  <c r="BC14" i="167"/>
  <c r="BB14" i="167"/>
  <c r="J14" i="167"/>
  <c r="A14" i="167"/>
  <c r="CQ14" i="167" s="1"/>
  <c r="BG13" i="167"/>
  <c r="BF13" i="167"/>
  <c r="BE13" i="167"/>
  <c r="BD13" i="167"/>
  <c r="BC13" i="167"/>
  <c r="BB13" i="167"/>
  <c r="J13" i="167"/>
  <c r="A13" i="167"/>
  <c r="CU13" i="167" s="1"/>
  <c r="AV10" i="167"/>
  <c r="AP10" i="167"/>
  <c r="AJ10" i="167"/>
  <c r="AD10" i="167"/>
  <c r="X10" i="167"/>
  <c r="R10" i="167"/>
  <c r="L10" i="167"/>
  <c r="AV9" i="167"/>
  <c r="AP9" i="167"/>
  <c r="AJ9" i="167"/>
  <c r="AD9" i="167"/>
  <c r="R9" i="167"/>
  <c r="L9" i="167"/>
  <c r="AV3" i="167"/>
  <c r="CS11" i="167" s="1"/>
  <c r="AP3" i="167"/>
  <c r="CM11" i="167" s="1"/>
  <c r="AJ3" i="167"/>
  <c r="CG11" i="167" s="1"/>
  <c r="AD3" i="167"/>
  <c r="CA11" i="167" s="1"/>
  <c r="X3" i="167"/>
  <c r="BU11" i="167" s="1"/>
  <c r="R3" i="167"/>
  <c r="BO11" i="167" s="1"/>
  <c r="L3" i="167"/>
  <c r="BI11" i="167" s="1"/>
  <c r="B3" i="167"/>
  <c r="A1" i="167"/>
  <c r="F32" i="166"/>
  <c r="E32" i="166"/>
  <c r="D32" i="166"/>
  <c r="C32" i="166"/>
  <c r="A32" i="166"/>
  <c r="F31" i="166"/>
  <c r="E31" i="166"/>
  <c r="D31" i="166"/>
  <c r="C31" i="166"/>
  <c r="A31" i="166"/>
  <c r="F30" i="166"/>
  <c r="E30" i="166"/>
  <c r="D30" i="166"/>
  <c r="C30" i="166"/>
  <c r="A30" i="166"/>
  <c r="F29" i="166"/>
  <c r="E29" i="166"/>
  <c r="D29" i="166"/>
  <c r="C29" i="166"/>
  <c r="A29" i="166"/>
  <c r="F28" i="166"/>
  <c r="E28" i="166"/>
  <c r="D28" i="166"/>
  <c r="C28" i="166"/>
  <c r="A28" i="166"/>
  <c r="F27" i="166"/>
  <c r="E27" i="166"/>
  <c r="D27" i="166"/>
  <c r="C27" i="166"/>
  <c r="A27" i="166"/>
  <c r="F26" i="166"/>
  <c r="E26" i="166"/>
  <c r="D26" i="166"/>
  <c r="C26" i="166"/>
  <c r="A26" i="166"/>
  <c r="BA24" i="166"/>
  <c r="AZ24" i="166"/>
  <c r="AY24" i="166"/>
  <c r="AX24" i="166"/>
  <c r="AW24" i="166"/>
  <c r="AV24" i="166"/>
  <c r="AU24" i="166"/>
  <c r="AT24" i="166"/>
  <c r="AS24" i="166"/>
  <c r="AR24" i="166"/>
  <c r="AQ24" i="166"/>
  <c r="AP24" i="166"/>
  <c r="AO24" i="166"/>
  <c r="AN24" i="166"/>
  <c r="AM24" i="166"/>
  <c r="AL24" i="166"/>
  <c r="AK24" i="166"/>
  <c r="AJ24" i="166"/>
  <c r="AI24" i="166"/>
  <c r="AH24" i="166"/>
  <c r="AG24" i="166"/>
  <c r="AF24" i="166"/>
  <c r="AE24" i="166"/>
  <c r="AD24" i="166"/>
  <c r="AC24" i="166"/>
  <c r="AB24" i="166"/>
  <c r="AA24" i="166"/>
  <c r="Z24" i="166"/>
  <c r="Y24" i="166"/>
  <c r="X24" i="166"/>
  <c r="W24" i="166"/>
  <c r="V24" i="166"/>
  <c r="U24" i="166"/>
  <c r="T24" i="166"/>
  <c r="S24" i="166"/>
  <c r="R24" i="166"/>
  <c r="Q24" i="166"/>
  <c r="P24" i="166"/>
  <c r="O24" i="166"/>
  <c r="N24" i="166"/>
  <c r="M24" i="166"/>
  <c r="L24" i="166"/>
  <c r="BG23" i="166"/>
  <c r="BF23" i="166"/>
  <c r="BE23" i="166"/>
  <c r="BD23" i="166"/>
  <c r="BC23" i="166"/>
  <c r="BB23" i="166"/>
  <c r="J23" i="166"/>
  <c r="CL23" i="166"/>
  <c r="BG22" i="166"/>
  <c r="BF22" i="166"/>
  <c r="BE22" i="166"/>
  <c r="BD22" i="166"/>
  <c r="BC22" i="166"/>
  <c r="BB22" i="166"/>
  <c r="J22" i="166"/>
  <c r="CP22" i="166"/>
  <c r="BG21" i="166"/>
  <c r="BF21" i="166"/>
  <c r="BE21" i="166"/>
  <c r="BD21" i="166"/>
  <c r="BC21" i="166"/>
  <c r="BB21" i="166"/>
  <c r="J21" i="166"/>
  <c r="CT21" i="166"/>
  <c r="CF20" i="166"/>
  <c r="BG20" i="166"/>
  <c r="BF20" i="166"/>
  <c r="BE20" i="166"/>
  <c r="BD20" i="166"/>
  <c r="BC20" i="166"/>
  <c r="BB20" i="166"/>
  <c r="J20" i="166"/>
  <c r="CX20" i="166"/>
  <c r="BG19" i="166"/>
  <c r="BF19" i="166"/>
  <c r="BE19" i="166"/>
  <c r="BD19" i="166"/>
  <c r="BC19" i="166"/>
  <c r="BB19" i="166"/>
  <c r="J19" i="166"/>
  <c r="CL19" i="166"/>
  <c r="BG18" i="166"/>
  <c r="BF18" i="166"/>
  <c r="BE18" i="166"/>
  <c r="BD18" i="166"/>
  <c r="BC18" i="166"/>
  <c r="BB18" i="166"/>
  <c r="J18" i="166"/>
  <c r="CP18" i="166"/>
  <c r="BG17" i="166"/>
  <c r="BF17" i="166"/>
  <c r="BE17" i="166"/>
  <c r="BD17" i="166"/>
  <c r="BC17" i="166"/>
  <c r="BB17" i="166"/>
  <c r="J17" i="166"/>
  <c r="CT17" i="166"/>
  <c r="BG16" i="166"/>
  <c r="BF16" i="166"/>
  <c r="BE16" i="166"/>
  <c r="BD16" i="166"/>
  <c r="BC16" i="166"/>
  <c r="BB16" i="166"/>
  <c r="J16" i="166"/>
  <c r="CX16" i="166"/>
  <c r="CT15" i="166"/>
  <c r="CS15" i="166"/>
  <c r="CN15" i="166"/>
  <c r="CM15" i="166"/>
  <c r="CH15" i="166"/>
  <c r="CB15" i="166"/>
  <c r="BI13" i="161"/>
  <c r="BL13" i="161"/>
  <c r="BK13" i="161"/>
  <c r="CN23" i="166" l="1"/>
  <c r="CQ23" i="166"/>
  <c r="CR23" i="166"/>
  <c r="CD20" i="166"/>
  <c r="CO20" i="166"/>
  <c r="CP20" i="166"/>
  <c r="BK23" i="166"/>
  <c r="BW23" i="166"/>
  <c r="BF24" i="167"/>
  <c r="BL20" i="166"/>
  <c r="BN20" i="166"/>
  <c r="BP20" i="166"/>
  <c r="BZ23" i="166"/>
  <c r="BU20" i="166"/>
  <c r="CA23" i="166"/>
  <c r="BZ13" i="167"/>
  <c r="CR20" i="166"/>
  <c r="BB10" i="117"/>
  <c r="BB11" i="117" s="1"/>
  <c r="AV11" i="117"/>
  <c r="BB10" i="161"/>
  <c r="BB11" i="161" s="1"/>
  <c r="CJ20" i="166"/>
  <c r="CK20" i="166"/>
  <c r="CS20" i="166"/>
  <c r="BJ20" i="166"/>
  <c r="CA18" i="166"/>
  <c r="BK20" i="166"/>
  <c r="BV20" i="166"/>
  <c r="CS14" i="167"/>
  <c r="BW19" i="166"/>
  <c r="BW20" i="166"/>
  <c r="CC20" i="166"/>
  <c r="R11" i="167"/>
  <c r="BJ23" i="166"/>
  <c r="BD24" i="167"/>
  <c r="BB10" i="114"/>
  <c r="BB11" i="114" s="1"/>
  <c r="CR18" i="166"/>
  <c r="CS18" i="166"/>
  <c r="CB18" i="166"/>
  <c r="CL13" i="167"/>
  <c r="CX13" i="167"/>
  <c r="BN16" i="166"/>
  <c r="BY16" i="166"/>
  <c r="BH23" i="166"/>
  <c r="CJ16" i="166"/>
  <c r="CR16" i="166"/>
  <c r="CN19" i="166"/>
  <c r="BL18" i="166"/>
  <c r="BY20" i="166"/>
  <c r="BM18" i="166"/>
  <c r="BZ20" i="166"/>
  <c r="BH24" i="161"/>
  <c r="AV11" i="167"/>
  <c r="BH24" i="114"/>
  <c r="BH24" i="117"/>
  <c r="BE24" i="167"/>
  <c r="AD11" i="167"/>
  <c r="BP16" i="166"/>
  <c r="CK16" i="166"/>
  <c r="CS16" i="166"/>
  <c r="BX19" i="166"/>
  <c r="CO19" i="166"/>
  <c r="BH20" i="166"/>
  <c r="BH21" i="166"/>
  <c r="BL22" i="166"/>
  <c r="BX23" i="166"/>
  <c r="CO23" i="166"/>
  <c r="AJ11" i="167"/>
  <c r="BS13" i="167"/>
  <c r="CA13" i="167"/>
  <c r="CM13" i="167"/>
  <c r="BL14" i="167"/>
  <c r="CT14" i="167"/>
  <c r="AV11" i="161"/>
  <c r="BZ16" i="166"/>
  <c r="BH18" i="166"/>
  <c r="BS16" i="166"/>
  <c r="CA16" i="166"/>
  <c r="CL16" i="166"/>
  <c r="CT16" i="166"/>
  <c r="BN18" i="166"/>
  <c r="CT18" i="166"/>
  <c r="BH19" i="166"/>
  <c r="BY19" i="166"/>
  <c r="CP19" i="166"/>
  <c r="BM20" i="166"/>
  <c r="BX20" i="166"/>
  <c r="CI20" i="166"/>
  <c r="CQ20" i="166"/>
  <c r="BH22" i="166"/>
  <c r="BM22" i="166"/>
  <c r="BI23" i="166"/>
  <c r="BY23" i="166"/>
  <c r="CP23" i="166"/>
  <c r="AP11" i="167"/>
  <c r="BG24" i="167"/>
  <c r="BT13" i="167"/>
  <c r="CF13" i="167"/>
  <c r="CN13" i="167"/>
  <c r="BM14" i="167"/>
  <c r="CG13" i="167"/>
  <c r="CO13" i="167"/>
  <c r="BH14" i="167"/>
  <c r="BN14" i="167"/>
  <c r="BH15" i="167"/>
  <c r="BB10" i="167"/>
  <c r="BJ13" i="167"/>
  <c r="BV13" i="167"/>
  <c r="CH13" i="167"/>
  <c r="CP13" i="167"/>
  <c r="CB14" i="167"/>
  <c r="BT16" i="166"/>
  <c r="CQ19" i="166"/>
  <c r="CR19" i="166"/>
  <c r="BK16" i="166"/>
  <c r="BV16" i="166"/>
  <c r="CD16" i="166"/>
  <c r="CO16" i="166"/>
  <c r="CE17" i="166"/>
  <c r="CC18" i="166"/>
  <c r="BK19" i="166"/>
  <c r="CB19" i="166"/>
  <c r="CS19" i="166"/>
  <c r="BS20" i="166"/>
  <c r="CA20" i="166"/>
  <c r="CL20" i="166"/>
  <c r="CT20" i="166"/>
  <c r="CC22" i="166"/>
  <c r="BL23" i="166"/>
  <c r="CB23" i="166"/>
  <c r="CS23" i="166"/>
  <c r="BB9" i="167"/>
  <c r="BB24" i="167"/>
  <c r="CI13" i="167"/>
  <c r="CQ13" i="167"/>
  <c r="CC14" i="167"/>
  <c r="AV11" i="114"/>
  <c r="CB16" i="166"/>
  <c r="CV16" i="166"/>
  <c r="BI19" i="166"/>
  <c r="CC16" i="166"/>
  <c r="BJ19" i="166"/>
  <c r="BH16" i="166"/>
  <c r="BL16" i="166"/>
  <c r="BW16" i="166"/>
  <c r="CF16" i="166"/>
  <c r="CP16" i="166"/>
  <c r="BH17" i="166"/>
  <c r="CU17" i="166"/>
  <c r="CD18" i="166"/>
  <c r="BL19" i="166"/>
  <c r="CC19" i="166"/>
  <c r="BI20" i="166"/>
  <c r="BT20" i="166"/>
  <c r="CB20" i="166"/>
  <c r="CM20" i="166"/>
  <c r="CV20" i="166"/>
  <c r="CQ22" i="166"/>
  <c r="BM23" i="166"/>
  <c r="CC23" i="166"/>
  <c r="BC24" i="167"/>
  <c r="BP13" i="167"/>
  <c r="CJ13" i="167"/>
  <c r="CV13" i="167"/>
  <c r="CD14" i="167"/>
  <c r="BK22" i="166"/>
  <c r="CS22" i="166"/>
  <c r="BI16" i="166"/>
  <c r="CM16" i="166"/>
  <c r="BZ19" i="166"/>
  <c r="CA22" i="166"/>
  <c r="BJ16" i="166"/>
  <c r="BU16" i="166"/>
  <c r="CN16" i="166"/>
  <c r="BO17" i="166"/>
  <c r="CA19" i="166"/>
  <c r="CB22" i="166"/>
  <c r="BM16" i="166"/>
  <c r="BX16" i="166"/>
  <c r="CI16" i="166"/>
  <c r="CQ16" i="166"/>
  <c r="BK18" i="166"/>
  <c r="CQ18" i="166"/>
  <c r="BM19" i="166"/>
  <c r="CM19" i="166"/>
  <c r="CN20" i="166"/>
  <c r="BQ21" i="166"/>
  <c r="CR22" i="166"/>
  <c r="BN23" i="166"/>
  <c r="CM23" i="166"/>
  <c r="X11" i="167"/>
  <c r="BY13" i="167"/>
  <c r="CK13" i="167"/>
  <c r="CW13" i="167"/>
  <c r="CR14" i="167"/>
  <c r="BO14" i="167"/>
  <c r="CE14" i="167"/>
  <c r="CU14" i="167"/>
  <c r="BP14" i="167"/>
  <c r="CF14" i="167"/>
  <c r="CV14" i="167"/>
  <c r="BQ14" i="167"/>
  <c r="CG14" i="167"/>
  <c r="CW14" i="167"/>
  <c r="CX14" i="167"/>
  <c r="BS14" i="167"/>
  <c r="CI14" i="167"/>
  <c r="CH14" i="167"/>
  <c r="BU14" i="167"/>
  <c r="CK14" i="167"/>
  <c r="CL14" i="167"/>
  <c r="L11" i="167"/>
  <c r="BR14" i="167"/>
  <c r="BH13" i="167"/>
  <c r="BT14" i="167"/>
  <c r="CM14" i="167"/>
  <c r="CB13" i="167"/>
  <c r="BX14" i="167"/>
  <c r="CN14" i="167"/>
  <c r="CJ14" i="167"/>
  <c r="BV14" i="167"/>
  <c r="BW14" i="167"/>
  <c r="CR13" i="167"/>
  <c r="BM13" i="167"/>
  <c r="CC13" i="167"/>
  <c r="CS13" i="167"/>
  <c r="BI14" i="167"/>
  <c r="BY14" i="167"/>
  <c r="CO14" i="167"/>
  <c r="BN13" i="167"/>
  <c r="CD13" i="167"/>
  <c r="CT13" i="167"/>
  <c r="BJ14" i="167"/>
  <c r="BZ14" i="167"/>
  <c r="CP14" i="167"/>
  <c r="CE13" i="167"/>
  <c r="BK14" i="167"/>
  <c r="CA14" i="167"/>
  <c r="BO21" i="166"/>
  <c r="CE21" i="166"/>
  <c r="CU21" i="166"/>
  <c r="BP21" i="166"/>
  <c r="CF21" i="166"/>
  <c r="CV21" i="166"/>
  <c r="CG21" i="166"/>
  <c r="CW21" i="166"/>
  <c r="CF17" i="166"/>
  <c r="BR21" i="166"/>
  <c r="CH21" i="166"/>
  <c r="CX21" i="166"/>
  <c r="BN22" i="166"/>
  <c r="CD22" i="166"/>
  <c r="CT22" i="166"/>
  <c r="BO18" i="166"/>
  <c r="BS21" i="166"/>
  <c r="CI21" i="166"/>
  <c r="BO22" i="166"/>
  <c r="CE22" i="166"/>
  <c r="CU22" i="166"/>
  <c r="CV17" i="166"/>
  <c r="CE18" i="166"/>
  <c r="BT21" i="166"/>
  <c r="CJ21" i="166"/>
  <c r="BP22" i="166"/>
  <c r="CF22" i="166"/>
  <c r="CV22" i="166"/>
  <c r="BP17" i="166"/>
  <c r="CW17" i="166"/>
  <c r="CV18" i="166"/>
  <c r="BQ18" i="166"/>
  <c r="BQ22" i="166"/>
  <c r="CG22" i="166"/>
  <c r="CW22" i="166"/>
  <c r="BR17" i="166"/>
  <c r="BP18" i="166"/>
  <c r="CH18" i="166"/>
  <c r="CX18" i="166"/>
  <c r="BN19" i="166"/>
  <c r="CD19" i="166"/>
  <c r="CT19" i="166"/>
  <c r="BV21" i="166"/>
  <c r="CL21" i="166"/>
  <c r="BR22" i="166"/>
  <c r="CH22" i="166"/>
  <c r="CX22" i="166"/>
  <c r="CD23" i="166"/>
  <c r="CT23" i="166"/>
  <c r="CU18" i="166"/>
  <c r="BT17" i="166"/>
  <c r="CG18" i="166"/>
  <c r="CK21" i="166"/>
  <c r="BO19" i="166"/>
  <c r="CE19" i="166"/>
  <c r="CU19" i="166"/>
  <c r="BW21" i="166"/>
  <c r="CM21" i="166"/>
  <c r="BS22" i="166"/>
  <c r="CI22" i="166"/>
  <c r="BO23" i="166"/>
  <c r="CE23" i="166"/>
  <c r="CU23" i="166"/>
  <c r="CN17" i="166"/>
  <c r="BX21" i="166"/>
  <c r="CN21" i="166"/>
  <c r="BT22" i="166"/>
  <c r="CJ22" i="166"/>
  <c r="BP23" i="166"/>
  <c r="CF23" i="166"/>
  <c r="CV23" i="166"/>
  <c r="CX17" i="166"/>
  <c r="BS17" i="166"/>
  <c r="CK17" i="166"/>
  <c r="BV17" i="166"/>
  <c r="BS18" i="166"/>
  <c r="CV19" i="166"/>
  <c r="BI17" i="166"/>
  <c r="BY17" i="166"/>
  <c r="CO17" i="166"/>
  <c r="BU18" i="166"/>
  <c r="CK18" i="166"/>
  <c r="BQ19" i="166"/>
  <c r="CG19" i="166"/>
  <c r="CW19" i="166"/>
  <c r="BI21" i="166"/>
  <c r="BY21" i="166"/>
  <c r="CO21" i="166"/>
  <c r="BU22" i="166"/>
  <c r="CK22" i="166"/>
  <c r="BQ23" i="166"/>
  <c r="CG23" i="166"/>
  <c r="CW23" i="166"/>
  <c r="BU17" i="166"/>
  <c r="CW18" i="166"/>
  <c r="BR18" i="166"/>
  <c r="CJ18" i="166"/>
  <c r="BV18" i="166"/>
  <c r="CH19" i="166"/>
  <c r="BJ21" i="166"/>
  <c r="CP21" i="166"/>
  <c r="CL22" i="166"/>
  <c r="BR23" i="166"/>
  <c r="CH23" i="166"/>
  <c r="CX23" i="166"/>
  <c r="CG17" i="166"/>
  <c r="CJ17" i="166"/>
  <c r="BW17" i="166"/>
  <c r="BT18" i="166"/>
  <c r="BZ17" i="166"/>
  <c r="BZ21" i="166"/>
  <c r="BV22" i="166"/>
  <c r="BO16" i="166"/>
  <c r="CE16" i="166"/>
  <c r="CU16" i="166"/>
  <c r="BK17" i="166"/>
  <c r="CA17" i="166"/>
  <c r="CQ17" i="166"/>
  <c r="BW18" i="166"/>
  <c r="CM18" i="166"/>
  <c r="BS19" i="166"/>
  <c r="CI19" i="166"/>
  <c r="BO20" i="166"/>
  <c r="CE20" i="166"/>
  <c r="CU20" i="166"/>
  <c r="BK21" i="166"/>
  <c r="CA21" i="166"/>
  <c r="CQ21" i="166"/>
  <c r="BW22" i="166"/>
  <c r="CM22" i="166"/>
  <c r="BS23" i="166"/>
  <c r="CI23" i="166"/>
  <c r="CL17" i="166"/>
  <c r="CI18" i="166"/>
  <c r="BX17" i="166"/>
  <c r="BJ17" i="166"/>
  <c r="CL18" i="166"/>
  <c r="CR17" i="166"/>
  <c r="BX18" i="166"/>
  <c r="CN18" i="166"/>
  <c r="BT19" i="166"/>
  <c r="CJ19" i="166"/>
  <c r="BL21" i="166"/>
  <c r="CB21" i="166"/>
  <c r="CR21" i="166"/>
  <c r="BX22" i="166"/>
  <c r="CN22" i="166"/>
  <c r="BT23" i="166"/>
  <c r="CJ23" i="166"/>
  <c r="CI17" i="166"/>
  <c r="CF18" i="166"/>
  <c r="BU21" i="166"/>
  <c r="BP19" i="166"/>
  <c r="CP17" i="166"/>
  <c r="CX19" i="166"/>
  <c r="CB17" i="166"/>
  <c r="BQ16" i="166"/>
  <c r="CG16" i="166"/>
  <c r="CW16" i="166"/>
  <c r="BM17" i="166"/>
  <c r="CC17" i="166"/>
  <c r="CS17" i="166"/>
  <c r="BI18" i="166"/>
  <c r="BY18" i="166"/>
  <c r="CO18" i="166"/>
  <c r="BU19" i="166"/>
  <c r="CK19" i="166"/>
  <c r="BQ20" i="166"/>
  <c r="CG20" i="166"/>
  <c r="CW20" i="166"/>
  <c r="BM21" i="166"/>
  <c r="CC21" i="166"/>
  <c r="CS21" i="166"/>
  <c r="BI22" i="166"/>
  <c r="BY22" i="166"/>
  <c r="CO22" i="166"/>
  <c r="BU23" i="166"/>
  <c r="CK23" i="166"/>
  <c r="BQ17" i="166"/>
  <c r="CM17" i="166"/>
  <c r="CF19" i="166"/>
  <c r="BR19" i="166"/>
  <c r="BL17" i="166"/>
  <c r="BR16" i="166"/>
  <c r="CH16" i="166"/>
  <c r="BN17" i="166"/>
  <c r="CD17" i="166"/>
  <c r="BJ18" i="166"/>
  <c r="BZ18" i="166"/>
  <c r="BV19" i="166"/>
  <c r="BR20" i="166"/>
  <c r="CH20" i="166"/>
  <c r="BN21" i="166"/>
  <c r="CD21" i="166"/>
  <c r="BJ22" i="166"/>
  <c r="BZ22" i="166"/>
  <c r="BV23" i="166"/>
  <c r="BV15" i="166"/>
  <c r="BP15" i="166"/>
  <c r="BJ15" i="166"/>
  <c r="BG15" i="166"/>
  <c r="BF15" i="166"/>
  <c r="BE15" i="166"/>
  <c r="BD15" i="166"/>
  <c r="BC15" i="166"/>
  <c r="BB15" i="166"/>
  <c r="J15" i="166"/>
  <c r="BG14" i="166"/>
  <c r="BF14" i="166"/>
  <c r="BE14" i="166"/>
  <c r="BD14" i="166"/>
  <c r="BC14" i="166"/>
  <c r="BB14" i="166"/>
  <c r="J14" i="166"/>
  <c r="CQ14" i="166"/>
  <c r="BG13" i="166"/>
  <c r="BF13" i="166"/>
  <c r="BE13" i="166"/>
  <c r="BD13" i="166"/>
  <c r="BC13" i="166"/>
  <c r="BB13" i="166"/>
  <c r="J13" i="166"/>
  <c r="A13" i="166"/>
  <c r="CU13" i="166" s="1"/>
  <c r="AV10" i="166"/>
  <c r="AP10" i="166"/>
  <c r="AJ10" i="166"/>
  <c r="AD10" i="166"/>
  <c r="X10" i="166"/>
  <c r="R10" i="166"/>
  <c r="L10" i="166"/>
  <c r="AV9" i="166"/>
  <c r="AP9" i="166"/>
  <c r="AJ9" i="166"/>
  <c r="AD9" i="166"/>
  <c r="X9" i="166"/>
  <c r="R9" i="166"/>
  <c r="L9" i="166"/>
  <c r="B4" i="166"/>
  <c r="F15" i="166" s="1"/>
  <c r="AV3" i="166"/>
  <c r="CS11" i="166" s="1"/>
  <c r="AP3" i="166"/>
  <c r="CM11" i="166" s="1"/>
  <c r="AJ3" i="166"/>
  <c r="CG11" i="166" s="1"/>
  <c r="AD3" i="166"/>
  <c r="CA11" i="166" s="1"/>
  <c r="X3" i="166"/>
  <c r="BU11" i="166" s="1"/>
  <c r="R3" i="166"/>
  <c r="BO11" i="166" s="1"/>
  <c r="L3" i="166"/>
  <c r="BI11" i="166" s="1"/>
  <c r="B3" i="166"/>
  <c r="A1" i="166"/>
  <c r="F32" i="165"/>
  <c r="E32" i="165"/>
  <c r="D32" i="165"/>
  <c r="C32" i="165"/>
  <c r="A32" i="165"/>
  <c r="F31" i="165"/>
  <c r="E31" i="165"/>
  <c r="D31" i="165"/>
  <c r="C31" i="165"/>
  <c r="A31" i="165"/>
  <c r="F30" i="165"/>
  <c r="E30" i="165"/>
  <c r="D30" i="165"/>
  <c r="C30" i="165"/>
  <c r="A30" i="165"/>
  <c r="F29" i="165"/>
  <c r="E29" i="165"/>
  <c r="D29" i="165"/>
  <c r="C29" i="165"/>
  <c r="A29" i="165"/>
  <c r="F28" i="165"/>
  <c r="E28" i="165"/>
  <c r="D28" i="165"/>
  <c r="C28" i="165"/>
  <c r="A28" i="165"/>
  <c r="F27" i="165"/>
  <c r="E27" i="165"/>
  <c r="D27" i="165"/>
  <c r="C27" i="165"/>
  <c r="A27" i="165"/>
  <c r="F26" i="165"/>
  <c r="E26" i="165"/>
  <c r="D26" i="165"/>
  <c r="C26" i="165"/>
  <c r="A26" i="165"/>
  <c r="BA24" i="165"/>
  <c r="AZ24" i="165"/>
  <c r="AY24" i="165"/>
  <c r="AX24" i="165"/>
  <c r="AW24" i="165"/>
  <c r="AV24" i="165"/>
  <c r="AU24" i="165"/>
  <c r="AT24" i="165"/>
  <c r="AS24" i="165"/>
  <c r="AR24" i="165"/>
  <c r="AQ24" i="165"/>
  <c r="AP24" i="165"/>
  <c r="AO24" i="165"/>
  <c r="AN24" i="165"/>
  <c r="AM24" i="165"/>
  <c r="AL24" i="165"/>
  <c r="AK24" i="165"/>
  <c r="AJ24" i="165"/>
  <c r="AI24" i="165"/>
  <c r="AH24" i="165"/>
  <c r="AG24" i="165"/>
  <c r="AF24" i="165"/>
  <c r="AE24" i="165"/>
  <c r="AD24" i="165"/>
  <c r="AC24" i="165"/>
  <c r="AB24" i="165"/>
  <c r="AA24" i="165"/>
  <c r="Z24" i="165"/>
  <c r="Y24" i="165"/>
  <c r="X24" i="165"/>
  <c r="W24" i="165"/>
  <c r="V24" i="165"/>
  <c r="U24" i="165"/>
  <c r="T24" i="165"/>
  <c r="S24" i="165"/>
  <c r="R24" i="165"/>
  <c r="Q24" i="165"/>
  <c r="P24" i="165"/>
  <c r="O24" i="165"/>
  <c r="N24" i="165"/>
  <c r="M24" i="165"/>
  <c r="L24" i="165"/>
  <c r="BG23" i="165"/>
  <c r="BF23" i="165"/>
  <c r="BE23" i="165"/>
  <c r="BD23" i="165"/>
  <c r="BC23" i="165"/>
  <c r="BB23" i="165"/>
  <c r="J23" i="165"/>
  <c r="A23" i="165"/>
  <c r="CL23" i="165" s="1"/>
  <c r="BG22" i="165"/>
  <c r="BF22" i="165"/>
  <c r="BE22" i="165"/>
  <c r="BD22" i="165"/>
  <c r="BC22" i="165"/>
  <c r="BB22" i="165"/>
  <c r="J22" i="165"/>
  <c r="A22" i="165"/>
  <c r="CP22" i="165" s="1"/>
  <c r="BG21" i="165"/>
  <c r="BF21" i="165"/>
  <c r="BE21" i="165"/>
  <c r="BD21" i="165"/>
  <c r="BC21" i="165"/>
  <c r="BB21" i="165"/>
  <c r="J21" i="165"/>
  <c r="A21" i="165"/>
  <c r="CT21" i="165" s="1"/>
  <c r="BG20" i="165"/>
  <c r="BF20" i="165"/>
  <c r="BE20" i="165"/>
  <c r="BD20" i="165"/>
  <c r="BC20" i="165"/>
  <c r="BB20" i="165"/>
  <c r="J20" i="165"/>
  <c r="A20" i="165"/>
  <c r="CX20" i="165" s="1"/>
  <c r="BG19" i="165"/>
  <c r="BF19" i="165"/>
  <c r="BE19" i="165"/>
  <c r="BD19" i="165"/>
  <c r="BC19" i="165"/>
  <c r="BB19" i="165"/>
  <c r="J19" i="165"/>
  <c r="A19" i="165"/>
  <c r="CL19" i="165" s="1"/>
  <c r="BG18" i="165"/>
  <c r="BF18" i="165"/>
  <c r="BE18" i="165"/>
  <c r="BD18" i="165"/>
  <c r="BC18" i="165"/>
  <c r="BB18" i="165"/>
  <c r="J18" i="165"/>
  <c r="A18" i="165"/>
  <c r="CP18" i="165" s="1"/>
  <c r="BG17" i="165"/>
  <c r="BF17" i="165"/>
  <c r="BE17" i="165"/>
  <c r="BD17" i="165"/>
  <c r="BC17" i="165"/>
  <c r="BB17" i="165"/>
  <c r="J17" i="165"/>
  <c r="A17" i="165"/>
  <c r="CT17" i="165" s="1"/>
  <c r="BG16" i="165"/>
  <c r="BF16" i="165"/>
  <c r="BE16" i="165"/>
  <c r="BD16" i="165"/>
  <c r="BC16" i="165"/>
  <c r="BB16" i="165"/>
  <c r="J16" i="165"/>
  <c r="A16" i="165"/>
  <c r="CX16" i="165" s="1"/>
  <c r="BG15" i="165"/>
  <c r="BF15" i="165"/>
  <c r="BE15" i="165"/>
  <c r="BD15" i="165"/>
  <c r="BC15" i="165"/>
  <c r="BB15" i="165"/>
  <c r="J15" i="165"/>
  <c r="A15" i="165"/>
  <c r="CL15" i="165" s="1"/>
  <c r="BG14" i="165"/>
  <c r="BF14" i="165"/>
  <c r="BE14" i="165"/>
  <c r="BD14" i="165"/>
  <c r="BC14" i="165"/>
  <c r="BB14" i="165"/>
  <c r="J14" i="165"/>
  <c r="A14" i="165"/>
  <c r="CP14" i="165" s="1"/>
  <c r="CG15" i="166"/>
  <c r="BX15" i="166"/>
  <c r="BM15" i="166"/>
  <c r="BQ15" i="166"/>
  <c r="CA15" i="166"/>
  <c r="CK15" i="166"/>
  <c r="BZ15" i="166"/>
  <c r="BN15" i="166"/>
  <c r="BS15" i="166"/>
  <c r="CC15" i="166"/>
  <c r="CU15" i="166"/>
  <c r="BR15" i="166"/>
  <c r="CL15" i="166"/>
  <c r="BL15" i="166"/>
  <c r="CF15" i="166"/>
  <c r="BO15" i="166"/>
  <c r="CE15" i="166"/>
  <c r="BK15" i="166"/>
  <c r="BI15" i="166"/>
  <c r="CX15" i="166"/>
  <c r="CP15" i="166"/>
  <c r="BY15" i="166"/>
  <c r="BU15" i="166"/>
  <c r="BW15" i="166"/>
  <c r="CV15" i="166"/>
  <c r="CI15" i="166"/>
  <c r="CW15" i="166"/>
  <c r="CR15" i="166"/>
  <c r="CO15" i="166"/>
  <c r="BT15" i="166"/>
  <c r="CQ15" i="166"/>
  <c r="CD15" i="166"/>
  <c r="CJ15" i="166"/>
  <c r="CA21" i="165" l="1"/>
  <c r="CH21" i="165"/>
  <c r="BV21" i="165"/>
  <c r="CS14" i="165"/>
  <c r="BM18" i="165"/>
  <c r="BP17" i="165"/>
  <c r="BQ21" i="165"/>
  <c r="CW17" i="165"/>
  <c r="BR21" i="165"/>
  <c r="BJ19" i="165"/>
  <c r="BR22" i="165"/>
  <c r="CR22" i="165"/>
  <c r="BN18" i="165"/>
  <c r="CB18" i="165"/>
  <c r="BM19" i="165"/>
  <c r="CA17" i="165"/>
  <c r="BQ17" i="165"/>
  <c r="BN19" i="165"/>
  <c r="CR14" i="166"/>
  <c r="BU17" i="165"/>
  <c r="CC18" i="165"/>
  <c r="CB14" i="165"/>
  <c r="CI17" i="165"/>
  <c r="CS18" i="165"/>
  <c r="CD18" i="165"/>
  <c r="CC14" i="165"/>
  <c r="CV17" i="165"/>
  <c r="CT18" i="165"/>
  <c r="BX13" i="166"/>
  <c r="BS13" i="166"/>
  <c r="CI23" i="165"/>
  <c r="CJ23" i="165"/>
  <c r="BY13" i="166"/>
  <c r="CA13" i="166"/>
  <c r="BW16" i="165"/>
  <c r="BH19" i="165"/>
  <c r="CI21" i="165"/>
  <c r="BV20" i="165"/>
  <c r="CQ21" i="165"/>
  <c r="BM14" i="166"/>
  <c r="CL20" i="165"/>
  <c r="CV21" i="165"/>
  <c r="BN14" i="166"/>
  <c r="AP11" i="166"/>
  <c r="CB14" i="166"/>
  <c r="BQ13" i="166"/>
  <c r="CC14" i="166"/>
  <c r="BP13" i="166"/>
  <c r="BW19" i="165"/>
  <c r="CT23" i="165"/>
  <c r="CO23" i="165"/>
  <c r="BT19" i="165"/>
  <c r="CS23" i="165"/>
  <c r="BZ19" i="165"/>
  <c r="BH23" i="165"/>
  <c r="BH16" i="165"/>
  <c r="CA19" i="165"/>
  <c r="CG19" i="165"/>
  <c r="CI13" i="166"/>
  <c r="CM19" i="165"/>
  <c r="CJ13" i="166"/>
  <c r="BG24" i="166"/>
  <c r="CL13" i="166"/>
  <c r="CQ13" i="166"/>
  <c r="BQ23" i="165"/>
  <c r="CR13" i="166"/>
  <c r="CQ19" i="165"/>
  <c r="BL23" i="165"/>
  <c r="CW19" i="165"/>
  <c r="BX23" i="165"/>
  <c r="R11" i="166"/>
  <c r="CD19" i="165"/>
  <c r="BK23" i="165"/>
  <c r="CR19" i="165"/>
  <c r="BY23" i="165"/>
  <c r="X11" i="166"/>
  <c r="CN19" i="165"/>
  <c r="BI19" i="165"/>
  <c r="CB23" i="165"/>
  <c r="BE24" i="166"/>
  <c r="BQ15" i="165"/>
  <c r="CO15" i="165"/>
  <c r="BD24" i="166"/>
  <c r="BB24" i="166"/>
  <c r="BH15" i="165"/>
  <c r="BW15" i="165"/>
  <c r="CS15" i="165"/>
  <c r="CR15" i="165"/>
  <c r="CA15" i="165"/>
  <c r="CB15" i="165"/>
  <c r="BJ15" i="165"/>
  <c r="CG15" i="165"/>
  <c r="BK15" i="165"/>
  <c r="CI15" i="165"/>
  <c r="BN15" i="165"/>
  <c r="CN15" i="165"/>
  <c r="BB11" i="167"/>
  <c r="CL16" i="165"/>
  <c r="BH21" i="165"/>
  <c r="BL22" i="165"/>
  <c r="BL14" i="165"/>
  <c r="BT16" i="165"/>
  <c r="BH20" i="165"/>
  <c r="BY20" i="165"/>
  <c r="BM22" i="165"/>
  <c r="CG22" i="165"/>
  <c r="BS23" i="165"/>
  <c r="CC23" i="165"/>
  <c r="CP23" i="165"/>
  <c r="AD11" i="166"/>
  <c r="CX22" i="165"/>
  <c r="CT14" i="165"/>
  <c r="CM16" i="165"/>
  <c r="BM14" i="165"/>
  <c r="BS15" i="165"/>
  <c r="CC15" i="165"/>
  <c r="CP15" i="165"/>
  <c r="BU16" i="165"/>
  <c r="CO16" i="165"/>
  <c r="CF17" i="165"/>
  <c r="CX17" i="165"/>
  <c r="CG18" i="165"/>
  <c r="BK19" i="165"/>
  <c r="BX19" i="165"/>
  <c r="CI19" i="165"/>
  <c r="CS19" i="165"/>
  <c r="CJ20" i="165"/>
  <c r="BS21" i="165"/>
  <c r="CK21" i="165"/>
  <c r="BH22" i="165"/>
  <c r="BN22" i="165"/>
  <c r="CH22" i="165"/>
  <c r="BI23" i="165"/>
  <c r="BT23" i="165"/>
  <c r="CD23" i="165"/>
  <c r="CQ23" i="165"/>
  <c r="AJ11" i="166"/>
  <c r="BF24" i="166"/>
  <c r="BR13" i="166"/>
  <c r="BZ13" i="166"/>
  <c r="CK13" i="166"/>
  <c r="CV13" i="166"/>
  <c r="CD14" i="166"/>
  <c r="BI16" i="165"/>
  <c r="CD22" i="165"/>
  <c r="BH14" i="165"/>
  <c r="BN14" i="165"/>
  <c r="BI15" i="165"/>
  <c r="BT15" i="165"/>
  <c r="CD15" i="165"/>
  <c r="CQ15" i="165"/>
  <c r="BV16" i="165"/>
  <c r="BK17" i="165"/>
  <c r="CG17" i="165"/>
  <c r="BL18" i="165"/>
  <c r="CR18" i="165"/>
  <c r="BL19" i="165"/>
  <c r="BY19" i="165"/>
  <c r="CJ19" i="165"/>
  <c r="CT19" i="165"/>
  <c r="CK20" i="165"/>
  <c r="BU21" i="165"/>
  <c r="CL21" i="165"/>
  <c r="BQ22" i="165"/>
  <c r="CM22" i="165"/>
  <c r="BJ23" i="165"/>
  <c r="BW23" i="165"/>
  <c r="CG23" i="165"/>
  <c r="CR23" i="165"/>
  <c r="CW13" i="166"/>
  <c r="BH24" i="167"/>
  <c r="AV11" i="166"/>
  <c r="BI13" i="166"/>
  <c r="BT13" i="166"/>
  <c r="CB13" i="166"/>
  <c r="CM13" i="166"/>
  <c r="CX13" i="166"/>
  <c r="CS14" i="166"/>
  <c r="BB10" i="166"/>
  <c r="BJ13" i="166"/>
  <c r="BU13" i="166"/>
  <c r="CF13" i="166"/>
  <c r="CN13" i="166"/>
  <c r="BL14" i="166"/>
  <c r="CT14" i="166"/>
  <c r="CD14" i="165"/>
  <c r="BL15" i="165"/>
  <c r="BY15" i="165"/>
  <c r="CJ15" i="165"/>
  <c r="CT15" i="165"/>
  <c r="CJ16" i="165"/>
  <c r="BR17" i="165"/>
  <c r="CK17" i="165"/>
  <c r="BQ18" i="165"/>
  <c r="CW18" i="165"/>
  <c r="BQ19" i="165"/>
  <c r="CB19" i="165"/>
  <c r="CO19" i="165"/>
  <c r="BT20" i="165"/>
  <c r="BK21" i="165"/>
  <c r="CF21" i="165"/>
  <c r="CW21" i="165"/>
  <c r="CB22" i="165"/>
  <c r="CT22" i="165"/>
  <c r="BM23" i="165"/>
  <c r="BZ23" i="165"/>
  <c r="CM23" i="165"/>
  <c r="CW23" i="165"/>
  <c r="BB9" i="166"/>
  <c r="BK13" i="166"/>
  <c r="BV13" i="166"/>
  <c r="CG13" i="166"/>
  <c r="CO13" i="166"/>
  <c r="BY16" i="165"/>
  <c r="BH17" i="165"/>
  <c r="BH18" i="165"/>
  <c r="BI20" i="165"/>
  <c r="CO20" i="165"/>
  <c r="BW22" i="165"/>
  <c r="CS22" i="165"/>
  <c r="CR14" i="165"/>
  <c r="BM15" i="165"/>
  <c r="BZ15" i="165"/>
  <c r="CM15" i="165"/>
  <c r="CW15" i="165"/>
  <c r="CK16" i="165"/>
  <c r="BS17" i="165"/>
  <c r="CQ17" i="165"/>
  <c r="BS19" i="165"/>
  <c r="CC19" i="165"/>
  <c r="CP19" i="165"/>
  <c r="BU20" i="165"/>
  <c r="BP21" i="165"/>
  <c r="CG21" i="165"/>
  <c r="CX21" i="165"/>
  <c r="CC22" i="165"/>
  <c r="CW22" i="165"/>
  <c r="BN23" i="165"/>
  <c r="CA23" i="165"/>
  <c r="CN23" i="165"/>
  <c r="BC24" i="166"/>
  <c r="BL13" i="166"/>
  <c r="BW13" i="166"/>
  <c r="CH13" i="166"/>
  <c r="CP13" i="166"/>
  <c r="BH14" i="166"/>
  <c r="BH15" i="166"/>
  <c r="F13" i="166"/>
  <c r="BO14" i="166"/>
  <c r="CE14" i="166"/>
  <c r="CU14" i="166"/>
  <c r="F14" i="166"/>
  <c r="BP14" i="166"/>
  <c r="CF14" i="166"/>
  <c r="CV14" i="166"/>
  <c r="L11" i="166"/>
  <c r="BQ14" i="166"/>
  <c r="CG14" i="166"/>
  <c r="CW14" i="166"/>
  <c r="BR14" i="166"/>
  <c r="CH14" i="166"/>
  <c r="CX14" i="166"/>
  <c r="CK14" i="166"/>
  <c r="CI14" i="166"/>
  <c r="BV14" i="166"/>
  <c r="CL14" i="166"/>
  <c r="BT14" i="166"/>
  <c r="BU14" i="166"/>
  <c r="CM14" i="166"/>
  <c r="BX14" i="166"/>
  <c r="CN14" i="166"/>
  <c r="BH13" i="166"/>
  <c r="CJ14" i="166"/>
  <c r="BY14" i="166"/>
  <c r="BS14" i="166"/>
  <c r="BW14" i="166"/>
  <c r="BM13" i="166"/>
  <c r="CC13" i="166"/>
  <c r="CS13" i="166"/>
  <c r="BI14" i="166"/>
  <c r="CO14" i="166"/>
  <c r="BN13" i="166"/>
  <c r="CD13" i="166"/>
  <c r="CT13" i="166"/>
  <c r="BJ14" i="166"/>
  <c r="BZ14" i="166"/>
  <c r="CP14" i="166"/>
  <c r="F20" i="166"/>
  <c r="F16" i="166"/>
  <c r="F17" i="166"/>
  <c r="F23" i="166"/>
  <c r="F19" i="166"/>
  <c r="F18" i="166"/>
  <c r="F22" i="166"/>
  <c r="F21" i="166"/>
  <c r="BO13" i="166"/>
  <c r="CE13" i="166"/>
  <c r="BK14" i="166"/>
  <c r="CA14" i="166"/>
  <c r="BK14" i="165"/>
  <c r="CA14" i="165"/>
  <c r="CQ14" i="165"/>
  <c r="BS16" i="165"/>
  <c r="CI16" i="165"/>
  <c r="BO17" i="165"/>
  <c r="CE17" i="165"/>
  <c r="CU17" i="165"/>
  <c r="BK18" i="165"/>
  <c r="CA18" i="165"/>
  <c r="CQ18" i="165"/>
  <c r="BS20" i="165"/>
  <c r="CI20" i="165"/>
  <c r="BO21" i="165"/>
  <c r="CE21" i="165"/>
  <c r="CU21" i="165"/>
  <c r="BK22" i="165"/>
  <c r="CA22" i="165"/>
  <c r="CQ22" i="165"/>
  <c r="BO18" i="165"/>
  <c r="CE18" i="165"/>
  <c r="CU18" i="165"/>
  <c r="BW20" i="165"/>
  <c r="CM20" i="165"/>
  <c r="BO22" i="165"/>
  <c r="CE22" i="165"/>
  <c r="CU22" i="165"/>
  <c r="BX16" i="165"/>
  <c r="CN16" i="165"/>
  <c r="BT17" i="165"/>
  <c r="CJ17" i="165"/>
  <c r="BP18" i="165"/>
  <c r="CF18" i="165"/>
  <c r="CV18" i="165"/>
  <c r="BX20" i="165"/>
  <c r="CN20" i="165"/>
  <c r="BT21" i="165"/>
  <c r="CJ21" i="165"/>
  <c r="BP22" i="165"/>
  <c r="CF22" i="165"/>
  <c r="CV22" i="165"/>
  <c r="CF14" i="165"/>
  <c r="CG14" i="165"/>
  <c r="CH14" i="165"/>
  <c r="CP16" i="165"/>
  <c r="BR18" i="165"/>
  <c r="BP14" i="165"/>
  <c r="CW14" i="165"/>
  <c r="BZ16" i="165"/>
  <c r="CL17" i="165"/>
  <c r="BZ20" i="165"/>
  <c r="CP20" i="165"/>
  <c r="BS14" i="165"/>
  <c r="CI14" i="165"/>
  <c r="BO15" i="165"/>
  <c r="CE15" i="165"/>
  <c r="CU15" i="165"/>
  <c r="BK16" i="165"/>
  <c r="CA16" i="165"/>
  <c r="CQ16" i="165"/>
  <c r="BW17" i="165"/>
  <c r="CM17" i="165"/>
  <c r="BS18" i="165"/>
  <c r="CI18" i="165"/>
  <c r="BO19" i="165"/>
  <c r="CE19" i="165"/>
  <c r="CU19" i="165"/>
  <c r="BK20" i="165"/>
  <c r="CA20" i="165"/>
  <c r="CQ20" i="165"/>
  <c r="BW21" i="165"/>
  <c r="CM21" i="165"/>
  <c r="BS22" i="165"/>
  <c r="CI22" i="165"/>
  <c r="BO23" i="165"/>
  <c r="CE23" i="165"/>
  <c r="CU23" i="165"/>
  <c r="BR14" i="165"/>
  <c r="CX14" i="165"/>
  <c r="BJ16" i="165"/>
  <c r="BJ20" i="165"/>
  <c r="BT14" i="165"/>
  <c r="CJ14" i="165"/>
  <c r="BP15" i="165"/>
  <c r="CF15" i="165"/>
  <c r="CV15" i="165"/>
  <c r="BL16" i="165"/>
  <c r="CB16" i="165"/>
  <c r="CR16" i="165"/>
  <c r="BX17" i="165"/>
  <c r="CN17" i="165"/>
  <c r="BT18" i="165"/>
  <c r="CJ18" i="165"/>
  <c r="BP19" i="165"/>
  <c r="CF19" i="165"/>
  <c r="CV19" i="165"/>
  <c r="BL20" i="165"/>
  <c r="CB20" i="165"/>
  <c r="CR20" i="165"/>
  <c r="BX21" i="165"/>
  <c r="CN21" i="165"/>
  <c r="BT22" i="165"/>
  <c r="CJ22" i="165"/>
  <c r="BP23" i="165"/>
  <c r="CF23" i="165"/>
  <c r="CV23" i="165"/>
  <c r="CE14" i="165"/>
  <c r="CH18" i="165"/>
  <c r="BU14" i="165"/>
  <c r="CK14" i="165"/>
  <c r="BM16" i="165"/>
  <c r="CS16" i="165"/>
  <c r="BY17" i="165"/>
  <c r="BU18" i="165"/>
  <c r="BM20" i="165"/>
  <c r="CC20" i="165"/>
  <c r="CS20" i="165"/>
  <c r="BI21" i="165"/>
  <c r="BY21" i="165"/>
  <c r="CO21" i="165"/>
  <c r="BU22" i="165"/>
  <c r="CK22" i="165"/>
  <c r="BV17" i="165"/>
  <c r="CX18" i="165"/>
  <c r="CC16" i="165"/>
  <c r="BI17" i="165"/>
  <c r="CO17" i="165"/>
  <c r="CK18" i="165"/>
  <c r="BV14" i="165"/>
  <c r="CL14" i="165"/>
  <c r="BR15" i="165"/>
  <c r="CH15" i="165"/>
  <c r="CX15" i="165"/>
  <c r="BN16" i="165"/>
  <c r="CD16" i="165"/>
  <c r="CT16" i="165"/>
  <c r="BJ17" i="165"/>
  <c r="BZ17" i="165"/>
  <c r="CP17" i="165"/>
  <c r="BV18" i="165"/>
  <c r="CL18" i="165"/>
  <c r="BR19" i="165"/>
  <c r="CH19" i="165"/>
  <c r="CX19" i="165"/>
  <c r="BN20" i="165"/>
  <c r="CD20" i="165"/>
  <c r="CT20" i="165"/>
  <c r="BJ21" i="165"/>
  <c r="BZ21" i="165"/>
  <c r="CP21" i="165"/>
  <c r="BV22" i="165"/>
  <c r="CL22" i="165"/>
  <c r="BR23" i="165"/>
  <c r="CH23" i="165"/>
  <c r="CX23" i="165"/>
  <c r="BW18" i="165"/>
  <c r="BO14" i="165"/>
  <c r="CV14" i="165"/>
  <c r="BQ14" i="165"/>
  <c r="CM14" i="165"/>
  <c r="CU16" i="165"/>
  <c r="BO20" i="165"/>
  <c r="CU20" i="165"/>
  <c r="BP16" i="165"/>
  <c r="CB17" i="165"/>
  <c r="CV20" i="165"/>
  <c r="CN22" i="165"/>
  <c r="BO16" i="165"/>
  <c r="CE20" i="165"/>
  <c r="BX14" i="165"/>
  <c r="CV16" i="165"/>
  <c r="CR17" i="165"/>
  <c r="BX18" i="165"/>
  <c r="CF20" i="165"/>
  <c r="BL21" i="165"/>
  <c r="CR21" i="165"/>
  <c r="BX22" i="165"/>
  <c r="BI14" i="165"/>
  <c r="CO14" i="165"/>
  <c r="CK15" i="165"/>
  <c r="BQ16" i="165"/>
  <c r="CG16" i="165"/>
  <c r="CW16" i="165"/>
  <c r="BM17" i="165"/>
  <c r="CC17" i="165"/>
  <c r="CS17" i="165"/>
  <c r="BI18" i="165"/>
  <c r="BY18" i="165"/>
  <c r="CO18" i="165"/>
  <c r="BU19" i="165"/>
  <c r="CK19" i="165"/>
  <c r="BQ20" i="165"/>
  <c r="CG20" i="165"/>
  <c r="CW20" i="165"/>
  <c r="BM21" i="165"/>
  <c r="CC21" i="165"/>
  <c r="CS21" i="165"/>
  <c r="BI22" i="165"/>
  <c r="BY22" i="165"/>
  <c r="CO22" i="165"/>
  <c r="BU23" i="165"/>
  <c r="CK23" i="165"/>
  <c r="CU14" i="165"/>
  <c r="BW14" i="165"/>
  <c r="CE16" i="165"/>
  <c r="CM18" i="165"/>
  <c r="CN14" i="165"/>
  <c r="CF16" i="165"/>
  <c r="BL17" i="165"/>
  <c r="CN18" i="165"/>
  <c r="BP20" i="165"/>
  <c r="CB21" i="165"/>
  <c r="BY14" i="165"/>
  <c r="BJ14" i="165"/>
  <c r="BZ14" i="165"/>
  <c r="BV15" i="165"/>
  <c r="BR16" i="165"/>
  <c r="CH16" i="165"/>
  <c r="BN17" i="165"/>
  <c r="CD17" i="165"/>
  <c r="BJ18" i="165"/>
  <c r="BZ18" i="165"/>
  <c r="BV19" i="165"/>
  <c r="BR20" i="165"/>
  <c r="CH20" i="165"/>
  <c r="BN21" i="165"/>
  <c r="CD21" i="165"/>
  <c r="BJ22" i="165"/>
  <c r="BZ22" i="165"/>
  <c r="BV23" i="165"/>
  <c r="BG13" i="165"/>
  <c r="BG24" i="165" s="1"/>
  <c r="BF13" i="165"/>
  <c r="BF24" i="165" s="1"/>
  <c r="BE13" i="165"/>
  <c r="BE24" i="165" s="1"/>
  <c r="BD13" i="165"/>
  <c r="BD24" i="165" s="1"/>
  <c r="BC13" i="165"/>
  <c r="BC24" i="165" s="1"/>
  <c r="BB13" i="165"/>
  <c r="BB24" i="165" s="1"/>
  <c r="J13" i="165"/>
  <c r="A13" i="165"/>
  <c r="AV10" i="165"/>
  <c r="AP10" i="165"/>
  <c r="AJ10" i="165"/>
  <c r="AD10" i="165"/>
  <c r="X10" i="165"/>
  <c r="R10" i="165"/>
  <c r="L10" i="165"/>
  <c r="AV9" i="165"/>
  <c r="AP9" i="165"/>
  <c r="AJ9" i="165"/>
  <c r="AD9" i="165"/>
  <c r="X9" i="165"/>
  <c r="R9" i="165"/>
  <c r="L9" i="165"/>
  <c r="AV3" i="165"/>
  <c r="CS11" i="165" s="1"/>
  <c r="AP3" i="165"/>
  <c r="CM11" i="165" s="1"/>
  <c r="AJ3" i="165"/>
  <c r="CG11" i="165" s="1"/>
  <c r="AD3" i="165"/>
  <c r="CA11" i="165" s="1"/>
  <c r="X3" i="165"/>
  <c r="BU11" i="165" s="1"/>
  <c r="R3" i="165"/>
  <c r="BO11" i="165" s="1"/>
  <c r="L3" i="165"/>
  <c r="BI11" i="165" s="1"/>
  <c r="F32" i="162"/>
  <c r="E32" i="162"/>
  <c r="D32" i="162"/>
  <c r="C32" i="162"/>
  <c r="A32" i="162"/>
  <c r="F31" i="162"/>
  <c r="E31" i="162"/>
  <c r="D31" i="162"/>
  <c r="C31" i="162"/>
  <c r="A31" i="162"/>
  <c r="F30" i="162"/>
  <c r="E30" i="162"/>
  <c r="D30" i="162"/>
  <c r="C30" i="162"/>
  <c r="A30" i="162"/>
  <c r="F29" i="162"/>
  <c r="E29" i="162"/>
  <c r="D29" i="162"/>
  <c r="C29" i="162"/>
  <c r="A29" i="162"/>
  <c r="F28" i="162"/>
  <c r="E28" i="162"/>
  <c r="D28" i="162"/>
  <c r="C28" i="162"/>
  <c r="A28" i="162"/>
  <c r="F27" i="162"/>
  <c r="E27" i="162"/>
  <c r="D27" i="162"/>
  <c r="C27" i="162"/>
  <c r="A27" i="162"/>
  <c r="F26" i="162"/>
  <c r="E26" i="162"/>
  <c r="D26" i="162"/>
  <c r="C26" i="162"/>
  <c r="A26" i="162"/>
  <c r="BA24" i="162"/>
  <c r="AZ24" i="162"/>
  <c r="AY24" i="162"/>
  <c r="AX24" i="162"/>
  <c r="AW24" i="162"/>
  <c r="AV24" i="162"/>
  <c r="AU24" i="162"/>
  <c r="AT24" i="162"/>
  <c r="AS24" i="162"/>
  <c r="AR24" i="162"/>
  <c r="AQ24" i="162"/>
  <c r="AP24" i="162"/>
  <c r="AO24" i="162"/>
  <c r="AN24" i="162"/>
  <c r="AM24" i="162"/>
  <c r="AL24" i="162"/>
  <c r="AK24" i="162"/>
  <c r="AJ24" i="162"/>
  <c r="AI24" i="162"/>
  <c r="AH24" i="162"/>
  <c r="AG24" i="162"/>
  <c r="AF24" i="162"/>
  <c r="AE24" i="162"/>
  <c r="AD24" i="162"/>
  <c r="AC24" i="162"/>
  <c r="AB24" i="162"/>
  <c r="AA24" i="162"/>
  <c r="Z24" i="162"/>
  <c r="Y24" i="162"/>
  <c r="X24" i="162"/>
  <c r="W24" i="162"/>
  <c r="V24" i="162"/>
  <c r="U24" i="162"/>
  <c r="T24" i="162"/>
  <c r="S24" i="162"/>
  <c r="R24" i="162"/>
  <c r="Q24" i="162"/>
  <c r="P24" i="162"/>
  <c r="O24" i="162"/>
  <c r="N24" i="162"/>
  <c r="M24" i="162"/>
  <c r="L24" i="162"/>
  <c r="BG23" i="162"/>
  <c r="BF23" i="162"/>
  <c r="BE23" i="162"/>
  <c r="BD23" i="162"/>
  <c r="BC23" i="162"/>
  <c r="BB23" i="162"/>
  <c r="J23" i="162"/>
  <c r="A23" i="162"/>
  <c r="CL23" i="162" s="1"/>
  <c r="BG22" i="162"/>
  <c r="BF22" i="162"/>
  <c r="BE22" i="162"/>
  <c r="BD22" i="162"/>
  <c r="BC22" i="162"/>
  <c r="BB22" i="162"/>
  <c r="J22" i="162"/>
  <c r="A22" i="162"/>
  <c r="CP22" i="162" s="1"/>
  <c r="BG21" i="162"/>
  <c r="BF21" i="162"/>
  <c r="BE21" i="162"/>
  <c r="BD21" i="162"/>
  <c r="BC21" i="162"/>
  <c r="BB21" i="162"/>
  <c r="J21" i="162"/>
  <c r="A21" i="162"/>
  <c r="CT21" i="162" s="1"/>
  <c r="BG20" i="162"/>
  <c r="BF20" i="162"/>
  <c r="BE20" i="162"/>
  <c r="BD20" i="162"/>
  <c r="BC20" i="162"/>
  <c r="BB20" i="162"/>
  <c r="J20" i="162"/>
  <c r="A20" i="162"/>
  <c r="CX20" i="162" s="1"/>
  <c r="BG19" i="162"/>
  <c r="BF19" i="162"/>
  <c r="BE19" i="162"/>
  <c r="BD19" i="162"/>
  <c r="BC19" i="162"/>
  <c r="J19" i="162"/>
  <c r="A19" i="162"/>
  <c r="CN19" i="162" s="1"/>
  <c r="BG18" i="162"/>
  <c r="BF18" i="162"/>
  <c r="BE18" i="162"/>
  <c r="BD18" i="162"/>
  <c r="BC18" i="162"/>
  <c r="BB18" i="162"/>
  <c r="J18" i="162"/>
  <c r="A18" i="162"/>
  <c r="CP18" i="162" s="1"/>
  <c r="BG17" i="162"/>
  <c r="BF17" i="162"/>
  <c r="BE17" i="162"/>
  <c r="BD17" i="162"/>
  <c r="BC17" i="162"/>
  <c r="BB17" i="162"/>
  <c r="J17" i="162"/>
  <c r="A17" i="162"/>
  <c r="CT17" i="162" s="1"/>
  <c r="BG16" i="162"/>
  <c r="BF16" i="162"/>
  <c r="BE16" i="162"/>
  <c r="BD16" i="162"/>
  <c r="BC16" i="162"/>
  <c r="BB16" i="162"/>
  <c r="J16" i="162"/>
  <c r="A16" i="162"/>
  <c r="CX16" i="162" s="1"/>
  <c r="BG15" i="162"/>
  <c r="BF15" i="162"/>
  <c r="BE15" i="162"/>
  <c r="BD15" i="162"/>
  <c r="BC15" i="162"/>
  <c r="BB15" i="162"/>
  <c r="J15" i="162"/>
  <c r="A15" i="162"/>
  <c r="CL15" i="162" s="1"/>
  <c r="BG14" i="162"/>
  <c r="BF14" i="162"/>
  <c r="BE14" i="162"/>
  <c r="BD14" i="162"/>
  <c r="BC14" i="162"/>
  <c r="BB14" i="162"/>
  <c r="J14" i="162"/>
  <c r="A14" i="162"/>
  <c r="CP14" i="162" s="1"/>
  <c r="BG13" i="162"/>
  <c r="BF13" i="162"/>
  <c r="BE13" i="162"/>
  <c r="BD13" i="162"/>
  <c r="BC13" i="162"/>
  <c r="BB13" i="162"/>
  <c r="J13" i="162"/>
  <c r="A13" i="162"/>
  <c r="CT13" i="162" s="1"/>
  <c r="AV9" i="162"/>
  <c r="AP9" i="162"/>
  <c r="AJ9" i="162"/>
  <c r="AD9" i="162"/>
  <c r="X9" i="162"/>
  <c r="R9" i="162"/>
  <c r="L9" i="162"/>
  <c r="B4" i="162"/>
  <c r="F17" i="162" s="1"/>
  <c r="AV3" i="162"/>
  <c r="CS11" i="162" s="1"/>
  <c r="AP3" i="162"/>
  <c r="CM11" i="162" s="1"/>
  <c r="AJ3" i="162"/>
  <c r="CG11" i="162" s="1"/>
  <c r="AD3" i="162"/>
  <c r="CA11" i="162" s="1"/>
  <c r="X3" i="162"/>
  <c r="BU11" i="162" s="1"/>
  <c r="R3" i="162"/>
  <c r="BO11" i="162" s="1"/>
  <c r="L3" i="162"/>
  <c r="BI11" i="162" s="1"/>
  <c r="B3" i="162"/>
  <c r="A1" i="162"/>
  <c r="F32" i="158"/>
  <c r="E32" i="158"/>
  <c r="D32" i="158"/>
  <c r="C32" i="158"/>
  <c r="A32" i="158"/>
  <c r="F31" i="158"/>
  <c r="E31" i="158"/>
  <c r="D31" i="158"/>
  <c r="C31" i="158"/>
  <c r="A31" i="158"/>
  <c r="F30" i="158"/>
  <c r="E30" i="158"/>
  <c r="D30" i="158"/>
  <c r="C30" i="158"/>
  <c r="A30" i="158"/>
  <c r="F29" i="158"/>
  <c r="E29" i="158"/>
  <c r="D29" i="158"/>
  <c r="C29" i="158"/>
  <c r="A29" i="158"/>
  <c r="F28" i="158"/>
  <c r="E28" i="158"/>
  <c r="D28" i="158"/>
  <c r="C28" i="158"/>
  <c r="A28" i="158"/>
  <c r="F27" i="158"/>
  <c r="E27" i="158"/>
  <c r="D27" i="158"/>
  <c r="C27" i="158"/>
  <c r="A27" i="158"/>
  <c r="F26" i="158"/>
  <c r="E26" i="158"/>
  <c r="D26" i="158"/>
  <c r="C26" i="158"/>
  <c r="A26" i="158"/>
  <c r="BA24" i="158"/>
  <c r="AZ24" i="158"/>
  <c r="AY24" i="158"/>
  <c r="AX24" i="158"/>
  <c r="AW24" i="158"/>
  <c r="AV24" i="158"/>
  <c r="AU24" i="158"/>
  <c r="AT24" i="158"/>
  <c r="AS24" i="158"/>
  <c r="AR24" i="158"/>
  <c r="AQ24" i="158"/>
  <c r="AP24" i="158"/>
  <c r="AO24" i="158"/>
  <c r="AN24" i="158"/>
  <c r="AM24" i="158"/>
  <c r="AL24" i="158"/>
  <c r="AK24" i="158"/>
  <c r="AJ24" i="158"/>
  <c r="AI24" i="158"/>
  <c r="AH24" i="158"/>
  <c r="AG24" i="158"/>
  <c r="AF24" i="158"/>
  <c r="AE24" i="158"/>
  <c r="AD24" i="158"/>
  <c r="AC24" i="158"/>
  <c r="AB24" i="158"/>
  <c r="AA24" i="158"/>
  <c r="Z24" i="158"/>
  <c r="Y24" i="158"/>
  <c r="X24" i="158"/>
  <c r="W24" i="158"/>
  <c r="V24" i="158"/>
  <c r="U24" i="158"/>
  <c r="T24" i="158"/>
  <c r="S24" i="158"/>
  <c r="R24" i="158"/>
  <c r="Q24" i="158"/>
  <c r="P24" i="158"/>
  <c r="O24" i="158"/>
  <c r="N24" i="158"/>
  <c r="M24" i="158"/>
  <c r="L24" i="158"/>
  <c r="BG23" i="158"/>
  <c r="BF23" i="158"/>
  <c r="BE23" i="158"/>
  <c r="BD23" i="158"/>
  <c r="BC23" i="158"/>
  <c r="BB23" i="158"/>
  <c r="A23" i="158"/>
  <c r="CL23" i="158" s="1"/>
  <c r="BG22" i="158"/>
  <c r="BF22" i="158"/>
  <c r="BE22" i="158"/>
  <c r="BD22" i="158"/>
  <c r="BC22" i="158"/>
  <c r="BB22" i="158"/>
  <c r="A22" i="158"/>
  <c r="CN22" i="158" s="1"/>
  <c r="BG21" i="158"/>
  <c r="BF21" i="158"/>
  <c r="BE21" i="158"/>
  <c r="BD21" i="158"/>
  <c r="BC21" i="158"/>
  <c r="BB21" i="158"/>
  <c r="A21" i="158"/>
  <c r="CP21" i="158" s="1"/>
  <c r="BG20" i="158"/>
  <c r="BF20" i="158"/>
  <c r="BE20" i="158"/>
  <c r="BD20" i="158"/>
  <c r="BC20" i="158"/>
  <c r="BB20" i="158"/>
  <c r="A20" i="158"/>
  <c r="CS20" i="158" s="1"/>
  <c r="BG19" i="158"/>
  <c r="BF19" i="158"/>
  <c r="BE19" i="158"/>
  <c r="BD19" i="158"/>
  <c r="BC19" i="158"/>
  <c r="BB19" i="158"/>
  <c r="A19" i="158"/>
  <c r="CU19" i="158" s="1"/>
  <c r="BG18" i="158"/>
  <c r="BF18" i="158"/>
  <c r="BE18" i="158"/>
  <c r="BD18" i="158"/>
  <c r="BC18" i="158"/>
  <c r="BB18" i="158"/>
  <c r="A18" i="158"/>
  <c r="CX18" i="158" s="1"/>
  <c r="BG17" i="158"/>
  <c r="BF17" i="158"/>
  <c r="BE17" i="158"/>
  <c r="BD17" i="158"/>
  <c r="BC17" i="158"/>
  <c r="BB17" i="158"/>
  <c r="J17" i="158"/>
  <c r="A17" i="158"/>
  <c r="CJ17" i="158" s="1"/>
  <c r="BG16" i="158"/>
  <c r="BF16" i="158"/>
  <c r="BE16" i="158"/>
  <c r="BD16" i="158"/>
  <c r="BC16" i="158"/>
  <c r="BB16" i="158"/>
  <c r="A16" i="158"/>
  <c r="CN16" i="158" s="1"/>
  <c r="BG15" i="158"/>
  <c r="BF15" i="158"/>
  <c r="BE15" i="158"/>
  <c r="BD15" i="158"/>
  <c r="BC15" i="158"/>
  <c r="BB15" i="158"/>
  <c r="J15" i="158"/>
  <c r="A15" i="158"/>
  <c r="BG14" i="158"/>
  <c r="BF14" i="158"/>
  <c r="BE14" i="158"/>
  <c r="BD14" i="158"/>
  <c r="BC14" i="158"/>
  <c r="BB14" i="158"/>
  <c r="A14" i="158"/>
  <c r="CT14" i="158" s="1"/>
  <c r="CH17" i="166"/>
  <c r="BY22" i="158" l="1"/>
  <c r="CE22" i="158"/>
  <c r="CD22" i="158"/>
  <c r="CQ22" i="162"/>
  <c r="BK21" i="158"/>
  <c r="R11" i="165"/>
  <c r="CA21" i="158"/>
  <c r="CB15" i="158"/>
  <c r="CB21" i="158"/>
  <c r="CR23" i="162"/>
  <c r="CC21" i="158"/>
  <c r="CS23" i="162"/>
  <c r="CA14" i="162"/>
  <c r="CE14" i="158"/>
  <c r="CF14" i="158"/>
  <c r="CU14" i="158"/>
  <c r="CR23" i="158"/>
  <c r="CC14" i="162"/>
  <c r="BW23" i="158"/>
  <c r="BH16" i="158"/>
  <c r="CB23" i="158"/>
  <c r="CV14" i="158"/>
  <c r="CQ14" i="162"/>
  <c r="CH22" i="158"/>
  <c r="CR22" i="158"/>
  <c r="CU22" i="158"/>
  <c r="BL22" i="162"/>
  <c r="CC22" i="162"/>
  <c r="CV20" i="158"/>
  <c r="BJ19" i="162"/>
  <c r="BK22" i="158"/>
  <c r="BL23" i="158"/>
  <c r="CM19" i="162"/>
  <c r="BI22" i="158"/>
  <c r="BP22" i="158"/>
  <c r="BM23" i="158"/>
  <c r="BH23" i="162"/>
  <c r="BR22" i="158"/>
  <c r="BN23" i="158"/>
  <c r="BQ21" i="162"/>
  <c r="CF21" i="162"/>
  <c r="BH14" i="158"/>
  <c r="BH21" i="162"/>
  <c r="CD21" i="158"/>
  <c r="CE20" i="158"/>
  <c r="CT21" i="158"/>
  <c r="CC23" i="158"/>
  <c r="AJ10" i="162"/>
  <c r="AJ11" i="162" s="1"/>
  <c r="CU21" i="158"/>
  <c r="CD23" i="158"/>
  <c r="BK15" i="162"/>
  <c r="BJ20" i="162"/>
  <c r="CF20" i="158"/>
  <c r="CU20" i="158"/>
  <c r="CS22" i="158"/>
  <c r="CM23" i="158"/>
  <c r="BW15" i="162"/>
  <c r="BU20" i="162"/>
  <c r="BL23" i="162"/>
  <c r="BY15" i="162"/>
  <c r="CC20" i="162"/>
  <c r="BM23" i="162"/>
  <c r="BM14" i="162"/>
  <c r="CA15" i="162"/>
  <c r="CO20" i="162"/>
  <c r="CB23" i="162"/>
  <c r="BH19" i="158"/>
  <c r="CS23" i="158"/>
  <c r="BH23" i="158"/>
  <c r="CT23" i="158"/>
  <c r="BO14" i="162"/>
  <c r="CQ15" i="162"/>
  <c r="CC23" i="162"/>
  <c r="BH24" i="166"/>
  <c r="BB11" i="166"/>
  <c r="AP10" i="162"/>
  <c r="AP11" i="162" s="1"/>
  <c r="AD10" i="162"/>
  <c r="AD11" i="162" s="1"/>
  <c r="X10" i="162"/>
  <c r="X11" i="162" s="1"/>
  <c r="R10" i="162"/>
  <c r="R11" i="162" s="1"/>
  <c r="BH19" i="162"/>
  <c r="BF24" i="162"/>
  <c r="L10" i="162"/>
  <c r="L11" i="162" s="1"/>
  <c r="CM17" i="158"/>
  <c r="CN17" i="158"/>
  <c r="CK17" i="158"/>
  <c r="CL17" i="158"/>
  <c r="BU17" i="158"/>
  <c r="BV17" i="158"/>
  <c r="BW17" i="158"/>
  <c r="BX17" i="158"/>
  <c r="AP11" i="165"/>
  <c r="BB9" i="165"/>
  <c r="AJ11" i="165"/>
  <c r="AD11" i="165"/>
  <c r="X11" i="165"/>
  <c r="AV11" i="165"/>
  <c r="BJ16" i="158"/>
  <c r="CC18" i="158"/>
  <c r="BY16" i="158"/>
  <c r="BK18" i="158"/>
  <c r="CO18" i="158"/>
  <c r="BX18" i="158"/>
  <c r="CW19" i="158"/>
  <c r="CS18" i="162"/>
  <c r="BK15" i="158"/>
  <c r="BN16" i="158"/>
  <c r="CB16" i="158"/>
  <c r="CP16" i="158"/>
  <c r="BI17" i="158"/>
  <c r="BY17" i="158"/>
  <c r="CO17" i="158"/>
  <c r="BN18" i="158"/>
  <c r="BY18" i="158"/>
  <c r="CJ18" i="158"/>
  <c r="CR18" i="158"/>
  <c r="CX19" i="158"/>
  <c r="BN20" i="158"/>
  <c r="BL21" i="158"/>
  <c r="CE21" i="158"/>
  <c r="BL22" i="158"/>
  <c r="BZ22" i="158"/>
  <c r="CI22" i="158"/>
  <c r="CV22" i="158"/>
  <c r="BX23" i="158"/>
  <c r="CN23" i="158"/>
  <c r="BG24" i="162"/>
  <c r="CB14" i="162"/>
  <c r="BX15" i="162"/>
  <c r="BJ16" i="162"/>
  <c r="BU16" i="162"/>
  <c r="CC16" i="162"/>
  <c r="CN16" i="162"/>
  <c r="BL18" i="162"/>
  <c r="BK20" i="162"/>
  <c r="BV20" i="162"/>
  <c r="CD20" i="162"/>
  <c r="CP20" i="162"/>
  <c r="CG21" i="162"/>
  <c r="CR22" i="162"/>
  <c r="BN23" i="162"/>
  <c r="CD23" i="162"/>
  <c r="CT23" i="162"/>
  <c r="BB10" i="165"/>
  <c r="BU18" i="158"/>
  <c r="BR19" i="158"/>
  <c r="BK16" i="158"/>
  <c r="BV18" i="158"/>
  <c r="CG19" i="158"/>
  <c r="BL15" i="158"/>
  <c r="BO16" i="158"/>
  <c r="CC16" i="158"/>
  <c r="CQ16" i="158"/>
  <c r="BJ17" i="158"/>
  <c r="BZ17" i="158"/>
  <c r="CP17" i="158"/>
  <c r="BP18" i="158"/>
  <c r="BZ18" i="158"/>
  <c r="CK18" i="158"/>
  <c r="CS18" i="158"/>
  <c r="BO20" i="158"/>
  <c r="BH21" i="158"/>
  <c r="BM21" i="158"/>
  <c r="CQ21" i="158"/>
  <c r="BM22" i="158"/>
  <c r="CA22" i="158"/>
  <c r="CO22" i="158"/>
  <c r="BI23" i="158"/>
  <c r="BY23" i="158"/>
  <c r="CO23" i="158"/>
  <c r="BK16" i="162"/>
  <c r="BV16" i="162"/>
  <c r="CD16" i="162"/>
  <c r="CO16" i="162"/>
  <c r="BH17" i="162"/>
  <c r="BH18" i="162"/>
  <c r="BM18" i="162"/>
  <c r="BH20" i="162"/>
  <c r="BL20" i="162"/>
  <c r="BW20" i="162"/>
  <c r="CI20" i="162"/>
  <c r="CQ20" i="162"/>
  <c r="BK22" i="162"/>
  <c r="CS22" i="162"/>
  <c r="BW23" i="162"/>
  <c r="CM23" i="162"/>
  <c r="CF16" i="158"/>
  <c r="CH16" i="158"/>
  <c r="CU16" i="158"/>
  <c r="CA16" i="158"/>
  <c r="BM18" i="158"/>
  <c r="CQ18" i="158"/>
  <c r="BI16" i="162"/>
  <c r="BT16" i="162"/>
  <c r="CB16" i="162"/>
  <c r="CM16" i="162"/>
  <c r="BK18" i="162"/>
  <c r="BO14" i="158"/>
  <c r="BH15" i="158"/>
  <c r="BM15" i="158"/>
  <c r="CS15" i="158"/>
  <c r="BP16" i="158"/>
  <c r="CD16" i="158"/>
  <c r="CR16" i="158"/>
  <c r="BK17" i="158"/>
  <c r="CA17" i="158"/>
  <c r="CQ17" i="158"/>
  <c r="BS18" i="158"/>
  <c r="CA18" i="158"/>
  <c r="CL18" i="158"/>
  <c r="CT18" i="158"/>
  <c r="BH20" i="158"/>
  <c r="BP20" i="158"/>
  <c r="BN21" i="158"/>
  <c r="CR21" i="158"/>
  <c r="BN22" i="158"/>
  <c r="CB22" i="158"/>
  <c r="CP22" i="158"/>
  <c r="BJ23" i="158"/>
  <c r="BZ23" i="158"/>
  <c r="CP23" i="158"/>
  <c r="CX13" i="162"/>
  <c r="BH16" i="162"/>
  <c r="BL16" i="162"/>
  <c r="BW16" i="162"/>
  <c r="CF16" i="162"/>
  <c r="CP16" i="162"/>
  <c r="CA18" i="162"/>
  <c r="BM20" i="162"/>
  <c r="BX20" i="162"/>
  <c r="CJ20" i="162"/>
  <c r="CR20" i="162"/>
  <c r="BX23" i="162"/>
  <c r="CN23" i="162"/>
  <c r="BS16" i="158"/>
  <c r="CT16" i="158"/>
  <c r="BJ18" i="158"/>
  <c r="CN18" i="158"/>
  <c r="BH17" i="158"/>
  <c r="CD18" i="158"/>
  <c r="BM16" i="158"/>
  <c r="CO16" i="158"/>
  <c r="CX16" i="158"/>
  <c r="CI18" i="158"/>
  <c r="BH22" i="158"/>
  <c r="BP14" i="158"/>
  <c r="BN15" i="158"/>
  <c r="CT15" i="158"/>
  <c r="BI16" i="158"/>
  <c r="BR16" i="158"/>
  <c r="CE16" i="158"/>
  <c r="CS16" i="158"/>
  <c r="BL17" i="158"/>
  <c r="CB17" i="158"/>
  <c r="CR17" i="158"/>
  <c r="BI18" i="158"/>
  <c r="BT18" i="158"/>
  <c r="CB18" i="158"/>
  <c r="CM18" i="158"/>
  <c r="CV18" i="158"/>
  <c r="BQ19" i="158"/>
  <c r="CD20" i="158"/>
  <c r="BO21" i="158"/>
  <c r="CS21" i="158"/>
  <c r="BO22" i="158"/>
  <c r="CC22" i="158"/>
  <c r="CQ22" i="158"/>
  <c r="BK23" i="158"/>
  <c r="CA23" i="158"/>
  <c r="CQ23" i="158"/>
  <c r="BH13" i="162"/>
  <c r="BK14" i="162"/>
  <c r="CR14" i="162"/>
  <c r="CM15" i="162"/>
  <c r="BM16" i="162"/>
  <c r="BX16" i="162"/>
  <c r="CI16" i="162"/>
  <c r="CQ16" i="162"/>
  <c r="CB18" i="162"/>
  <c r="CB19" i="162"/>
  <c r="BN20" i="162"/>
  <c r="BY20" i="162"/>
  <c r="CK20" i="162"/>
  <c r="CS20" i="162"/>
  <c r="BH22" i="162"/>
  <c r="BM22" i="162"/>
  <c r="BI23" i="162"/>
  <c r="BY23" i="162"/>
  <c r="CO23" i="162"/>
  <c r="BC24" i="162"/>
  <c r="BL14" i="162"/>
  <c r="CS14" i="162"/>
  <c r="BH15" i="162"/>
  <c r="CN15" i="162"/>
  <c r="BN16" i="162"/>
  <c r="BY16" i="162"/>
  <c r="CJ16" i="162"/>
  <c r="CR16" i="162"/>
  <c r="CC18" i="162"/>
  <c r="CS19" i="162"/>
  <c r="BP20" i="162"/>
  <c r="BZ20" i="162"/>
  <c r="CL20" i="162"/>
  <c r="CT20" i="162"/>
  <c r="CA22" i="162"/>
  <c r="BJ23" i="162"/>
  <c r="BZ23" i="162"/>
  <c r="CP23" i="162"/>
  <c r="BD24" i="162"/>
  <c r="BH14" i="162"/>
  <c r="BI15" i="162"/>
  <c r="CO15" i="162"/>
  <c r="BP16" i="162"/>
  <c r="BZ16" i="162"/>
  <c r="CK16" i="162"/>
  <c r="CS16" i="162"/>
  <c r="CQ18" i="162"/>
  <c r="CT19" i="162"/>
  <c r="BS20" i="162"/>
  <c r="CA20" i="162"/>
  <c r="CM20" i="162"/>
  <c r="BP21" i="162"/>
  <c r="CB22" i="162"/>
  <c r="BK23" i="162"/>
  <c r="CA23" i="162"/>
  <c r="CQ23" i="162"/>
  <c r="AV10" i="162"/>
  <c r="AV11" i="162" s="1"/>
  <c r="BL16" i="158"/>
  <c r="BZ16" i="158"/>
  <c r="CI16" i="158"/>
  <c r="CV16" i="158"/>
  <c r="BH18" i="158"/>
  <c r="BL18" i="158"/>
  <c r="BW18" i="158"/>
  <c r="CF18" i="158"/>
  <c r="CP18" i="158"/>
  <c r="CH19" i="158"/>
  <c r="BJ22" i="158"/>
  <c r="BS22" i="158"/>
  <c r="CF22" i="158"/>
  <c r="CT22" i="158"/>
  <c r="BE24" i="162"/>
  <c r="BS16" i="162"/>
  <c r="CA16" i="162"/>
  <c r="CL16" i="162"/>
  <c r="CT16" i="162"/>
  <c r="CR18" i="162"/>
  <c r="BI20" i="162"/>
  <c r="BT20" i="162"/>
  <c r="CB20" i="162"/>
  <c r="CN20" i="162"/>
  <c r="CT13" i="165"/>
  <c r="CS13" i="165"/>
  <c r="CH13" i="165"/>
  <c r="CB13" i="165"/>
  <c r="CN13" i="165"/>
  <c r="CM13" i="165"/>
  <c r="BV13" i="165"/>
  <c r="BP13" i="165"/>
  <c r="BJ13" i="165"/>
  <c r="L11" i="165"/>
  <c r="BH13" i="165"/>
  <c r="BH24" i="165" s="1"/>
  <c r="BO21" i="162"/>
  <c r="CE21" i="162"/>
  <c r="CU21" i="162"/>
  <c r="F21" i="162"/>
  <c r="CV21" i="162"/>
  <c r="CU13" i="162"/>
  <c r="F13" i="162"/>
  <c r="CW21" i="162"/>
  <c r="BN14" i="162"/>
  <c r="CD14" i="162"/>
  <c r="CT14" i="162"/>
  <c r="BJ15" i="162"/>
  <c r="BZ15" i="162"/>
  <c r="CP15" i="162"/>
  <c r="BR17" i="162"/>
  <c r="CH17" i="162"/>
  <c r="CX17" i="162"/>
  <c r="BN18" i="162"/>
  <c r="CD18" i="162"/>
  <c r="CT18" i="162"/>
  <c r="BR21" i="162"/>
  <c r="CH21" i="162"/>
  <c r="CX21" i="162"/>
  <c r="BN22" i="162"/>
  <c r="CD22" i="162"/>
  <c r="CT22" i="162"/>
  <c r="CE17" i="162"/>
  <c r="CG13" i="162"/>
  <c r="CW17" i="162"/>
  <c r="BS17" i="162"/>
  <c r="CI17" i="162"/>
  <c r="BO18" i="162"/>
  <c r="CE18" i="162"/>
  <c r="CU18" i="162"/>
  <c r="BS21" i="162"/>
  <c r="CI21" i="162"/>
  <c r="BO22" i="162"/>
  <c r="CE22" i="162"/>
  <c r="CU22" i="162"/>
  <c r="BO17" i="162"/>
  <c r="CV13" i="162"/>
  <c r="CV17" i="162"/>
  <c r="CH13" i="162"/>
  <c r="BS13" i="162"/>
  <c r="CU14" i="162"/>
  <c r="BT13" i="162"/>
  <c r="CJ13" i="162"/>
  <c r="F14" i="162"/>
  <c r="BP14" i="162"/>
  <c r="CF14" i="162"/>
  <c r="CV14" i="162"/>
  <c r="BL15" i="162"/>
  <c r="CB15" i="162"/>
  <c r="CR15" i="162"/>
  <c r="BT17" i="162"/>
  <c r="CJ17" i="162"/>
  <c r="F18" i="162"/>
  <c r="BP18" i="162"/>
  <c r="CF18" i="162"/>
  <c r="CV18" i="162"/>
  <c r="BT21" i="162"/>
  <c r="CJ21" i="162"/>
  <c r="F22" i="162"/>
  <c r="BP22" i="162"/>
  <c r="CF22" i="162"/>
  <c r="CV22" i="162"/>
  <c r="CE13" i="162"/>
  <c r="BP13" i="162"/>
  <c r="BP17" i="162"/>
  <c r="CE14" i="162"/>
  <c r="BQ14" i="162"/>
  <c r="CG14" i="162"/>
  <c r="CW14" i="162"/>
  <c r="BM15" i="162"/>
  <c r="CC15" i="162"/>
  <c r="CS15" i="162"/>
  <c r="BU17" i="162"/>
  <c r="CK17" i="162"/>
  <c r="BQ18" i="162"/>
  <c r="CG18" i="162"/>
  <c r="CW18" i="162"/>
  <c r="BU21" i="162"/>
  <c r="CK21" i="162"/>
  <c r="BQ22" i="162"/>
  <c r="CG22" i="162"/>
  <c r="CW22" i="162"/>
  <c r="BB24" i="162"/>
  <c r="BR14" i="162"/>
  <c r="CH14" i="162"/>
  <c r="CX14" i="162"/>
  <c r="BN15" i="162"/>
  <c r="CD15" i="162"/>
  <c r="CT15" i="162"/>
  <c r="BV17" i="162"/>
  <c r="CL17" i="162"/>
  <c r="BR18" i="162"/>
  <c r="CH18" i="162"/>
  <c r="CX18" i="162"/>
  <c r="BV21" i="162"/>
  <c r="CL21" i="162"/>
  <c r="BR22" i="162"/>
  <c r="CH22" i="162"/>
  <c r="CX22" i="162"/>
  <c r="CW13" i="162"/>
  <c r="BQ17" i="162"/>
  <c r="BO15" i="162"/>
  <c r="CE15" i="162"/>
  <c r="CU15" i="162"/>
  <c r="BW17" i="162"/>
  <c r="CM17" i="162"/>
  <c r="BS18" i="162"/>
  <c r="CI18" i="162"/>
  <c r="BW21" i="162"/>
  <c r="CM21" i="162"/>
  <c r="BS22" i="162"/>
  <c r="CI22" i="162"/>
  <c r="BO23" i="162"/>
  <c r="CE23" i="162"/>
  <c r="CU23" i="162"/>
  <c r="CG17" i="162"/>
  <c r="CI13" i="162"/>
  <c r="BT14" i="162"/>
  <c r="CJ14" i="162"/>
  <c r="F15" i="162"/>
  <c r="BP15" i="162"/>
  <c r="CF15" i="162"/>
  <c r="CV15" i="162"/>
  <c r="BX17" i="162"/>
  <c r="CN17" i="162"/>
  <c r="BT18" i="162"/>
  <c r="CJ18" i="162"/>
  <c r="F19" i="162"/>
  <c r="BP19" i="162"/>
  <c r="BX21" i="162"/>
  <c r="CN21" i="162"/>
  <c r="BT22" i="162"/>
  <c r="CJ22" i="162"/>
  <c r="F23" i="162"/>
  <c r="BP23" i="162"/>
  <c r="CF23" i="162"/>
  <c r="CV23" i="162"/>
  <c r="BB9" i="162"/>
  <c r="CI14" i="162"/>
  <c r="CO13" i="162"/>
  <c r="BU14" i="162"/>
  <c r="CK14" i="162"/>
  <c r="BQ15" i="162"/>
  <c r="CG15" i="162"/>
  <c r="CW15" i="162"/>
  <c r="BI17" i="162"/>
  <c r="BY17" i="162"/>
  <c r="CO17" i="162"/>
  <c r="BU18" i="162"/>
  <c r="CK18" i="162"/>
  <c r="BI21" i="162"/>
  <c r="BY21" i="162"/>
  <c r="CO21" i="162"/>
  <c r="BU22" i="162"/>
  <c r="CK22" i="162"/>
  <c r="BQ23" i="162"/>
  <c r="CG23" i="162"/>
  <c r="CW23" i="162"/>
  <c r="BV13" i="162"/>
  <c r="CL14" i="162"/>
  <c r="CP17" i="162"/>
  <c r="BV18" i="162"/>
  <c r="CL18" i="162"/>
  <c r="CH19" i="162"/>
  <c r="BJ21" i="162"/>
  <c r="BZ21" i="162"/>
  <c r="CP21" i="162"/>
  <c r="BV22" i="162"/>
  <c r="CL22" i="162"/>
  <c r="BR23" i="162"/>
  <c r="CH23" i="162"/>
  <c r="CX23" i="162"/>
  <c r="BS14" i="162"/>
  <c r="BJ13" i="162"/>
  <c r="CX15" i="162"/>
  <c r="CA13" i="162"/>
  <c r="CQ13" i="162"/>
  <c r="BW14" i="162"/>
  <c r="CM14" i="162"/>
  <c r="BS15" i="162"/>
  <c r="CI15" i="162"/>
  <c r="BO16" i="162"/>
  <c r="CE16" i="162"/>
  <c r="CU16" i="162"/>
  <c r="BK17" i="162"/>
  <c r="CA17" i="162"/>
  <c r="CQ17" i="162"/>
  <c r="BW18" i="162"/>
  <c r="CM18" i="162"/>
  <c r="BO20" i="162"/>
  <c r="CE20" i="162"/>
  <c r="CU20" i="162"/>
  <c r="BK21" i="162"/>
  <c r="CA21" i="162"/>
  <c r="CQ21" i="162"/>
  <c r="BW22" i="162"/>
  <c r="CM22" i="162"/>
  <c r="BS23" i="162"/>
  <c r="CI23" i="162"/>
  <c r="CL13" i="162"/>
  <c r="CB13" i="162"/>
  <c r="CR13" i="162"/>
  <c r="BX14" i="162"/>
  <c r="CN14" i="162"/>
  <c r="BT15" i="162"/>
  <c r="CJ15" i="162"/>
  <c r="F16" i="162"/>
  <c r="CV16" i="162"/>
  <c r="BL17" i="162"/>
  <c r="CB17" i="162"/>
  <c r="CR17" i="162"/>
  <c r="BX18" i="162"/>
  <c r="CN18" i="162"/>
  <c r="F20" i="162"/>
  <c r="CF20" i="162"/>
  <c r="CV20" i="162"/>
  <c r="BL21" i="162"/>
  <c r="CB21" i="162"/>
  <c r="CR21" i="162"/>
  <c r="BX22" i="162"/>
  <c r="CN22" i="162"/>
  <c r="BT23" i="162"/>
  <c r="CJ23" i="162"/>
  <c r="CK13" i="162"/>
  <c r="CM13" i="162"/>
  <c r="CN13" i="162"/>
  <c r="CP13" i="162"/>
  <c r="BR15" i="162"/>
  <c r="BJ17" i="162"/>
  <c r="CC13" i="162"/>
  <c r="CS13" i="162"/>
  <c r="BI14" i="162"/>
  <c r="BY14" i="162"/>
  <c r="CO14" i="162"/>
  <c r="BU15" i="162"/>
  <c r="CK15" i="162"/>
  <c r="BQ16" i="162"/>
  <c r="CG16" i="162"/>
  <c r="CW16" i="162"/>
  <c r="BM17" i="162"/>
  <c r="CC17" i="162"/>
  <c r="CS17" i="162"/>
  <c r="BI18" i="162"/>
  <c r="BY18" i="162"/>
  <c r="CO18" i="162"/>
  <c r="BQ20" i="162"/>
  <c r="CG20" i="162"/>
  <c r="CW20" i="162"/>
  <c r="BM21" i="162"/>
  <c r="CC21" i="162"/>
  <c r="CS21" i="162"/>
  <c r="BI22" i="162"/>
  <c r="BY22" i="162"/>
  <c r="CO22" i="162"/>
  <c r="BU23" i="162"/>
  <c r="CK23" i="162"/>
  <c r="CU17" i="162"/>
  <c r="CF13" i="162"/>
  <c r="CF17" i="162"/>
  <c r="BV14" i="162"/>
  <c r="CH15" i="162"/>
  <c r="BZ17" i="162"/>
  <c r="BM13" i="162"/>
  <c r="BN13" i="162"/>
  <c r="CD13" i="162"/>
  <c r="BJ14" i="162"/>
  <c r="BZ14" i="162"/>
  <c r="BV15" i="162"/>
  <c r="BR16" i="162"/>
  <c r="CH16" i="162"/>
  <c r="BN17" i="162"/>
  <c r="CD17" i="162"/>
  <c r="BJ18" i="162"/>
  <c r="BZ18" i="162"/>
  <c r="BV19" i="162"/>
  <c r="BR20" i="162"/>
  <c r="CH20" i="162"/>
  <c r="BN21" i="162"/>
  <c r="CD21" i="162"/>
  <c r="BJ22" i="162"/>
  <c r="BZ22" i="162"/>
  <c r="BV23" i="162"/>
  <c r="BP19" i="158"/>
  <c r="CF19" i="158"/>
  <c r="CV19" i="158"/>
  <c r="CT20" i="158"/>
  <c r="CH14" i="158"/>
  <c r="BS19" i="158"/>
  <c r="CI19" i="158"/>
  <c r="BQ20" i="158"/>
  <c r="CG20" i="158"/>
  <c r="CW20" i="158"/>
  <c r="BR20" i="158"/>
  <c r="CH20" i="158"/>
  <c r="CX20" i="158"/>
  <c r="BU19" i="158"/>
  <c r="CK19" i="158"/>
  <c r="BS20" i="158"/>
  <c r="CI20" i="158"/>
  <c r="BP21" i="158"/>
  <c r="CF21" i="158"/>
  <c r="CV21" i="158"/>
  <c r="CX14" i="158"/>
  <c r="BT19" i="158"/>
  <c r="BV19" i="158"/>
  <c r="CL19" i="158"/>
  <c r="BT20" i="158"/>
  <c r="CJ20" i="158"/>
  <c r="BQ21" i="158"/>
  <c r="CG21" i="158"/>
  <c r="CW21" i="158"/>
  <c r="CG14" i="158"/>
  <c r="BU14" i="158"/>
  <c r="BW19" i="158"/>
  <c r="CM19" i="158"/>
  <c r="BU20" i="158"/>
  <c r="CK20" i="158"/>
  <c r="BR21" i="158"/>
  <c r="CH21" i="158"/>
  <c r="CX21" i="158"/>
  <c r="BT14" i="158"/>
  <c r="BW14" i="158"/>
  <c r="CM14" i="158"/>
  <c r="BQ16" i="158"/>
  <c r="CG16" i="158"/>
  <c r="CW16" i="158"/>
  <c r="BM17" i="158"/>
  <c r="CC17" i="158"/>
  <c r="CS17" i="158"/>
  <c r="BX19" i="158"/>
  <c r="CN19" i="158"/>
  <c r="BV20" i="158"/>
  <c r="CL20" i="158"/>
  <c r="BS21" i="158"/>
  <c r="CI21" i="158"/>
  <c r="BQ22" i="158"/>
  <c r="CG22" i="158"/>
  <c r="CW22" i="158"/>
  <c r="BO23" i="158"/>
  <c r="CE23" i="158"/>
  <c r="CU23" i="158"/>
  <c r="CH15" i="158"/>
  <c r="BX14" i="158"/>
  <c r="BN17" i="158"/>
  <c r="CD17" i="158"/>
  <c r="CT17" i="158"/>
  <c r="BI19" i="158"/>
  <c r="BY19" i="158"/>
  <c r="CO19" i="158"/>
  <c r="BW20" i="158"/>
  <c r="CM20" i="158"/>
  <c r="BT21" i="158"/>
  <c r="CJ21" i="158"/>
  <c r="CX22" i="158"/>
  <c r="BP23" i="158"/>
  <c r="CF23" i="158"/>
  <c r="CV23" i="158"/>
  <c r="BQ14" i="158"/>
  <c r="BR14" i="158"/>
  <c r="CJ14" i="158"/>
  <c r="CN14" i="158"/>
  <c r="BI14" i="158"/>
  <c r="BJ19" i="158"/>
  <c r="BZ19" i="158"/>
  <c r="CP19" i="158"/>
  <c r="BX20" i="158"/>
  <c r="CN20" i="158"/>
  <c r="BU21" i="158"/>
  <c r="CK21" i="158"/>
  <c r="BQ23" i="158"/>
  <c r="CG23" i="158"/>
  <c r="CW23" i="158"/>
  <c r="CK14" i="158"/>
  <c r="CL14" i="158"/>
  <c r="BZ14" i="158"/>
  <c r="BT16" i="158"/>
  <c r="CJ16" i="158"/>
  <c r="BP17" i="158"/>
  <c r="CF17" i="158"/>
  <c r="BK19" i="158"/>
  <c r="CA19" i="158"/>
  <c r="CQ19" i="158"/>
  <c r="BI20" i="158"/>
  <c r="BY20" i="158"/>
  <c r="CO20" i="158"/>
  <c r="BV21" i="158"/>
  <c r="CL21" i="158"/>
  <c r="BT22" i="158"/>
  <c r="CJ22" i="158"/>
  <c r="BR23" i="158"/>
  <c r="CH23" i="158"/>
  <c r="CX23" i="158"/>
  <c r="BS14" i="158"/>
  <c r="BP15" i="158"/>
  <c r="BO17" i="158"/>
  <c r="BJ14" i="158"/>
  <c r="CP14" i="158"/>
  <c r="BV15" i="158"/>
  <c r="BK14" i="158"/>
  <c r="CA14" i="158"/>
  <c r="CQ14" i="158"/>
  <c r="CM15" i="158"/>
  <c r="BU16" i="158"/>
  <c r="CK16" i="158"/>
  <c r="BQ17" i="158"/>
  <c r="CG17" i="158"/>
  <c r="CW17" i="158"/>
  <c r="BO18" i="158"/>
  <c r="CE18" i="158"/>
  <c r="CU18" i="158"/>
  <c r="BL19" i="158"/>
  <c r="CB19" i="158"/>
  <c r="CR19" i="158"/>
  <c r="BJ20" i="158"/>
  <c r="BZ20" i="158"/>
  <c r="CP20" i="158"/>
  <c r="BW21" i="158"/>
  <c r="CM21" i="158"/>
  <c r="BU22" i="158"/>
  <c r="CK22" i="158"/>
  <c r="BS23" i="158"/>
  <c r="CI23" i="158"/>
  <c r="CW14" i="158"/>
  <c r="CJ19" i="158"/>
  <c r="CE17" i="158"/>
  <c r="BL14" i="158"/>
  <c r="CL16" i="158"/>
  <c r="BR17" i="158"/>
  <c r="CH17" i="158"/>
  <c r="CX17" i="158"/>
  <c r="BM19" i="158"/>
  <c r="CC19" i="158"/>
  <c r="CS19" i="158"/>
  <c r="BK20" i="158"/>
  <c r="CA20" i="158"/>
  <c r="CQ20" i="158"/>
  <c r="BX21" i="158"/>
  <c r="CN21" i="158"/>
  <c r="BV22" i="158"/>
  <c r="CL22" i="158"/>
  <c r="BT23" i="158"/>
  <c r="CJ23" i="158"/>
  <c r="BV14" i="158"/>
  <c r="BY14" i="158"/>
  <c r="CR14" i="158"/>
  <c r="CN15" i="158"/>
  <c r="CC14" i="158"/>
  <c r="BW16" i="158"/>
  <c r="CM16" i="158"/>
  <c r="BS17" i="158"/>
  <c r="CI17" i="158"/>
  <c r="BQ18" i="158"/>
  <c r="CG18" i="158"/>
  <c r="CW18" i="158"/>
  <c r="BN19" i="158"/>
  <c r="CD19" i="158"/>
  <c r="CT19" i="158"/>
  <c r="BL20" i="158"/>
  <c r="CB20" i="158"/>
  <c r="CR20" i="158"/>
  <c r="BI21" i="158"/>
  <c r="BY21" i="158"/>
  <c r="CO21" i="158"/>
  <c r="BW22" i="158"/>
  <c r="CM22" i="158"/>
  <c r="BU23" i="158"/>
  <c r="CK23" i="158"/>
  <c r="CI14" i="158"/>
  <c r="CO14" i="158"/>
  <c r="CB14" i="158"/>
  <c r="BV16" i="158"/>
  <c r="BM14" i="158"/>
  <c r="CS14" i="158"/>
  <c r="BI15" i="158"/>
  <c r="BN14" i="158"/>
  <c r="CD14" i="158"/>
  <c r="BJ15" i="158"/>
  <c r="BX16" i="158"/>
  <c r="BT17" i="158"/>
  <c r="BR18" i="158"/>
  <c r="CH18" i="158"/>
  <c r="BO19" i="158"/>
  <c r="CE19" i="158"/>
  <c r="BM20" i="158"/>
  <c r="CC20" i="158"/>
  <c r="BJ21" i="158"/>
  <c r="BZ21" i="158"/>
  <c r="BX22" i="158"/>
  <c r="BV23" i="158"/>
  <c r="BG13" i="158"/>
  <c r="BG24" i="158" s="1"/>
  <c r="BF13" i="158"/>
  <c r="BF24" i="158" s="1"/>
  <c r="BE13" i="158"/>
  <c r="BE24" i="158" s="1"/>
  <c r="BD13" i="158"/>
  <c r="BD24" i="158" s="1"/>
  <c r="BC13" i="158"/>
  <c r="BC24" i="158" s="1"/>
  <c r="BB13" i="158"/>
  <c r="BB24" i="158" s="1"/>
  <c r="J13" i="158"/>
  <c r="A13" i="158"/>
  <c r="AV10" i="158"/>
  <c r="AP10" i="158"/>
  <c r="AJ10" i="158"/>
  <c r="AD10" i="158"/>
  <c r="X10" i="158"/>
  <c r="R10" i="158"/>
  <c r="L10" i="158"/>
  <c r="AV9" i="158"/>
  <c r="AP9" i="158"/>
  <c r="AJ9" i="158"/>
  <c r="AD9" i="158"/>
  <c r="X9" i="158"/>
  <c r="R9" i="158"/>
  <c r="L9" i="158"/>
  <c r="B4" i="158"/>
  <c r="AV3" i="158"/>
  <c r="CS11" i="158" s="1"/>
  <c r="AP3" i="158"/>
  <c r="CM11" i="158" s="1"/>
  <c r="AJ3" i="158"/>
  <c r="CG11" i="158" s="1"/>
  <c r="AD3" i="158"/>
  <c r="CA11" i="158" s="1"/>
  <c r="X3" i="158"/>
  <c r="BU11" i="158" s="1"/>
  <c r="R3" i="158"/>
  <c r="BO11" i="158" s="1"/>
  <c r="L3" i="158"/>
  <c r="BI11" i="158" s="1"/>
  <c r="B3" i="158"/>
  <c r="A1" i="158"/>
  <c r="F32" i="133"/>
  <c r="E32" i="133"/>
  <c r="C32" i="133"/>
  <c r="A32" i="133"/>
  <c r="F31" i="133"/>
  <c r="E31" i="133"/>
  <c r="D31" i="133"/>
  <c r="C31" i="133"/>
  <c r="A31" i="133"/>
  <c r="F30" i="133"/>
  <c r="E30" i="133"/>
  <c r="D30" i="133"/>
  <c r="C30" i="133"/>
  <c r="A30" i="133"/>
  <c r="F29" i="133"/>
  <c r="E29" i="133"/>
  <c r="D29" i="133"/>
  <c r="C29" i="133"/>
  <c r="A29" i="133"/>
  <c r="F28" i="133"/>
  <c r="E28" i="133"/>
  <c r="D28" i="133"/>
  <c r="C28" i="133"/>
  <c r="A28" i="133"/>
  <c r="F27" i="133"/>
  <c r="E27" i="133"/>
  <c r="D27" i="133"/>
  <c r="C27" i="133"/>
  <c r="A27" i="133"/>
  <c r="F26" i="133"/>
  <c r="E26" i="133"/>
  <c r="D26" i="133"/>
  <c r="C26" i="133"/>
  <c r="A26" i="133"/>
  <c r="BA24" i="133"/>
  <c r="AZ24" i="133"/>
  <c r="AY24" i="133"/>
  <c r="AX24" i="133"/>
  <c r="AW24" i="133"/>
  <c r="AV24" i="133"/>
  <c r="AU24" i="133"/>
  <c r="AT24" i="133"/>
  <c r="AS24" i="133"/>
  <c r="AR24" i="133"/>
  <c r="AQ24" i="133"/>
  <c r="AP24" i="133"/>
  <c r="AO24" i="133"/>
  <c r="AN24" i="133"/>
  <c r="AM24" i="133"/>
  <c r="AL24" i="133"/>
  <c r="AK24" i="133"/>
  <c r="AJ24" i="133"/>
  <c r="AI24" i="133"/>
  <c r="AH24" i="133"/>
  <c r="AG24" i="133"/>
  <c r="AF24" i="133"/>
  <c r="AE24" i="133"/>
  <c r="AD24" i="133"/>
  <c r="AC24" i="133"/>
  <c r="AB24" i="133"/>
  <c r="AA24" i="133"/>
  <c r="Z24" i="133"/>
  <c r="Y24" i="133"/>
  <c r="X24" i="133"/>
  <c r="W24" i="133"/>
  <c r="V24" i="133"/>
  <c r="U24" i="133"/>
  <c r="T24" i="133"/>
  <c r="S24" i="133"/>
  <c r="R24" i="133"/>
  <c r="Q24" i="133"/>
  <c r="P24" i="133"/>
  <c r="O24" i="133"/>
  <c r="N24" i="133"/>
  <c r="M24" i="133"/>
  <c r="L24" i="133"/>
  <c r="BG23" i="133"/>
  <c r="BF23" i="133"/>
  <c r="BE23" i="133"/>
  <c r="BD23" i="133"/>
  <c r="BC23" i="133"/>
  <c r="BB23" i="133"/>
  <c r="J23" i="133"/>
  <c r="A23" i="133"/>
  <c r="CL23" i="133" s="1"/>
  <c r="BG22" i="133"/>
  <c r="BF22" i="133"/>
  <c r="BE22" i="133"/>
  <c r="BD22" i="133"/>
  <c r="BC22" i="133"/>
  <c r="BB22" i="133"/>
  <c r="J22" i="133"/>
  <c r="A22" i="133"/>
  <c r="CP22" i="133" s="1"/>
  <c r="BG21" i="133"/>
  <c r="BF21" i="133"/>
  <c r="BE21" i="133"/>
  <c r="BD21" i="133"/>
  <c r="BC21" i="133"/>
  <c r="BB21" i="133"/>
  <c r="J21" i="133"/>
  <c r="A21" i="133"/>
  <c r="CT21" i="133" s="1"/>
  <c r="BG20" i="133"/>
  <c r="BF20" i="133"/>
  <c r="BE20" i="133"/>
  <c r="BD20" i="133"/>
  <c r="BC20" i="133"/>
  <c r="BB20" i="133"/>
  <c r="J20" i="133"/>
  <c r="A20" i="133"/>
  <c r="CX20" i="133" s="1"/>
  <c r="BG19" i="133"/>
  <c r="BF19" i="133"/>
  <c r="BE19" i="133"/>
  <c r="BD19" i="133"/>
  <c r="BC19" i="133"/>
  <c r="BB19" i="133"/>
  <c r="J19" i="133"/>
  <c r="A19" i="133"/>
  <c r="CL19" i="133" s="1"/>
  <c r="BG18" i="133"/>
  <c r="BF18" i="133"/>
  <c r="BE18" i="133"/>
  <c r="BD18" i="133"/>
  <c r="BC18" i="133"/>
  <c r="BB18" i="133"/>
  <c r="J18" i="133"/>
  <c r="A18" i="133"/>
  <c r="CP18" i="133" s="1"/>
  <c r="BI13" i="162"/>
  <c r="BW13" i="162"/>
  <c r="BY13" i="162"/>
  <c r="BL13" i="162"/>
  <c r="BQ13" i="162"/>
  <c r="BK13" i="162"/>
  <c r="BZ13" i="162"/>
  <c r="BR13" i="162"/>
  <c r="BO13" i="162"/>
  <c r="BU13" i="162"/>
  <c r="BX13" i="162"/>
  <c r="BL19" i="162"/>
  <c r="CG19" i="162"/>
  <c r="BU19" i="162"/>
  <c r="CP19" i="162"/>
  <c r="CE19" i="162"/>
  <c r="BY19" i="162"/>
  <c r="CF19" i="162"/>
  <c r="BT19" i="162"/>
  <c r="BS19" i="162"/>
  <c r="CO19" i="162"/>
  <c r="CX19" i="162"/>
  <c r="CK19" i="162"/>
  <c r="CL19" i="162"/>
  <c r="BZ19" i="162"/>
  <c r="BR19" i="162"/>
  <c r="BQ19" i="162"/>
  <c r="CD19" i="162"/>
  <c r="CA19" i="162"/>
  <c r="CI19" i="162"/>
  <c r="BI19" i="162"/>
  <c r="BK19" i="162"/>
  <c r="BO19" i="162"/>
  <c r="CU19" i="162"/>
  <c r="CC19" i="162"/>
  <c r="BM19" i="162"/>
  <c r="CJ19" i="162"/>
  <c r="CR19" i="162"/>
  <c r="BX19" i="162"/>
  <c r="CW19" i="162"/>
  <c r="BW19" i="162"/>
  <c r="CQ19" i="162"/>
  <c r="CV19" i="162"/>
  <c r="BN19" i="162"/>
  <c r="BN23" i="133" l="1"/>
  <c r="BM23" i="133"/>
  <c r="CO23" i="133"/>
  <c r="BW23" i="133"/>
  <c r="CR19" i="133"/>
  <c r="BI23" i="133"/>
  <c r="BJ23" i="133"/>
  <c r="BL23" i="133"/>
  <c r="CR23" i="133"/>
  <c r="BL19" i="133"/>
  <c r="BB11" i="165"/>
  <c r="BM19" i="133"/>
  <c r="BZ19" i="133"/>
  <c r="CT23" i="133"/>
  <c r="BK19" i="133"/>
  <c r="BW19" i="133"/>
  <c r="BN19" i="133"/>
  <c r="BX19" i="133"/>
  <c r="CC19" i="133"/>
  <c r="CD19" i="133"/>
  <c r="CM19" i="133"/>
  <c r="BL20" i="133"/>
  <c r="CN19" i="133"/>
  <c r="BJ20" i="133"/>
  <c r="CP19" i="133"/>
  <c r="BU20" i="133"/>
  <c r="BT20" i="133"/>
  <c r="CQ19" i="133"/>
  <c r="BW20" i="133"/>
  <c r="CB20" i="133"/>
  <c r="CS19" i="133"/>
  <c r="CC20" i="133"/>
  <c r="BJ19" i="133"/>
  <c r="CT19" i="133"/>
  <c r="CS23" i="133"/>
  <c r="BY20" i="133"/>
  <c r="CO20" i="133"/>
  <c r="BY23" i="133"/>
  <c r="CP20" i="133"/>
  <c r="BZ23" i="133"/>
  <c r="R11" i="158"/>
  <c r="CB23" i="133"/>
  <c r="CJ20" i="133"/>
  <c r="CA19" i="133"/>
  <c r="BH23" i="133"/>
  <c r="CD23" i="133"/>
  <c r="CC23" i="133"/>
  <c r="CB19" i="133"/>
  <c r="CM23" i="133"/>
  <c r="AV11" i="158"/>
  <c r="BH24" i="162"/>
  <c r="BB10" i="162"/>
  <c r="BB11" i="162" s="1"/>
  <c r="AD11" i="158"/>
  <c r="AJ11" i="158"/>
  <c r="BH18" i="133"/>
  <c r="BM18" i="133"/>
  <c r="CS18" i="133"/>
  <c r="BI20" i="133"/>
  <c r="BV20" i="133"/>
  <c r="CI20" i="133"/>
  <c r="CQ20" i="133"/>
  <c r="BH22" i="133"/>
  <c r="BM22" i="133"/>
  <c r="CS22" i="133"/>
  <c r="BB9" i="158"/>
  <c r="BB10" i="158"/>
  <c r="BK22" i="133"/>
  <c r="CR18" i="133"/>
  <c r="BL22" i="133"/>
  <c r="BH19" i="133"/>
  <c r="CR20" i="133"/>
  <c r="BN22" i="133"/>
  <c r="CT22" i="133"/>
  <c r="CR22" i="133"/>
  <c r="BN18" i="133"/>
  <c r="CT18" i="133"/>
  <c r="CA18" i="133"/>
  <c r="BI19" i="133"/>
  <c r="BY19" i="133"/>
  <c r="CO19" i="133"/>
  <c r="BK20" i="133"/>
  <c r="BX20" i="133"/>
  <c r="CK20" i="133"/>
  <c r="CS20" i="133"/>
  <c r="CA22" i="133"/>
  <c r="BX23" i="133"/>
  <c r="CN23" i="133"/>
  <c r="X11" i="158"/>
  <c r="BK18" i="133"/>
  <c r="CQ18" i="133"/>
  <c r="CQ22" i="133"/>
  <c r="CL20" i="133"/>
  <c r="BP21" i="133"/>
  <c r="CB22" i="133"/>
  <c r="BL18" i="133"/>
  <c r="CB18" i="133"/>
  <c r="BH20" i="133"/>
  <c r="CC18" i="133"/>
  <c r="BM20" i="133"/>
  <c r="BZ20" i="133"/>
  <c r="CM20" i="133"/>
  <c r="CF21" i="133"/>
  <c r="CC22" i="133"/>
  <c r="CP23" i="133"/>
  <c r="CD18" i="133"/>
  <c r="BS20" i="133"/>
  <c r="CA20" i="133"/>
  <c r="CN20" i="133"/>
  <c r="BH21" i="133"/>
  <c r="CV21" i="133"/>
  <c r="CD22" i="133"/>
  <c r="BK23" i="133"/>
  <c r="CA23" i="133"/>
  <c r="CQ23" i="133"/>
  <c r="AP11" i="158"/>
  <c r="CV13" i="158"/>
  <c r="CM13" i="158"/>
  <c r="CU13" i="158"/>
  <c r="CT13" i="158"/>
  <c r="CS13" i="158"/>
  <c r="CB13" i="158"/>
  <c r="CQ13" i="158"/>
  <c r="CO13" i="158"/>
  <c r="CR13" i="158"/>
  <c r="CP13" i="158"/>
  <c r="CW13" i="158"/>
  <c r="CN13" i="158"/>
  <c r="CX13" i="158"/>
  <c r="BV13" i="158"/>
  <c r="BP13" i="158"/>
  <c r="BJ13" i="158"/>
  <c r="L11" i="158"/>
  <c r="F17" i="158"/>
  <c r="F15" i="158"/>
  <c r="F21" i="158"/>
  <c r="F19" i="158"/>
  <c r="F13" i="158"/>
  <c r="BH13" i="158"/>
  <c r="BH24" i="158" s="1"/>
  <c r="BO21" i="133"/>
  <c r="CE21" i="133"/>
  <c r="CU21" i="133"/>
  <c r="BS21" i="133"/>
  <c r="CI21" i="133"/>
  <c r="BO22" i="133"/>
  <c r="CE22" i="133"/>
  <c r="CU22" i="133"/>
  <c r="BQ21" i="133"/>
  <c r="BO18" i="133"/>
  <c r="BP18" i="133"/>
  <c r="BT21" i="133"/>
  <c r="CF22" i="133"/>
  <c r="CV22" i="133"/>
  <c r="CE18" i="133"/>
  <c r="BU21" i="133"/>
  <c r="BQ22" i="133"/>
  <c r="CG22" i="133"/>
  <c r="CW22" i="133"/>
  <c r="CX21" i="133"/>
  <c r="CX18" i="133"/>
  <c r="BR22" i="133"/>
  <c r="CH22" i="133"/>
  <c r="CX22" i="133"/>
  <c r="CH21" i="133"/>
  <c r="CF18" i="133"/>
  <c r="CW18" i="133"/>
  <c r="CE19" i="133"/>
  <c r="BW21" i="133"/>
  <c r="CM21" i="133"/>
  <c r="BS22" i="133"/>
  <c r="CI22" i="133"/>
  <c r="BO23" i="133"/>
  <c r="CE23" i="133"/>
  <c r="CU23" i="133"/>
  <c r="CG21" i="133"/>
  <c r="BT18" i="133"/>
  <c r="BX21" i="133"/>
  <c r="CN21" i="133"/>
  <c r="BT22" i="133"/>
  <c r="CJ22" i="133"/>
  <c r="BP23" i="133"/>
  <c r="CF23" i="133"/>
  <c r="CV23" i="133"/>
  <c r="CJ21" i="133"/>
  <c r="BQ18" i="133"/>
  <c r="CK21" i="133"/>
  <c r="CU19" i="133"/>
  <c r="CJ18" i="133"/>
  <c r="BU22" i="133"/>
  <c r="CK22" i="133"/>
  <c r="BQ23" i="133"/>
  <c r="CG23" i="133"/>
  <c r="CW23" i="133"/>
  <c r="CV19" i="133"/>
  <c r="BR19" i="133"/>
  <c r="CH19" i="133"/>
  <c r="CX19" i="133"/>
  <c r="BN20" i="133"/>
  <c r="CD20" i="133"/>
  <c r="CT20" i="133"/>
  <c r="BJ21" i="133"/>
  <c r="BZ21" i="133"/>
  <c r="CP21" i="133"/>
  <c r="BV22" i="133"/>
  <c r="CL22" i="133"/>
  <c r="BR23" i="133"/>
  <c r="CH23" i="133"/>
  <c r="CX23" i="133"/>
  <c r="CU18" i="133"/>
  <c r="BR18" i="133"/>
  <c r="BV21" i="133"/>
  <c r="CI18" i="133"/>
  <c r="BU18" i="133"/>
  <c r="BQ19" i="133"/>
  <c r="BY21" i="133"/>
  <c r="BV18" i="133"/>
  <c r="BS19" i="133"/>
  <c r="CI19" i="133"/>
  <c r="BO20" i="133"/>
  <c r="CE20" i="133"/>
  <c r="CU20" i="133"/>
  <c r="BK21" i="133"/>
  <c r="CA21" i="133"/>
  <c r="CQ21" i="133"/>
  <c r="BW22" i="133"/>
  <c r="CM22" i="133"/>
  <c r="BS23" i="133"/>
  <c r="CI23" i="133"/>
  <c r="CW21" i="133"/>
  <c r="CL21" i="133"/>
  <c r="BS18" i="133"/>
  <c r="CW19" i="133"/>
  <c r="BI21" i="133"/>
  <c r="CM18" i="133"/>
  <c r="BX18" i="133"/>
  <c r="CN18" i="133"/>
  <c r="BT19" i="133"/>
  <c r="CJ19" i="133"/>
  <c r="BP20" i="133"/>
  <c r="CF20" i="133"/>
  <c r="CV20" i="133"/>
  <c r="BL21" i="133"/>
  <c r="CB21" i="133"/>
  <c r="CR21" i="133"/>
  <c r="BX22" i="133"/>
  <c r="CN22" i="133"/>
  <c r="BT23" i="133"/>
  <c r="CJ23" i="133"/>
  <c r="CV18" i="133"/>
  <c r="BP22" i="133"/>
  <c r="CG18" i="133"/>
  <c r="CF19" i="133"/>
  <c r="CK18" i="133"/>
  <c r="CG19" i="133"/>
  <c r="CO21" i="133"/>
  <c r="BI18" i="133"/>
  <c r="BU19" i="133"/>
  <c r="CK19" i="133"/>
  <c r="BQ20" i="133"/>
  <c r="CG20" i="133"/>
  <c r="CW20" i="133"/>
  <c r="BM21" i="133"/>
  <c r="CC21" i="133"/>
  <c r="CS21" i="133"/>
  <c r="BI22" i="133"/>
  <c r="BY22" i="133"/>
  <c r="CO22" i="133"/>
  <c r="BU23" i="133"/>
  <c r="CK23" i="133"/>
  <c r="BR21" i="133"/>
  <c r="CH18" i="133"/>
  <c r="BO19" i="133"/>
  <c r="BP19" i="133"/>
  <c r="CL18" i="133"/>
  <c r="BW18" i="133"/>
  <c r="BY18" i="133"/>
  <c r="CO18" i="133"/>
  <c r="BJ18" i="133"/>
  <c r="BZ18" i="133"/>
  <c r="BV19" i="133"/>
  <c r="BR20" i="133"/>
  <c r="CH20" i="133"/>
  <c r="BN21" i="133"/>
  <c r="CD21" i="133"/>
  <c r="BJ22" i="133"/>
  <c r="BZ22" i="133"/>
  <c r="BV23" i="133"/>
  <c r="BG17" i="133"/>
  <c r="BF17" i="133"/>
  <c r="BE17" i="133"/>
  <c r="BD17" i="133"/>
  <c r="BC17" i="133"/>
  <c r="BB17" i="133"/>
  <c r="J17" i="133"/>
  <c r="A17" i="133"/>
  <c r="BG16" i="133"/>
  <c r="BF16" i="133"/>
  <c r="BE16" i="133"/>
  <c r="BD16" i="133"/>
  <c r="BC16" i="133"/>
  <c r="BB16" i="133"/>
  <c r="J16" i="133"/>
  <c r="A16" i="133"/>
  <c r="CR16" i="133" s="1"/>
  <c r="BG15" i="133"/>
  <c r="BF15" i="133"/>
  <c r="BE15" i="133"/>
  <c r="BD15" i="133"/>
  <c r="BC15" i="133"/>
  <c r="BB15" i="133"/>
  <c r="J15" i="133"/>
  <c r="A15" i="133"/>
  <c r="CU15" i="133" s="1"/>
  <c r="BG14" i="133"/>
  <c r="BF14" i="133"/>
  <c r="BE14" i="133"/>
  <c r="BD14" i="133"/>
  <c r="BC14" i="133"/>
  <c r="BB14" i="133"/>
  <c r="J14" i="133"/>
  <c r="A14" i="133"/>
  <c r="CJ14" i="133" s="1"/>
  <c r="BG13" i="133"/>
  <c r="BF13" i="133"/>
  <c r="BE13" i="133"/>
  <c r="BD13" i="133"/>
  <c r="BC13" i="133"/>
  <c r="BB13" i="133"/>
  <c r="J13" i="133"/>
  <c r="A13" i="133"/>
  <c r="CN13" i="133" s="1"/>
  <c r="AV10" i="133"/>
  <c r="AP10" i="133"/>
  <c r="AJ10" i="133"/>
  <c r="AD10" i="133"/>
  <c r="X10" i="133"/>
  <c r="R10" i="133"/>
  <c r="L10" i="133"/>
  <c r="AV9" i="133"/>
  <c r="AP9" i="133"/>
  <c r="AJ9" i="133"/>
  <c r="AD9" i="133"/>
  <c r="X9" i="133"/>
  <c r="R9" i="133"/>
  <c r="L9" i="133"/>
  <c r="AV3" i="133"/>
  <c r="CS11" i="133" s="1"/>
  <c r="AP3" i="133"/>
  <c r="CM11" i="133" s="1"/>
  <c r="AJ3" i="133"/>
  <c r="CG11" i="133" s="1"/>
  <c r="AD3" i="133"/>
  <c r="CA11" i="133" s="1"/>
  <c r="X3" i="133"/>
  <c r="BU11" i="133" s="1"/>
  <c r="R3" i="133"/>
  <c r="BO11" i="133" s="1"/>
  <c r="L3" i="133"/>
  <c r="BI11" i="133" s="1"/>
  <c r="F32" i="137"/>
  <c r="E32" i="137"/>
  <c r="D32" i="137"/>
  <c r="C32" i="137"/>
  <c r="A32" i="137"/>
  <c r="F31" i="137"/>
  <c r="E31" i="137"/>
  <c r="D31" i="137"/>
  <c r="C31" i="137"/>
  <c r="A31" i="137"/>
  <c r="F30" i="137"/>
  <c r="E30" i="137"/>
  <c r="D30" i="137"/>
  <c r="C30" i="137"/>
  <c r="A30" i="137"/>
  <c r="F29" i="137"/>
  <c r="E29" i="137"/>
  <c r="D29" i="137"/>
  <c r="C29" i="137"/>
  <c r="A29" i="137"/>
  <c r="F28" i="137"/>
  <c r="E28" i="137"/>
  <c r="D28" i="137"/>
  <c r="C28" i="137"/>
  <c r="A28" i="137"/>
  <c r="F27" i="137"/>
  <c r="E27" i="137"/>
  <c r="D27" i="137"/>
  <c r="C27" i="137"/>
  <c r="A27" i="137"/>
  <c r="F26" i="137"/>
  <c r="E26" i="137"/>
  <c r="D26" i="137"/>
  <c r="C26" i="137"/>
  <c r="A26" i="137"/>
  <c r="BA24" i="137"/>
  <c r="AZ24" i="137"/>
  <c r="AY24" i="137"/>
  <c r="AX24" i="137"/>
  <c r="AW24" i="137"/>
  <c r="AV24" i="137"/>
  <c r="AU24" i="137"/>
  <c r="AT24" i="137"/>
  <c r="AS24" i="137"/>
  <c r="AR24" i="137"/>
  <c r="AQ24" i="137"/>
  <c r="AP24" i="137"/>
  <c r="AO24" i="137"/>
  <c r="AN24" i="137"/>
  <c r="AM24" i="137"/>
  <c r="AL24" i="137"/>
  <c r="AK24" i="137"/>
  <c r="AJ24" i="137"/>
  <c r="AI24" i="137"/>
  <c r="AH24" i="137"/>
  <c r="AG24" i="137"/>
  <c r="AF24" i="137"/>
  <c r="AE24" i="137"/>
  <c r="AD24" i="137"/>
  <c r="AC24" i="137"/>
  <c r="AB24" i="137"/>
  <c r="AA24" i="137"/>
  <c r="Z24" i="137"/>
  <c r="Y24" i="137"/>
  <c r="X24" i="137"/>
  <c r="W24" i="137"/>
  <c r="V24" i="137"/>
  <c r="U24" i="137"/>
  <c r="T24" i="137"/>
  <c r="S24" i="137"/>
  <c r="R24" i="137"/>
  <c r="Q24" i="137"/>
  <c r="P24" i="137"/>
  <c r="O24" i="137"/>
  <c r="N24" i="137"/>
  <c r="M24" i="137"/>
  <c r="L24" i="137"/>
  <c r="BG23" i="137"/>
  <c r="BF23" i="137"/>
  <c r="BE23" i="137"/>
  <c r="BD23" i="137"/>
  <c r="BC23" i="137"/>
  <c r="BB23" i="137"/>
  <c r="A23" i="137"/>
  <c r="CL23" i="137" s="1"/>
  <c r="BG22" i="137"/>
  <c r="BF22" i="137"/>
  <c r="BE22" i="137"/>
  <c r="BD22" i="137"/>
  <c r="BC22" i="137"/>
  <c r="BB22" i="137"/>
  <c r="A22" i="137"/>
  <c r="CN22" i="137" s="1"/>
  <c r="BG21" i="137"/>
  <c r="BF21" i="137"/>
  <c r="BE21" i="137"/>
  <c r="BD21" i="137"/>
  <c r="BC21" i="137"/>
  <c r="BB21" i="137"/>
  <c r="J21" i="137"/>
  <c r="A21" i="137"/>
  <c r="CP21" i="137" s="1"/>
  <c r="BG20" i="137"/>
  <c r="BF20" i="137"/>
  <c r="BE20" i="137"/>
  <c r="BD20" i="137"/>
  <c r="BC20" i="137"/>
  <c r="BB20" i="137"/>
  <c r="J20" i="137"/>
  <c r="A20" i="137"/>
  <c r="CS20" i="137" s="1"/>
  <c r="BG19" i="137"/>
  <c r="BF19" i="137"/>
  <c r="BE19" i="137"/>
  <c r="BD19" i="137"/>
  <c r="BC19" i="137"/>
  <c r="BB19" i="137"/>
  <c r="J19" i="137"/>
  <c r="A19" i="137"/>
  <c r="CV19" i="137" s="1"/>
  <c r="BG18" i="137"/>
  <c r="BF18" i="137"/>
  <c r="BE18" i="137"/>
  <c r="BD18" i="137"/>
  <c r="BC18" i="137"/>
  <c r="BB18" i="137"/>
  <c r="J18" i="137"/>
  <c r="A18" i="137"/>
  <c r="CI18" i="137" s="1"/>
  <c r="BG17" i="137"/>
  <c r="BF17" i="137"/>
  <c r="BE17" i="137"/>
  <c r="BD17" i="137"/>
  <c r="BC17" i="137"/>
  <c r="BB17" i="137"/>
  <c r="J17" i="137"/>
  <c r="A17" i="137"/>
  <c r="CL17" i="137" s="1"/>
  <c r="BG16" i="137"/>
  <c r="BF16" i="137"/>
  <c r="BE16" i="137"/>
  <c r="BD16" i="137"/>
  <c r="BC16" i="137"/>
  <c r="BB16" i="137"/>
  <c r="J16" i="137"/>
  <c r="A16" i="137"/>
  <c r="CO16" i="137" s="1"/>
  <c r="CV17" i="158"/>
  <c r="CU17" i="158"/>
  <c r="BI13" i="158"/>
  <c r="BR13" i="158"/>
  <c r="BM13" i="158"/>
  <c r="CE13" i="158"/>
  <c r="CI13" i="158"/>
  <c r="BS13" i="158"/>
  <c r="BZ13" i="158"/>
  <c r="CJ13" i="158"/>
  <c r="CG13" i="158"/>
  <c r="BL13" i="158"/>
  <c r="CD13" i="158"/>
  <c r="BQ13" i="158"/>
  <c r="CC13" i="158"/>
  <c r="BX13" i="158"/>
  <c r="CA13" i="158"/>
  <c r="BY13" i="158"/>
  <c r="BO13" i="158"/>
  <c r="BU13" i="158"/>
  <c r="BN13" i="158"/>
  <c r="BT13" i="158"/>
  <c r="CL13" i="158"/>
  <c r="BK13" i="158"/>
  <c r="BW13" i="158"/>
  <c r="CF13" i="158"/>
  <c r="CK13" i="158"/>
  <c r="CH13" i="158"/>
  <c r="BW15" i="158"/>
  <c r="CX15" i="158"/>
  <c r="CI15" i="158"/>
  <c r="BS15" i="158"/>
  <c r="CR15" i="158"/>
  <c r="BR15" i="158"/>
  <c r="CA15" i="158"/>
  <c r="CU15" i="158"/>
  <c r="BU15" i="158"/>
  <c r="BO15" i="158"/>
  <c r="CC15" i="158"/>
  <c r="CF15" i="158"/>
  <c r="CJ15" i="158"/>
  <c r="CG15" i="158"/>
  <c r="BT15" i="158"/>
  <c r="CK15" i="158"/>
  <c r="CV15" i="158"/>
  <c r="CW15" i="158"/>
  <c r="BZ15" i="158"/>
  <c r="BQ15" i="158"/>
  <c r="BX15" i="158"/>
  <c r="BY15" i="158"/>
  <c r="CE15" i="158"/>
  <c r="CQ15" i="158"/>
  <c r="CL15" i="158"/>
  <c r="CD15" i="158"/>
  <c r="CO15" i="158"/>
  <c r="CP15" i="158"/>
  <c r="CA14" i="133" l="1"/>
  <c r="L11" i="133"/>
  <c r="CR19" i="137"/>
  <c r="BX23" i="137"/>
  <c r="CW19" i="137"/>
  <c r="CK18" i="137"/>
  <c r="AJ11" i="133"/>
  <c r="CN15" i="133"/>
  <c r="BZ13" i="133"/>
  <c r="CG19" i="137"/>
  <c r="R11" i="133"/>
  <c r="BM15" i="133"/>
  <c r="X11" i="133"/>
  <c r="BN15" i="133"/>
  <c r="BP15" i="133"/>
  <c r="BL14" i="133"/>
  <c r="BV15" i="133"/>
  <c r="BM14" i="133"/>
  <c r="BW15" i="133"/>
  <c r="BY18" i="137"/>
  <c r="BN23" i="137"/>
  <c r="BN13" i="133"/>
  <c r="BU14" i="133"/>
  <c r="BX15" i="133"/>
  <c r="BZ18" i="137"/>
  <c r="BW23" i="137"/>
  <c r="BY13" i="133"/>
  <c r="BW14" i="133"/>
  <c r="CD15" i="133"/>
  <c r="CL18" i="137"/>
  <c r="BH22" i="137"/>
  <c r="CP13" i="133"/>
  <c r="CO15" i="133"/>
  <c r="CM18" i="137"/>
  <c r="CO23" i="137"/>
  <c r="CQ13" i="133"/>
  <c r="CV15" i="133"/>
  <c r="CN23" i="137"/>
  <c r="CP23" i="137"/>
  <c r="CR13" i="133"/>
  <c r="CW15" i="133"/>
  <c r="BH23" i="137"/>
  <c r="CU18" i="137"/>
  <c r="CX18" i="137"/>
  <c r="CQ17" i="137"/>
  <c r="BK17" i="137"/>
  <c r="BK16" i="137"/>
  <c r="CB14" i="133"/>
  <c r="CR17" i="137"/>
  <c r="CC14" i="133"/>
  <c r="BL16" i="137"/>
  <c r="CP14" i="133"/>
  <c r="BM16" i="137"/>
  <c r="CQ14" i="133"/>
  <c r="BX17" i="137"/>
  <c r="CD16" i="137"/>
  <c r="BY17" i="137"/>
  <c r="BN18" i="137"/>
  <c r="CU20" i="137"/>
  <c r="BK22" i="137"/>
  <c r="CR14" i="133"/>
  <c r="CF15" i="133"/>
  <c r="CJ17" i="137"/>
  <c r="BW17" i="137"/>
  <c r="BK18" i="137"/>
  <c r="CP16" i="137"/>
  <c r="CG17" i="137"/>
  <c r="BO18" i="137"/>
  <c r="BW22" i="137"/>
  <c r="CG15" i="133"/>
  <c r="CS17" i="137"/>
  <c r="BL17" i="137"/>
  <c r="BM17" i="137"/>
  <c r="CB16" i="137"/>
  <c r="CQ16" i="137"/>
  <c r="CH17" i="137"/>
  <c r="BX18" i="137"/>
  <c r="BT19" i="137"/>
  <c r="CM15" i="133"/>
  <c r="AP11" i="133"/>
  <c r="AD11" i="133"/>
  <c r="BB11" i="158"/>
  <c r="CC21" i="137"/>
  <c r="BJ22" i="137"/>
  <c r="BT22" i="137"/>
  <c r="CE22" i="137"/>
  <c r="CT22" i="137"/>
  <c r="BH17" i="133"/>
  <c r="CF22" i="137"/>
  <c r="BH18" i="137"/>
  <c r="BK19" i="137"/>
  <c r="BV19" i="137"/>
  <c r="CI19" i="137"/>
  <c r="CX19" i="137"/>
  <c r="BL21" i="137"/>
  <c r="CE21" i="137"/>
  <c r="BL22" i="137"/>
  <c r="BY22" i="137"/>
  <c r="CJ22" i="137"/>
  <c r="CV22" i="137"/>
  <c r="AV11" i="133"/>
  <c r="BH14" i="133"/>
  <c r="CX15" i="133"/>
  <c r="CD21" i="137"/>
  <c r="BH16" i="137"/>
  <c r="BN16" i="137"/>
  <c r="CR16" i="137"/>
  <c r="BN17" i="137"/>
  <c r="BZ17" i="137"/>
  <c r="CK17" i="137"/>
  <c r="CT17" i="137"/>
  <c r="BR18" i="137"/>
  <c r="CA18" i="137"/>
  <c r="CN18" i="137"/>
  <c r="BL19" i="137"/>
  <c r="BW19" i="137"/>
  <c r="CJ19" i="137"/>
  <c r="BN20" i="137"/>
  <c r="BH21" i="137"/>
  <c r="BM21" i="137"/>
  <c r="CQ21" i="137"/>
  <c r="BM22" i="137"/>
  <c r="BZ22" i="137"/>
  <c r="CO22" i="137"/>
  <c r="BI23" i="137"/>
  <c r="BY23" i="137"/>
  <c r="CQ23" i="137"/>
  <c r="BI13" i="133"/>
  <c r="CA13" i="133"/>
  <c r="CS13" i="133"/>
  <c r="BV14" i="133"/>
  <c r="CK14" i="133"/>
  <c r="CS14" i="133"/>
  <c r="BQ15" i="133"/>
  <c r="BY15" i="133"/>
  <c r="CP15" i="133"/>
  <c r="BN16" i="133"/>
  <c r="BZ16" i="137"/>
  <c r="CS16" i="137"/>
  <c r="BQ17" i="137"/>
  <c r="CA17" i="137"/>
  <c r="CM17" i="137"/>
  <c r="CW17" i="137"/>
  <c r="BT18" i="137"/>
  <c r="CD18" i="137"/>
  <c r="CO18" i="137"/>
  <c r="BH19" i="137"/>
  <c r="BX19" i="137"/>
  <c r="CK19" i="137"/>
  <c r="BO20" i="137"/>
  <c r="BN21" i="137"/>
  <c r="CR21" i="137"/>
  <c r="BN22" i="137"/>
  <c r="CA22" i="137"/>
  <c r="CP22" i="137"/>
  <c r="BJ23" i="137"/>
  <c r="BZ23" i="137"/>
  <c r="CR23" i="137"/>
  <c r="BB10" i="133"/>
  <c r="BJ13" i="133"/>
  <c r="CB13" i="133"/>
  <c r="CT13" i="133"/>
  <c r="CL14" i="133"/>
  <c r="BI15" i="133"/>
  <c r="BR15" i="133"/>
  <c r="BZ15" i="133"/>
  <c r="CI15" i="133"/>
  <c r="CQ15" i="133"/>
  <c r="CD16" i="133"/>
  <c r="BK21" i="137"/>
  <c r="CA16" i="137"/>
  <c r="CT16" i="137"/>
  <c r="BH17" i="137"/>
  <c r="BR17" i="137"/>
  <c r="CB17" i="137"/>
  <c r="CN17" i="137"/>
  <c r="CX17" i="137"/>
  <c r="BU18" i="137"/>
  <c r="CE18" i="137"/>
  <c r="CP18" i="137"/>
  <c r="BQ19" i="137"/>
  <c r="CL19" i="137"/>
  <c r="BH20" i="137"/>
  <c r="CD20" i="137"/>
  <c r="BO21" i="137"/>
  <c r="CS21" i="137"/>
  <c r="BO22" i="137"/>
  <c r="CB22" i="137"/>
  <c r="CQ22" i="137"/>
  <c r="BK23" i="137"/>
  <c r="CA23" i="137"/>
  <c r="BK13" i="133"/>
  <c r="CC13" i="133"/>
  <c r="BI14" i="133"/>
  <c r="BX14" i="133"/>
  <c r="CM14" i="133"/>
  <c r="BJ15" i="133"/>
  <c r="BS15" i="133"/>
  <c r="CJ15" i="133"/>
  <c r="CR15" i="133"/>
  <c r="BH16" i="133"/>
  <c r="CT16" i="133"/>
  <c r="BI17" i="137"/>
  <c r="BT17" i="137"/>
  <c r="CC17" i="137"/>
  <c r="CO17" i="137"/>
  <c r="BI18" i="137"/>
  <c r="BV18" i="137"/>
  <c r="CH18" i="137"/>
  <c r="CQ18" i="137"/>
  <c r="BR19" i="137"/>
  <c r="CB19" i="137"/>
  <c r="CM19" i="137"/>
  <c r="CE20" i="137"/>
  <c r="CA21" i="137"/>
  <c r="CT21" i="137"/>
  <c r="BP22" i="137"/>
  <c r="CC22" i="137"/>
  <c r="CR22" i="137"/>
  <c r="BL23" i="137"/>
  <c r="CB23" i="137"/>
  <c r="BL13" i="133"/>
  <c r="CD13" i="133"/>
  <c r="BJ14" i="133"/>
  <c r="BY14" i="133"/>
  <c r="CN14" i="133"/>
  <c r="BH15" i="133"/>
  <c r="BK15" i="133"/>
  <c r="BT15" i="133"/>
  <c r="CB15" i="133"/>
  <c r="CK15" i="133"/>
  <c r="CS15" i="133"/>
  <c r="CU22" i="137"/>
  <c r="BJ16" i="137"/>
  <c r="CC16" i="137"/>
  <c r="BJ17" i="137"/>
  <c r="BU17" i="137"/>
  <c r="CD17" i="137"/>
  <c r="CP17" i="137"/>
  <c r="BJ18" i="137"/>
  <c r="BW18" i="137"/>
  <c r="CJ18" i="137"/>
  <c r="CT18" i="137"/>
  <c r="BS19" i="137"/>
  <c r="CE19" i="137"/>
  <c r="CN19" i="137"/>
  <c r="CT20" i="137"/>
  <c r="CB21" i="137"/>
  <c r="CU21" i="137"/>
  <c r="BI22" i="137"/>
  <c r="BS22" i="137"/>
  <c r="CD22" i="137"/>
  <c r="CS22" i="137"/>
  <c r="BM23" i="137"/>
  <c r="CM23" i="137"/>
  <c r="BM13" i="133"/>
  <c r="CO13" i="133"/>
  <c r="BK14" i="133"/>
  <c r="BZ14" i="133"/>
  <c r="CO14" i="133"/>
  <c r="BL15" i="133"/>
  <c r="CC15" i="133"/>
  <c r="CL15" i="133"/>
  <c r="CT15" i="133"/>
  <c r="BM16" i="133"/>
  <c r="CC16" i="133"/>
  <c r="CS16" i="133"/>
  <c r="BP16" i="133"/>
  <c r="CF16" i="133"/>
  <c r="CV16" i="133"/>
  <c r="CU16" i="133"/>
  <c r="BQ16" i="133"/>
  <c r="CG16" i="133"/>
  <c r="CW16" i="133"/>
  <c r="BR16" i="133"/>
  <c r="CH16" i="133"/>
  <c r="CX16" i="133"/>
  <c r="BO13" i="133"/>
  <c r="CE13" i="133"/>
  <c r="CU13" i="133"/>
  <c r="BS16" i="133"/>
  <c r="CI16" i="133"/>
  <c r="CT17" i="133"/>
  <c r="CS17" i="133"/>
  <c r="CN17" i="133"/>
  <c r="CM17" i="133"/>
  <c r="CH17" i="133"/>
  <c r="CB17" i="133"/>
  <c r="BV17" i="133"/>
  <c r="BP17" i="133"/>
  <c r="BJ17" i="133"/>
  <c r="BO16" i="133"/>
  <c r="BT16" i="133"/>
  <c r="CJ16" i="133"/>
  <c r="BQ13" i="133"/>
  <c r="CG13" i="133"/>
  <c r="CW13" i="133"/>
  <c r="BU16" i="133"/>
  <c r="CK16" i="133"/>
  <c r="BB24" i="133"/>
  <c r="BR13" i="133"/>
  <c r="CH13" i="133"/>
  <c r="CX13" i="133"/>
  <c r="BN14" i="133"/>
  <c r="CD14" i="133"/>
  <c r="CT14" i="133"/>
  <c r="BV16" i="133"/>
  <c r="CL16" i="133"/>
  <c r="CF13" i="133"/>
  <c r="BC24" i="133"/>
  <c r="BS13" i="133"/>
  <c r="CI13" i="133"/>
  <c r="BO14" i="133"/>
  <c r="CE14" i="133"/>
  <c r="CU14" i="133"/>
  <c r="BW16" i="133"/>
  <c r="CM16" i="133"/>
  <c r="CV13" i="133"/>
  <c r="BD24" i="133"/>
  <c r="BT13" i="133"/>
  <c r="CJ13" i="133"/>
  <c r="BP14" i="133"/>
  <c r="CF14" i="133"/>
  <c r="CV14" i="133"/>
  <c r="BX16" i="133"/>
  <c r="CN16" i="133"/>
  <c r="BP13" i="133"/>
  <c r="BQ14" i="133"/>
  <c r="CG14" i="133"/>
  <c r="CW14" i="133"/>
  <c r="BI16" i="133"/>
  <c r="BY16" i="133"/>
  <c r="CO16" i="133"/>
  <c r="BF24" i="133"/>
  <c r="BV13" i="133"/>
  <c r="CL13" i="133"/>
  <c r="BR14" i="133"/>
  <c r="CH14" i="133"/>
  <c r="CX14" i="133"/>
  <c r="BJ16" i="133"/>
  <c r="BZ16" i="133"/>
  <c r="CP16" i="133"/>
  <c r="BB9" i="133"/>
  <c r="BG24" i="133"/>
  <c r="BW13" i="133"/>
  <c r="CM13" i="133"/>
  <c r="BS14" i="133"/>
  <c r="CI14" i="133"/>
  <c r="CE15" i="133"/>
  <c r="BK16" i="133"/>
  <c r="CA16" i="133"/>
  <c r="CQ16" i="133"/>
  <c r="CE16" i="133"/>
  <c r="BE24" i="133"/>
  <c r="BU13" i="133"/>
  <c r="CK13" i="133"/>
  <c r="BH13" i="133"/>
  <c r="BX13" i="133"/>
  <c r="BT14" i="133"/>
  <c r="BL16" i="133"/>
  <c r="CB16" i="133"/>
  <c r="BP20" i="137"/>
  <c r="CF20" i="137"/>
  <c r="CV20" i="137"/>
  <c r="BQ20" i="137"/>
  <c r="CG20" i="137"/>
  <c r="CW20" i="137"/>
  <c r="BR20" i="137"/>
  <c r="CH20" i="137"/>
  <c r="CX20" i="137"/>
  <c r="BO16" i="137"/>
  <c r="CE16" i="137"/>
  <c r="CU16" i="137"/>
  <c r="BS20" i="137"/>
  <c r="CI20" i="137"/>
  <c r="BP21" i="137"/>
  <c r="CF21" i="137"/>
  <c r="CV21" i="137"/>
  <c r="BT20" i="137"/>
  <c r="CJ20" i="137"/>
  <c r="BQ21" i="137"/>
  <c r="CG21" i="137"/>
  <c r="CW21" i="137"/>
  <c r="CC23" i="137"/>
  <c r="CS23" i="137"/>
  <c r="CG16" i="137"/>
  <c r="BU20" i="137"/>
  <c r="CK20" i="137"/>
  <c r="BR21" i="137"/>
  <c r="CH21" i="137"/>
  <c r="CX21" i="137"/>
  <c r="CD23" i="137"/>
  <c r="CT23" i="137"/>
  <c r="BQ16" i="137"/>
  <c r="BR16" i="137"/>
  <c r="CH16" i="137"/>
  <c r="CX16" i="137"/>
  <c r="BO17" i="137"/>
  <c r="CE17" i="137"/>
  <c r="CU17" i="137"/>
  <c r="BL18" i="137"/>
  <c r="CB18" i="137"/>
  <c r="CR18" i="137"/>
  <c r="BY19" i="137"/>
  <c r="CO19" i="137"/>
  <c r="BV20" i="137"/>
  <c r="CL20" i="137"/>
  <c r="BS21" i="137"/>
  <c r="CI21" i="137"/>
  <c r="BQ22" i="137"/>
  <c r="CG22" i="137"/>
  <c r="CW22" i="137"/>
  <c r="BO23" i="137"/>
  <c r="CE23" i="137"/>
  <c r="CU23" i="137"/>
  <c r="BP16" i="137"/>
  <c r="CW16" i="137"/>
  <c r="BS16" i="137"/>
  <c r="CI16" i="137"/>
  <c r="BP17" i="137"/>
  <c r="CF17" i="137"/>
  <c r="CV17" i="137"/>
  <c r="BM18" i="137"/>
  <c r="CC18" i="137"/>
  <c r="CS18" i="137"/>
  <c r="BJ19" i="137"/>
  <c r="BZ19" i="137"/>
  <c r="CP19" i="137"/>
  <c r="BW20" i="137"/>
  <c r="CM20" i="137"/>
  <c r="BT21" i="137"/>
  <c r="CJ21" i="137"/>
  <c r="BR22" i="137"/>
  <c r="CH22" i="137"/>
  <c r="CX22" i="137"/>
  <c r="BP23" i="137"/>
  <c r="CF23" i="137"/>
  <c r="CV23" i="137"/>
  <c r="CF16" i="137"/>
  <c r="CJ16" i="137"/>
  <c r="CQ19" i="137"/>
  <c r="BX20" i="137"/>
  <c r="CN20" i="137"/>
  <c r="BU21" i="137"/>
  <c r="CK21" i="137"/>
  <c r="CI22" i="137"/>
  <c r="BQ23" i="137"/>
  <c r="CG23" i="137"/>
  <c r="CW23" i="137"/>
  <c r="CV16" i="137"/>
  <c r="BU16" i="137"/>
  <c r="BI20" i="137"/>
  <c r="BY20" i="137"/>
  <c r="CO20" i="137"/>
  <c r="BV21" i="137"/>
  <c r="CL21" i="137"/>
  <c r="BR23" i="137"/>
  <c r="CH23" i="137"/>
  <c r="CX23" i="137"/>
  <c r="BT16" i="137"/>
  <c r="CK16" i="137"/>
  <c r="BV16" i="137"/>
  <c r="CL16" i="137"/>
  <c r="BS17" i="137"/>
  <c r="CI17" i="137"/>
  <c r="BP18" i="137"/>
  <c r="CF18" i="137"/>
  <c r="CV18" i="137"/>
  <c r="BM19" i="137"/>
  <c r="CC19" i="137"/>
  <c r="CS19" i="137"/>
  <c r="BJ20" i="137"/>
  <c r="BZ20" i="137"/>
  <c r="CP20" i="137"/>
  <c r="BW21" i="137"/>
  <c r="CM21" i="137"/>
  <c r="BU22" i="137"/>
  <c r="CK22" i="137"/>
  <c r="BS23" i="137"/>
  <c r="CI23" i="137"/>
  <c r="BW16" i="137"/>
  <c r="BQ18" i="137"/>
  <c r="CG18" i="137"/>
  <c r="CW18" i="137"/>
  <c r="BN19" i="137"/>
  <c r="CD19" i="137"/>
  <c r="CT19" i="137"/>
  <c r="BK20" i="137"/>
  <c r="CA20" i="137"/>
  <c r="CQ20" i="137"/>
  <c r="BX21" i="137"/>
  <c r="CN21" i="137"/>
  <c r="BV22" i="137"/>
  <c r="CL22" i="137"/>
  <c r="BT23" i="137"/>
  <c r="CJ23" i="137"/>
  <c r="CN16" i="137"/>
  <c r="CU19" i="137"/>
  <c r="BL20" i="137"/>
  <c r="CB20" i="137"/>
  <c r="CR20" i="137"/>
  <c r="BI21" i="137"/>
  <c r="BY21" i="137"/>
  <c r="CO21" i="137"/>
  <c r="CM22" i="137"/>
  <c r="BU23" i="137"/>
  <c r="CK23" i="137"/>
  <c r="CM16" i="137"/>
  <c r="BX16" i="137"/>
  <c r="BI16" i="137"/>
  <c r="BY16" i="137"/>
  <c r="BV17" i="137"/>
  <c r="BS18" i="137"/>
  <c r="BP19" i="137"/>
  <c r="BM20" i="137"/>
  <c r="CC20" i="137"/>
  <c r="BJ21" i="137"/>
  <c r="BZ21" i="137"/>
  <c r="BX22" i="137"/>
  <c r="BV23" i="137"/>
  <c r="BG15" i="137"/>
  <c r="BF15" i="137"/>
  <c r="BE15" i="137"/>
  <c r="BD15" i="137"/>
  <c r="BC15" i="137"/>
  <c r="BB15" i="137"/>
  <c r="J15" i="137"/>
  <c r="A15" i="137"/>
  <c r="BG14" i="137"/>
  <c r="BF14" i="137"/>
  <c r="BE14" i="137"/>
  <c r="BD14" i="137"/>
  <c r="BC14" i="137"/>
  <c r="BB14" i="137"/>
  <c r="J14" i="137"/>
  <c r="A14" i="137"/>
  <c r="CQ14" i="137" s="1"/>
  <c r="BG13" i="137"/>
  <c r="BF13" i="137"/>
  <c r="BE13" i="137"/>
  <c r="BD13" i="137"/>
  <c r="BC13" i="137"/>
  <c r="BB13" i="137"/>
  <c r="J13" i="137"/>
  <c r="A13" i="137"/>
  <c r="CT13" i="137" s="1"/>
  <c r="AV10" i="137"/>
  <c r="AP10" i="137"/>
  <c r="AJ10" i="137"/>
  <c r="AD10" i="137"/>
  <c r="X10" i="137"/>
  <c r="R10" i="137"/>
  <c r="L10" i="137"/>
  <c r="AV9" i="137"/>
  <c r="AP9" i="137"/>
  <c r="AJ9" i="137"/>
  <c r="AD9" i="137"/>
  <c r="X9" i="137"/>
  <c r="R9" i="137"/>
  <c r="L9" i="137"/>
  <c r="B4" i="137"/>
  <c r="AV3" i="137"/>
  <c r="CS11" i="137" s="1"/>
  <c r="AP3" i="137"/>
  <c r="CM11" i="137" s="1"/>
  <c r="AJ3" i="137"/>
  <c r="CG11" i="137" s="1"/>
  <c r="AD3" i="137"/>
  <c r="CA11" i="137" s="1"/>
  <c r="X3" i="137"/>
  <c r="BU11" i="137" s="1"/>
  <c r="R3" i="137"/>
  <c r="BO11" i="137" s="1"/>
  <c r="L3" i="137"/>
  <c r="BI11" i="137" s="1"/>
  <c r="B3" i="137"/>
  <c r="A1" i="137"/>
  <c r="C229" i="104"/>
  <c r="C228" i="104"/>
  <c r="C227" i="104"/>
  <c r="C226" i="104"/>
  <c r="C225" i="104"/>
  <c r="C224" i="104"/>
  <c r="C223" i="104"/>
  <c r="C222" i="104"/>
  <c r="C221" i="104"/>
  <c r="C220" i="104"/>
  <c r="C219" i="104"/>
  <c r="C218" i="104"/>
  <c r="C217" i="104"/>
  <c r="C216" i="104"/>
  <c r="C215" i="104"/>
  <c r="C214" i="104"/>
  <c r="C213" i="104"/>
  <c r="C212" i="104"/>
  <c r="C211" i="104"/>
  <c r="C210" i="104"/>
  <c r="C209" i="104"/>
  <c r="C208" i="104"/>
  <c r="C207" i="104"/>
  <c r="C206" i="104"/>
  <c r="C205" i="104"/>
  <c r="C204" i="104"/>
  <c r="C203" i="104"/>
  <c r="C202" i="104"/>
  <c r="C201" i="104"/>
  <c r="C200" i="104"/>
  <c r="C199" i="104"/>
  <c r="C198" i="104"/>
  <c r="C197" i="104"/>
  <c r="C196" i="104"/>
  <c r="C195" i="104"/>
  <c r="C194" i="104"/>
  <c r="C193" i="104"/>
  <c r="C192" i="104"/>
  <c r="C191" i="104"/>
  <c r="C190" i="104"/>
  <c r="C189" i="104"/>
  <c r="C188" i="104"/>
  <c r="C187" i="104"/>
  <c r="C186" i="104"/>
  <c r="C185" i="104"/>
  <c r="C184" i="104"/>
  <c r="C183" i="104"/>
  <c r="C182" i="104"/>
  <c r="C181" i="104"/>
  <c r="C180" i="104"/>
  <c r="C179" i="104"/>
  <c r="C178" i="104"/>
  <c r="C177" i="104"/>
  <c r="C176" i="104"/>
  <c r="C175" i="104"/>
  <c r="C174" i="104"/>
  <c r="C173" i="104"/>
  <c r="C172" i="104"/>
  <c r="C171" i="104"/>
  <c r="C170" i="104"/>
  <c r="C169" i="104"/>
  <c r="C168" i="104"/>
  <c r="C167" i="104"/>
  <c r="C166" i="104"/>
  <c r="C165" i="104"/>
  <c r="C164" i="104"/>
  <c r="C163" i="104"/>
  <c r="C162" i="104"/>
  <c r="C161" i="104"/>
  <c r="C160" i="104"/>
  <c r="C159" i="104"/>
  <c r="C158" i="104"/>
  <c r="C157" i="104"/>
  <c r="C156" i="104"/>
  <c r="C155" i="104"/>
  <c r="C154" i="104"/>
  <c r="C153" i="104"/>
  <c r="C152" i="104"/>
  <c r="C151" i="104"/>
  <c r="C150" i="104"/>
  <c r="C149" i="104"/>
  <c r="C148" i="104"/>
  <c r="C147" i="104"/>
  <c r="C146" i="104"/>
  <c r="C145" i="104"/>
  <c r="C144" i="104"/>
  <c r="C143" i="104"/>
  <c r="C142" i="104"/>
  <c r="C141" i="104"/>
  <c r="C140" i="104"/>
  <c r="C139" i="104"/>
  <c r="C138" i="104"/>
  <c r="C137" i="104"/>
  <c r="C136" i="104"/>
  <c r="C135" i="104"/>
  <c r="C134" i="104"/>
  <c r="C133" i="104"/>
  <c r="C132" i="104"/>
  <c r="C131" i="104"/>
  <c r="C130" i="104"/>
  <c r="C129" i="104"/>
  <c r="C128" i="104"/>
  <c r="C127" i="104"/>
  <c r="C126" i="104"/>
  <c r="C125" i="104"/>
  <c r="C124" i="104"/>
  <c r="C123" i="104"/>
  <c r="C122" i="104"/>
  <c r="C121" i="104"/>
  <c r="C120" i="104"/>
  <c r="C119" i="104"/>
  <c r="C118" i="104"/>
  <c r="C117" i="104"/>
  <c r="C116" i="104"/>
  <c r="C115" i="104"/>
  <c r="C114" i="104"/>
  <c r="C113" i="104"/>
  <c r="C112" i="104"/>
  <c r="C111" i="104"/>
  <c r="C110" i="104"/>
  <c r="C109" i="104"/>
  <c r="C108" i="104"/>
  <c r="C107" i="104"/>
  <c r="C106" i="104"/>
  <c r="C105" i="104"/>
  <c r="C104" i="104"/>
  <c r="C103" i="104"/>
  <c r="C102" i="104"/>
  <c r="C101" i="104"/>
  <c r="C100" i="104"/>
  <c r="C99" i="104"/>
  <c r="C98" i="104"/>
  <c r="C97" i="104"/>
  <c r="C96" i="104"/>
  <c r="C95" i="104"/>
  <c r="C94" i="104"/>
  <c r="C93" i="104"/>
  <c r="C92" i="104"/>
  <c r="C91" i="104"/>
  <c r="C90" i="104"/>
  <c r="C89" i="104"/>
  <c r="C88" i="104"/>
  <c r="C87" i="104"/>
  <c r="C86" i="104"/>
  <c r="C85" i="104"/>
  <c r="C84" i="104"/>
  <c r="C83" i="104"/>
  <c r="C82" i="104"/>
  <c r="C81" i="104"/>
  <c r="C80" i="104"/>
  <c r="C79" i="104"/>
  <c r="C78" i="104"/>
  <c r="C77" i="104"/>
  <c r="C76" i="104"/>
  <c r="C75" i="104"/>
  <c r="C74" i="104"/>
  <c r="C73" i="104"/>
  <c r="C72" i="104"/>
  <c r="C71" i="104"/>
  <c r="C70" i="104"/>
  <c r="C69" i="104"/>
  <c r="C68" i="104"/>
  <c r="C67" i="104"/>
  <c r="C66" i="104"/>
  <c r="C65" i="104"/>
  <c r="C64" i="104"/>
  <c r="C63" i="104"/>
  <c r="C62" i="104"/>
  <c r="C61" i="104"/>
  <c r="C60" i="104"/>
  <c r="C59" i="104"/>
  <c r="C58" i="104"/>
  <c r="C57" i="104"/>
  <c r="C56" i="104"/>
  <c r="C55" i="104"/>
  <c r="C54" i="104"/>
  <c r="C53" i="104"/>
  <c r="C52" i="104"/>
  <c r="C51" i="104"/>
  <c r="C50" i="104"/>
  <c r="C49" i="104"/>
  <c r="C48" i="104"/>
  <c r="C47" i="104"/>
  <c r="C46" i="104"/>
  <c r="C45" i="104"/>
  <c r="C44" i="104"/>
  <c r="C43" i="104"/>
  <c r="C42" i="104"/>
  <c r="C41" i="104"/>
  <c r="C40" i="104"/>
  <c r="C39" i="104"/>
  <c r="C38" i="104"/>
  <c r="C37" i="104"/>
  <c r="C36" i="104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D32" i="107" s="1"/>
  <c r="B1725" i="102"/>
  <c r="B1724" i="102"/>
  <c r="B1723" i="102"/>
  <c r="B1722" i="102"/>
  <c r="B1721" i="102"/>
  <c r="B1720" i="102"/>
  <c r="B1719" i="102"/>
  <c r="B1718" i="102"/>
  <c r="B1717" i="102"/>
  <c r="B1716" i="102"/>
  <c r="B1715" i="102"/>
  <c r="B1714" i="102"/>
  <c r="B1713" i="102"/>
  <c r="B1712" i="102"/>
  <c r="B1711" i="102"/>
  <c r="B1710" i="102"/>
  <c r="B1709" i="102"/>
  <c r="B1708" i="102"/>
  <c r="B1707" i="102"/>
  <c r="B1706" i="102"/>
  <c r="B1705" i="102"/>
  <c r="B1704" i="102"/>
  <c r="B1703" i="102"/>
  <c r="B1702" i="102"/>
  <c r="B1701" i="102"/>
  <c r="B1700" i="102"/>
  <c r="B1699" i="102"/>
  <c r="B1698" i="102"/>
  <c r="B1697" i="102"/>
  <c r="B1696" i="102"/>
  <c r="B1695" i="102"/>
  <c r="B1694" i="102"/>
  <c r="B1693" i="102"/>
  <c r="B1692" i="102"/>
  <c r="B1691" i="102"/>
  <c r="B1690" i="102"/>
  <c r="B1689" i="102"/>
  <c r="B1688" i="102"/>
  <c r="B1687" i="102"/>
  <c r="B1686" i="102"/>
  <c r="B1685" i="102"/>
  <c r="B1684" i="102"/>
  <c r="B1683" i="102"/>
  <c r="B1682" i="102"/>
  <c r="B1681" i="102"/>
  <c r="B1680" i="102"/>
  <c r="B1679" i="102"/>
  <c r="B1678" i="102"/>
  <c r="B1677" i="102"/>
  <c r="B1676" i="102"/>
  <c r="B1675" i="102"/>
  <c r="B1674" i="102"/>
  <c r="B1673" i="102"/>
  <c r="B1672" i="102"/>
  <c r="B1671" i="102"/>
  <c r="B1670" i="102"/>
  <c r="B1669" i="102"/>
  <c r="B1668" i="102"/>
  <c r="B1667" i="102"/>
  <c r="B1666" i="102"/>
  <c r="B1665" i="102"/>
  <c r="B1664" i="102"/>
  <c r="B1663" i="102"/>
  <c r="B1662" i="102"/>
  <c r="B1661" i="102"/>
  <c r="B1660" i="102"/>
  <c r="B1659" i="102"/>
  <c r="B1658" i="102"/>
  <c r="B1657" i="102"/>
  <c r="B1656" i="102"/>
  <c r="B1655" i="102"/>
  <c r="B1654" i="102"/>
  <c r="B1653" i="102"/>
  <c r="B1652" i="102"/>
  <c r="B1651" i="102"/>
  <c r="B1650" i="102"/>
  <c r="B1649" i="102"/>
  <c r="B1648" i="102"/>
  <c r="B1647" i="102"/>
  <c r="B1646" i="102"/>
  <c r="B1645" i="102"/>
  <c r="B1644" i="102"/>
  <c r="B1643" i="102"/>
  <c r="B1642" i="102"/>
  <c r="B1641" i="102"/>
  <c r="B1640" i="102"/>
  <c r="B1639" i="102"/>
  <c r="B1638" i="102"/>
  <c r="B1637" i="102"/>
  <c r="B1636" i="102"/>
  <c r="B1635" i="102"/>
  <c r="B1634" i="102"/>
  <c r="B1633" i="102"/>
  <c r="B1632" i="102"/>
  <c r="B1631" i="102"/>
  <c r="B1630" i="102"/>
  <c r="B1629" i="102"/>
  <c r="B1628" i="102"/>
  <c r="B1627" i="102"/>
  <c r="B1626" i="102"/>
  <c r="B1625" i="102"/>
  <c r="B1624" i="102"/>
  <c r="B1623" i="102"/>
  <c r="B1622" i="102"/>
  <c r="B1621" i="102"/>
  <c r="B1620" i="102"/>
  <c r="B1619" i="102"/>
  <c r="B1618" i="102"/>
  <c r="B1617" i="102"/>
  <c r="B1616" i="102"/>
  <c r="B1615" i="102"/>
  <c r="B1614" i="102"/>
  <c r="B1613" i="102"/>
  <c r="B1612" i="102"/>
  <c r="B1611" i="102"/>
  <c r="B1610" i="102"/>
  <c r="B1609" i="102"/>
  <c r="B1608" i="102"/>
  <c r="B1607" i="102"/>
  <c r="B1606" i="102"/>
  <c r="B1605" i="102"/>
  <c r="B1604" i="102"/>
  <c r="B1603" i="102"/>
  <c r="B1602" i="102"/>
  <c r="B1601" i="102"/>
  <c r="B1600" i="102"/>
  <c r="B1599" i="102"/>
  <c r="B1598" i="102"/>
  <c r="B1597" i="102"/>
  <c r="B1596" i="102"/>
  <c r="B1595" i="102"/>
  <c r="B1594" i="102"/>
  <c r="B1593" i="102"/>
  <c r="B1592" i="102"/>
  <c r="B1591" i="102"/>
  <c r="B1590" i="102"/>
  <c r="B1589" i="102"/>
  <c r="B1588" i="102"/>
  <c r="B1587" i="102"/>
  <c r="B1586" i="102"/>
  <c r="B1585" i="102"/>
  <c r="B1584" i="102"/>
  <c r="B1583" i="102"/>
  <c r="B1582" i="102"/>
  <c r="B1581" i="102"/>
  <c r="B1580" i="102"/>
  <c r="B1579" i="102"/>
  <c r="B1578" i="102"/>
  <c r="B1577" i="102"/>
  <c r="B1576" i="102"/>
  <c r="B1575" i="102"/>
  <c r="B1574" i="102"/>
  <c r="B1573" i="102"/>
  <c r="B1572" i="102"/>
  <c r="B1571" i="102"/>
  <c r="B1570" i="102"/>
  <c r="B1569" i="102"/>
  <c r="B1568" i="102"/>
  <c r="B1567" i="102"/>
  <c r="B1566" i="102"/>
  <c r="B1565" i="102"/>
  <c r="B1564" i="102"/>
  <c r="B1563" i="102"/>
  <c r="B1562" i="102"/>
  <c r="B1561" i="102"/>
  <c r="B1560" i="102"/>
  <c r="B1559" i="102"/>
  <c r="B1558" i="102"/>
  <c r="B1557" i="102"/>
  <c r="B1556" i="102"/>
  <c r="B1555" i="102"/>
  <c r="B1554" i="102"/>
  <c r="B1553" i="102"/>
  <c r="B1552" i="102"/>
  <c r="B1551" i="102"/>
  <c r="B1550" i="102"/>
  <c r="B1549" i="102"/>
  <c r="B1548" i="102"/>
  <c r="B1547" i="102"/>
  <c r="B1546" i="102"/>
  <c r="B1545" i="102"/>
  <c r="B1544" i="102"/>
  <c r="B1543" i="102"/>
  <c r="B1542" i="102"/>
  <c r="B1541" i="102"/>
  <c r="B1540" i="102"/>
  <c r="B1539" i="102"/>
  <c r="B1538" i="102"/>
  <c r="B1537" i="102"/>
  <c r="B1536" i="102"/>
  <c r="B1535" i="102"/>
  <c r="B1534" i="102"/>
  <c r="B1533" i="102"/>
  <c r="B1532" i="102"/>
  <c r="B1531" i="102"/>
  <c r="B1530" i="102"/>
  <c r="B1529" i="102"/>
  <c r="B1528" i="102"/>
  <c r="B1527" i="102"/>
  <c r="B1526" i="102"/>
  <c r="B1525" i="102"/>
  <c r="B1524" i="102"/>
  <c r="B1523" i="102"/>
  <c r="B1522" i="102"/>
  <c r="B1521" i="102"/>
  <c r="B1520" i="102"/>
  <c r="B1519" i="102"/>
  <c r="B1518" i="102"/>
  <c r="B1517" i="102"/>
  <c r="B1516" i="102"/>
  <c r="B1515" i="102"/>
  <c r="B1514" i="102"/>
  <c r="B1513" i="102"/>
  <c r="B1512" i="102"/>
  <c r="B1511" i="102"/>
  <c r="B1510" i="102"/>
  <c r="B1509" i="102"/>
  <c r="B1508" i="102"/>
  <c r="B1507" i="102"/>
  <c r="B1506" i="102"/>
  <c r="B1505" i="102"/>
  <c r="B1504" i="102"/>
  <c r="B1503" i="102"/>
  <c r="B1502" i="102"/>
  <c r="B1501" i="102"/>
  <c r="B1500" i="102"/>
  <c r="B1499" i="102"/>
  <c r="B1498" i="102"/>
  <c r="B1497" i="102"/>
  <c r="B1496" i="102"/>
  <c r="B1495" i="102"/>
  <c r="B1494" i="102"/>
  <c r="B1493" i="102"/>
  <c r="B1492" i="102"/>
  <c r="B1491" i="102"/>
  <c r="B1490" i="102"/>
  <c r="B1489" i="102"/>
  <c r="B1488" i="102"/>
  <c r="B1487" i="102"/>
  <c r="B1486" i="102"/>
  <c r="B1485" i="102"/>
  <c r="B1484" i="102"/>
  <c r="B1483" i="102"/>
  <c r="B1482" i="102"/>
  <c r="B1481" i="102"/>
  <c r="B1480" i="102"/>
  <c r="B1479" i="102"/>
  <c r="B1478" i="102"/>
  <c r="B1477" i="102"/>
  <c r="B1476" i="102"/>
  <c r="B1475" i="102"/>
  <c r="B1474" i="102"/>
  <c r="B1473" i="102"/>
  <c r="B1472" i="102"/>
  <c r="B1471" i="102"/>
  <c r="B1470" i="102"/>
  <c r="B1469" i="102"/>
  <c r="B1468" i="102"/>
  <c r="B1467" i="102"/>
  <c r="B1466" i="102"/>
  <c r="B1465" i="102"/>
  <c r="B1464" i="102"/>
  <c r="B1463" i="102"/>
  <c r="B1462" i="102"/>
  <c r="B1461" i="102"/>
  <c r="B1460" i="102"/>
  <c r="B1459" i="102"/>
  <c r="B1458" i="102"/>
  <c r="B1457" i="102"/>
  <c r="B1456" i="102"/>
  <c r="B1455" i="102"/>
  <c r="B1454" i="102"/>
  <c r="B1453" i="102"/>
  <c r="B1452" i="102"/>
  <c r="B1451" i="102"/>
  <c r="B1450" i="102"/>
  <c r="B1449" i="102"/>
  <c r="B1448" i="102"/>
  <c r="B1447" i="102"/>
  <c r="B1446" i="102"/>
  <c r="B1445" i="102"/>
  <c r="B1444" i="102"/>
  <c r="B1443" i="102"/>
  <c r="B1442" i="102"/>
  <c r="B1441" i="102"/>
  <c r="B1440" i="102"/>
  <c r="B1439" i="102"/>
  <c r="B1438" i="102"/>
  <c r="B1437" i="102"/>
  <c r="B1436" i="102"/>
  <c r="B1435" i="102"/>
  <c r="B1434" i="102"/>
  <c r="B1433" i="102"/>
  <c r="B1432" i="102"/>
  <c r="B1431" i="102"/>
  <c r="B1430" i="102"/>
  <c r="B1429" i="102"/>
  <c r="B1428" i="102"/>
  <c r="B1427" i="102"/>
  <c r="B1426" i="102"/>
  <c r="B1425" i="102"/>
  <c r="B1424" i="102"/>
  <c r="B1423" i="102"/>
  <c r="B1422" i="102"/>
  <c r="B1421" i="102"/>
  <c r="B1420" i="102"/>
  <c r="B1419" i="102"/>
  <c r="B1418" i="102"/>
  <c r="B1417" i="102"/>
  <c r="B1416" i="102"/>
  <c r="B1415" i="102"/>
  <c r="B1414" i="102"/>
  <c r="B1413" i="102"/>
  <c r="B1412" i="102"/>
  <c r="B1411" i="102"/>
  <c r="B1410" i="102"/>
  <c r="B1409" i="102"/>
  <c r="B1408" i="102"/>
  <c r="B1407" i="102"/>
  <c r="B1406" i="102"/>
  <c r="B1405" i="102"/>
  <c r="B1404" i="102"/>
  <c r="B1403" i="102"/>
  <c r="B1402" i="102"/>
  <c r="B1401" i="102"/>
  <c r="B1400" i="102"/>
  <c r="B1399" i="102"/>
  <c r="B1398" i="102"/>
  <c r="B1397" i="102"/>
  <c r="B1396" i="102"/>
  <c r="B1395" i="102"/>
  <c r="B1394" i="102"/>
  <c r="B1393" i="102"/>
  <c r="B1392" i="102"/>
  <c r="B1391" i="102"/>
  <c r="B1390" i="102"/>
  <c r="B1389" i="102"/>
  <c r="B1388" i="102"/>
  <c r="B1387" i="102"/>
  <c r="B1386" i="102"/>
  <c r="B1385" i="102"/>
  <c r="B1384" i="102"/>
  <c r="B1383" i="102"/>
  <c r="B1382" i="102"/>
  <c r="B1381" i="102"/>
  <c r="B1380" i="102"/>
  <c r="B1379" i="102"/>
  <c r="B1378" i="102"/>
  <c r="B1377" i="102"/>
  <c r="B1376" i="102"/>
  <c r="B1375" i="102"/>
  <c r="B1374" i="102"/>
  <c r="B1373" i="102"/>
  <c r="B1372" i="102"/>
  <c r="B1371" i="102"/>
  <c r="B1370" i="102"/>
  <c r="B1369" i="102"/>
  <c r="B1368" i="102"/>
  <c r="B1367" i="102"/>
  <c r="B1366" i="102"/>
  <c r="B1365" i="102"/>
  <c r="B1364" i="102"/>
  <c r="B1363" i="102"/>
  <c r="B1362" i="102"/>
  <c r="B1361" i="102"/>
  <c r="B1360" i="102"/>
  <c r="B1359" i="102"/>
  <c r="B1358" i="102"/>
  <c r="B1357" i="102"/>
  <c r="B1356" i="102"/>
  <c r="B1355" i="102"/>
  <c r="B1354" i="102"/>
  <c r="B1353" i="102"/>
  <c r="B1352" i="102"/>
  <c r="B1351" i="102"/>
  <c r="B1350" i="102"/>
  <c r="B1349" i="102"/>
  <c r="B1348" i="102"/>
  <c r="B1347" i="102"/>
  <c r="B1346" i="102"/>
  <c r="B1345" i="102"/>
  <c r="B1344" i="102"/>
  <c r="B1343" i="102"/>
  <c r="B1342" i="102"/>
  <c r="B1341" i="102"/>
  <c r="B1340" i="102"/>
  <c r="B1339" i="102"/>
  <c r="B1338" i="102"/>
  <c r="B1337" i="102"/>
  <c r="B1336" i="102"/>
  <c r="B1335" i="102"/>
  <c r="B1334" i="102"/>
  <c r="B1333" i="102"/>
  <c r="B1332" i="102"/>
  <c r="B1331" i="102"/>
  <c r="B1330" i="102"/>
  <c r="B1329" i="102"/>
  <c r="B1328" i="102"/>
  <c r="B1327" i="102"/>
  <c r="B1326" i="102"/>
  <c r="B1325" i="102"/>
  <c r="B1324" i="102"/>
  <c r="B1323" i="102"/>
  <c r="B1322" i="102"/>
  <c r="B1321" i="102"/>
  <c r="B1320" i="102"/>
  <c r="B1319" i="102"/>
  <c r="B1318" i="102"/>
  <c r="B1317" i="102"/>
  <c r="B1316" i="102"/>
  <c r="B1315" i="102"/>
  <c r="B1314" i="102"/>
  <c r="B1313" i="102"/>
  <c r="B1312" i="102"/>
  <c r="B1311" i="102"/>
  <c r="B1310" i="102"/>
  <c r="B1309" i="102"/>
  <c r="B1308" i="102"/>
  <c r="B1307" i="102"/>
  <c r="B1306" i="102"/>
  <c r="B1305" i="102"/>
  <c r="B1304" i="102"/>
  <c r="B1303" i="102"/>
  <c r="B1302" i="102"/>
  <c r="B1301" i="102"/>
  <c r="B1300" i="102"/>
  <c r="B1299" i="102"/>
  <c r="B1298" i="102"/>
  <c r="B1297" i="102"/>
  <c r="B1296" i="102"/>
  <c r="B1295" i="102"/>
  <c r="B1294" i="102"/>
  <c r="B1293" i="102"/>
  <c r="B1292" i="102"/>
  <c r="B1291" i="102"/>
  <c r="B1290" i="102"/>
  <c r="B1289" i="102"/>
  <c r="B1288" i="102"/>
  <c r="B1287" i="102"/>
  <c r="B1286" i="102"/>
  <c r="B1285" i="102"/>
  <c r="B1284" i="102"/>
  <c r="B1283" i="102"/>
  <c r="B1282" i="102"/>
  <c r="B1281" i="102"/>
  <c r="B1280" i="102"/>
  <c r="B1279" i="102"/>
  <c r="B1278" i="102"/>
  <c r="B1277" i="102"/>
  <c r="B1276" i="102"/>
  <c r="B1275" i="102"/>
  <c r="B1274" i="102"/>
  <c r="B1273" i="102"/>
  <c r="B1272" i="102"/>
  <c r="B1271" i="102"/>
  <c r="B1270" i="102"/>
  <c r="B1269" i="102"/>
  <c r="B1268" i="102"/>
  <c r="B1267" i="102"/>
  <c r="B1266" i="102"/>
  <c r="B1265" i="102"/>
  <c r="B1264" i="102"/>
  <c r="B1263" i="102"/>
  <c r="B1262" i="102"/>
  <c r="B1261" i="102"/>
  <c r="B1260" i="102"/>
  <c r="B1259" i="102"/>
  <c r="B1258" i="102"/>
  <c r="B1257" i="102"/>
  <c r="B1256" i="102"/>
  <c r="B1255" i="102"/>
  <c r="B1254" i="102"/>
  <c r="B1253" i="102"/>
  <c r="B1252" i="102"/>
  <c r="B1251" i="102"/>
  <c r="B1250" i="102"/>
  <c r="B1249" i="102"/>
  <c r="B1248" i="102"/>
  <c r="B1247" i="102"/>
  <c r="B1246" i="102"/>
  <c r="B1245" i="102"/>
  <c r="B1244" i="102"/>
  <c r="B1243" i="102"/>
  <c r="B1242" i="102"/>
  <c r="B1241" i="102"/>
  <c r="B1240" i="102"/>
  <c r="B1239" i="102"/>
  <c r="B1238" i="102"/>
  <c r="B1237" i="102"/>
  <c r="B1236" i="102"/>
  <c r="B1235" i="102"/>
  <c r="B1234" i="102"/>
  <c r="B1233" i="102"/>
  <c r="B1232" i="102"/>
  <c r="B1231" i="102"/>
  <c r="B1230" i="102"/>
  <c r="B1229" i="102"/>
  <c r="B1228" i="102"/>
  <c r="B1227" i="102"/>
  <c r="B1226" i="102"/>
  <c r="B1225" i="102"/>
  <c r="B1224" i="102"/>
  <c r="B1223" i="102"/>
  <c r="B1222" i="102"/>
  <c r="B1221" i="102"/>
  <c r="B1220" i="102"/>
  <c r="B1219" i="102"/>
  <c r="B1218" i="102"/>
  <c r="B1217" i="102"/>
  <c r="B1216" i="102"/>
  <c r="B1215" i="102"/>
  <c r="B1214" i="102"/>
  <c r="B1213" i="102"/>
  <c r="B1212" i="102"/>
  <c r="B1211" i="102"/>
  <c r="B1210" i="102"/>
  <c r="B1209" i="102"/>
  <c r="B1208" i="102"/>
  <c r="B1207" i="102"/>
  <c r="B1206" i="102"/>
  <c r="B1205" i="102"/>
  <c r="B1204" i="102"/>
  <c r="B1203" i="102"/>
  <c r="B1202" i="102"/>
  <c r="B1201" i="102"/>
  <c r="B1200" i="102"/>
  <c r="B1199" i="102"/>
  <c r="B1198" i="102"/>
  <c r="B1197" i="102"/>
  <c r="B1196" i="102"/>
  <c r="B1195" i="102"/>
  <c r="B1194" i="102"/>
  <c r="B1193" i="102"/>
  <c r="B1192" i="102"/>
  <c r="B1191" i="102"/>
  <c r="B1190" i="102"/>
  <c r="B1189" i="102"/>
  <c r="B1188" i="102"/>
  <c r="B1187" i="102"/>
  <c r="B1186" i="102"/>
  <c r="B1185" i="102"/>
  <c r="B1184" i="102"/>
  <c r="B1183" i="102"/>
  <c r="B1182" i="102"/>
  <c r="B1181" i="102"/>
  <c r="B1180" i="102"/>
  <c r="B1179" i="102"/>
  <c r="B1178" i="102"/>
  <c r="B1177" i="102"/>
  <c r="B1176" i="102"/>
  <c r="B1175" i="102"/>
  <c r="B1174" i="102"/>
  <c r="B1173" i="102"/>
  <c r="B1172" i="102"/>
  <c r="B1171" i="102"/>
  <c r="B1170" i="102"/>
  <c r="B1169" i="102"/>
  <c r="B1168" i="102"/>
  <c r="B1167" i="102"/>
  <c r="B1166" i="102"/>
  <c r="B1165" i="102"/>
  <c r="B1164" i="102"/>
  <c r="B1163" i="102"/>
  <c r="B1162" i="102"/>
  <c r="B1161" i="102"/>
  <c r="B1160" i="102"/>
  <c r="B1159" i="102"/>
  <c r="B1158" i="102"/>
  <c r="B1157" i="102"/>
  <c r="B1156" i="102"/>
  <c r="B1155" i="102"/>
  <c r="B1154" i="102"/>
  <c r="B1153" i="102"/>
  <c r="B1152" i="102"/>
  <c r="B1151" i="102"/>
  <c r="B1150" i="102"/>
  <c r="B1149" i="102"/>
  <c r="B1148" i="102"/>
  <c r="B1147" i="102"/>
  <c r="B1146" i="102"/>
  <c r="B1145" i="102"/>
  <c r="B1144" i="102"/>
  <c r="B1143" i="102"/>
  <c r="B1142" i="102"/>
  <c r="B1141" i="102"/>
  <c r="B1140" i="102"/>
  <c r="B1139" i="102"/>
  <c r="B1138" i="102"/>
  <c r="B1137" i="102"/>
  <c r="B1136" i="102"/>
  <c r="B1135" i="102"/>
  <c r="B1134" i="102"/>
  <c r="B1133" i="102"/>
  <c r="B1132" i="102"/>
  <c r="B1131" i="102"/>
  <c r="B1130" i="102"/>
  <c r="B1129" i="102"/>
  <c r="B1128" i="102"/>
  <c r="B1127" i="102"/>
  <c r="B1126" i="102"/>
  <c r="B1125" i="102"/>
  <c r="B1124" i="102"/>
  <c r="B1123" i="102"/>
  <c r="B1122" i="102"/>
  <c r="B1121" i="102"/>
  <c r="B1120" i="102"/>
  <c r="B1119" i="102"/>
  <c r="B1118" i="102"/>
  <c r="B1117" i="102"/>
  <c r="B1116" i="102"/>
  <c r="B1115" i="102"/>
  <c r="B1114" i="102"/>
  <c r="B1113" i="102"/>
  <c r="B1112" i="102"/>
  <c r="B1111" i="102"/>
  <c r="B1110" i="102"/>
  <c r="B1109" i="102"/>
  <c r="B1108" i="102"/>
  <c r="B1107" i="102"/>
  <c r="B1106" i="102"/>
  <c r="B1105" i="102"/>
  <c r="B1104" i="102"/>
  <c r="B1103" i="102"/>
  <c r="B1102" i="102"/>
  <c r="B1101" i="102"/>
  <c r="B1100" i="102"/>
  <c r="B1099" i="102"/>
  <c r="B1098" i="102"/>
  <c r="B1097" i="102"/>
  <c r="B1096" i="102"/>
  <c r="B1095" i="102"/>
  <c r="B1094" i="102"/>
  <c r="B1093" i="102"/>
  <c r="B1092" i="102"/>
  <c r="B1091" i="102"/>
  <c r="B1090" i="102"/>
  <c r="B1089" i="102"/>
  <c r="B1088" i="102"/>
  <c r="B1087" i="102"/>
  <c r="B1086" i="102"/>
  <c r="B1085" i="102"/>
  <c r="B1084" i="102"/>
  <c r="B1083" i="102"/>
  <c r="B1082" i="102"/>
  <c r="B1081" i="102"/>
  <c r="B1080" i="102"/>
  <c r="B1079" i="102"/>
  <c r="B1078" i="102"/>
  <c r="B1077" i="102"/>
  <c r="B1076" i="102"/>
  <c r="B1075" i="102"/>
  <c r="B1074" i="102"/>
  <c r="B1073" i="102"/>
  <c r="B1072" i="102"/>
  <c r="B1071" i="102"/>
  <c r="B1070" i="102"/>
  <c r="B1069" i="102"/>
  <c r="B1068" i="102"/>
  <c r="B1067" i="102"/>
  <c r="B1066" i="102"/>
  <c r="B1065" i="102"/>
  <c r="B1064" i="102"/>
  <c r="B1063" i="102"/>
  <c r="B1062" i="102"/>
  <c r="B1061" i="102"/>
  <c r="B1060" i="102"/>
  <c r="B1059" i="102"/>
  <c r="B1058" i="102"/>
  <c r="B1057" i="102"/>
  <c r="B1056" i="102"/>
  <c r="B1055" i="102"/>
  <c r="B1054" i="102"/>
  <c r="B1053" i="102"/>
  <c r="B1052" i="102"/>
  <c r="B1051" i="102"/>
  <c r="B1050" i="102"/>
  <c r="B1049" i="102"/>
  <c r="B1048" i="102"/>
  <c r="B1047" i="102"/>
  <c r="B1046" i="102"/>
  <c r="B1045" i="102"/>
  <c r="B1044" i="102"/>
  <c r="B1043" i="102"/>
  <c r="B1042" i="102"/>
  <c r="B1041" i="102"/>
  <c r="B1040" i="102"/>
  <c r="B1039" i="102"/>
  <c r="B1038" i="102"/>
  <c r="B1037" i="102"/>
  <c r="B1036" i="102"/>
  <c r="B1035" i="102"/>
  <c r="B1034" i="102"/>
  <c r="B1033" i="102"/>
  <c r="B1032" i="102"/>
  <c r="B1031" i="102"/>
  <c r="B1030" i="102"/>
  <c r="B1029" i="102"/>
  <c r="B1028" i="102"/>
  <c r="B1027" i="102"/>
  <c r="B1026" i="102"/>
  <c r="B1025" i="102"/>
  <c r="B1024" i="102"/>
  <c r="B1023" i="102"/>
  <c r="B1022" i="102"/>
  <c r="B1021" i="102"/>
  <c r="B1020" i="102"/>
  <c r="B1019" i="102"/>
  <c r="B1018" i="102"/>
  <c r="B1017" i="102"/>
  <c r="B1016" i="102"/>
  <c r="B1015" i="102"/>
  <c r="B1014" i="102"/>
  <c r="B1013" i="102"/>
  <c r="B1012" i="102"/>
  <c r="B1011" i="102"/>
  <c r="B1010" i="102"/>
  <c r="B1009" i="102"/>
  <c r="B1008" i="102"/>
  <c r="B1007" i="102"/>
  <c r="B1006" i="102"/>
  <c r="B1005" i="102"/>
  <c r="B1004" i="102"/>
  <c r="B1003" i="102"/>
  <c r="B1002" i="102"/>
  <c r="B1001" i="102"/>
  <c r="B1000" i="102"/>
  <c r="B999" i="102"/>
  <c r="B998" i="102"/>
  <c r="B997" i="102"/>
  <c r="B996" i="102"/>
  <c r="B995" i="102"/>
  <c r="B994" i="102"/>
  <c r="B993" i="102"/>
  <c r="B992" i="102"/>
  <c r="B991" i="102"/>
  <c r="B990" i="102"/>
  <c r="B989" i="102"/>
  <c r="B988" i="102"/>
  <c r="B987" i="102"/>
  <c r="B986" i="102"/>
  <c r="B985" i="102"/>
  <c r="B984" i="102"/>
  <c r="B983" i="102"/>
  <c r="B982" i="102"/>
  <c r="B981" i="102"/>
  <c r="B980" i="102"/>
  <c r="B979" i="102"/>
  <c r="B978" i="102"/>
  <c r="B977" i="102"/>
  <c r="B976" i="102"/>
  <c r="B975" i="102"/>
  <c r="B974" i="102"/>
  <c r="B973" i="102"/>
  <c r="B972" i="102"/>
  <c r="B971" i="102"/>
  <c r="B970" i="102"/>
  <c r="B969" i="102"/>
  <c r="B968" i="102"/>
  <c r="B967" i="102"/>
  <c r="B966" i="102"/>
  <c r="B965" i="102"/>
  <c r="B964" i="102"/>
  <c r="B963" i="102"/>
  <c r="B962" i="102"/>
  <c r="B961" i="102"/>
  <c r="B960" i="102"/>
  <c r="B959" i="102"/>
  <c r="B958" i="102"/>
  <c r="B957" i="102"/>
  <c r="B956" i="102"/>
  <c r="B955" i="102"/>
  <c r="B954" i="102"/>
  <c r="B953" i="102"/>
  <c r="B952" i="102"/>
  <c r="B951" i="102"/>
  <c r="B950" i="102"/>
  <c r="B949" i="102"/>
  <c r="B948" i="102"/>
  <c r="B947" i="102"/>
  <c r="B946" i="102"/>
  <c r="B945" i="102"/>
  <c r="B944" i="102"/>
  <c r="B943" i="102"/>
  <c r="B942" i="102"/>
  <c r="B941" i="102"/>
  <c r="B940" i="102"/>
  <c r="B939" i="102"/>
  <c r="B938" i="102"/>
  <c r="B937" i="102"/>
  <c r="B936" i="102"/>
  <c r="B935" i="102"/>
  <c r="B934" i="102"/>
  <c r="B933" i="102"/>
  <c r="B932" i="102"/>
  <c r="B931" i="102"/>
  <c r="B930" i="102"/>
  <c r="B929" i="102"/>
  <c r="B928" i="102"/>
  <c r="B927" i="102"/>
  <c r="B926" i="102"/>
  <c r="B925" i="102"/>
  <c r="B924" i="102"/>
  <c r="B923" i="102"/>
  <c r="B922" i="102"/>
  <c r="B921" i="102"/>
  <c r="B920" i="102"/>
  <c r="B919" i="102"/>
  <c r="B918" i="102"/>
  <c r="B917" i="102"/>
  <c r="B916" i="102"/>
  <c r="B915" i="102"/>
  <c r="B914" i="102"/>
  <c r="B913" i="102"/>
  <c r="B912" i="102"/>
  <c r="B911" i="102"/>
  <c r="B910" i="102"/>
  <c r="B909" i="102"/>
  <c r="B908" i="102"/>
  <c r="B907" i="102"/>
  <c r="B906" i="102"/>
  <c r="B905" i="102"/>
  <c r="B904" i="102"/>
  <c r="B903" i="102"/>
  <c r="B902" i="102"/>
  <c r="B901" i="102"/>
  <c r="B900" i="102"/>
  <c r="B899" i="102"/>
  <c r="B898" i="102"/>
  <c r="B897" i="102"/>
  <c r="B896" i="102"/>
  <c r="B895" i="102"/>
  <c r="B894" i="102"/>
  <c r="B893" i="102"/>
  <c r="B892" i="102"/>
  <c r="B891" i="102"/>
  <c r="B890" i="102"/>
  <c r="B889" i="102"/>
  <c r="B888" i="102"/>
  <c r="B887" i="102"/>
  <c r="B886" i="102"/>
  <c r="B885" i="102"/>
  <c r="B884" i="102"/>
  <c r="B883" i="102"/>
  <c r="B882" i="102"/>
  <c r="B881" i="102"/>
  <c r="B880" i="102"/>
  <c r="B879" i="102"/>
  <c r="B878" i="102"/>
  <c r="B877" i="102"/>
  <c r="B876" i="102"/>
  <c r="B875" i="102"/>
  <c r="B874" i="102"/>
  <c r="B873" i="102"/>
  <c r="B872" i="102"/>
  <c r="B871" i="102"/>
  <c r="B870" i="102"/>
  <c r="B869" i="102"/>
  <c r="B868" i="102"/>
  <c r="B867" i="102"/>
  <c r="B866" i="102"/>
  <c r="B865" i="102"/>
  <c r="B864" i="102"/>
  <c r="B863" i="102"/>
  <c r="B862" i="102"/>
  <c r="B861" i="102"/>
  <c r="B860" i="102"/>
  <c r="B859" i="102"/>
  <c r="B858" i="102"/>
  <c r="B857" i="102"/>
  <c r="B856" i="102"/>
  <c r="B855" i="102"/>
  <c r="B854" i="102"/>
  <c r="B853" i="102"/>
  <c r="B852" i="102"/>
  <c r="B851" i="102"/>
  <c r="B850" i="102"/>
  <c r="B849" i="102"/>
  <c r="B848" i="102"/>
  <c r="B847" i="102"/>
  <c r="B846" i="102"/>
  <c r="B845" i="102"/>
  <c r="B844" i="102"/>
  <c r="B843" i="102"/>
  <c r="B842" i="102"/>
  <c r="B841" i="102"/>
  <c r="B840" i="102"/>
  <c r="B839" i="102"/>
  <c r="B838" i="102"/>
  <c r="B837" i="102"/>
  <c r="B836" i="102"/>
  <c r="B835" i="102"/>
  <c r="B834" i="102"/>
  <c r="B833" i="102"/>
  <c r="B832" i="102"/>
  <c r="B831" i="102"/>
  <c r="B830" i="102"/>
  <c r="B829" i="102"/>
  <c r="B828" i="102"/>
  <c r="B827" i="102"/>
  <c r="B826" i="102"/>
  <c r="B825" i="102"/>
  <c r="B824" i="102"/>
  <c r="B823" i="102"/>
  <c r="B822" i="102"/>
  <c r="B821" i="102"/>
  <c r="B820" i="102"/>
  <c r="B819" i="102"/>
  <c r="B818" i="102"/>
  <c r="B817" i="102"/>
  <c r="B816" i="102"/>
  <c r="B815" i="102"/>
  <c r="B814" i="102"/>
  <c r="B813" i="102"/>
  <c r="B812" i="102"/>
  <c r="B811" i="102"/>
  <c r="B810" i="102"/>
  <c r="B809" i="102"/>
  <c r="B808" i="102"/>
  <c r="B807" i="102"/>
  <c r="B806" i="102"/>
  <c r="B805" i="102"/>
  <c r="B804" i="102"/>
  <c r="B803" i="102"/>
  <c r="B802" i="102"/>
  <c r="B801" i="102"/>
  <c r="B800" i="102"/>
  <c r="B799" i="102"/>
  <c r="B798" i="102"/>
  <c r="B797" i="102"/>
  <c r="B796" i="102"/>
  <c r="B795" i="102"/>
  <c r="B794" i="102"/>
  <c r="B793" i="102"/>
  <c r="B792" i="102"/>
  <c r="B791" i="102"/>
  <c r="B790" i="102"/>
  <c r="B789" i="102"/>
  <c r="B788" i="102"/>
  <c r="B787" i="102"/>
  <c r="B786" i="102"/>
  <c r="B785" i="102"/>
  <c r="B784" i="102"/>
  <c r="B783" i="102"/>
  <c r="B782" i="102"/>
  <c r="B781" i="102"/>
  <c r="B780" i="102"/>
  <c r="B779" i="102"/>
  <c r="B778" i="102"/>
  <c r="B777" i="102"/>
  <c r="B776" i="102"/>
  <c r="B775" i="102"/>
  <c r="B774" i="102"/>
  <c r="B773" i="102"/>
  <c r="B772" i="102"/>
  <c r="B771" i="102"/>
  <c r="B770" i="102"/>
  <c r="B769" i="102"/>
  <c r="B768" i="102"/>
  <c r="B767" i="102"/>
  <c r="B766" i="102"/>
  <c r="B765" i="102"/>
  <c r="B764" i="102"/>
  <c r="B763" i="102"/>
  <c r="B762" i="102"/>
  <c r="B761" i="102"/>
  <c r="B760" i="102"/>
  <c r="B759" i="102"/>
  <c r="B758" i="102"/>
  <c r="B757" i="102"/>
  <c r="B756" i="102"/>
  <c r="B755" i="102"/>
  <c r="B754" i="102"/>
  <c r="B753" i="102"/>
  <c r="B752" i="102"/>
  <c r="B751" i="102"/>
  <c r="B750" i="102"/>
  <c r="B749" i="102"/>
  <c r="B748" i="102"/>
  <c r="B747" i="102"/>
  <c r="B746" i="102"/>
  <c r="B745" i="102"/>
  <c r="B744" i="102"/>
  <c r="B743" i="102"/>
  <c r="B742" i="102"/>
  <c r="B741" i="102"/>
  <c r="B740" i="102"/>
  <c r="B739" i="102"/>
  <c r="B738" i="102"/>
  <c r="B737" i="102"/>
  <c r="B736" i="102"/>
  <c r="B735" i="102"/>
  <c r="B734" i="102"/>
  <c r="B733" i="102"/>
  <c r="B732" i="102"/>
  <c r="B731" i="102"/>
  <c r="B730" i="102"/>
  <c r="B729" i="102"/>
  <c r="B728" i="102"/>
  <c r="B727" i="102"/>
  <c r="B726" i="102"/>
  <c r="B725" i="102"/>
  <c r="B724" i="102"/>
  <c r="B723" i="102"/>
  <c r="B722" i="102"/>
  <c r="B721" i="102"/>
  <c r="B720" i="102"/>
  <c r="B719" i="102"/>
  <c r="B718" i="102"/>
  <c r="B717" i="102"/>
  <c r="B716" i="102"/>
  <c r="B715" i="102"/>
  <c r="B714" i="102"/>
  <c r="B713" i="102"/>
  <c r="B712" i="102"/>
  <c r="B711" i="102"/>
  <c r="B710" i="102"/>
  <c r="B709" i="102"/>
  <c r="B708" i="102"/>
  <c r="B707" i="102"/>
  <c r="B706" i="102"/>
  <c r="B705" i="102"/>
  <c r="B704" i="102"/>
  <c r="B703" i="102"/>
  <c r="B702" i="102"/>
  <c r="B701" i="102"/>
  <c r="B700" i="102"/>
  <c r="B699" i="102"/>
  <c r="B698" i="102"/>
  <c r="B697" i="102"/>
  <c r="B696" i="102"/>
  <c r="B695" i="102"/>
  <c r="B694" i="102"/>
  <c r="B693" i="102"/>
  <c r="B692" i="102"/>
  <c r="B691" i="102"/>
  <c r="B690" i="102"/>
  <c r="B689" i="102"/>
  <c r="B688" i="102"/>
  <c r="B687" i="102"/>
  <c r="B686" i="102"/>
  <c r="B685" i="102"/>
  <c r="B684" i="102"/>
  <c r="B683" i="102"/>
  <c r="B682" i="102"/>
  <c r="B681" i="102"/>
  <c r="B680" i="102"/>
  <c r="B679" i="102"/>
  <c r="B678" i="102"/>
  <c r="B677" i="102"/>
  <c r="B676" i="102"/>
  <c r="B675" i="102"/>
  <c r="B674" i="102"/>
  <c r="B673" i="102"/>
  <c r="B672" i="102"/>
  <c r="B671" i="102"/>
  <c r="B670" i="102"/>
  <c r="B669" i="102"/>
  <c r="B668" i="102"/>
  <c r="B667" i="102"/>
  <c r="B666" i="102"/>
  <c r="B665" i="102"/>
  <c r="B664" i="102"/>
  <c r="B663" i="102"/>
  <c r="B662" i="102"/>
  <c r="B661" i="102"/>
  <c r="B660" i="102"/>
  <c r="B659" i="102"/>
  <c r="B658" i="102"/>
  <c r="B657" i="102"/>
  <c r="B656" i="102"/>
  <c r="B655" i="102"/>
  <c r="B654" i="102"/>
  <c r="B653" i="102"/>
  <c r="B652" i="102"/>
  <c r="B651" i="102"/>
  <c r="B650" i="102"/>
  <c r="B649" i="102"/>
  <c r="B648" i="102"/>
  <c r="B647" i="102"/>
  <c r="B646" i="102"/>
  <c r="B645" i="102"/>
  <c r="B644" i="102"/>
  <c r="B643" i="102"/>
  <c r="B642" i="102"/>
  <c r="B641" i="102"/>
  <c r="B640" i="102"/>
  <c r="B639" i="102"/>
  <c r="B638" i="102"/>
  <c r="B637" i="102"/>
  <c r="B636" i="102"/>
  <c r="B635" i="102"/>
  <c r="B634" i="102"/>
  <c r="B633" i="102"/>
  <c r="B632" i="102"/>
  <c r="B631" i="102"/>
  <c r="B630" i="102"/>
  <c r="B629" i="102"/>
  <c r="B628" i="102"/>
  <c r="B627" i="102"/>
  <c r="B626" i="102"/>
  <c r="B625" i="102"/>
  <c r="B624" i="102"/>
  <c r="B623" i="102"/>
  <c r="B622" i="102"/>
  <c r="B621" i="102"/>
  <c r="B620" i="102"/>
  <c r="B619" i="102"/>
  <c r="B618" i="102"/>
  <c r="B617" i="102"/>
  <c r="B616" i="102"/>
  <c r="B615" i="102"/>
  <c r="B614" i="102"/>
  <c r="B613" i="102"/>
  <c r="B612" i="102"/>
  <c r="B611" i="102"/>
  <c r="B610" i="102"/>
  <c r="B609" i="102"/>
  <c r="B608" i="102"/>
  <c r="B607" i="102"/>
  <c r="B606" i="102"/>
  <c r="B605" i="102"/>
  <c r="B604" i="102"/>
  <c r="B603" i="102"/>
  <c r="B602" i="102"/>
  <c r="B601" i="102"/>
  <c r="B600" i="102"/>
  <c r="B599" i="102"/>
  <c r="B598" i="102"/>
  <c r="B597" i="102"/>
  <c r="B596" i="102"/>
  <c r="B595" i="102"/>
  <c r="B594" i="102"/>
  <c r="B593" i="102"/>
  <c r="B592" i="102"/>
  <c r="B591" i="102"/>
  <c r="B590" i="102"/>
  <c r="B589" i="102"/>
  <c r="B588" i="102"/>
  <c r="B587" i="102"/>
  <c r="B586" i="102"/>
  <c r="B585" i="102"/>
  <c r="B584" i="102"/>
  <c r="B583" i="102"/>
  <c r="B582" i="102"/>
  <c r="B581" i="102"/>
  <c r="B580" i="102"/>
  <c r="B579" i="102"/>
  <c r="B578" i="102"/>
  <c r="B577" i="102"/>
  <c r="B576" i="102"/>
  <c r="B575" i="102"/>
  <c r="B574" i="102"/>
  <c r="B573" i="102"/>
  <c r="B572" i="102"/>
  <c r="B571" i="102"/>
  <c r="B570" i="102"/>
  <c r="B569" i="102"/>
  <c r="B568" i="102"/>
  <c r="B567" i="102"/>
  <c r="B566" i="102"/>
  <c r="B565" i="102"/>
  <c r="B564" i="102"/>
  <c r="B563" i="102"/>
  <c r="B562" i="102"/>
  <c r="B561" i="102"/>
  <c r="B560" i="102"/>
  <c r="B559" i="102"/>
  <c r="B558" i="102"/>
  <c r="B557" i="102"/>
  <c r="B556" i="102"/>
  <c r="B555" i="102"/>
  <c r="B554" i="102"/>
  <c r="B553" i="102"/>
  <c r="B552" i="102"/>
  <c r="B551" i="102"/>
  <c r="B550" i="102"/>
  <c r="B549" i="102"/>
  <c r="B548" i="102"/>
  <c r="B547" i="102"/>
  <c r="B546" i="102"/>
  <c r="B545" i="102"/>
  <c r="B544" i="102"/>
  <c r="B543" i="102"/>
  <c r="B542" i="102"/>
  <c r="B541" i="102"/>
  <c r="B540" i="102"/>
  <c r="B539" i="102"/>
  <c r="B538" i="102"/>
  <c r="B537" i="102"/>
  <c r="B536" i="102"/>
  <c r="B535" i="102"/>
  <c r="B534" i="102"/>
  <c r="B533" i="102"/>
  <c r="B532" i="102"/>
  <c r="B531" i="102"/>
  <c r="B530" i="102"/>
  <c r="B529" i="102"/>
  <c r="B528" i="102"/>
  <c r="B527" i="102"/>
  <c r="B526" i="102"/>
  <c r="B525" i="102"/>
  <c r="B524" i="102"/>
  <c r="B523" i="102"/>
  <c r="B522" i="102"/>
  <c r="B521" i="102"/>
  <c r="B520" i="102"/>
  <c r="B519" i="102"/>
  <c r="B518" i="102"/>
  <c r="B517" i="102"/>
  <c r="B516" i="102"/>
  <c r="B515" i="102"/>
  <c r="B514" i="102"/>
  <c r="B513" i="102"/>
  <c r="B512" i="102"/>
  <c r="B511" i="102"/>
  <c r="B510" i="102"/>
  <c r="B509" i="102"/>
  <c r="B508" i="102"/>
  <c r="B507" i="102"/>
  <c r="B506" i="102"/>
  <c r="B505" i="102"/>
  <c r="B504" i="102"/>
  <c r="B503" i="102"/>
  <c r="B502" i="102"/>
  <c r="B501" i="102"/>
  <c r="B500" i="102"/>
  <c r="B499" i="102"/>
  <c r="B498" i="102"/>
  <c r="B497" i="102"/>
  <c r="B496" i="102"/>
  <c r="B495" i="102"/>
  <c r="B494" i="102"/>
  <c r="B493" i="102"/>
  <c r="B492" i="102"/>
  <c r="B491" i="102"/>
  <c r="B490" i="102"/>
  <c r="B489" i="102"/>
  <c r="B488" i="102"/>
  <c r="B487" i="102"/>
  <c r="B486" i="102"/>
  <c r="B485" i="102"/>
  <c r="B484" i="102"/>
  <c r="B483" i="102"/>
  <c r="B482" i="102"/>
  <c r="B481" i="102"/>
  <c r="B480" i="102"/>
  <c r="B479" i="102"/>
  <c r="B478" i="102"/>
  <c r="B477" i="102"/>
  <c r="B476" i="102"/>
  <c r="B475" i="102"/>
  <c r="B474" i="102"/>
  <c r="B473" i="102"/>
  <c r="B472" i="102"/>
  <c r="B471" i="102"/>
  <c r="B470" i="102"/>
  <c r="B469" i="102"/>
  <c r="B468" i="102"/>
  <c r="B467" i="102"/>
  <c r="B466" i="102"/>
  <c r="B465" i="102"/>
  <c r="B464" i="102"/>
  <c r="B463" i="102"/>
  <c r="B462" i="102"/>
  <c r="B461" i="102"/>
  <c r="B460" i="102"/>
  <c r="B459" i="102"/>
  <c r="B458" i="102"/>
  <c r="B457" i="102"/>
  <c r="B456" i="102"/>
  <c r="B455" i="102"/>
  <c r="B454" i="102"/>
  <c r="B453" i="102"/>
  <c r="B452" i="102"/>
  <c r="B451" i="102"/>
  <c r="B450" i="102"/>
  <c r="B449" i="102"/>
  <c r="B448" i="102"/>
  <c r="B447" i="102"/>
  <c r="B446" i="102"/>
  <c r="B445" i="102"/>
  <c r="B444" i="102"/>
  <c r="B443" i="102"/>
  <c r="B442" i="102"/>
  <c r="B441" i="102"/>
  <c r="B440" i="102"/>
  <c r="B439" i="102"/>
  <c r="B438" i="102"/>
  <c r="B437" i="102"/>
  <c r="B436" i="102"/>
  <c r="B435" i="102"/>
  <c r="B434" i="102"/>
  <c r="B433" i="102"/>
  <c r="B432" i="102"/>
  <c r="B431" i="102"/>
  <c r="B430" i="102"/>
  <c r="B429" i="102"/>
  <c r="B428" i="102"/>
  <c r="B427" i="102"/>
  <c r="B426" i="102"/>
  <c r="B425" i="102"/>
  <c r="B424" i="102"/>
  <c r="B423" i="102"/>
  <c r="B422" i="102"/>
  <c r="B421" i="102"/>
  <c r="B420" i="102"/>
  <c r="B419" i="102"/>
  <c r="B418" i="102"/>
  <c r="B417" i="102"/>
  <c r="B416" i="102"/>
  <c r="B415" i="102"/>
  <c r="B414" i="102"/>
  <c r="B413" i="102"/>
  <c r="B412" i="102"/>
  <c r="B411" i="102"/>
  <c r="B410" i="102"/>
  <c r="B409" i="102"/>
  <c r="B408" i="102"/>
  <c r="B407" i="102"/>
  <c r="B406" i="102"/>
  <c r="B405" i="102"/>
  <c r="B404" i="102"/>
  <c r="B403" i="102"/>
  <c r="B402" i="102"/>
  <c r="B401" i="102"/>
  <c r="B400" i="102"/>
  <c r="B399" i="102"/>
  <c r="B398" i="102"/>
  <c r="B397" i="102"/>
  <c r="B396" i="102"/>
  <c r="B395" i="102"/>
  <c r="B394" i="102"/>
  <c r="B393" i="102"/>
  <c r="B392" i="102"/>
  <c r="B391" i="102"/>
  <c r="B390" i="102"/>
  <c r="B389" i="102"/>
  <c r="B388" i="102"/>
  <c r="B387" i="102"/>
  <c r="B386" i="102"/>
  <c r="B385" i="102"/>
  <c r="B384" i="102"/>
  <c r="B383" i="102"/>
  <c r="B382" i="102"/>
  <c r="B381" i="102"/>
  <c r="B380" i="102"/>
  <c r="B379" i="102"/>
  <c r="B378" i="102"/>
  <c r="B377" i="102"/>
  <c r="B376" i="102"/>
  <c r="B375" i="102"/>
  <c r="B374" i="102"/>
  <c r="B373" i="102"/>
  <c r="B372" i="102"/>
  <c r="B371" i="102"/>
  <c r="B370" i="102"/>
  <c r="B369" i="102"/>
  <c r="B368" i="102"/>
  <c r="B367" i="102"/>
  <c r="B366" i="102"/>
  <c r="B365" i="102"/>
  <c r="B364" i="102"/>
  <c r="B363" i="102"/>
  <c r="B362" i="102"/>
  <c r="B361" i="102"/>
  <c r="B360" i="102"/>
  <c r="B359" i="102"/>
  <c r="B358" i="102"/>
  <c r="B357" i="102"/>
  <c r="B356" i="102"/>
  <c r="B355" i="102"/>
  <c r="B354" i="102"/>
  <c r="B353" i="102"/>
  <c r="B352" i="102"/>
  <c r="B351" i="102"/>
  <c r="B350" i="102"/>
  <c r="B349" i="102"/>
  <c r="B348" i="102"/>
  <c r="B347" i="102"/>
  <c r="B346" i="102"/>
  <c r="B345" i="102"/>
  <c r="B344" i="102"/>
  <c r="B343" i="102"/>
  <c r="B342" i="102"/>
  <c r="B341" i="102"/>
  <c r="B340" i="102"/>
  <c r="B339" i="102"/>
  <c r="B338" i="102"/>
  <c r="B337" i="102"/>
  <c r="B336" i="102"/>
  <c r="B335" i="102"/>
  <c r="B334" i="102"/>
  <c r="B333" i="102"/>
  <c r="B332" i="102"/>
  <c r="B331" i="102"/>
  <c r="B330" i="102"/>
  <c r="B329" i="102"/>
  <c r="B328" i="102"/>
  <c r="B327" i="102"/>
  <c r="B326" i="102"/>
  <c r="B325" i="102"/>
  <c r="B324" i="102"/>
  <c r="B323" i="102"/>
  <c r="B322" i="102"/>
  <c r="B321" i="102"/>
  <c r="B320" i="102"/>
  <c r="B319" i="102"/>
  <c r="B318" i="102"/>
  <c r="B317" i="102"/>
  <c r="B316" i="102"/>
  <c r="B315" i="102"/>
  <c r="B314" i="102"/>
  <c r="B313" i="102"/>
  <c r="B312" i="102"/>
  <c r="B311" i="102"/>
  <c r="B310" i="102"/>
  <c r="B309" i="102"/>
  <c r="B308" i="102"/>
  <c r="B307" i="102"/>
  <c r="B306" i="102"/>
  <c r="B305" i="102"/>
  <c r="B304" i="102"/>
  <c r="B303" i="102"/>
  <c r="B302" i="102"/>
  <c r="B301" i="102"/>
  <c r="B300" i="102"/>
  <c r="B299" i="102"/>
  <c r="B298" i="102"/>
  <c r="B297" i="102"/>
  <c r="B296" i="102"/>
  <c r="B295" i="102"/>
  <c r="B294" i="102"/>
  <c r="B293" i="102"/>
  <c r="B292" i="102"/>
  <c r="B291" i="102"/>
  <c r="B290" i="102"/>
  <c r="B289" i="102"/>
  <c r="B288" i="102"/>
  <c r="B287" i="102"/>
  <c r="B286" i="102"/>
  <c r="B285" i="102"/>
  <c r="B284" i="102"/>
  <c r="B283" i="102"/>
  <c r="B282" i="102"/>
  <c r="B281" i="102"/>
  <c r="B280" i="102"/>
  <c r="B279" i="102"/>
  <c r="B278" i="102"/>
  <c r="B277" i="102"/>
  <c r="B276" i="102"/>
  <c r="B275" i="102"/>
  <c r="B274" i="102"/>
  <c r="B273" i="102"/>
  <c r="B272" i="102"/>
  <c r="B271" i="102"/>
  <c r="B270" i="102"/>
  <c r="B269" i="102"/>
  <c r="B268" i="102"/>
  <c r="B267" i="102"/>
  <c r="B266" i="102"/>
  <c r="B265" i="102"/>
  <c r="B264" i="102"/>
  <c r="B263" i="102"/>
  <c r="B262" i="102"/>
  <c r="B261" i="102"/>
  <c r="B260" i="102"/>
  <c r="B259" i="102"/>
  <c r="B258" i="102"/>
  <c r="B257" i="102"/>
  <c r="B256" i="102"/>
  <c r="B255" i="102"/>
  <c r="B254" i="102"/>
  <c r="B253" i="102"/>
  <c r="B252" i="102"/>
  <c r="B251" i="102"/>
  <c r="B250" i="102"/>
  <c r="B249" i="102"/>
  <c r="B248" i="102"/>
  <c r="B247" i="102"/>
  <c r="B246" i="102"/>
  <c r="B245" i="102"/>
  <c r="B244" i="102"/>
  <c r="B243" i="102"/>
  <c r="B242" i="102"/>
  <c r="B241" i="102"/>
  <c r="B240" i="102"/>
  <c r="B239" i="102"/>
  <c r="B238" i="102"/>
  <c r="B237" i="102"/>
  <c r="B236" i="102"/>
  <c r="B235" i="102"/>
  <c r="B234" i="102"/>
  <c r="B233" i="102"/>
  <c r="B232" i="102"/>
  <c r="B231" i="102"/>
  <c r="B230" i="102"/>
  <c r="B229" i="102"/>
  <c r="B228" i="102"/>
  <c r="B227" i="102"/>
  <c r="B226" i="102"/>
  <c r="B225" i="102"/>
  <c r="B224" i="102"/>
  <c r="B223" i="102"/>
  <c r="B222" i="102"/>
  <c r="B221" i="102"/>
  <c r="B220" i="102"/>
  <c r="B219" i="102"/>
  <c r="B218" i="102"/>
  <c r="B217" i="102"/>
  <c r="B216" i="102"/>
  <c r="B215" i="102"/>
  <c r="B214" i="102"/>
  <c r="B213" i="102"/>
  <c r="B212" i="102"/>
  <c r="B211" i="102"/>
  <c r="B210" i="102"/>
  <c r="B209" i="102"/>
  <c r="B208" i="102"/>
  <c r="B207" i="102"/>
  <c r="B206" i="102"/>
  <c r="B205" i="102"/>
  <c r="B204" i="102"/>
  <c r="B203" i="102"/>
  <c r="B202" i="102"/>
  <c r="B201" i="102"/>
  <c r="B200" i="102"/>
  <c r="B199" i="102"/>
  <c r="B198" i="102"/>
  <c r="B197" i="102"/>
  <c r="B196" i="102"/>
  <c r="B195" i="102"/>
  <c r="B194" i="102"/>
  <c r="B193" i="102"/>
  <c r="B192" i="102"/>
  <c r="B191" i="102"/>
  <c r="B190" i="102"/>
  <c r="B189" i="102"/>
  <c r="B188" i="102"/>
  <c r="B187" i="102"/>
  <c r="B186" i="102"/>
  <c r="B185" i="102"/>
  <c r="B184" i="102"/>
  <c r="B183" i="102"/>
  <c r="B182" i="102"/>
  <c r="B181" i="102"/>
  <c r="B180" i="102"/>
  <c r="B179" i="102"/>
  <c r="B178" i="102"/>
  <c r="B177" i="102"/>
  <c r="B176" i="102"/>
  <c r="B175" i="102"/>
  <c r="B174" i="102"/>
  <c r="B173" i="102"/>
  <c r="B172" i="102"/>
  <c r="B171" i="102"/>
  <c r="B170" i="102"/>
  <c r="B169" i="102"/>
  <c r="B168" i="102"/>
  <c r="B167" i="102"/>
  <c r="B166" i="102"/>
  <c r="B165" i="102"/>
  <c r="B164" i="102"/>
  <c r="B163" i="102"/>
  <c r="B162" i="102"/>
  <c r="B161" i="102"/>
  <c r="B160" i="102"/>
  <c r="B159" i="102"/>
  <c r="B158" i="102"/>
  <c r="B157" i="102"/>
  <c r="B156" i="102"/>
  <c r="B155" i="102"/>
  <c r="B154" i="102"/>
  <c r="B153" i="102"/>
  <c r="B152" i="102"/>
  <c r="B151" i="102"/>
  <c r="B150" i="102"/>
  <c r="B149" i="102"/>
  <c r="B148" i="102"/>
  <c r="B147" i="102"/>
  <c r="B146" i="102"/>
  <c r="B145" i="102"/>
  <c r="B144" i="102"/>
  <c r="B143" i="102"/>
  <c r="B142" i="102"/>
  <c r="B141" i="102"/>
  <c r="B140" i="102"/>
  <c r="B139" i="102"/>
  <c r="B138" i="102"/>
  <c r="B137" i="102"/>
  <c r="B136" i="102"/>
  <c r="B135" i="102"/>
  <c r="B134" i="102"/>
  <c r="B133" i="102"/>
  <c r="B132" i="102"/>
  <c r="B131" i="102"/>
  <c r="B130" i="102"/>
  <c r="B129" i="102"/>
  <c r="B128" i="102"/>
  <c r="B127" i="102"/>
  <c r="B126" i="102"/>
  <c r="B125" i="102"/>
  <c r="B124" i="102"/>
  <c r="B123" i="102"/>
  <c r="B122" i="102"/>
  <c r="B121" i="102"/>
  <c r="B120" i="102"/>
  <c r="B119" i="102"/>
  <c r="B118" i="102"/>
  <c r="B117" i="102"/>
  <c r="B116" i="102"/>
  <c r="B115" i="102"/>
  <c r="B114" i="102"/>
  <c r="B113" i="102"/>
  <c r="B112" i="102"/>
  <c r="B111" i="102"/>
  <c r="B110" i="102"/>
  <c r="B109" i="102"/>
  <c r="B108" i="102"/>
  <c r="B107" i="102"/>
  <c r="B106" i="102"/>
  <c r="B105" i="102"/>
  <c r="B104" i="102"/>
  <c r="B103" i="102"/>
  <c r="B102" i="102"/>
  <c r="B101" i="102"/>
  <c r="B100" i="102"/>
  <c r="B99" i="102"/>
  <c r="B98" i="102"/>
  <c r="B97" i="102"/>
  <c r="B96" i="102"/>
  <c r="B95" i="102"/>
  <c r="B94" i="102"/>
  <c r="B93" i="102"/>
  <c r="B92" i="102"/>
  <c r="B91" i="102"/>
  <c r="B90" i="102"/>
  <c r="B89" i="102"/>
  <c r="B88" i="102"/>
  <c r="B87" i="102"/>
  <c r="B86" i="102"/>
  <c r="B85" i="102"/>
  <c r="B84" i="102"/>
  <c r="B83" i="102"/>
  <c r="B82" i="102"/>
  <c r="B81" i="102"/>
  <c r="B80" i="102"/>
  <c r="B79" i="102"/>
  <c r="B78" i="102"/>
  <c r="B77" i="102"/>
  <c r="B76" i="102"/>
  <c r="B75" i="102"/>
  <c r="B74" i="102"/>
  <c r="B73" i="102"/>
  <c r="B72" i="102"/>
  <c r="B71" i="102"/>
  <c r="B70" i="102"/>
  <c r="B69" i="102"/>
  <c r="B68" i="102"/>
  <c r="B67" i="102"/>
  <c r="B66" i="102"/>
  <c r="B65" i="102"/>
  <c r="B64" i="102"/>
  <c r="B63" i="102"/>
  <c r="B62" i="102"/>
  <c r="B61" i="102"/>
  <c r="B60" i="102"/>
  <c r="B59" i="102"/>
  <c r="B58" i="102"/>
  <c r="B57" i="102"/>
  <c r="B56" i="102"/>
  <c r="B55" i="102"/>
  <c r="B54" i="102"/>
  <c r="B53" i="102"/>
  <c r="B52" i="102"/>
  <c r="B51" i="102"/>
  <c r="B50" i="102"/>
  <c r="B49" i="102"/>
  <c r="B48" i="102"/>
  <c r="B47" i="102"/>
  <c r="B46" i="102"/>
  <c r="B45" i="102"/>
  <c r="B44" i="102"/>
  <c r="B43" i="102"/>
  <c r="B42" i="102"/>
  <c r="B41" i="102"/>
  <c r="B40" i="102"/>
  <c r="B39" i="102"/>
  <c r="B38" i="102"/>
  <c r="B37" i="102"/>
  <c r="B36" i="102"/>
  <c r="B35" i="102"/>
  <c r="B34" i="102"/>
  <c r="B33" i="102"/>
  <c r="B32" i="102"/>
  <c r="B31" i="102"/>
  <c r="B30" i="102"/>
  <c r="B29" i="102"/>
  <c r="B28" i="102"/>
  <c r="B27" i="102"/>
  <c r="B26" i="102"/>
  <c r="B25" i="102"/>
  <c r="B24" i="102"/>
  <c r="B23" i="102"/>
  <c r="B22" i="102"/>
  <c r="B21" i="102"/>
  <c r="B20" i="102"/>
  <c r="B19" i="102"/>
  <c r="B18" i="102"/>
  <c r="B17" i="102"/>
  <c r="B16" i="102"/>
  <c r="B15" i="102"/>
  <c r="B14" i="102"/>
  <c r="B13" i="102"/>
  <c r="B12" i="102"/>
  <c r="B11" i="102"/>
  <c r="B10" i="102"/>
  <c r="B9" i="102"/>
  <c r="B8" i="102"/>
  <c r="B7" i="102"/>
  <c r="B6" i="102"/>
  <c r="B5" i="102"/>
  <c r="B4" i="102"/>
  <c r="B3" i="102"/>
  <c r="F32" i="107"/>
  <c r="E32" i="107"/>
  <c r="C32" i="107"/>
  <c r="A32" i="107"/>
  <c r="F31" i="107"/>
  <c r="E31" i="107"/>
  <c r="D31" i="107"/>
  <c r="C31" i="107"/>
  <c r="A31" i="107"/>
  <c r="F30" i="107"/>
  <c r="E30" i="107"/>
  <c r="D30" i="107"/>
  <c r="C30" i="107"/>
  <c r="A30" i="107"/>
  <c r="F29" i="107"/>
  <c r="E29" i="107"/>
  <c r="D29" i="107"/>
  <c r="C29" i="107"/>
  <c r="A29" i="107"/>
  <c r="F28" i="107"/>
  <c r="E28" i="107"/>
  <c r="D28" i="107"/>
  <c r="C28" i="107"/>
  <c r="A28" i="107"/>
  <c r="F27" i="107"/>
  <c r="E27" i="107"/>
  <c r="D27" i="107"/>
  <c r="C27" i="107"/>
  <c r="A27" i="107"/>
  <c r="F26" i="107"/>
  <c r="E26" i="107"/>
  <c r="D26" i="107"/>
  <c r="C26" i="107"/>
  <c r="A26" i="107"/>
  <c r="BA24" i="107"/>
  <c r="AZ24" i="107"/>
  <c r="AY24" i="107"/>
  <c r="AX24" i="107"/>
  <c r="AW24" i="107"/>
  <c r="AV24" i="107"/>
  <c r="AU24" i="107"/>
  <c r="AT24" i="107"/>
  <c r="AS24" i="107"/>
  <c r="AR24" i="107"/>
  <c r="AQ24" i="107"/>
  <c r="AP24" i="107"/>
  <c r="AO24" i="107"/>
  <c r="AN24" i="107"/>
  <c r="AM24" i="107"/>
  <c r="AL24" i="107"/>
  <c r="AK24" i="107"/>
  <c r="AJ24" i="107"/>
  <c r="AI24" i="107"/>
  <c r="AH24" i="107"/>
  <c r="AG24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R24" i="107"/>
  <c r="Q24" i="107"/>
  <c r="P24" i="107"/>
  <c r="O24" i="107"/>
  <c r="N24" i="107"/>
  <c r="M24" i="107"/>
  <c r="L24" i="107"/>
  <c r="BG23" i="107"/>
  <c r="BF23" i="107"/>
  <c r="BE23" i="107"/>
  <c r="BD23" i="107"/>
  <c r="BC23" i="107"/>
  <c r="BB23" i="107"/>
  <c r="J23" i="107"/>
  <c r="A23" i="107"/>
  <c r="CL23" i="107" s="1"/>
  <c r="BG22" i="107"/>
  <c r="BF22" i="107"/>
  <c r="BE22" i="107"/>
  <c r="BD22" i="107"/>
  <c r="BC22" i="107"/>
  <c r="BB22" i="107"/>
  <c r="J22" i="107"/>
  <c r="A22" i="107"/>
  <c r="CP22" i="107" s="1"/>
  <c r="BG21" i="107"/>
  <c r="BF21" i="107"/>
  <c r="BE21" i="107"/>
  <c r="BD21" i="107"/>
  <c r="BC21" i="107"/>
  <c r="BB21" i="107"/>
  <c r="J21" i="107"/>
  <c r="A21" i="107"/>
  <c r="CT21" i="107" s="1"/>
  <c r="BG20" i="107"/>
  <c r="BF20" i="107"/>
  <c r="BE20" i="107"/>
  <c r="BD20" i="107"/>
  <c r="BC20" i="107"/>
  <c r="BB20" i="107"/>
  <c r="J20" i="107"/>
  <c r="A20" i="107"/>
  <c r="CX20" i="107" s="1"/>
  <c r="BG19" i="107"/>
  <c r="BF19" i="107"/>
  <c r="BE19" i="107"/>
  <c r="BD19" i="107"/>
  <c r="BC19" i="107"/>
  <c r="BB19" i="107"/>
  <c r="J19" i="107"/>
  <c r="A19" i="107"/>
  <c r="CL19" i="107" s="1"/>
  <c r="BG18" i="107"/>
  <c r="BF18" i="107"/>
  <c r="BE18" i="107"/>
  <c r="BD18" i="107"/>
  <c r="BC18" i="107"/>
  <c r="BB18" i="107"/>
  <c r="J18" i="107"/>
  <c r="A18" i="107"/>
  <c r="CP18" i="107" s="1"/>
  <c r="BG17" i="107"/>
  <c r="BF17" i="107"/>
  <c r="BE17" i="107"/>
  <c r="BD17" i="107"/>
  <c r="BC17" i="107"/>
  <c r="BB17" i="107"/>
  <c r="J17" i="107"/>
  <c r="A17" i="107"/>
  <c r="CT17" i="107" s="1"/>
  <c r="BG16" i="107"/>
  <c r="BF16" i="107"/>
  <c r="BE16" i="107"/>
  <c r="BD16" i="107"/>
  <c r="BC16" i="107"/>
  <c r="BB16" i="107"/>
  <c r="J16" i="107"/>
  <c r="A16" i="107"/>
  <c r="CX16" i="107" s="1"/>
  <c r="BG15" i="107"/>
  <c r="BF15" i="107"/>
  <c r="BE15" i="107"/>
  <c r="BD15" i="107"/>
  <c r="BC15" i="107"/>
  <c r="BB15" i="107"/>
  <c r="J15" i="107"/>
  <c r="A15" i="107"/>
  <c r="CL15" i="107" s="1"/>
  <c r="BG14" i="107"/>
  <c r="BF14" i="107"/>
  <c r="BE14" i="107"/>
  <c r="BD14" i="107"/>
  <c r="BC14" i="107"/>
  <c r="BB14" i="107"/>
  <c r="J14" i="107"/>
  <c r="A14" i="107"/>
  <c r="CP14" i="107" s="1"/>
  <c r="BG13" i="107"/>
  <c r="BF13" i="107"/>
  <c r="BE13" i="107"/>
  <c r="BD13" i="107"/>
  <c r="BC13" i="107"/>
  <c r="BB13" i="107"/>
  <c r="J13" i="107"/>
  <c r="A13" i="107"/>
  <c r="CT13" i="107" s="1"/>
  <c r="AV9" i="107"/>
  <c r="AP9" i="107"/>
  <c r="AJ9" i="107"/>
  <c r="AD9" i="107"/>
  <c r="X9" i="107"/>
  <c r="R9" i="107"/>
  <c r="L9" i="107"/>
  <c r="AV3" i="107"/>
  <c r="CS11" i="107" s="1"/>
  <c r="AP3" i="107"/>
  <c r="CM11" i="107" s="1"/>
  <c r="AJ3" i="107"/>
  <c r="CG11" i="107" s="1"/>
  <c r="AD3" i="107"/>
  <c r="CA11" i="107" s="1"/>
  <c r="X3" i="107"/>
  <c r="BU11" i="107" s="1"/>
  <c r="R3" i="107"/>
  <c r="BO11" i="107" s="1"/>
  <c r="L3" i="107"/>
  <c r="BI11" i="107" s="1"/>
  <c r="BO19" i="137"/>
  <c r="BU19" i="137"/>
  <c r="CA19" i="137"/>
  <c r="BI19" i="137"/>
  <c r="CH19" i="137"/>
  <c r="CF19" i="137"/>
  <c r="BR15" i="137"/>
  <c r="BT15" i="137"/>
  <c r="BN15" i="137" l="1"/>
  <c r="BL15" i="137"/>
  <c r="BK15" i="137"/>
  <c r="BI15" i="137"/>
  <c r="BM15" i="137"/>
  <c r="AP10" i="107"/>
  <c r="AP11" i="107" s="1"/>
  <c r="BT20" i="107"/>
  <c r="L10" i="107"/>
  <c r="L11" i="107" s="1"/>
  <c r="BL20" i="107"/>
  <c r="CA18" i="107"/>
  <c r="BH14" i="137"/>
  <c r="BN20" i="107"/>
  <c r="CS15" i="107"/>
  <c r="BH19" i="107"/>
  <c r="BS20" i="107"/>
  <c r="BX20" i="107"/>
  <c r="BZ20" i="107"/>
  <c r="BZ19" i="107"/>
  <c r="CA20" i="107"/>
  <c r="CA19" i="107"/>
  <c r="CB20" i="107"/>
  <c r="BL14" i="107"/>
  <c r="X10" i="107"/>
  <c r="X11" i="107" s="1"/>
  <c r="CA14" i="107"/>
  <c r="BH13" i="107"/>
  <c r="CB14" i="107"/>
  <c r="BH23" i="107"/>
  <c r="CC14" i="107"/>
  <c r="CB15" i="107"/>
  <c r="CS16" i="107"/>
  <c r="BX19" i="107"/>
  <c r="CB19" i="107"/>
  <c r="CO19" i="107"/>
  <c r="R10" i="107"/>
  <c r="R11" i="107" s="1"/>
  <c r="CQ19" i="107"/>
  <c r="CR19" i="107"/>
  <c r="BH22" i="107"/>
  <c r="CS19" i="107"/>
  <c r="BQ13" i="107"/>
  <c r="CJ20" i="107"/>
  <c r="BI23" i="107"/>
  <c r="CF13" i="107"/>
  <c r="BQ17" i="107"/>
  <c r="CM20" i="107"/>
  <c r="BJ23" i="107"/>
  <c r="BN14" i="137"/>
  <c r="CG13" i="107"/>
  <c r="BH15" i="107"/>
  <c r="BM16" i="107"/>
  <c r="CF17" i="107"/>
  <c r="CN20" i="107"/>
  <c r="BW23" i="107"/>
  <c r="BO14" i="137"/>
  <c r="BT16" i="107"/>
  <c r="CR20" i="107"/>
  <c r="BZ23" i="107"/>
  <c r="BB24" i="137"/>
  <c r="CB14" i="137"/>
  <c r="BY16" i="107"/>
  <c r="BI19" i="107"/>
  <c r="BL22" i="107"/>
  <c r="CA23" i="107"/>
  <c r="R11" i="137"/>
  <c r="BC24" i="137"/>
  <c r="CT14" i="137"/>
  <c r="CB16" i="107"/>
  <c r="BJ19" i="107"/>
  <c r="BM22" i="107"/>
  <c r="CP23" i="107"/>
  <c r="BD24" i="137"/>
  <c r="CK16" i="107"/>
  <c r="BK19" i="107"/>
  <c r="CA22" i="107"/>
  <c r="BE24" i="137"/>
  <c r="BK15" i="107"/>
  <c r="CN16" i="107"/>
  <c r="BL19" i="107"/>
  <c r="CR22" i="107"/>
  <c r="AD11" i="137"/>
  <c r="BB10" i="137"/>
  <c r="BH24" i="133"/>
  <c r="BB11" i="133"/>
  <c r="CW21" i="107"/>
  <c r="BP21" i="107"/>
  <c r="BG24" i="107"/>
  <c r="BY15" i="107"/>
  <c r="BK18" i="107"/>
  <c r="CS18" i="107"/>
  <c r="BH20" i="107"/>
  <c r="BP13" i="107"/>
  <c r="BH14" i="107"/>
  <c r="BM14" i="107"/>
  <c r="BI15" i="107"/>
  <c r="BZ15" i="107"/>
  <c r="CQ15" i="107"/>
  <c r="BN16" i="107"/>
  <c r="BZ16" i="107"/>
  <c r="CL16" i="107"/>
  <c r="CT16" i="107"/>
  <c r="BL18" i="107"/>
  <c r="BY19" i="107"/>
  <c r="CP19" i="107"/>
  <c r="BM20" i="107"/>
  <c r="BY20" i="107"/>
  <c r="CK20" i="107"/>
  <c r="CS20" i="107"/>
  <c r="BK22" i="107"/>
  <c r="CS22" i="107"/>
  <c r="BX23" i="107"/>
  <c r="CQ23" i="107"/>
  <c r="X11" i="137"/>
  <c r="CU14" i="137"/>
  <c r="CP15" i="107"/>
  <c r="BJ15" i="107"/>
  <c r="CA15" i="107"/>
  <c r="CR15" i="107"/>
  <c r="BS16" i="107"/>
  <c r="CA16" i="107"/>
  <c r="CM16" i="107"/>
  <c r="BP17" i="107"/>
  <c r="BH18" i="107"/>
  <c r="BM18" i="107"/>
  <c r="CL20" i="107"/>
  <c r="CT20" i="107"/>
  <c r="BY23" i="107"/>
  <c r="AJ10" i="107"/>
  <c r="AJ11" i="107" s="1"/>
  <c r="D32" i="114"/>
  <c r="D32" i="117"/>
  <c r="D32" i="133"/>
  <c r="AJ11" i="137"/>
  <c r="CC14" i="137"/>
  <c r="BL15" i="107"/>
  <c r="CC15" i="107"/>
  <c r="BI16" i="107"/>
  <c r="BU16" i="107"/>
  <c r="CC16" i="107"/>
  <c r="CO16" i="107"/>
  <c r="BH17" i="107"/>
  <c r="CB18" i="107"/>
  <c r="BQ21" i="107"/>
  <c r="B3" i="107"/>
  <c r="AP11" i="137"/>
  <c r="BF24" i="137"/>
  <c r="CD14" i="137"/>
  <c r="BH15" i="137"/>
  <c r="BC24" i="107"/>
  <c r="BD24" i="107"/>
  <c r="CV13" i="107"/>
  <c r="CQ14" i="107"/>
  <c r="BM15" i="107"/>
  <c r="CM15" i="107"/>
  <c r="BJ16" i="107"/>
  <c r="BV16" i="107"/>
  <c r="CD16" i="107"/>
  <c r="CP16" i="107"/>
  <c r="CG17" i="107"/>
  <c r="CC18" i="107"/>
  <c r="CC19" i="107"/>
  <c r="BI20" i="107"/>
  <c r="BU20" i="107"/>
  <c r="CC20" i="107"/>
  <c r="CO20" i="107"/>
  <c r="BH21" i="107"/>
  <c r="CF21" i="107"/>
  <c r="CB22" i="107"/>
  <c r="BK23" i="107"/>
  <c r="CM23" i="107"/>
  <c r="AV11" i="137"/>
  <c r="BG24" i="137"/>
  <c r="CE14" i="137"/>
  <c r="BE24" i="107"/>
  <c r="CW13" i="107"/>
  <c r="CR14" i="107"/>
  <c r="BW15" i="107"/>
  <c r="CN15" i="107"/>
  <c r="BK16" i="107"/>
  <c r="BW16" i="107"/>
  <c r="CI16" i="107"/>
  <c r="CQ16" i="107"/>
  <c r="CV17" i="107"/>
  <c r="CQ18" i="107"/>
  <c r="BM19" i="107"/>
  <c r="CM19" i="107"/>
  <c r="BJ20" i="107"/>
  <c r="BV20" i="107"/>
  <c r="CD20" i="107"/>
  <c r="CP20" i="107"/>
  <c r="CG21" i="107"/>
  <c r="CC22" i="107"/>
  <c r="BL23" i="107"/>
  <c r="CN23" i="107"/>
  <c r="AD10" i="107"/>
  <c r="AD11" i="107" s="1"/>
  <c r="AV10" i="107"/>
  <c r="AV11" i="107" s="1"/>
  <c r="BL14" i="137"/>
  <c r="CR14" i="137"/>
  <c r="BB9" i="107"/>
  <c r="BF24" i="107"/>
  <c r="BK14" i="107"/>
  <c r="CS14" i="107"/>
  <c r="BX15" i="107"/>
  <c r="CO15" i="107"/>
  <c r="BH16" i="107"/>
  <c r="BL16" i="107"/>
  <c r="BX16" i="107"/>
  <c r="CJ16" i="107"/>
  <c r="CR16" i="107"/>
  <c r="CW17" i="107"/>
  <c r="CR18" i="107"/>
  <c r="BW19" i="107"/>
  <c r="CN19" i="107"/>
  <c r="BK20" i="107"/>
  <c r="BW20" i="107"/>
  <c r="CI20" i="107"/>
  <c r="CQ20" i="107"/>
  <c r="CV21" i="107"/>
  <c r="CQ22" i="107"/>
  <c r="BM23" i="107"/>
  <c r="CO23" i="107"/>
  <c r="B4" i="167"/>
  <c r="B4" i="133"/>
  <c r="B4" i="117"/>
  <c r="B3" i="117"/>
  <c r="A1" i="117"/>
  <c r="B4" i="114"/>
  <c r="B3" i="114"/>
  <c r="A1" i="114"/>
  <c r="A1" i="165"/>
  <c r="B4" i="165"/>
  <c r="B3" i="165"/>
  <c r="B3" i="133"/>
  <c r="A1" i="133"/>
  <c r="L11" i="137"/>
  <c r="BM14" i="137"/>
  <c r="CS14" i="137"/>
  <c r="CW13" i="137"/>
  <c r="CH13" i="137"/>
  <c r="BO13" i="137"/>
  <c r="CE13" i="137"/>
  <c r="CU13" i="137"/>
  <c r="BS13" i="137"/>
  <c r="CI13" i="137"/>
  <c r="BP14" i="137"/>
  <c r="CF14" i="137"/>
  <c r="CV14" i="137"/>
  <c r="CF13" i="137"/>
  <c r="BT13" i="137"/>
  <c r="CJ13" i="137"/>
  <c r="BQ14" i="137"/>
  <c r="CG14" i="137"/>
  <c r="CW14" i="137"/>
  <c r="BQ13" i="137"/>
  <c r="CK13" i="137"/>
  <c r="BR14" i="137"/>
  <c r="CH14" i="137"/>
  <c r="CX14" i="137"/>
  <c r="CG13" i="137"/>
  <c r="CX13" i="137"/>
  <c r="BV13" i="137"/>
  <c r="CL13" i="137"/>
  <c r="BS14" i="137"/>
  <c r="CI14" i="137"/>
  <c r="CB15" i="137"/>
  <c r="CS15" i="137"/>
  <c r="CN15" i="137"/>
  <c r="CM15" i="137"/>
  <c r="CT15" i="137"/>
  <c r="CH15" i="137"/>
  <c r="BV15" i="137"/>
  <c r="BP15" i="137"/>
  <c r="BJ15" i="137"/>
  <c r="CM13" i="137"/>
  <c r="BT14" i="137"/>
  <c r="CJ14" i="137"/>
  <c r="BB9" i="137"/>
  <c r="BH13" i="137"/>
  <c r="CN13" i="137"/>
  <c r="BU14" i="137"/>
  <c r="CK14" i="137"/>
  <c r="BI13" i="137"/>
  <c r="BY13" i="137"/>
  <c r="CO13" i="137"/>
  <c r="BV14" i="137"/>
  <c r="CL14" i="137"/>
  <c r="BP13" i="137"/>
  <c r="BJ13" i="137"/>
  <c r="BZ13" i="137"/>
  <c r="CP13" i="137"/>
  <c r="BW14" i="137"/>
  <c r="CM14" i="137"/>
  <c r="BK13" i="137"/>
  <c r="CA13" i="137"/>
  <c r="CQ13" i="137"/>
  <c r="BX14" i="137"/>
  <c r="CN14" i="137"/>
  <c r="CV13" i="137"/>
  <c r="BR13" i="137"/>
  <c r="BL13" i="137"/>
  <c r="CB13" i="137"/>
  <c r="CR13" i="137"/>
  <c r="BI14" i="137"/>
  <c r="BY14" i="137"/>
  <c r="CO14" i="137"/>
  <c r="BM13" i="137"/>
  <c r="CC13" i="137"/>
  <c r="CS13" i="137"/>
  <c r="BJ14" i="137"/>
  <c r="BZ14" i="137"/>
  <c r="CP14" i="137"/>
  <c r="BN13" i="137"/>
  <c r="CD13" i="137"/>
  <c r="BK14" i="137"/>
  <c r="CA14" i="137"/>
  <c r="B4" i="107"/>
  <c r="F20" i="107" s="1"/>
  <c r="BO13" i="107"/>
  <c r="CE13" i="107"/>
  <c r="CU13" i="107"/>
  <c r="BO17" i="107"/>
  <c r="CE17" i="107"/>
  <c r="CU17" i="107"/>
  <c r="BO21" i="107"/>
  <c r="CE21" i="107"/>
  <c r="CU21" i="107"/>
  <c r="BR13" i="107"/>
  <c r="CH13" i="107"/>
  <c r="CX13" i="107"/>
  <c r="BN14" i="107"/>
  <c r="CD14" i="107"/>
  <c r="CT14" i="107"/>
  <c r="BR17" i="107"/>
  <c r="CH17" i="107"/>
  <c r="CX17" i="107"/>
  <c r="BN18" i="107"/>
  <c r="CD18" i="107"/>
  <c r="CT18" i="107"/>
  <c r="BR21" i="107"/>
  <c r="CH21" i="107"/>
  <c r="CX21" i="107"/>
  <c r="BN22" i="107"/>
  <c r="CD22" i="107"/>
  <c r="CT22" i="107"/>
  <c r="BS13" i="107"/>
  <c r="CI13" i="107"/>
  <c r="BO14" i="107"/>
  <c r="CE14" i="107"/>
  <c r="CU14" i="107"/>
  <c r="BS17" i="107"/>
  <c r="CI17" i="107"/>
  <c r="BO18" i="107"/>
  <c r="CE18" i="107"/>
  <c r="CU18" i="107"/>
  <c r="BS21" i="107"/>
  <c r="CI21" i="107"/>
  <c r="BO22" i="107"/>
  <c r="CE22" i="107"/>
  <c r="CU22" i="107"/>
  <c r="BT13" i="107"/>
  <c r="CJ13" i="107"/>
  <c r="BP14" i="107"/>
  <c r="CF14" i="107"/>
  <c r="CV14" i="107"/>
  <c r="BT17" i="107"/>
  <c r="CJ17" i="107"/>
  <c r="BP18" i="107"/>
  <c r="CF18" i="107"/>
  <c r="CV18" i="107"/>
  <c r="BT21" i="107"/>
  <c r="CJ21" i="107"/>
  <c r="BP22" i="107"/>
  <c r="CF22" i="107"/>
  <c r="CV22" i="107"/>
  <c r="CB23" i="107"/>
  <c r="CR23" i="107"/>
  <c r="BU13" i="107"/>
  <c r="CK13" i="107"/>
  <c r="BQ14" i="107"/>
  <c r="CG14" i="107"/>
  <c r="CW14" i="107"/>
  <c r="BU17" i="107"/>
  <c r="CK17" i="107"/>
  <c r="BQ18" i="107"/>
  <c r="CG18" i="107"/>
  <c r="CW18" i="107"/>
  <c r="BU21" i="107"/>
  <c r="CK21" i="107"/>
  <c r="BQ22" i="107"/>
  <c r="CG22" i="107"/>
  <c r="CW22" i="107"/>
  <c r="CC23" i="107"/>
  <c r="CS23" i="107"/>
  <c r="BB24" i="107"/>
  <c r="BV13" i="107"/>
  <c r="CL13" i="107"/>
  <c r="BR14" i="107"/>
  <c r="CH14" i="107"/>
  <c r="CX14" i="107"/>
  <c r="BN15" i="107"/>
  <c r="CD15" i="107"/>
  <c r="CT15" i="107"/>
  <c r="BV17" i="107"/>
  <c r="CL17" i="107"/>
  <c r="BR18" i="107"/>
  <c r="CH18" i="107"/>
  <c r="CX18" i="107"/>
  <c r="BN19" i="107"/>
  <c r="CD19" i="107"/>
  <c r="CT19" i="107"/>
  <c r="BV21" i="107"/>
  <c r="CL21" i="107"/>
  <c r="BR22" i="107"/>
  <c r="CH22" i="107"/>
  <c r="CX22" i="107"/>
  <c r="BN23" i="107"/>
  <c r="CD23" i="107"/>
  <c r="CT23" i="107"/>
  <c r="CM13" i="107"/>
  <c r="BS14" i="107"/>
  <c r="CI14" i="107"/>
  <c r="BO15" i="107"/>
  <c r="CE15" i="107"/>
  <c r="CU15" i="107"/>
  <c r="BW17" i="107"/>
  <c r="CM17" i="107"/>
  <c r="BS18" i="107"/>
  <c r="CI18" i="107"/>
  <c r="BO19" i="107"/>
  <c r="CE19" i="107"/>
  <c r="CU19" i="107"/>
  <c r="BW21" i="107"/>
  <c r="CM21" i="107"/>
  <c r="BS22" i="107"/>
  <c r="CI22" i="107"/>
  <c r="BO23" i="107"/>
  <c r="CE23" i="107"/>
  <c r="CU23" i="107"/>
  <c r="BW13" i="107"/>
  <c r="BX13" i="107"/>
  <c r="CN13" i="107"/>
  <c r="BT14" i="107"/>
  <c r="CJ14" i="107"/>
  <c r="BP15" i="107"/>
  <c r="CF15" i="107"/>
  <c r="CV15" i="107"/>
  <c r="BX17" i="107"/>
  <c r="CN17" i="107"/>
  <c r="BT18" i="107"/>
  <c r="CJ18" i="107"/>
  <c r="BP19" i="107"/>
  <c r="CF19" i="107"/>
  <c r="CV19" i="107"/>
  <c r="BX21" i="107"/>
  <c r="CN21" i="107"/>
  <c r="BT22" i="107"/>
  <c r="CJ22" i="107"/>
  <c r="BP23" i="107"/>
  <c r="CF23" i="107"/>
  <c r="CV23" i="107"/>
  <c r="BI13" i="107"/>
  <c r="BY13" i="107"/>
  <c r="CO13" i="107"/>
  <c r="BU14" i="107"/>
  <c r="CK14" i="107"/>
  <c r="BQ15" i="107"/>
  <c r="CG15" i="107"/>
  <c r="CW15" i="107"/>
  <c r="BI17" i="107"/>
  <c r="BY17" i="107"/>
  <c r="CO17" i="107"/>
  <c r="BU18" i="107"/>
  <c r="CK18" i="107"/>
  <c r="BQ19" i="107"/>
  <c r="CG19" i="107"/>
  <c r="CW19" i="107"/>
  <c r="BI21" i="107"/>
  <c r="BY21" i="107"/>
  <c r="CO21" i="107"/>
  <c r="BU22" i="107"/>
  <c r="CK22" i="107"/>
  <c r="BQ23" i="107"/>
  <c r="CG23" i="107"/>
  <c r="CW23" i="107"/>
  <c r="BJ13" i="107"/>
  <c r="BZ13" i="107"/>
  <c r="CP13" i="107"/>
  <c r="BV14" i="107"/>
  <c r="CL14" i="107"/>
  <c r="BR15" i="107"/>
  <c r="CH15" i="107"/>
  <c r="CX15" i="107"/>
  <c r="BJ17" i="107"/>
  <c r="BZ17" i="107"/>
  <c r="CP17" i="107"/>
  <c r="BV18" i="107"/>
  <c r="CL18" i="107"/>
  <c r="BR19" i="107"/>
  <c r="CH19" i="107"/>
  <c r="CX19" i="107"/>
  <c r="BJ21" i="107"/>
  <c r="BZ21" i="107"/>
  <c r="CP21" i="107"/>
  <c r="BV22" i="107"/>
  <c r="CL22" i="107"/>
  <c r="BR23" i="107"/>
  <c r="CH23" i="107"/>
  <c r="CX23" i="107"/>
  <c r="BK13" i="107"/>
  <c r="CA13" i="107"/>
  <c r="CQ13" i="107"/>
  <c r="BW14" i="107"/>
  <c r="CM14" i="107"/>
  <c r="BS15" i="107"/>
  <c r="CI15" i="107"/>
  <c r="BO16" i="107"/>
  <c r="CE16" i="107"/>
  <c r="CU16" i="107"/>
  <c r="BK17" i="107"/>
  <c r="CA17" i="107"/>
  <c r="CQ17" i="107"/>
  <c r="BW18" i="107"/>
  <c r="CM18" i="107"/>
  <c r="BS19" i="107"/>
  <c r="CI19" i="107"/>
  <c r="BO20" i="107"/>
  <c r="CE20" i="107"/>
  <c r="CU20" i="107"/>
  <c r="BK21" i="107"/>
  <c r="CA21" i="107"/>
  <c r="CQ21" i="107"/>
  <c r="BW22" i="107"/>
  <c r="CM22" i="107"/>
  <c r="BS23" i="107"/>
  <c r="CI23" i="107"/>
  <c r="BL13" i="107"/>
  <c r="CB13" i="107"/>
  <c r="CR13" i="107"/>
  <c r="BX14" i="107"/>
  <c r="CN14" i="107"/>
  <c r="BT15" i="107"/>
  <c r="CJ15" i="107"/>
  <c r="BP16" i="107"/>
  <c r="CF16" i="107"/>
  <c r="CV16" i="107"/>
  <c r="BL17" i="107"/>
  <c r="CB17" i="107"/>
  <c r="CR17" i="107"/>
  <c r="BX18" i="107"/>
  <c r="CN18" i="107"/>
  <c r="BT19" i="107"/>
  <c r="CJ19" i="107"/>
  <c r="BP20" i="107"/>
  <c r="CF20" i="107"/>
  <c r="CV20" i="107"/>
  <c r="BL21" i="107"/>
  <c r="CB21" i="107"/>
  <c r="CR21" i="107"/>
  <c r="BX22" i="107"/>
  <c r="CN22" i="107"/>
  <c r="BT23" i="107"/>
  <c r="CJ23" i="107"/>
  <c r="BM13" i="107"/>
  <c r="CC13" i="107"/>
  <c r="CS13" i="107"/>
  <c r="BI14" i="107"/>
  <c r="BY14" i="107"/>
  <c r="CO14" i="107"/>
  <c r="BU15" i="107"/>
  <c r="CK15" i="107"/>
  <c r="BQ16" i="107"/>
  <c r="CG16" i="107"/>
  <c r="CW16" i="107"/>
  <c r="BM17" i="107"/>
  <c r="CC17" i="107"/>
  <c r="CS17" i="107"/>
  <c r="BI18" i="107"/>
  <c r="BY18" i="107"/>
  <c r="CO18" i="107"/>
  <c r="BU19" i="107"/>
  <c r="CK19" i="107"/>
  <c r="BQ20" i="107"/>
  <c r="CG20" i="107"/>
  <c r="CW20" i="107"/>
  <c r="BM21" i="107"/>
  <c r="CC21" i="107"/>
  <c r="CS21" i="107"/>
  <c r="BI22" i="107"/>
  <c r="BY22" i="107"/>
  <c r="CO22" i="107"/>
  <c r="BU23" i="107"/>
  <c r="CK23" i="107"/>
  <c r="BN13" i="107"/>
  <c r="CD13" i="107"/>
  <c r="BJ14" i="107"/>
  <c r="BZ14" i="107"/>
  <c r="BV15" i="107"/>
  <c r="BR16" i="107"/>
  <c r="CH16" i="107"/>
  <c r="BN17" i="107"/>
  <c r="CD17" i="107"/>
  <c r="BJ18" i="107"/>
  <c r="BZ18" i="107"/>
  <c r="BV19" i="107"/>
  <c r="BR20" i="107"/>
  <c r="CH20" i="107"/>
  <c r="BN21" i="107"/>
  <c r="CD21" i="107"/>
  <c r="BJ22" i="107"/>
  <c r="BZ22" i="107"/>
  <c r="BV23" i="107"/>
  <c r="BU13" i="137"/>
  <c r="BW13" i="137"/>
  <c r="BX13" i="137"/>
  <c r="BO15" i="137"/>
  <c r="CF15" i="137"/>
  <c r="CE15" i="137"/>
  <c r="CL15" i="137"/>
  <c r="CC15" i="137"/>
  <c r="CJ15" i="137"/>
  <c r="CV15" i="137"/>
  <c r="BW15" i="137"/>
  <c r="CU15" i="137"/>
  <c r="BQ15" i="137"/>
  <c r="CD15" i="137"/>
  <c r="BU15" i="137"/>
  <c r="CR15" i="137"/>
  <c r="CW15" i="137"/>
  <c r="CK15" i="137"/>
  <c r="CI15" i="137"/>
  <c r="BS15" i="137"/>
  <c r="CQ15" i="137"/>
  <c r="CG15" i="137"/>
  <c r="CO15" i="137"/>
  <c r="BZ15" i="137"/>
  <c r="CX15" i="137"/>
  <c r="BY15" i="137"/>
  <c r="CA15" i="137"/>
  <c r="CP15" i="137"/>
  <c r="BX15" i="137"/>
  <c r="BB11" i="137" l="1"/>
  <c r="BB10" i="107"/>
  <c r="BB11" i="107" s="1"/>
  <c r="BH24" i="107"/>
  <c r="BH24" i="137"/>
  <c r="F13" i="107"/>
  <c r="F20" i="117"/>
  <c r="F14" i="117"/>
  <c r="F13" i="117"/>
  <c r="F15" i="117"/>
  <c r="F19" i="117"/>
  <c r="F23" i="117"/>
  <c r="F17" i="117"/>
  <c r="F22" i="117"/>
  <c r="F16" i="117"/>
  <c r="F21" i="117"/>
  <c r="F18" i="117"/>
  <c r="F13" i="165"/>
  <c r="F21" i="165"/>
  <c r="F22" i="165"/>
  <c r="F20" i="165"/>
  <c r="F18" i="165"/>
  <c r="F16" i="165"/>
  <c r="F14" i="165"/>
  <c r="F15" i="165"/>
  <c r="F17" i="165"/>
  <c r="F23" i="165"/>
  <c r="F19" i="165"/>
  <c r="F16" i="133"/>
  <c r="F21" i="133"/>
  <c r="F20" i="133"/>
  <c r="F18" i="133"/>
  <c r="F14" i="133"/>
  <c r="F15" i="133"/>
  <c r="F23" i="133"/>
  <c r="F13" i="133"/>
  <c r="F19" i="133"/>
  <c r="F22" i="133"/>
  <c r="F17" i="133"/>
  <c r="F21" i="107"/>
  <c r="F22" i="107"/>
  <c r="F15" i="167"/>
  <c r="F18" i="167"/>
  <c r="F21" i="167"/>
  <c r="F22" i="167"/>
  <c r="F14" i="167"/>
  <c r="F16" i="167"/>
  <c r="F17" i="167"/>
  <c r="F20" i="167"/>
  <c r="F23" i="167"/>
  <c r="F19" i="167"/>
  <c r="F13" i="167"/>
  <c r="F17" i="107"/>
  <c r="F16" i="107"/>
  <c r="F19" i="114"/>
  <c r="F17" i="114"/>
  <c r="F20" i="114"/>
  <c r="F13" i="114"/>
  <c r="F15" i="114"/>
  <c r="F14" i="114"/>
  <c r="F18" i="114"/>
  <c r="F16" i="114"/>
  <c r="F23" i="107"/>
  <c r="F15" i="107"/>
  <c r="F18" i="107"/>
  <c r="F14" i="107"/>
  <c r="F19" i="107"/>
  <c r="BO15" i="133"/>
  <c r="BW13" i="167"/>
  <c r="BK13" i="167"/>
  <c r="BX13" i="167"/>
  <c r="BR13" i="167"/>
  <c r="BU13" i="167"/>
  <c r="BL13" i="167"/>
  <c r="BQ13" i="167"/>
  <c r="BI13" i="167"/>
  <c r="BO13" i="167"/>
  <c r="BX15" i="165"/>
  <c r="BU15" i="165"/>
  <c r="CP15" i="114"/>
  <c r="CU15" i="114"/>
  <c r="CW15" i="114"/>
  <c r="CV15" i="114"/>
  <c r="CQ15" i="114"/>
  <c r="CX15" i="114"/>
  <c r="CR15" i="114"/>
  <c r="CO15" i="114"/>
  <c r="CH15" i="133"/>
  <c r="BU15" i="133"/>
  <c r="CH17" i="165"/>
  <c r="CH17" i="167"/>
  <c r="CH13" i="117"/>
  <c r="CA15" i="133"/>
  <c r="CX17" i="133"/>
  <c r="CW17" i="133"/>
  <c r="CV17" i="133"/>
  <c r="CU17" i="133"/>
  <c r="CV15" i="117"/>
  <c r="CW15" i="117"/>
  <c r="CU15" i="117"/>
  <c r="CX15" i="117"/>
  <c r="CC17" i="133"/>
  <c r="BL17" i="133"/>
  <c r="CJ15" i="167"/>
  <c r="CQ15" i="167"/>
  <c r="BY13" i="165"/>
  <c r="CK15" i="117"/>
  <c r="BZ15" i="117"/>
  <c r="BL13" i="114"/>
  <c r="CR17" i="133"/>
  <c r="BN15" i="167"/>
  <c r="CW15" i="167"/>
  <c r="CO15" i="167"/>
  <c r="CE13" i="165"/>
  <c r="BO15" i="117"/>
  <c r="CJ15" i="117"/>
  <c r="BI13" i="114"/>
  <c r="BL13" i="165"/>
  <c r="BX17" i="133"/>
  <c r="CX15" i="167"/>
  <c r="CO13" i="165"/>
  <c r="CK15" i="167"/>
  <c r="CP13" i="114"/>
  <c r="BI17" i="133"/>
  <c r="BR15" i="167"/>
  <c r="CG15" i="167"/>
  <c r="CG13" i="165"/>
  <c r="BZ13" i="165"/>
  <c r="BM15" i="117"/>
  <c r="CF15" i="117"/>
  <c r="BT13" i="165"/>
  <c r="CD17" i="133"/>
  <c r="CD13" i="165"/>
  <c r="CR15" i="167"/>
  <c r="CP15" i="117"/>
  <c r="CO13" i="114"/>
  <c r="CA17" i="133"/>
  <c r="BM15" i="167"/>
  <c r="BY15" i="167"/>
  <c r="CF13" i="165"/>
  <c r="CU13" i="165"/>
  <c r="BR15" i="117"/>
  <c r="CR15" i="117"/>
  <c r="BK13" i="114"/>
  <c r="CL15" i="117"/>
  <c r="BQ17" i="133"/>
  <c r="BS15" i="117"/>
  <c r="BI15" i="167"/>
  <c r="CD15" i="117"/>
  <c r="CD15" i="167"/>
  <c r="BZ15" i="167"/>
  <c r="CP17" i="133"/>
  <c r="CP15" i="167"/>
  <c r="BK17" i="133"/>
  <c r="BW17" i="133"/>
  <c r="CI17" i="133"/>
  <c r="BL15" i="167"/>
  <c r="BX15" i="167"/>
  <c r="CA13" i="165"/>
  <c r="CP13" i="165"/>
  <c r="CG15" i="117"/>
  <c r="BT15" i="117"/>
  <c r="BQ13" i="114"/>
  <c r="CA13" i="114"/>
  <c r="CD13" i="114"/>
  <c r="BT15" i="167"/>
  <c r="BL15" i="117"/>
  <c r="BT17" i="133"/>
  <c r="BZ17" i="133"/>
  <c r="CI15" i="167"/>
  <c r="BW13" i="114"/>
  <c r="BM17" i="133"/>
  <c r="BU13" i="114"/>
  <c r="BN17" i="133"/>
  <c r="BS17" i="133"/>
  <c r="BU15" i="167"/>
  <c r="CV15" i="167"/>
  <c r="CV13" i="165"/>
  <c r="CW13" i="165"/>
  <c r="BN15" i="117"/>
  <c r="BY15" i="117"/>
  <c r="BX13" i="114"/>
  <c r="CI13" i="114"/>
  <c r="BQ15" i="117"/>
  <c r="CR13" i="165"/>
  <c r="CC13" i="114"/>
  <c r="BQ13" i="165"/>
  <c r="CL17" i="133"/>
  <c r="CG13" i="114"/>
  <c r="CL15" i="167"/>
  <c r="BR17" i="133"/>
  <c r="CQ17" i="133"/>
  <c r="CO17" i="133"/>
  <c r="CG17" i="133"/>
  <c r="BO15" i="167"/>
  <c r="CF15" i="167"/>
  <c r="BW13" i="165"/>
  <c r="CX13" i="165"/>
  <c r="BU15" i="117"/>
  <c r="CQ15" i="117"/>
  <c r="BR13" i="114"/>
  <c r="CI15" i="117"/>
  <c r="BK13" i="165"/>
  <c r="BX13" i="165"/>
  <c r="CF17" i="133"/>
  <c r="BN13" i="165"/>
  <c r="CC13" i="165"/>
  <c r="CJ13" i="114"/>
  <c r="BK15" i="167"/>
  <c r="BR13" i="165"/>
  <c r="CE17" i="133"/>
  <c r="BO13" i="114"/>
  <c r="BU13" i="165"/>
  <c r="BY17" i="133"/>
  <c r="BU17" i="133"/>
  <c r="BS15" i="167"/>
  <c r="CU15" i="167"/>
  <c r="CJ13" i="165"/>
  <c r="CI13" i="165"/>
  <c r="BK15" i="117"/>
  <c r="BI13" i="165"/>
  <c r="BS13" i="165"/>
  <c r="BO17" i="133"/>
  <c r="CA15" i="117"/>
  <c r="CK13" i="165"/>
  <c r="CL13" i="165"/>
  <c r="BO13" i="165"/>
  <c r="CC15" i="117"/>
  <c r="CA15" i="167"/>
  <c r="CK17" i="133"/>
  <c r="CJ17" i="133"/>
  <c r="BQ15" i="167"/>
  <c r="CE15" i="167"/>
  <c r="CQ13" i="165"/>
  <c r="CC15" i="167"/>
  <c r="BW15" i="167"/>
  <c r="BM13" i="165"/>
  <c r="CE15" i="117"/>
  <c r="CO15" i="117"/>
  <c r="BI15" i="117"/>
  <c r="BW15" i="117"/>
  <c r="BX15" i="1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6" saveData="1">
    <dbPr connection="DSN=E1 Timberline Gold Data;DBQ=\\WCC-6\Data\golddata;DICTIONARYMODE=1;KEEPFILESOPEN=0;MAXCOLSUPPORT=255;UID=waltman;" command="SELECT _x000d__x000a_  &quot;CCID&quot; AS &quot;Certified class&quot;,_x000d__x000a_  &quot;CCDESC&quot; AS &quot;Description&quot;,_x000d__x000a_  &quot;CCOSTMP&quot; AS &quot;Operator Stamp&quot;,_x000d__x000a_  &quot;CCDSTMP&quot; AS &quot;Date Stamp&quot; _x000d__x000a__x000d__x000a_FROM _x000d__x000a_  &quot;SYSTEM_PRS_RECORD_17&quot;"/>
  </connection>
  <connection id="2" xr16:uid="{00000000-0015-0000-FFFF-FFFF01000000}" name="Connection1" type="1" refreshedVersion="6" saveData="1">
    <dbPr connection="DSN=E1 Timberline Gold Data;DBQ=\\WCC-6\Data\golddata;DICTIONARYMODE=1;KEEPFILESOPEN=0;MAXCOLSUPPORT=255;UID=waltman;" command="SELECT _x000d__x000a_  &quot;JOB&quot; AS &quot;Job&quot;,_x000d__x000a_  &quot;JDESC&quot; AS &quot;Description&quot;,_x000d__x000a_  &quot;JPRJMGR&quot; AS &quot;Project Manager&quot;,_x000d__x000a_  &quot;JTITL1&quot; AS &quot;Foreman&quot;,_x000d__x000a_  &quot;JSTATUS&quot; AS &quot;Status&quot;,_x000d__x000a_  &quot;JREVACT&quot; AS &quot;Revenue account&quot;,_x000d__x000a_  &quot;JWCGRP&quot; AS &quot;Workers' Comp Group&quot;,_x000d__x000a_  &quot;JWRKST&quot; AS &quot;Work state&quot; _x000d__x000a__x000d__x000a_FROM _x000d__x000a_  &quot;MASTER_JCM_RECORD_1_1&quot;_x000d__x000a__x000d__x000a_WHERE _x000d__x000a_  &quot;JSTATUS&quot;&lt;&gt;'Closed'"/>
    <parameters count="2">
      <parameter name="Closed" prompt="Please specify a cell for Closed"/>
      <parameter name="Closed" prompt="Please specify a cell for Closed"/>
    </parameters>
  </connection>
  <connection id="3" xr16:uid="{00000000-0015-0000-FFFF-FFFF02000000}" name="Connection2" type="1" refreshedVersion="6" saveData="1">
    <dbPr connection="DSN=E1 Timberline Gold Data;DBQ=\\WCC-6\Data\golddata;DICTIONARYMODE=1;KEEPFILESOPEN=0;MAXCOLSUPPORT=255;UID=waltman;" command="SELECT _x000d__x000a_  &quot;CEXTRA&quot; AS &quot;Extra&quot;,_x000d__x000a_  &quot;CPHASE&quot; AS &quot;Phase&quot;,_x000d__x000a_  &quot;CAT&quot; AS &quot;Category&quot;,_x000d__x000a_  &quot;CDESC&quot; AS &quot;Description&quot; _x000d__x000a__x000d__x000a_FROM _x000d__x000a_  &quot;MASTER_JCM_RECORD_4&quot;_x000d__x000a__x000d__x000a_WHERE _x000d__x000a_  &quot;CJOB&quot;=?"/>
    <parameters count="1">
      <parameter name="JobNumber" parameterType="cell" cell="'Job Details'!$A$2"/>
    </parameters>
  </connection>
  <connection id="4" xr16:uid="{00000000-0015-0000-FFFF-FFFF03000000}" name="Connection3" type="1" refreshedVersion="6" saveData="1">
    <dbPr connection="DSN=E1 Timberline Gold Data;DBQ=\\WCC-6\Data\golddata;DICTIONARYMODE=1;KEEPFILESOPEN=0;MAXCOLSUPPORT=255;UID=waltman;" command="SELECT _x000d__x000a_  &quot;EXTRA&quot; AS &quot;Extra&quot;,_x000d__x000a_  &quot;XDESC&quot; AS &quot;Description&quot;,_x000d__x000a_  &quot;XADDR2&quot; AS &quot;Address 2&quot; _x000d__x000a__x000d__x000a_FROM _x000d__x000a_  &quot;MASTER_JCM_RECORD_2&quot;_x000d__x000a__x000d__x000a_WHERE _x000d__x000a_  &quot;XJOB&quot;=?"/>
    <parameters count="1">
      <parameter name="JobNumber" parameterType="cell" cell="'Job Details'!$A$2"/>
    </parameters>
  </connection>
  <connection id="5" xr16:uid="{00000000-0015-0000-FFFF-FFFF04000000}" name="Connection4" type="1" refreshedVersion="6" saveData="1">
    <dbPr connection="DSN=E1 Timberline Gold Data;DBQ=\\WCC-6\Data\golddata;DICTIONARYMODE=1;KEEPFILESOPEN=0;MAXCOLSUPPORT=255;UID=waltman;" command="SELECT _x000d__x000a_  &quot;EMPID&quot; AS &quot;Employee&quot;,_x000d__x000a_  &quot;ENAME&quot; AS &quot;Employee Name&quot;,_x000d__x000a_  &quot;EPGID&quot; AS &quot;Pay Group&quot;,_x000d__x000a_  &quot;EUNION&quot; AS &quot;Union ID&quot;,_x000d__x000a_  &quot;ELOCAL&quot; AS &quot;Union Local&quot;,_x000d__x000a_  &quot;ECLASS&quot; AS &quot;Union Class&quot;,_x000d__x000a_  &quot;ETITLE&quot; AS &quot;Title&quot;,_x000d__x000a_  &quot;ECERT&quot; AS &quot;Exclude From Cert. Report&quot; _x000d__x000a__x000d__x000a_FROM _x000d__x000a_  &quot;MASTER_PRM_RECORD_1&quot;_x000d__x000a__x000d__x000a_WHERE _x000d__x000a_  &quot;ETERM&quot; IS NULL AND &quot;EPGID&quot;='1' OR &quot;EPGID&quot;='1C'"/>
  </connection>
  <connection id="6" xr16:uid="{00000000-0015-0000-FFFF-FFFF05000000}" name="Connection5" type="1" refreshedVersion="6" saveData="1">
    <dbPr connection="DSN=E1 Timberline Gold Data;DBQ=\\WCC-6\Data\golddata;DICTIONARYMODE=1;KEEPFILESOPEN=0;MAXCOLSUPPORT=255;UID=waltman;" command="SELECT _x000d__x000a_  &quot;PHASE&quot; AS &quot;Phase&quot;,_x000d__x000a_  &quot;PDESC&quot; AS &quot;Description&quot; _x000d__x000a__x000d__x000a_FROM _x000d__x000a_  &quot;MASTER_JCM_RECORD_3&quot;_x000d__x000a__x000d__x000a_WHERE _x000d__x000a_  &quot;PJOB&quot;=?"/>
    <parameters count="1">
      <parameter name="JobNumber" parameterType="cell" cell="'Job Details'!$A$2"/>
    </parameters>
  </connection>
</connections>
</file>

<file path=xl/sharedStrings.xml><?xml version="1.0" encoding="utf-8"?>
<sst xmlns="http://schemas.openxmlformats.org/spreadsheetml/2006/main" count="16823" uniqueCount="4706">
  <si>
    <t>Phase</t>
  </si>
  <si>
    <t>Extra</t>
  </si>
  <si>
    <t xml:space="preserve">JOB </t>
  </si>
  <si>
    <t>Time Sheet Hours</t>
  </si>
  <si>
    <t>Total Hours</t>
  </si>
  <si>
    <t>Stop</t>
  </si>
  <si>
    <t>Lunch In</t>
  </si>
  <si>
    <t>Lunch Out</t>
  </si>
  <si>
    <t>Start</t>
  </si>
  <si>
    <t>TOTALS</t>
  </si>
  <si>
    <t>SUN</t>
  </si>
  <si>
    <t>SAT</t>
  </si>
  <si>
    <t>FRI</t>
  </si>
  <si>
    <t>THUR</t>
  </si>
  <si>
    <t>WED</t>
  </si>
  <si>
    <t>TUE</t>
  </si>
  <si>
    <t>MON</t>
  </si>
  <si>
    <t xml:space="preserve">EE: #  </t>
  </si>
  <si>
    <t xml:space="preserve">WEEK ENDING: </t>
  </si>
  <si>
    <t>Difference</t>
  </si>
  <si>
    <t>Job</t>
  </si>
  <si>
    <t>Description</t>
  </si>
  <si>
    <t>Address 2</t>
  </si>
  <si>
    <t>10</t>
  </si>
  <si>
    <t>11</t>
  </si>
  <si>
    <t>12</t>
  </si>
  <si>
    <t>13</t>
  </si>
  <si>
    <t>14</t>
  </si>
  <si>
    <t>15</t>
  </si>
  <si>
    <t>16</t>
  </si>
  <si>
    <t>RT1</t>
  </si>
  <si>
    <t>OT1</t>
  </si>
  <si>
    <t>DT1</t>
  </si>
  <si>
    <t>PD1</t>
  </si>
  <si>
    <t>4D1</t>
  </si>
  <si>
    <t>4A1</t>
  </si>
  <si>
    <t>RT2</t>
  </si>
  <si>
    <t>OT2</t>
  </si>
  <si>
    <t>DT2</t>
  </si>
  <si>
    <t>PD2</t>
  </si>
  <si>
    <t>4D2</t>
  </si>
  <si>
    <t>4A2</t>
  </si>
  <si>
    <t>RT3</t>
  </si>
  <si>
    <t>OT3</t>
  </si>
  <si>
    <t>DT3</t>
  </si>
  <si>
    <t>PD3</t>
  </si>
  <si>
    <t>4D3</t>
  </si>
  <si>
    <t>4A3</t>
  </si>
  <si>
    <t>RT4</t>
  </si>
  <si>
    <t>OT4</t>
  </si>
  <si>
    <t>DT4</t>
  </si>
  <si>
    <t>PD4</t>
  </si>
  <si>
    <t>4D4</t>
  </si>
  <si>
    <t>4A4</t>
  </si>
  <si>
    <t>RT5</t>
  </si>
  <si>
    <t>OT5</t>
  </si>
  <si>
    <t>DT5</t>
  </si>
  <si>
    <t>PD5</t>
  </si>
  <si>
    <t>4D5</t>
  </si>
  <si>
    <t>4A5</t>
  </si>
  <si>
    <t>RT6</t>
  </si>
  <si>
    <t>OT6</t>
  </si>
  <si>
    <t>DT6</t>
  </si>
  <si>
    <t>PD6</t>
  </si>
  <si>
    <t>4D6</t>
  </si>
  <si>
    <t>4A6</t>
  </si>
  <si>
    <t>RT7</t>
  </si>
  <si>
    <t>OT7</t>
  </si>
  <si>
    <t>DT7</t>
  </si>
  <si>
    <t>PD7</t>
  </si>
  <si>
    <t>4D7</t>
  </si>
  <si>
    <t>4A7</t>
  </si>
  <si>
    <t>1</t>
  </si>
  <si>
    <t>3</t>
  </si>
  <si>
    <t>2</t>
  </si>
  <si>
    <t>4</t>
  </si>
  <si>
    <t>4D</t>
  </si>
  <si>
    <t>4A</t>
  </si>
  <si>
    <t>Total</t>
  </si>
  <si>
    <t>Project Manager</t>
  </si>
  <si>
    <t>Foreman</t>
  </si>
  <si>
    <t/>
  </si>
  <si>
    <t>SCOTT CARR</t>
  </si>
  <si>
    <t>JON OISTAD</t>
  </si>
  <si>
    <t>Rod Enders</t>
  </si>
  <si>
    <t>WILSON QA/QC OVERHEAD</t>
  </si>
  <si>
    <t>Brad Frazier</t>
  </si>
  <si>
    <t>James Roberts</t>
  </si>
  <si>
    <t>Chris Kerber</t>
  </si>
  <si>
    <t>Russell Lacy</t>
  </si>
  <si>
    <t>Katie Horrax</t>
  </si>
  <si>
    <t>Jeff Stark</t>
  </si>
  <si>
    <t>Status</t>
  </si>
  <si>
    <t>In progress</t>
  </si>
  <si>
    <t>Unstarted</t>
  </si>
  <si>
    <t>List of Jobs not Closed in Timberline</t>
  </si>
  <si>
    <t>Revenue account</t>
  </si>
  <si>
    <t>Workers' Comp Group</t>
  </si>
  <si>
    <t>Work state</t>
  </si>
  <si>
    <t>OR</t>
  </si>
  <si>
    <t>4400</t>
  </si>
  <si>
    <t>7538CA</t>
  </si>
  <si>
    <t>CA</t>
  </si>
  <si>
    <t>8810</t>
  </si>
  <si>
    <t>8227OR</t>
  </si>
  <si>
    <t>WA</t>
  </si>
  <si>
    <t>AZ</t>
  </si>
  <si>
    <t>5606AZ</t>
  </si>
  <si>
    <t>4120</t>
  </si>
  <si>
    <t>7538AZ</t>
  </si>
  <si>
    <t>4110</t>
  </si>
  <si>
    <t>7538OR</t>
  </si>
  <si>
    <t>0509</t>
  </si>
  <si>
    <t>7538NM</t>
  </si>
  <si>
    <t>NM</t>
  </si>
  <si>
    <t>7538ID</t>
  </si>
  <si>
    <t>ID</t>
  </si>
  <si>
    <t>Union Local</t>
  </si>
  <si>
    <t>UNION 
LOCAL</t>
  </si>
  <si>
    <t>IBEWOUT</t>
  </si>
  <si>
    <t>Enter Union ID</t>
  </si>
  <si>
    <t>Union ID</t>
  </si>
  <si>
    <t>Employees</t>
  </si>
  <si>
    <t>1038</t>
  </si>
  <si>
    <t>Aguilar; Juan A.</t>
  </si>
  <si>
    <t>1203</t>
  </si>
  <si>
    <t>Anderson; Clyde M.</t>
  </si>
  <si>
    <t>1242</t>
  </si>
  <si>
    <t>Andrew; Lucas D.</t>
  </si>
  <si>
    <t>1260</t>
  </si>
  <si>
    <t>Austin; Berton R.</t>
  </si>
  <si>
    <t>2068</t>
  </si>
  <si>
    <t>Bauder; Craig Richard</t>
  </si>
  <si>
    <t>2213</t>
  </si>
  <si>
    <t>Bronson; Jeffrey Wayne</t>
  </si>
  <si>
    <t>2388</t>
  </si>
  <si>
    <t>Buswell; Gannon B.</t>
  </si>
  <si>
    <t>2631</t>
  </si>
  <si>
    <t>Carter; Richard Ashley</t>
  </si>
  <si>
    <t>2890</t>
  </si>
  <si>
    <t>Connor; Phillip A.</t>
  </si>
  <si>
    <t>3002</t>
  </si>
  <si>
    <t>Cooper; Russell L</t>
  </si>
  <si>
    <t>3051</t>
  </si>
  <si>
    <t>Cortez; David Esteban</t>
  </si>
  <si>
    <t>3301</t>
  </si>
  <si>
    <t>Daggett; Travis S.</t>
  </si>
  <si>
    <t>3383</t>
  </si>
  <si>
    <t>Delong; Joseph Henry</t>
  </si>
  <si>
    <t>3407</t>
  </si>
  <si>
    <t>Devine; Chad Emery</t>
  </si>
  <si>
    <t>3548</t>
  </si>
  <si>
    <t>Douglas; Wyatt J</t>
  </si>
  <si>
    <t>3604</t>
  </si>
  <si>
    <t>Dove; Noah C.</t>
  </si>
  <si>
    <t>3780</t>
  </si>
  <si>
    <t>Enders; Rodney J.</t>
  </si>
  <si>
    <t>4240</t>
  </si>
  <si>
    <t>Frazier; Brad L.</t>
  </si>
  <si>
    <t>4341</t>
  </si>
  <si>
    <t>Fyfe; Dusty John</t>
  </si>
  <si>
    <t>4359</t>
  </si>
  <si>
    <t>Gannon; Jon B.</t>
  </si>
  <si>
    <t>4645</t>
  </si>
  <si>
    <t>Gilkison; Glen W.</t>
  </si>
  <si>
    <t>4694</t>
  </si>
  <si>
    <t>Gitts; Gary W</t>
  </si>
  <si>
    <t>4817</t>
  </si>
  <si>
    <t>Grunst; Gary C.</t>
  </si>
  <si>
    <t>4821</t>
  </si>
  <si>
    <t>Gunn; Larry O</t>
  </si>
  <si>
    <t>4876</t>
  </si>
  <si>
    <t>Hall; Peter Joe</t>
  </si>
  <si>
    <t>5070</t>
  </si>
  <si>
    <t>Henderson; James R</t>
  </si>
  <si>
    <t>5166</t>
  </si>
  <si>
    <t>Hildebrand; Scott Alan</t>
  </si>
  <si>
    <t>5580</t>
  </si>
  <si>
    <t>Howell Jr.; Thomas W.</t>
  </si>
  <si>
    <t>5655</t>
  </si>
  <si>
    <t>Hughes; Christopher John</t>
  </si>
  <si>
    <t>5833</t>
  </si>
  <si>
    <t>Johnson; Jon Wayne</t>
  </si>
  <si>
    <t>5846</t>
  </si>
  <si>
    <t>Jauregui; Jaime</t>
  </si>
  <si>
    <t>5932</t>
  </si>
  <si>
    <t>Juarez Duran; Angelo De</t>
  </si>
  <si>
    <t>5942</t>
  </si>
  <si>
    <t>Johnson; Adam L.</t>
  </si>
  <si>
    <t>5974</t>
  </si>
  <si>
    <t>Kerber; Christopher R.</t>
  </si>
  <si>
    <t>6151</t>
  </si>
  <si>
    <t>Knapp; Carl William</t>
  </si>
  <si>
    <t>6205</t>
  </si>
  <si>
    <t>Korpi; Matthew A.</t>
  </si>
  <si>
    <t>6209</t>
  </si>
  <si>
    <t>Krassa; Keith W.</t>
  </si>
  <si>
    <t>6215</t>
  </si>
  <si>
    <t>Kwake; Stanley J.</t>
  </si>
  <si>
    <t>6239</t>
  </si>
  <si>
    <t>Lacy; Russell J.</t>
  </si>
  <si>
    <t>6273</t>
  </si>
  <si>
    <t>Langston Jr.; James Keith</t>
  </si>
  <si>
    <t>6497</t>
  </si>
  <si>
    <t>Leineke; Theodore A.</t>
  </si>
  <si>
    <t>6725</t>
  </si>
  <si>
    <t>Loucks; Robert L.</t>
  </si>
  <si>
    <t>6919</t>
  </si>
  <si>
    <t>MacKenzie; Matt E.</t>
  </si>
  <si>
    <t>7256</t>
  </si>
  <si>
    <t>McBride; Joshua L.</t>
  </si>
  <si>
    <t>7292</t>
  </si>
  <si>
    <t>McClellan; John Clark</t>
  </si>
  <si>
    <t>7360</t>
  </si>
  <si>
    <t>McGinnis; Michael J.</t>
  </si>
  <si>
    <t>7392</t>
  </si>
  <si>
    <t>McKinley; Don R</t>
  </si>
  <si>
    <t>7508</t>
  </si>
  <si>
    <t>Meek; Robert F.</t>
  </si>
  <si>
    <t>7738</t>
  </si>
  <si>
    <t>Moody; Bryan Edward</t>
  </si>
  <si>
    <t>7753</t>
  </si>
  <si>
    <t>Moore; John Edward</t>
  </si>
  <si>
    <t>7841</t>
  </si>
  <si>
    <t>Morrow; Joshua K.</t>
  </si>
  <si>
    <t>7845</t>
  </si>
  <si>
    <t>Moser; Ted T</t>
  </si>
  <si>
    <t>8024</t>
  </si>
  <si>
    <t>Naylor; Joel L</t>
  </si>
  <si>
    <t>8138</t>
  </si>
  <si>
    <t>Noel; Tyler D.</t>
  </si>
  <si>
    <t>8191</t>
  </si>
  <si>
    <t>Ochoa; Domingo</t>
  </si>
  <si>
    <t>8196</t>
  </si>
  <si>
    <t>Ochoa; Johnny Jacob</t>
  </si>
  <si>
    <t>8231</t>
  </si>
  <si>
    <t>Ostrander; Matthew Z.</t>
  </si>
  <si>
    <t>8292</t>
  </si>
  <si>
    <t>Park Campbell; Kyle C.</t>
  </si>
  <si>
    <t>8317</t>
  </si>
  <si>
    <t>Palacios Jr; Agustin Caudillo</t>
  </si>
  <si>
    <t>8325</t>
  </si>
  <si>
    <t>Palacios; Alberto C</t>
  </si>
  <si>
    <t>8451</t>
  </si>
  <si>
    <t>Phillips; Luther E.</t>
  </si>
  <si>
    <t>8523</t>
  </si>
  <si>
    <t>Prychodzko; Peter D</t>
  </si>
  <si>
    <t>8600</t>
  </si>
  <si>
    <t>Preuitt; Jason P.</t>
  </si>
  <si>
    <t>8700</t>
  </si>
  <si>
    <t>Quist; Michael L</t>
  </si>
  <si>
    <t>8797</t>
  </si>
  <si>
    <t>Raunig; Fred L.</t>
  </si>
  <si>
    <t>8798</t>
  </si>
  <si>
    <t>Raunig; Fred Michael</t>
  </si>
  <si>
    <t>8833</t>
  </si>
  <si>
    <t>Ressa; Joshua W.</t>
  </si>
  <si>
    <t>9010</t>
  </si>
  <si>
    <t>Roberts; James W.</t>
  </si>
  <si>
    <t>9015</t>
  </si>
  <si>
    <t>Roemhildt; Keegan M.</t>
  </si>
  <si>
    <t>9048</t>
  </si>
  <si>
    <t>Roy; Cameron Russell</t>
  </si>
  <si>
    <t>9207</t>
  </si>
  <si>
    <t>Saul; Mark Allen</t>
  </si>
  <si>
    <t>9306</t>
  </si>
  <si>
    <t>Shelton; Matthew Scott</t>
  </si>
  <si>
    <t>9338</t>
  </si>
  <si>
    <t>Sichak; Keith Douglas</t>
  </si>
  <si>
    <t>9365</t>
  </si>
  <si>
    <t>Shorty; Darrell Thomas</t>
  </si>
  <si>
    <t>9520</t>
  </si>
  <si>
    <t>Smith; Patrick T.</t>
  </si>
  <si>
    <t>9542</t>
  </si>
  <si>
    <t>Schnider; Kyle Rod</t>
  </si>
  <si>
    <t>9628</t>
  </si>
  <si>
    <t>Stark; Jeff Thomas</t>
  </si>
  <si>
    <t>9695</t>
  </si>
  <si>
    <t>Sturdevant; Darin D.</t>
  </si>
  <si>
    <t>9712</t>
  </si>
  <si>
    <t>Strand; Sheldon R.</t>
  </si>
  <si>
    <t>9946</t>
  </si>
  <si>
    <t>Thomas; Dustin James</t>
  </si>
  <si>
    <t>10007</t>
  </si>
  <si>
    <t>Torbet; William Wesley</t>
  </si>
  <si>
    <t>10154</t>
  </si>
  <si>
    <t>Vanderwood; Eric L</t>
  </si>
  <si>
    <t>10157</t>
  </si>
  <si>
    <t>Vaughters; Brett Randall</t>
  </si>
  <si>
    <t>10180</t>
  </si>
  <si>
    <t>Vermeire; Damon L</t>
  </si>
  <si>
    <t>10279</t>
  </si>
  <si>
    <t>10550</t>
  </si>
  <si>
    <t>Weathers; Kenneth Wilford</t>
  </si>
  <si>
    <t>10557</t>
  </si>
  <si>
    <t>Weber; Jeremy Louis</t>
  </si>
  <si>
    <t>10597</t>
  </si>
  <si>
    <t>West; Rueben James</t>
  </si>
  <si>
    <t>10763</t>
  </si>
  <si>
    <t>Williams; Rodney L.</t>
  </si>
  <si>
    <t>10780</t>
  </si>
  <si>
    <t>Williams Jr.; Rich W.</t>
  </si>
  <si>
    <t>10797</t>
  </si>
  <si>
    <t>Wilson; Glenn M</t>
  </si>
  <si>
    <t>10811</t>
  </si>
  <si>
    <t>Wolford; Cabot L.</t>
  </si>
  <si>
    <t>10884</t>
  </si>
  <si>
    <t>Woll; Mark Anthone</t>
  </si>
  <si>
    <t>10923</t>
  </si>
  <si>
    <t>Zeulner; Zachariah Robert</t>
  </si>
  <si>
    <t>10926</t>
  </si>
  <si>
    <t>Zacher; Theodore R.</t>
  </si>
  <si>
    <t>17</t>
  </si>
  <si>
    <t>18</t>
  </si>
  <si>
    <t>20</t>
  </si>
  <si>
    <t>21</t>
  </si>
  <si>
    <t>22</t>
  </si>
  <si>
    <t>33</t>
  </si>
  <si>
    <t>47</t>
  </si>
  <si>
    <t>Employee</t>
  </si>
  <si>
    <t>Employee Name</t>
  </si>
  <si>
    <t>Pay Group</t>
  </si>
  <si>
    <t>Union Class</t>
  </si>
  <si>
    <t>769</t>
  </si>
  <si>
    <t>8</t>
  </si>
  <si>
    <t>611</t>
  </si>
  <si>
    <t>77</t>
  </si>
  <si>
    <t>1245</t>
  </si>
  <si>
    <t>125</t>
  </si>
  <si>
    <t>7</t>
  </si>
  <si>
    <t>396</t>
  </si>
  <si>
    <t>9</t>
  </si>
  <si>
    <t>Exclude From Cert. Report</t>
  </si>
  <si>
    <t>EE ID</t>
  </si>
  <si>
    <t>UNION ID</t>
  </si>
  <si>
    <t>IMPORT TIME?</t>
  </si>
  <si>
    <t>Job Details</t>
  </si>
  <si>
    <t>Category</t>
  </si>
  <si>
    <t>Must Enter Job Number with Dashes and Refresh Office Connector</t>
  </si>
  <si>
    <t>7538PA</t>
  </si>
  <si>
    <t>PA</t>
  </si>
  <si>
    <t>Extra Information</t>
  </si>
  <si>
    <t>Phase Description</t>
  </si>
  <si>
    <t>Do Not Delete</t>
  </si>
  <si>
    <t>Chad Sawyer</t>
  </si>
  <si>
    <t>1319</t>
  </si>
  <si>
    <t>60</t>
  </si>
  <si>
    <t>5775</t>
  </si>
  <si>
    <t>Jinks;  Joseph D</t>
  </si>
  <si>
    <t>59</t>
  </si>
  <si>
    <t>7364</t>
  </si>
  <si>
    <t>McIntire; Robert Joe</t>
  </si>
  <si>
    <t>8756</t>
  </si>
  <si>
    <t>Rains; Travis G.</t>
  </si>
  <si>
    <t>10800</t>
  </si>
  <si>
    <t>Wiseley II; Carl W.</t>
  </si>
  <si>
    <t>Update the Box below on the Job Details Worksheet</t>
  </si>
  <si>
    <t>7S</t>
  </si>
  <si>
    <t>5179</t>
  </si>
  <si>
    <t>Hicks; Rush N</t>
  </si>
  <si>
    <t>7361</t>
  </si>
  <si>
    <t>McHuen; Richard C</t>
  </si>
  <si>
    <t>10231</t>
  </si>
  <si>
    <t>Wager; Brett L.</t>
  </si>
  <si>
    <t>1C</t>
  </si>
  <si>
    <t>4179</t>
  </si>
  <si>
    <t>Foster; Kyle A.</t>
  </si>
  <si>
    <t>4718</t>
  </si>
  <si>
    <t>Gravos; Jason D.</t>
  </si>
  <si>
    <t>4974</t>
  </si>
  <si>
    <t>Hartley; Walter M</t>
  </si>
  <si>
    <t>5870</t>
  </si>
  <si>
    <t>Johnson; Heath E.</t>
  </si>
  <si>
    <t>8688</t>
  </si>
  <si>
    <t>Quinlan; Robert J.</t>
  </si>
  <si>
    <t>Title</t>
  </si>
  <si>
    <t>Apprentice Lineman 1st Step</t>
  </si>
  <si>
    <t>Foreman Journeyman</t>
  </si>
  <si>
    <t>Journeyman Lineman</t>
  </si>
  <si>
    <t>Lineman Journeyman</t>
  </si>
  <si>
    <t>Substation Technician</t>
  </si>
  <si>
    <t>Mechanic - Canby</t>
  </si>
  <si>
    <t>Groundman</t>
  </si>
  <si>
    <t>Apprentice Lineman 5th Step</t>
  </si>
  <si>
    <t>Operator Heavy</t>
  </si>
  <si>
    <t>Superintendent</t>
  </si>
  <si>
    <t>Apprentice Lineman 4th Step</t>
  </si>
  <si>
    <t>Apprentice Lineman 2nd Step</t>
  </si>
  <si>
    <t>Runner - Canby</t>
  </si>
  <si>
    <t>Helicopter Mechanic</t>
  </si>
  <si>
    <t>Foreman General</t>
  </si>
  <si>
    <t>Operator</t>
  </si>
  <si>
    <t>Helicopter Pilot</t>
  </si>
  <si>
    <t>Mechanic - Welder Foreman Canb</t>
  </si>
  <si>
    <t>Apprentice Lineman 3rd Step</t>
  </si>
  <si>
    <t>Operations Project Manager</t>
  </si>
  <si>
    <t>Environmental Specialist</t>
  </si>
  <si>
    <t>Apprentice Lineman 6th Step</t>
  </si>
  <si>
    <t>Operations Director Trans.</t>
  </si>
  <si>
    <t>Field Safety Coordinator</t>
  </si>
  <si>
    <t>Welder - Canby</t>
  </si>
  <si>
    <t>Safety Coordinator Field</t>
  </si>
  <si>
    <t>Warehouse - Canby</t>
  </si>
  <si>
    <t>Mechanic - Field</t>
  </si>
  <si>
    <t>Washbay Associate</t>
  </si>
  <si>
    <t>Journeyman Technician</t>
  </si>
  <si>
    <t>Shop Foreman - Canby</t>
  </si>
  <si>
    <t>Operations Manager Field</t>
  </si>
  <si>
    <t>Non Bargaining OR Elec Super</t>
  </si>
  <si>
    <t>Field Mechanic</t>
  </si>
  <si>
    <t>Apprentice Lineman 7th Step</t>
  </si>
  <si>
    <t>QC Field Monitor</t>
  </si>
  <si>
    <t>Warehouse Associate</t>
  </si>
  <si>
    <t>Welder Canby</t>
  </si>
  <si>
    <t>Helicopter Pilot Production</t>
  </si>
  <si>
    <t>Truck Driver - Arizona</t>
  </si>
  <si>
    <t>Truck Driver - Canby</t>
  </si>
  <si>
    <t>Mechanic - Canby Shop Foreman</t>
  </si>
  <si>
    <t>Welder</t>
  </si>
  <si>
    <t>Warehouse Yard Coord. - Canby</t>
  </si>
  <si>
    <t>Construction Laborer</t>
  </si>
  <si>
    <t>Admin Assistant Field</t>
  </si>
  <si>
    <t>Commercial Construction FM</t>
  </si>
  <si>
    <t>x</t>
  </si>
  <si>
    <t>Ashley Carter</t>
  </si>
  <si>
    <t>Kyle Schnider</t>
  </si>
  <si>
    <t>980-500</t>
  </si>
  <si>
    <t>EXTRA</t>
  </si>
  <si>
    <t>PHASE</t>
  </si>
  <si>
    <t>UNION LOCAL</t>
  </si>
  <si>
    <t>&lt;--Enter Employee # to populate all other info</t>
  </si>
  <si>
    <t>OC CERTIFIED IMPORT</t>
  </si>
  <si>
    <t>COC1.1</t>
  </si>
  <si>
    <t>COC3.1</t>
  </si>
  <si>
    <t>COC2.1</t>
  </si>
  <si>
    <t>COC4A.1</t>
  </si>
  <si>
    <t>COC1.2</t>
  </si>
  <si>
    <t>COC3.2</t>
  </si>
  <si>
    <t>COC2.2</t>
  </si>
  <si>
    <t>COC4A.2</t>
  </si>
  <si>
    <t>COC1.3</t>
  </si>
  <si>
    <t>COC3.3</t>
  </si>
  <si>
    <t>COC2.3</t>
  </si>
  <si>
    <t>COC4A.3</t>
  </si>
  <si>
    <t>COC1.4</t>
  </si>
  <si>
    <t>COC3.4</t>
  </si>
  <si>
    <t>COC2.4</t>
  </si>
  <si>
    <t>COC4A.4</t>
  </si>
  <si>
    <t>COC1.5</t>
  </si>
  <si>
    <t>COC3.5</t>
  </si>
  <si>
    <t>COC2.5</t>
  </si>
  <si>
    <t>COC4A.5</t>
  </si>
  <si>
    <t>COC1.6</t>
  </si>
  <si>
    <t>COC3.6</t>
  </si>
  <si>
    <t>COC2.6</t>
  </si>
  <si>
    <t>COC4A.6</t>
  </si>
  <si>
    <t>COC1.7</t>
  </si>
  <si>
    <t>COC3.7</t>
  </si>
  <si>
    <t>COC2.7</t>
  </si>
  <si>
    <t>COC4A.7</t>
  </si>
  <si>
    <t>3045</t>
  </si>
  <si>
    <t>Covey; Lawrence Peter</t>
  </si>
  <si>
    <t>5105</t>
  </si>
  <si>
    <t>Healy; Justin M.</t>
  </si>
  <si>
    <t>Equipment Operator A</t>
  </si>
  <si>
    <t>5726</t>
  </si>
  <si>
    <t>Jenkins; Daytri</t>
  </si>
  <si>
    <t>70</t>
  </si>
  <si>
    <t>Technician Journeyman</t>
  </si>
  <si>
    <t>9299</t>
  </si>
  <si>
    <t>Shelton; Jacob R.</t>
  </si>
  <si>
    <t>10799</t>
  </si>
  <si>
    <t>Wilson; John D.</t>
  </si>
  <si>
    <t>10894</t>
  </si>
  <si>
    <t>Yazzie; Merlon K.</t>
  </si>
  <si>
    <t>DT</t>
  </si>
  <si>
    <t>Double Time - Jobs</t>
  </si>
  <si>
    <t>HP</t>
  </si>
  <si>
    <t>PD</t>
  </si>
  <si>
    <t>Per Diem - Jobs</t>
  </si>
  <si>
    <t>PRT</t>
  </si>
  <si>
    <t>Payroll Taxes-Jobs</t>
  </si>
  <si>
    <t>PTO</t>
  </si>
  <si>
    <t>PERSONAL TIME OFF</t>
  </si>
  <si>
    <t>RT</t>
  </si>
  <si>
    <t>Regular Time - Jobs</t>
  </si>
  <si>
    <t>1-008</t>
  </si>
  <si>
    <t>401</t>
  </si>
  <si>
    <t>401(k) Employer Contribution</t>
  </si>
  <si>
    <t>OT</t>
  </si>
  <si>
    <t>Over Time - Jobs</t>
  </si>
  <si>
    <t>3.0</t>
  </si>
  <si>
    <t>Gas &amp; Oil - Jobs</t>
  </si>
  <si>
    <t>4.0</t>
  </si>
  <si>
    <t>Equipment Rental - Jobs</t>
  </si>
  <si>
    <t>8.1</t>
  </si>
  <si>
    <t>Yard Rent - Jobs</t>
  </si>
  <si>
    <t>8.2</t>
  </si>
  <si>
    <t>Shop Supplies - Jobs</t>
  </si>
  <si>
    <t>8.8</t>
  </si>
  <si>
    <t>Travel - Motels Jobs</t>
  </si>
  <si>
    <t>9.1</t>
  </si>
  <si>
    <t>Travel Meals</t>
  </si>
  <si>
    <t>9.9</t>
  </si>
  <si>
    <t>Ice/Water Jobs</t>
  </si>
  <si>
    <t>100-100</t>
  </si>
  <si>
    <t>Subcontracting - Jobs</t>
  </si>
  <si>
    <t>8.5</t>
  </si>
  <si>
    <t>Telephone/Fax - Jobs</t>
  </si>
  <si>
    <t>1-000</t>
  </si>
  <si>
    <t>SUPERVISION &amp; ADMINISTRATION</t>
  </si>
  <si>
    <t>100-000</t>
  </si>
  <si>
    <t>OVERHEAD &amp; PROFIT</t>
  </si>
  <si>
    <t>Overhead</t>
  </si>
  <si>
    <t>980-000</t>
  </si>
  <si>
    <t>DIRECT JOB COST</t>
  </si>
  <si>
    <t>Direct Job Cost</t>
  </si>
  <si>
    <t>UNION CLASS</t>
  </si>
  <si>
    <t>CERT. CLASS</t>
  </si>
  <si>
    <t>Certified Codes and Description</t>
  </si>
  <si>
    <t>Certified class</t>
  </si>
  <si>
    <t>Operator Stamp</t>
  </si>
  <si>
    <t>Date Stamp</t>
  </si>
  <si>
    <t>Technician</t>
  </si>
  <si>
    <t>MICHELLE</t>
  </si>
  <si>
    <t>5</t>
  </si>
  <si>
    <t>Lineman Welder</t>
  </si>
  <si>
    <t>DEBBIE</t>
  </si>
  <si>
    <t>01</t>
  </si>
  <si>
    <t>General Foreman</t>
  </si>
  <si>
    <t>THERESE</t>
  </si>
  <si>
    <t>04</t>
  </si>
  <si>
    <t>Cable Splicer</t>
  </si>
  <si>
    <t>05</t>
  </si>
  <si>
    <t>06</t>
  </si>
  <si>
    <t>Cable Splicer Foreman</t>
  </si>
  <si>
    <t>07</t>
  </si>
  <si>
    <t>Foreman Lineman</t>
  </si>
  <si>
    <t>08</t>
  </si>
  <si>
    <t>09</t>
  </si>
  <si>
    <t>7th Period Appn Lineman</t>
  </si>
  <si>
    <t>6th Period Appn Lineman</t>
  </si>
  <si>
    <t>5th Period Appn Lineman</t>
  </si>
  <si>
    <t>4th Period Appn Lineman</t>
  </si>
  <si>
    <t>3rd Period Appn Lineman</t>
  </si>
  <si>
    <t>2nd Period Appn Lineman</t>
  </si>
  <si>
    <t>1st Period Appn Lineman</t>
  </si>
  <si>
    <t>Line Equipment Operator</t>
  </si>
  <si>
    <t>kcam</t>
  </si>
  <si>
    <t>Head Groundman</t>
  </si>
  <si>
    <t>19</t>
  </si>
  <si>
    <t>Underground Groundman</t>
  </si>
  <si>
    <t>URD Operator Foreman</t>
  </si>
  <si>
    <t>JENNI</t>
  </si>
  <si>
    <t>23</t>
  </si>
  <si>
    <t>Underground Tech/Laborer</t>
  </si>
  <si>
    <t>24</t>
  </si>
  <si>
    <t>Flagger</t>
  </si>
  <si>
    <t>25</t>
  </si>
  <si>
    <t>Underground Operator</t>
  </si>
  <si>
    <t>29</t>
  </si>
  <si>
    <t>30</t>
  </si>
  <si>
    <t>R &amp; M Lead</t>
  </si>
  <si>
    <t>31</t>
  </si>
  <si>
    <t>R &amp; M I</t>
  </si>
  <si>
    <t>32</t>
  </si>
  <si>
    <t>R &amp; M II</t>
  </si>
  <si>
    <t>Heavy Line Equip Person</t>
  </si>
  <si>
    <t>34</t>
  </si>
  <si>
    <t>Underground Lead</t>
  </si>
  <si>
    <t>35</t>
  </si>
  <si>
    <t>Line Truck Driver</t>
  </si>
  <si>
    <t>ireyes</t>
  </si>
  <si>
    <t>40</t>
  </si>
  <si>
    <t>General Foreman-Wireman</t>
  </si>
  <si>
    <t>41</t>
  </si>
  <si>
    <t>Foreman Electrician</t>
  </si>
  <si>
    <t>42</t>
  </si>
  <si>
    <t>Journeyman Electrician</t>
  </si>
  <si>
    <t>43</t>
  </si>
  <si>
    <t>Journeyman Tech Wireman</t>
  </si>
  <si>
    <t>44</t>
  </si>
  <si>
    <t>Jourmenyam Wireman Weld</t>
  </si>
  <si>
    <t>45</t>
  </si>
  <si>
    <t>Journeyman Wireman Cable</t>
  </si>
  <si>
    <t>46</t>
  </si>
  <si>
    <t>1st Period Electrician</t>
  </si>
  <si>
    <t>2nd Period Electrician</t>
  </si>
  <si>
    <t>48</t>
  </si>
  <si>
    <t>3rd Period Electrician</t>
  </si>
  <si>
    <t>49</t>
  </si>
  <si>
    <t>4th Period Electrician</t>
  </si>
  <si>
    <t>50</t>
  </si>
  <si>
    <t>5th Period Electrician</t>
  </si>
  <si>
    <t>51</t>
  </si>
  <si>
    <t>6th Period Electrician</t>
  </si>
  <si>
    <t>52</t>
  </si>
  <si>
    <t>7th Period Appn Wireman</t>
  </si>
  <si>
    <t>53</t>
  </si>
  <si>
    <t>8th Per Appn Wireman</t>
  </si>
  <si>
    <t>54</t>
  </si>
  <si>
    <t>Tele Heavy Equip Operator</t>
  </si>
  <si>
    <t>55</t>
  </si>
  <si>
    <t>10th Period Appn Wireman</t>
  </si>
  <si>
    <t>Substation Foreman</t>
  </si>
  <si>
    <t>62</t>
  </si>
  <si>
    <t>System Dispatcher</t>
  </si>
  <si>
    <t>63</t>
  </si>
  <si>
    <t>Substation Operator</t>
  </si>
  <si>
    <t>64</t>
  </si>
  <si>
    <t>Wire Electrician</t>
  </si>
  <si>
    <t>65</t>
  </si>
  <si>
    <t>Meter Technician</t>
  </si>
  <si>
    <t>66</t>
  </si>
  <si>
    <t>Communication Technician</t>
  </si>
  <si>
    <t>67</t>
  </si>
  <si>
    <t>Power Equipment Operator</t>
  </si>
  <si>
    <t>68</t>
  </si>
  <si>
    <t>Mechanic</t>
  </si>
  <si>
    <t>69</t>
  </si>
  <si>
    <t>General Laborer</t>
  </si>
  <si>
    <t>Fabricator</t>
  </si>
  <si>
    <t>71</t>
  </si>
  <si>
    <t>Operating Engineer</t>
  </si>
  <si>
    <t>72</t>
  </si>
  <si>
    <t>Journeyman Lineman Tech</t>
  </si>
  <si>
    <t>tlang</t>
  </si>
  <si>
    <t>73</t>
  </si>
  <si>
    <t>70T</t>
  </si>
  <si>
    <t>Fabricator Trainee</t>
  </si>
  <si>
    <t>Backhoe Operator Group 5</t>
  </si>
  <si>
    <t>FILL JOB# IN FIRST</t>
  </si>
  <si>
    <t>COC2.12</t>
  </si>
  <si>
    <t>COC2.13</t>
  </si>
  <si>
    <t>COC2.22</t>
  </si>
  <si>
    <t>COC2.23</t>
  </si>
  <si>
    <t>COC2.32</t>
  </si>
  <si>
    <t>COC2.33</t>
  </si>
  <si>
    <t>COC2.42</t>
  </si>
  <si>
    <t>COC2.43</t>
  </si>
  <si>
    <t>COC2.62</t>
  </si>
  <si>
    <t>COC2.63</t>
  </si>
  <si>
    <t>COC2.8</t>
  </si>
  <si>
    <t>COC2.72</t>
  </si>
  <si>
    <t>COC2.52</t>
  </si>
  <si>
    <t>COC2.53</t>
  </si>
  <si>
    <t>Cert Class Form</t>
  </si>
  <si>
    <t>DO NOT TYPE IN OR DELETE FORMULAS</t>
  </si>
  <si>
    <t>Local 1245/47</t>
  </si>
  <si>
    <t xml:space="preserve">Hours </t>
  </si>
  <si>
    <t>8ST, then everything else DT</t>
  </si>
  <si>
    <t>$50/day (must work 4 hours or until noon, whichever is later)</t>
  </si>
  <si>
    <t>Meal</t>
  </si>
  <si>
    <t>$15 after 10.5 hours (then after every 4.5 hours)</t>
  </si>
  <si>
    <t>In Lieu</t>
  </si>
  <si>
    <t>0.5DT after 10.5 hours (then after every 4.5 hours)</t>
  </si>
  <si>
    <t>1-110</t>
  </si>
  <si>
    <t>TIME ENTRY SHEET (Template 9)</t>
  </si>
  <si>
    <t>WC CODE</t>
  </si>
  <si>
    <t>WC STATE</t>
  </si>
  <si>
    <t>ST</t>
  </si>
  <si>
    <t>Hangar Manager</t>
  </si>
  <si>
    <t>1270</t>
  </si>
  <si>
    <t>Ayers; Christopher S</t>
  </si>
  <si>
    <t>126</t>
  </si>
  <si>
    <t>2265</t>
  </si>
  <si>
    <t>Brothers; John W</t>
  </si>
  <si>
    <t>Estimator/Project Manager</t>
  </si>
  <si>
    <t>4398</t>
  </si>
  <si>
    <t>Garcia; Hafid</t>
  </si>
  <si>
    <t>5124</t>
  </si>
  <si>
    <t>Hernandez Orozco; David</t>
  </si>
  <si>
    <t>Runner</t>
  </si>
  <si>
    <t>5456</t>
  </si>
  <si>
    <t>Houser; Jacob J</t>
  </si>
  <si>
    <t>5924</t>
  </si>
  <si>
    <t>Jonte; Kleet K</t>
  </si>
  <si>
    <t>5996</t>
  </si>
  <si>
    <t>Keune; Trevor M.</t>
  </si>
  <si>
    <t>6117</t>
  </si>
  <si>
    <t>Kimmel; Daryl M.</t>
  </si>
  <si>
    <t>Field Mechanic - Union</t>
  </si>
  <si>
    <t>6298</t>
  </si>
  <si>
    <t>Larsen; Jason P.</t>
  </si>
  <si>
    <t>6711</t>
  </si>
  <si>
    <t>Lowerison; William David</t>
  </si>
  <si>
    <t>Southwest Regional Director</t>
  </si>
  <si>
    <t>6745</t>
  </si>
  <si>
    <t>Lynch; Andrew J.</t>
  </si>
  <si>
    <t>7081</t>
  </si>
  <si>
    <t>Martin; Ryan P</t>
  </si>
  <si>
    <t>Helicopter Lead Mechanic</t>
  </si>
  <si>
    <t>7273</t>
  </si>
  <si>
    <t>McCarty; Christopher M</t>
  </si>
  <si>
    <t>7910</t>
  </si>
  <si>
    <t>Murphy; James B</t>
  </si>
  <si>
    <t>8276</t>
  </si>
  <si>
    <t>Padilla; Nicholas B.</t>
  </si>
  <si>
    <t>IBEWIN</t>
  </si>
  <si>
    <t>Wireman Journeyman</t>
  </si>
  <si>
    <t>9087</t>
  </si>
  <si>
    <t>Rossiter; Dustin R</t>
  </si>
  <si>
    <t>Asst Field Mech/Parts Runner</t>
  </si>
  <si>
    <t>9246</t>
  </si>
  <si>
    <t>Schlenker; Michael Keith</t>
  </si>
  <si>
    <t>9354</t>
  </si>
  <si>
    <t>Sparks; Kyle Gene</t>
  </si>
  <si>
    <t>9620</t>
  </si>
  <si>
    <t>Stanley; Lucas C.</t>
  </si>
  <si>
    <t>9838</t>
  </si>
  <si>
    <t>Tasa; Brenden S</t>
  </si>
  <si>
    <t>9839</t>
  </si>
  <si>
    <t>Taylor; Dalthard Ronald</t>
  </si>
  <si>
    <t>Warehouse/Yard Manager</t>
  </si>
  <si>
    <t>9996</t>
  </si>
  <si>
    <t>Toftdahl; Nels R.</t>
  </si>
  <si>
    <t>10056</t>
  </si>
  <si>
    <t>Torres; Federico R</t>
  </si>
  <si>
    <t>Washbay - Canby</t>
  </si>
  <si>
    <t>Director of Helicopter Maint.</t>
  </si>
  <si>
    <t>10905</t>
  </si>
  <si>
    <t>Zamora; Rod R.</t>
  </si>
  <si>
    <t>10910</t>
  </si>
  <si>
    <t>Zinkl; Matthew H</t>
  </si>
  <si>
    <t>PENNSYLVANIA OFFICE COSTS</t>
  </si>
  <si>
    <t>8810PA</t>
  </si>
  <si>
    <t>OVERHEAD PENNSYLVANIA</t>
  </si>
  <si>
    <t>MATT HOOGE</t>
  </si>
  <si>
    <t>DAVE LOWERISON</t>
  </si>
  <si>
    <t>PHIL CONNOR</t>
  </si>
  <si>
    <t>TED LEINEKE</t>
  </si>
  <si>
    <t>1-002</t>
  </si>
  <si>
    <t>1-019</t>
  </si>
  <si>
    <t>1532</t>
  </si>
  <si>
    <t>Battise; Nikolas T</t>
  </si>
  <si>
    <t>1846</t>
  </si>
  <si>
    <t>Blalock; Michael R</t>
  </si>
  <si>
    <t>2626</t>
  </si>
  <si>
    <t>Carstensen; Joshua J</t>
  </si>
  <si>
    <t>2634</t>
  </si>
  <si>
    <t>Case; Kory V</t>
  </si>
  <si>
    <t>2638</t>
  </si>
  <si>
    <t>Cashman; William Brady</t>
  </si>
  <si>
    <t>QC/Safety Representative</t>
  </si>
  <si>
    <t>2881</t>
  </si>
  <si>
    <t>Conner; Michael Joseph</t>
  </si>
  <si>
    <t>2893</t>
  </si>
  <si>
    <t>Churchman; Garyn M</t>
  </si>
  <si>
    <t>3034</t>
  </si>
  <si>
    <t>Corsetti; Michael A</t>
  </si>
  <si>
    <t>Operator A</t>
  </si>
  <si>
    <t>3585</t>
  </si>
  <si>
    <t>Dudley; Eric L</t>
  </si>
  <si>
    <t>3785</t>
  </si>
  <si>
    <t>English; Richard R</t>
  </si>
  <si>
    <t>Material Handler</t>
  </si>
  <si>
    <t>4196</t>
  </si>
  <si>
    <t>Francis; Jonathan P</t>
  </si>
  <si>
    <t>4348</t>
  </si>
  <si>
    <t>Fuhs; Kirt R.</t>
  </si>
  <si>
    <t>Truck Driver - AZ</t>
  </si>
  <si>
    <t>4899</t>
  </si>
  <si>
    <t>Hamelin; Kenneth L</t>
  </si>
  <si>
    <t>5091</t>
  </si>
  <si>
    <t>Hendrickson; Scott D</t>
  </si>
  <si>
    <t>5125</t>
  </si>
  <si>
    <t>Hernandez; Ramiro</t>
  </si>
  <si>
    <t>5175</t>
  </si>
  <si>
    <t>Hess; Jared A.</t>
  </si>
  <si>
    <t>5446</t>
  </si>
  <si>
    <t>Hornbeck; Dennis Andrew</t>
  </si>
  <si>
    <t>5937</t>
  </si>
  <si>
    <t>Justice; Luke</t>
  </si>
  <si>
    <t>5967</t>
  </si>
  <si>
    <t>Kegley; Michael J</t>
  </si>
  <si>
    <t>6155</t>
  </si>
  <si>
    <t>Knoll; Thomas E</t>
  </si>
  <si>
    <t>6207</t>
  </si>
  <si>
    <t>Kraft; Jerry L.</t>
  </si>
  <si>
    <t>6210</t>
  </si>
  <si>
    <t>Kranzusch; Ray F</t>
  </si>
  <si>
    <t>6297</t>
  </si>
  <si>
    <t>Larsen; Devin Brett</t>
  </si>
  <si>
    <t>6499</t>
  </si>
  <si>
    <t>Lenoir Jr.; Leo M.</t>
  </si>
  <si>
    <t>6998</t>
  </si>
  <si>
    <t>Mardis; Johnathan D</t>
  </si>
  <si>
    <t>7098</t>
  </si>
  <si>
    <t>Mazza; Bryan P</t>
  </si>
  <si>
    <t>7754</t>
  </si>
  <si>
    <t>Moore; Corey S</t>
  </si>
  <si>
    <t>Assistant Project Manager</t>
  </si>
  <si>
    <t>8040</t>
  </si>
  <si>
    <t>Nearhood; William J</t>
  </si>
  <si>
    <t>8082</t>
  </si>
  <si>
    <t>Nicoloff; Philip J</t>
  </si>
  <si>
    <t>Sr.Field Mechanic - Bargaining</t>
  </si>
  <si>
    <t>8185</t>
  </si>
  <si>
    <t>Ogden; Craig T</t>
  </si>
  <si>
    <t>8208</t>
  </si>
  <si>
    <t>Oliphant; Paul D</t>
  </si>
  <si>
    <t>8240</t>
  </si>
  <si>
    <t>Ornelas; Chrystin N</t>
  </si>
  <si>
    <t>8300</t>
  </si>
  <si>
    <t>Parker; Cody B</t>
  </si>
  <si>
    <t>8302</t>
  </si>
  <si>
    <t>Parrish; Brandy M</t>
  </si>
  <si>
    <t>Administrative Assnt - Rancho</t>
  </si>
  <si>
    <t>8735</t>
  </si>
  <si>
    <t>8860</t>
  </si>
  <si>
    <t>Rice; Everett L</t>
  </si>
  <si>
    <t>8906</t>
  </si>
  <si>
    <t>Rivera; Luis C</t>
  </si>
  <si>
    <t>9242</t>
  </si>
  <si>
    <t>Schmidt; Eric M</t>
  </si>
  <si>
    <t>9262</t>
  </si>
  <si>
    <t>Sanders; Travis P.</t>
  </si>
  <si>
    <t>9293</t>
  </si>
  <si>
    <t>Shaddy; Jeffrey</t>
  </si>
  <si>
    <t>9295</t>
  </si>
  <si>
    <t>Shaw; William R.</t>
  </si>
  <si>
    <t>9627</t>
  </si>
  <si>
    <t>Stansbury; Ben A</t>
  </si>
  <si>
    <t>9670</t>
  </si>
  <si>
    <t>Stewart; Vincent Ray</t>
  </si>
  <si>
    <t>10647</t>
  </si>
  <si>
    <t>Whitaker; Justin W</t>
  </si>
  <si>
    <t>BUSINESS DEVELOPMENT</t>
  </si>
  <si>
    <t>EQUIPMENT REPAIRS-THIRD PARTY</t>
  </si>
  <si>
    <t>8810CA</t>
  </si>
  <si>
    <t>Jon Talbott</t>
  </si>
  <si>
    <t>2188</t>
  </si>
  <si>
    <t>Brennan; Michael D.</t>
  </si>
  <si>
    <t>3944</t>
  </si>
  <si>
    <t>Erickson; Mitchell</t>
  </si>
  <si>
    <t>4394</t>
  </si>
  <si>
    <t>Garcia; Kris</t>
  </si>
  <si>
    <t>4830</t>
  </si>
  <si>
    <t>Guevara; Ruben</t>
  </si>
  <si>
    <t>4981</t>
  </si>
  <si>
    <t>Hivner; Nicholas S</t>
  </si>
  <si>
    <t>5176</t>
  </si>
  <si>
    <t>Hicks; Andrew D</t>
  </si>
  <si>
    <t>5332</t>
  </si>
  <si>
    <t>Hogue III; Johnny K</t>
  </si>
  <si>
    <t>5643</t>
  </si>
  <si>
    <t>Humlick; Adam J</t>
  </si>
  <si>
    <t>5673</t>
  </si>
  <si>
    <t>Hutson; David J</t>
  </si>
  <si>
    <t>5710</t>
  </si>
  <si>
    <t>Irzyk; Austin J</t>
  </si>
  <si>
    <t>5721</t>
  </si>
  <si>
    <t>Ingram; Ryan M</t>
  </si>
  <si>
    <t>6170</t>
  </si>
  <si>
    <t>Koehn; Jacob A</t>
  </si>
  <si>
    <t>Radant; Cody D</t>
  </si>
  <si>
    <t>8790</t>
  </si>
  <si>
    <t>Ratti; Byron J</t>
  </si>
  <si>
    <t>9260</t>
  </si>
  <si>
    <t>Scott; Brian E</t>
  </si>
  <si>
    <t>9273</t>
  </si>
  <si>
    <t>Seabourn; David D</t>
  </si>
  <si>
    <t>1025</t>
  </si>
  <si>
    <t>Abella; Christian Marcelo</t>
  </si>
  <si>
    <t>1194</t>
  </si>
  <si>
    <t>Arreola; George</t>
  </si>
  <si>
    <t>1353</t>
  </si>
  <si>
    <t>Bannister Jr; Kenneth W</t>
  </si>
  <si>
    <t>1647</t>
  </si>
  <si>
    <t>Baxter; Olliver</t>
  </si>
  <si>
    <t>2128</t>
  </si>
  <si>
    <t>Braaten; Jason W</t>
  </si>
  <si>
    <t>602R</t>
  </si>
  <si>
    <t>2558</t>
  </si>
  <si>
    <t>Calvillo; Ramon C</t>
  </si>
  <si>
    <t>2726</t>
  </si>
  <si>
    <t>2807</t>
  </si>
  <si>
    <t>Chavez Herrara; Jared</t>
  </si>
  <si>
    <t>Shop Assistant</t>
  </si>
  <si>
    <t>4115</t>
  </si>
  <si>
    <t>Flores; Raul D</t>
  </si>
  <si>
    <t>4155</t>
  </si>
  <si>
    <t>Fondon; John W</t>
  </si>
  <si>
    <t>4392</t>
  </si>
  <si>
    <t>Garcia; Albert A</t>
  </si>
  <si>
    <t>4441</t>
  </si>
  <si>
    <t>Germany; Micah K</t>
  </si>
  <si>
    <t>4752</t>
  </si>
  <si>
    <t>Gutierrez; Fernando N</t>
  </si>
  <si>
    <t>4785</t>
  </si>
  <si>
    <t>5128</t>
  </si>
  <si>
    <t>Hernandez; Ignacio L</t>
  </si>
  <si>
    <t>5345</t>
  </si>
  <si>
    <t>Holland Jr; Terrell S</t>
  </si>
  <si>
    <t>5863</t>
  </si>
  <si>
    <t>Jimenez; Salvador</t>
  </si>
  <si>
    <t>5925</t>
  </si>
  <si>
    <t>Joy; Shane S</t>
  </si>
  <si>
    <t>6284</t>
  </si>
  <si>
    <t>Lantau; Kenneth A.</t>
  </si>
  <si>
    <t>6476</t>
  </si>
  <si>
    <t>Leon Ramirez; Jose</t>
  </si>
  <si>
    <t>6605</t>
  </si>
  <si>
    <t>Llorca; John D</t>
  </si>
  <si>
    <t>7042</t>
  </si>
  <si>
    <t>Marshall III; Robert R</t>
  </si>
  <si>
    <t>7530</t>
  </si>
  <si>
    <t>Mendoza; Christopher G</t>
  </si>
  <si>
    <t>Field Material Manager / APM</t>
  </si>
  <si>
    <t>8043</t>
  </si>
  <si>
    <t>Neace; Shane D</t>
  </si>
  <si>
    <t>8211</t>
  </si>
  <si>
    <t>Olberding; Jim F</t>
  </si>
  <si>
    <t>8385</t>
  </si>
  <si>
    <t>Piedra; Raul</t>
  </si>
  <si>
    <t>8479</t>
  </si>
  <si>
    <t>Picazo; Benjamin</t>
  </si>
  <si>
    <t>8904</t>
  </si>
  <si>
    <t>Rivera; Amando A</t>
  </si>
  <si>
    <t>9107</t>
  </si>
  <si>
    <t>Ross; Joe P.</t>
  </si>
  <si>
    <t>9110</t>
  </si>
  <si>
    <t>Rodriguez; Roberto J</t>
  </si>
  <si>
    <t>9117</t>
  </si>
  <si>
    <t>Ross; Amie D</t>
  </si>
  <si>
    <t>9195</t>
  </si>
  <si>
    <t>Saranto; Blake W</t>
  </si>
  <si>
    <t>9235</t>
  </si>
  <si>
    <t>Szarkowski; Curt Thomas</t>
  </si>
  <si>
    <t>9503</t>
  </si>
  <si>
    <t>Schneider; Howard I</t>
  </si>
  <si>
    <t>9570</t>
  </si>
  <si>
    <t>Solis; Gerardo</t>
  </si>
  <si>
    <t>9726</t>
  </si>
  <si>
    <t>9836</t>
  </si>
  <si>
    <t>Tamez; Javier</t>
  </si>
  <si>
    <t>10257</t>
  </si>
  <si>
    <t>Wakeland; Alex R</t>
  </si>
  <si>
    <t>10630</t>
  </si>
  <si>
    <t>White; Jamail</t>
  </si>
  <si>
    <t>10642</t>
  </si>
  <si>
    <t>Wheeler; Shane M</t>
  </si>
  <si>
    <t>10821</t>
  </si>
  <si>
    <t>Wilson; Robby A</t>
  </si>
  <si>
    <t>10832</t>
  </si>
  <si>
    <t>OVERHEAD CANADA</t>
  </si>
  <si>
    <t>Jon Johnson</t>
  </si>
  <si>
    <t>Small Job Foreman</t>
  </si>
  <si>
    <t>Ciddio; Perez L</t>
  </si>
  <si>
    <t>2753</t>
  </si>
  <si>
    <t>Clardy; Ryan R</t>
  </si>
  <si>
    <t>2805</t>
  </si>
  <si>
    <t>Chavez; Eugene G</t>
  </si>
  <si>
    <t>3310</t>
  </si>
  <si>
    <t>Dalman; Jerrod W</t>
  </si>
  <si>
    <t>3386</t>
  </si>
  <si>
    <t>Denestan; Hector</t>
  </si>
  <si>
    <t>4402</t>
  </si>
  <si>
    <t>Garcia; Israel J</t>
  </si>
  <si>
    <t>4431</t>
  </si>
  <si>
    <t>Gebhart; Tanner A</t>
  </si>
  <si>
    <t>4557</t>
  </si>
  <si>
    <t>Gordon; Austin K</t>
  </si>
  <si>
    <t>Material Manager</t>
  </si>
  <si>
    <t>Gross; Michael B</t>
  </si>
  <si>
    <t>4993</t>
  </si>
  <si>
    <t>Harkins; Michael J</t>
  </si>
  <si>
    <t>4999</t>
  </si>
  <si>
    <t>Geyer; Tyler W</t>
  </si>
  <si>
    <t>5040</t>
  </si>
  <si>
    <t>Hauff; James FL</t>
  </si>
  <si>
    <t>Director of Transmission Srvcs</t>
  </si>
  <si>
    <t>6114</t>
  </si>
  <si>
    <t>King; Gale L</t>
  </si>
  <si>
    <t>6152</t>
  </si>
  <si>
    <t>Knifong; Joseph A</t>
  </si>
  <si>
    <t>7497</t>
  </si>
  <si>
    <t>Mendez; Richard M</t>
  </si>
  <si>
    <t>8046</t>
  </si>
  <si>
    <t>Nelson; Daniel E</t>
  </si>
  <si>
    <t>Groundman Experienced</t>
  </si>
  <si>
    <t>8303</t>
  </si>
  <si>
    <t>Parten; Michael A</t>
  </si>
  <si>
    <t>9374</t>
  </si>
  <si>
    <t>Simons; Nicholas R.</t>
  </si>
  <si>
    <t>9566</t>
  </si>
  <si>
    <t>Somers; Daniel R</t>
  </si>
  <si>
    <t>Strader; Edward A</t>
  </si>
  <si>
    <t>Wolski; Andrew J</t>
  </si>
  <si>
    <t>10899</t>
  </si>
  <si>
    <t>Yochum; Kevin R</t>
  </si>
  <si>
    <t>Winch Truck Operator</t>
  </si>
  <si>
    <t>10T</t>
  </si>
  <si>
    <t>Trans Tech 6</t>
  </si>
  <si>
    <t>11T</t>
  </si>
  <si>
    <t>Trans Tech 5</t>
  </si>
  <si>
    <t>12T</t>
  </si>
  <si>
    <t>Trans Tech 4</t>
  </si>
  <si>
    <t>13T</t>
  </si>
  <si>
    <t>Trans Tech 3</t>
  </si>
  <si>
    <t>14T</t>
  </si>
  <si>
    <t>Trans Tech 2</t>
  </si>
  <si>
    <t>15T</t>
  </si>
  <si>
    <t>Trans Tech 1</t>
  </si>
  <si>
    <t>61IN</t>
  </si>
  <si>
    <t>Inside Wireman Foreman</t>
  </si>
  <si>
    <t>62IN</t>
  </si>
  <si>
    <t>Inside Journeyman Wireman</t>
  </si>
  <si>
    <t>9T</t>
  </si>
  <si>
    <t>Trans Tech 7</t>
  </si>
  <si>
    <t>1192</t>
  </si>
  <si>
    <t>Andersen; David Mitch</t>
  </si>
  <si>
    <t>1232</t>
  </si>
  <si>
    <t>Apperson; Todd J</t>
  </si>
  <si>
    <t>280</t>
  </si>
  <si>
    <t>1240</t>
  </si>
  <si>
    <t>Anderson; Max C</t>
  </si>
  <si>
    <t>1275</t>
  </si>
  <si>
    <t>Avery; Bella</t>
  </si>
  <si>
    <t>Project Coordinator</t>
  </si>
  <si>
    <t>1335</t>
  </si>
  <si>
    <t>Badalamente; Joseph A</t>
  </si>
  <si>
    <t>1049</t>
  </si>
  <si>
    <t>1358</t>
  </si>
  <si>
    <t>Baldovino; Ernest Dion</t>
  </si>
  <si>
    <t>1482</t>
  </si>
  <si>
    <t>Barcena; Oscar</t>
  </si>
  <si>
    <t>1530</t>
  </si>
  <si>
    <t>Basham; Geoffery K</t>
  </si>
  <si>
    <t>1581</t>
  </si>
  <si>
    <t>Bedoy; Cody J</t>
  </si>
  <si>
    <t>1608</t>
  </si>
  <si>
    <t>Boisvert; Harry A</t>
  </si>
  <si>
    <t>1738</t>
  </si>
  <si>
    <t>Bereta Jr; Larry L</t>
  </si>
  <si>
    <t>1780</t>
  </si>
  <si>
    <t>Bischoff; Robert S</t>
  </si>
  <si>
    <t>1839</t>
  </si>
  <si>
    <t>Blagg; Michael L.</t>
  </si>
  <si>
    <t>1851</t>
  </si>
  <si>
    <t>Blakely; Taunia M</t>
  </si>
  <si>
    <t>61</t>
  </si>
  <si>
    <t>Foreman Wireman</t>
  </si>
  <si>
    <t>2114</t>
  </si>
  <si>
    <t>Bowie; William B</t>
  </si>
  <si>
    <t>2637</t>
  </si>
  <si>
    <t>Casey; Justin B</t>
  </si>
  <si>
    <t>2641</t>
  </si>
  <si>
    <t>Caves; Dustan L</t>
  </si>
  <si>
    <t>Truck Driver</t>
  </si>
  <si>
    <t>2643</t>
  </si>
  <si>
    <t>Cedillo; Ceasar A</t>
  </si>
  <si>
    <t>2724</t>
  </si>
  <si>
    <t>Choron; Romuald Laurent</t>
  </si>
  <si>
    <t>2816</t>
  </si>
  <si>
    <t>Christopherson; Isaac Jo</t>
  </si>
  <si>
    <t>2902</t>
  </si>
  <si>
    <t>Colvin; Brian M</t>
  </si>
  <si>
    <t>3062</t>
  </si>
  <si>
    <t>Cox; Jody F.</t>
  </si>
  <si>
    <t>3124</t>
  </si>
  <si>
    <t>Currie; Dean Anthony</t>
  </si>
  <si>
    <t>3127</t>
  </si>
  <si>
    <t>Cummings; Mark R</t>
  </si>
  <si>
    <t>3320</t>
  </si>
  <si>
    <t>Danner; Joshua S</t>
  </si>
  <si>
    <t>3389</t>
  </si>
  <si>
    <t>Deluna; Ricardo</t>
  </si>
  <si>
    <t>3435</t>
  </si>
  <si>
    <t>Diaz; Robert H.</t>
  </si>
  <si>
    <t>3532</t>
  </si>
  <si>
    <t>Dodd; Richard L</t>
  </si>
  <si>
    <t>3594</t>
  </si>
  <si>
    <t>Duncan; Jerry</t>
  </si>
  <si>
    <t>3942</t>
  </si>
  <si>
    <t>Erickson; Clancy W</t>
  </si>
  <si>
    <t>4122</t>
  </si>
  <si>
    <t>Fierro; Anthony</t>
  </si>
  <si>
    <t>4129</t>
  </si>
  <si>
    <t>Flynn; Daniel T.</t>
  </si>
  <si>
    <t>4158</t>
  </si>
  <si>
    <t>Forester; Gilbert R</t>
  </si>
  <si>
    <t>4239</t>
  </si>
  <si>
    <t>Frazee; Darren R</t>
  </si>
  <si>
    <t>4375</t>
  </si>
  <si>
    <t>Gardner; Jacob W.</t>
  </si>
  <si>
    <t>4674</t>
  </si>
  <si>
    <t>George; Benjamin A</t>
  </si>
  <si>
    <t>4721</t>
  </si>
  <si>
    <t>Graham; Zachary T</t>
  </si>
  <si>
    <t>4746</t>
  </si>
  <si>
    <t>Green; Michael R</t>
  </si>
  <si>
    <t>4807</t>
  </si>
  <si>
    <t>Gummig; Zechariah A</t>
  </si>
  <si>
    <t>4832</t>
  </si>
  <si>
    <t>Guffey; Jess B</t>
  </si>
  <si>
    <t>4901</t>
  </si>
  <si>
    <t>Hall; Erik S</t>
  </si>
  <si>
    <t>4967</t>
  </si>
  <si>
    <t>Hansen; David L</t>
  </si>
  <si>
    <t>4972</t>
  </si>
  <si>
    <t>Hayman; Cody A</t>
  </si>
  <si>
    <t>4998</t>
  </si>
  <si>
    <t>Geiser; Robert A</t>
  </si>
  <si>
    <t>5168</t>
  </si>
  <si>
    <t>Hills; Jeremy S.</t>
  </si>
  <si>
    <t>5301</t>
  </si>
  <si>
    <t>Hopkins; Joseph E</t>
  </si>
  <si>
    <t>5319</t>
  </si>
  <si>
    <t>Holbrook; Jeremiah M</t>
  </si>
  <si>
    <t>5458</t>
  </si>
  <si>
    <t>House; Christopher M</t>
  </si>
  <si>
    <t>5677</t>
  </si>
  <si>
    <t>Hutchens; Joseph Scott</t>
  </si>
  <si>
    <t>Material Warehouseman</t>
  </si>
  <si>
    <t>5725</t>
  </si>
  <si>
    <t>Jenkins; Chase B</t>
  </si>
  <si>
    <t>5742</t>
  </si>
  <si>
    <t>Jackson; Joseph W</t>
  </si>
  <si>
    <t>Mechanic Woodburn</t>
  </si>
  <si>
    <t>5813</t>
  </si>
  <si>
    <t>Johnson; Jay M</t>
  </si>
  <si>
    <t>5823</t>
  </si>
  <si>
    <t>Johnson; Cameron R</t>
  </si>
  <si>
    <t>5825</t>
  </si>
  <si>
    <t>Johnson; Dean R</t>
  </si>
  <si>
    <t>5844</t>
  </si>
  <si>
    <t>Johnson; Cliff Daniel</t>
  </si>
  <si>
    <t>5876</t>
  </si>
  <si>
    <t>Johnston; Bryan T.</t>
  </si>
  <si>
    <t>5930</t>
  </si>
  <si>
    <t>Joshi; Ajay B</t>
  </si>
  <si>
    <t>5960</t>
  </si>
  <si>
    <t>Kaufer; Chester</t>
  </si>
  <si>
    <t>6002</t>
  </si>
  <si>
    <t>Kemper; Zachary T</t>
  </si>
  <si>
    <t>6118</t>
  </si>
  <si>
    <t>Kimberly; Michael D</t>
  </si>
  <si>
    <t>6132</t>
  </si>
  <si>
    <t>Kingdon; Colton R</t>
  </si>
  <si>
    <t>6203</t>
  </si>
  <si>
    <t>Konchar; Nicholas A.</t>
  </si>
  <si>
    <t>6236</t>
  </si>
  <si>
    <t>Lay Jr; Richard D</t>
  </si>
  <si>
    <t>6238</t>
  </si>
  <si>
    <t>La Fuente; Timothy</t>
  </si>
  <si>
    <t>Operations VP Substation</t>
  </si>
  <si>
    <t>6520</t>
  </si>
  <si>
    <t>Leuthner; Paul A</t>
  </si>
  <si>
    <t>6613</t>
  </si>
  <si>
    <t>Lougee; Thomas G</t>
  </si>
  <si>
    <t>6672</t>
  </si>
  <si>
    <t>Lopez; Hector M</t>
  </si>
  <si>
    <t>SW Equipment Manager</t>
  </si>
  <si>
    <t>6918</t>
  </si>
  <si>
    <t>MacKenzie; Amber</t>
  </si>
  <si>
    <t>T&amp;D Operations Manager N. Cali</t>
  </si>
  <si>
    <t>6984</t>
  </si>
  <si>
    <t>Malloy; John M.</t>
  </si>
  <si>
    <t>7010</t>
  </si>
  <si>
    <t>Marquis; Phillip E</t>
  </si>
  <si>
    <t>7084</t>
  </si>
  <si>
    <t>Mathias; Shawn Bryan</t>
  </si>
  <si>
    <t>7090</t>
  </si>
  <si>
    <t>Martinez; Eddie</t>
  </si>
  <si>
    <t>7294</t>
  </si>
  <si>
    <t>McCloskey; Robert J</t>
  </si>
  <si>
    <t>7348</t>
  </si>
  <si>
    <t>McKenna; Thomas</t>
  </si>
  <si>
    <t>7481</t>
  </si>
  <si>
    <t>Meeks; Terry N</t>
  </si>
  <si>
    <t>7489</t>
  </si>
  <si>
    <t>Melanson; Peter E</t>
  </si>
  <si>
    <t>7699</t>
  </si>
  <si>
    <t>Monti; Kevin E.</t>
  </si>
  <si>
    <t>7700</t>
  </si>
  <si>
    <t>Montgomery; Tenny</t>
  </si>
  <si>
    <t>7759</t>
  </si>
  <si>
    <t>Moore; Timothy B</t>
  </si>
  <si>
    <t>Operator - A</t>
  </si>
  <si>
    <t>7806</t>
  </si>
  <si>
    <t>Moranda; Justin S</t>
  </si>
  <si>
    <t>8026</t>
  </si>
  <si>
    <t>Naylor; Joseph D</t>
  </si>
  <si>
    <t>8048</t>
  </si>
  <si>
    <t>Nelson; Travis E</t>
  </si>
  <si>
    <t>8073</t>
  </si>
  <si>
    <t>Newberry; Dominick F</t>
  </si>
  <si>
    <t>8137</t>
  </si>
  <si>
    <t>Noel; Bryce Dylan</t>
  </si>
  <si>
    <t>8154</t>
  </si>
  <si>
    <t>Norsworthy; Jonathan R.</t>
  </si>
  <si>
    <t>8155</t>
  </si>
  <si>
    <t>Norcutt; Devin W</t>
  </si>
  <si>
    <t>8180</t>
  </si>
  <si>
    <t>O'Connor; Travis L</t>
  </si>
  <si>
    <t>8377</t>
  </si>
  <si>
    <t>Pearson; Charles J</t>
  </si>
  <si>
    <t>8399</t>
  </si>
  <si>
    <t>Pedersen; Vikter James</t>
  </si>
  <si>
    <t>8439</t>
  </si>
  <si>
    <t>Peterson; Edwin W</t>
  </si>
  <si>
    <t>Mechanic - Field Union</t>
  </si>
  <si>
    <t>8507</t>
  </si>
  <si>
    <t>Pontine; Devon A</t>
  </si>
  <si>
    <t>Transmission Tech 2</t>
  </si>
  <si>
    <t>8511</t>
  </si>
  <si>
    <t>Poland; Christopher James</t>
  </si>
  <si>
    <t>8602</t>
  </si>
  <si>
    <t>Prewitt; Aaron M</t>
  </si>
  <si>
    <t>8772</t>
  </si>
  <si>
    <t>Ramirez; Ernesto D.</t>
  </si>
  <si>
    <t>8777</t>
  </si>
  <si>
    <t>Ramirez-Gomez; Marco I</t>
  </si>
  <si>
    <t>8832</t>
  </si>
  <si>
    <t>Renn; Shane T.</t>
  </si>
  <si>
    <t>8845</t>
  </si>
  <si>
    <t>Renteria; Juan Carlos</t>
  </si>
  <si>
    <t>8846</t>
  </si>
  <si>
    <t>Rondeau Jr.; William A</t>
  </si>
  <si>
    <t>8899</t>
  </si>
  <si>
    <t>Rigg; Stuart N</t>
  </si>
  <si>
    <t>9011</t>
  </si>
  <si>
    <t>Roberts; Steven C</t>
  </si>
  <si>
    <t>9092</t>
  </si>
  <si>
    <t>Rosengrant; Jeffrey M</t>
  </si>
  <si>
    <t>9240</t>
  </si>
  <si>
    <t>Sanchez; Garrett H</t>
  </si>
  <si>
    <t>9291</t>
  </si>
  <si>
    <t>Shaffer; David D</t>
  </si>
  <si>
    <t>Environmental Coordinator</t>
  </si>
  <si>
    <t>9297</t>
  </si>
  <si>
    <t>Shaw; Austin M</t>
  </si>
  <si>
    <t>9317</t>
  </si>
  <si>
    <t>Shrum; Joel R</t>
  </si>
  <si>
    <t>9329</t>
  </si>
  <si>
    <t>Silvas; Enrique</t>
  </si>
  <si>
    <t>9457</t>
  </si>
  <si>
    <t>Smith; Alfred D</t>
  </si>
  <si>
    <t>9475</t>
  </si>
  <si>
    <t>Smith; Darren R.</t>
  </si>
  <si>
    <t>9555</t>
  </si>
  <si>
    <t>Schnider Sr.; Kevin Todd</t>
  </si>
  <si>
    <t>9559</t>
  </si>
  <si>
    <t>Schumacher; Anthony J</t>
  </si>
  <si>
    <t>9613</t>
  </si>
  <si>
    <t>Staniforth; Cory D</t>
  </si>
  <si>
    <t>9731</t>
  </si>
  <si>
    <t>Sugerik; David B</t>
  </si>
  <si>
    <t>9835</t>
  </si>
  <si>
    <t>Tatro; Lynn D</t>
  </si>
  <si>
    <t>9868</t>
  </si>
  <si>
    <t>Terlep; Greg J.</t>
  </si>
  <si>
    <t>9871</t>
  </si>
  <si>
    <t>Tenney; Michael J</t>
  </si>
  <si>
    <t>9943</t>
  </si>
  <si>
    <t>Thomas; Kyle R</t>
  </si>
  <si>
    <t>10034</t>
  </si>
  <si>
    <t>Tropkoff; Robert J</t>
  </si>
  <si>
    <t>Field Mechanic - Bargaining</t>
  </si>
  <si>
    <t>10051</t>
  </si>
  <si>
    <t>Treadwell; Joshua S</t>
  </si>
  <si>
    <t>10060</t>
  </si>
  <si>
    <t>Tweed; Herbert Coke</t>
  </si>
  <si>
    <t>10076</t>
  </si>
  <si>
    <t>Uitto; Jacob P</t>
  </si>
  <si>
    <t>10078</t>
  </si>
  <si>
    <t>Uhlenkott; Nicholas P</t>
  </si>
  <si>
    <t>10085</t>
  </si>
  <si>
    <t>Unsworth; Isaac W</t>
  </si>
  <si>
    <t>10139</t>
  </si>
  <si>
    <t>Vanwert Jr.; Richard A</t>
  </si>
  <si>
    <t>10146</t>
  </si>
  <si>
    <t>Valencia; Gary S</t>
  </si>
  <si>
    <t>10149</t>
  </si>
  <si>
    <t>Vargas; Joe F</t>
  </si>
  <si>
    <t>10437</t>
  </si>
  <si>
    <t>Warner; Dusty D</t>
  </si>
  <si>
    <t>10559</t>
  </si>
  <si>
    <t>Weekes; Bruce S</t>
  </si>
  <si>
    <t>10581</t>
  </si>
  <si>
    <t>Wells; Robert O</t>
  </si>
  <si>
    <t>10586</t>
  </si>
  <si>
    <t>Welch; David A</t>
  </si>
  <si>
    <t>10679</t>
  </si>
  <si>
    <t>Wilburn; Sean D.</t>
  </si>
  <si>
    <t>10803</t>
  </si>
  <si>
    <t>Wimer; Christopher R</t>
  </si>
  <si>
    <t>10924</t>
  </si>
  <si>
    <t>Zeveney; Patrick J</t>
  </si>
  <si>
    <t>10932</t>
  </si>
  <si>
    <t>Youngblood; Mark O</t>
  </si>
  <si>
    <t>10933</t>
  </si>
  <si>
    <t>Yunkin; Russell</t>
  </si>
  <si>
    <t>10934</t>
  </si>
  <si>
    <t>Zeigler; Logan R</t>
  </si>
  <si>
    <t>7421OR</t>
  </si>
  <si>
    <t>RON STEWART</t>
  </si>
  <si>
    <t>OVERHEAD CALIFORNIA</t>
  </si>
  <si>
    <t>OVERHEAD RANCHO OFFICE</t>
  </si>
  <si>
    <t>TONY HELBLING</t>
  </si>
  <si>
    <t>PENNSYLVANIA SHOP</t>
  </si>
  <si>
    <t>8227PA</t>
  </si>
  <si>
    <t>8227CA</t>
  </si>
  <si>
    <t>RANCHO SHOP</t>
  </si>
  <si>
    <t>WOODBURN SHOP</t>
  </si>
  <si>
    <t>WASHINGTON SHOP COSTS</t>
  </si>
  <si>
    <t>8227AZ</t>
  </si>
  <si>
    <t>S CALIFORNIA SHOP COSTS</t>
  </si>
  <si>
    <t>Pete Covey</t>
  </si>
  <si>
    <t>1043</t>
  </si>
  <si>
    <t>Adema; Matthew</t>
  </si>
  <si>
    <t>1059</t>
  </si>
  <si>
    <t>Aleman; Carlos A</t>
  </si>
  <si>
    <t>1095</t>
  </si>
  <si>
    <t>Alexander; James C</t>
  </si>
  <si>
    <t>1104</t>
  </si>
  <si>
    <t>Amburgey; James R</t>
  </si>
  <si>
    <t>1197</t>
  </si>
  <si>
    <t>Andrea; Josh M</t>
  </si>
  <si>
    <t>1217</t>
  </si>
  <si>
    <t>Andrews; Cory R</t>
  </si>
  <si>
    <t>1247</t>
  </si>
  <si>
    <t>Arana; Daniel I</t>
  </si>
  <si>
    <t>1331</t>
  </si>
  <si>
    <t>Babb; Mitchell R.</t>
  </si>
  <si>
    <t>1359</t>
  </si>
  <si>
    <t>Bailey; Gary D</t>
  </si>
  <si>
    <t>Transmission Tech 1</t>
  </si>
  <si>
    <t>1371</t>
  </si>
  <si>
    <t>Baggerly; Richard A</t>
  </si>
  <si>
    <t>1533</t>
  </si>
  <si>
    <t>Barron; Cameron S</t>
  </si>
  <si>
    <t>1554</t>
  </si>
  <si>
    <t>Beck; Evan D.</t>
  </si>
  <si>
    <t>1585</t>
  </si>
  <si>
    <t>Bellos; Jacob G.</t>
  </si>
  <si>
    <t>1595</t>
  </si>
  <si>
    <t>Beltran; Juan F</t>
  </si>
  <si>
    <t>Lineman Journeyman Tech</t>
  </si>
  <si>
    <t>1614</t>
  </si>
  <si>
    <t>Bentley; Lonne</t>
  </si>
  <si>
    <t>1770</t>
  </si>
  <si>
    <t>Biro; Brandon J</t>
  </si>
  <si>
    <t>Groundman 0-2000 Hours</t>
  </si>
  <si>
    <t>1775</t>
  </si>
  <si>
    <t>Bishop; Andrew M</t>
  </si>
  <si>
    <t>2090</t>
  </si>
  <si>
    <t>Bourgeois; Russel L</t>
  </si>
  <si>
    <t>2140</t>
  </si>
  <si>
    <t>Brant; Justin</t>
  </si>
  <si>
    <t>2223</t>
  </si>
  <si>
    <t>Childers; Clayton J</t>
  </si>
  <si>
    <t>2268</t>
  </si>
  <si>
    <t>Brown; Richard R</t>
  </si>
  <si>
    <t>2341</t>
  </si>
  <si>
    <t>Buchanan; Jerrett S</t>
  </si>
  <si>
    <t>2559</t>
  </si>
  <si>
    <t>Caldwell; Brian J</t>
  </si>
  <si>
    <t>104</t>
  </si>
  <si>
    <t>2591</t>
  </si>
  <si>
    <t>Camacho II; Christopher B</t>
  </si>
  <si>
    <t>2628</t>
  </si>
  <si>
    <t>Carter; Craig A</t>
  </si>
  <si>
    <t>Transmission Tech 6</t>
  </si>
  <si>
    <t>2635</t>
  </si>
  <si>
    <t>Case; Scott R</t>
  </si>
  <si>
    <t>2640</t>
  </si>
  <si>
    <t>Cavanaugh; Thomas</t>
  </si>
  <si>
    <t>2652</t>
  </si>
  <si>
    <t>Catlin; Jeffrey A</t>
  </si>
  <si>
    <t>2653</t>
  </si>
  <si>
    <t>Campbell; Aaron D</t>
  </si>
  <si>
    <t>2709</t>
  </si>
  <si>
    <t>Champagne; Ronald R</t>
  </si>
  <si>
    <t>2751</t>
  </si>
  <si>
    <t>Clark; Benjamin F</t>
  </si>
  <si>
    <t>2796</t>
  </si>
  <si>
    <t>Clay Jr.; Michael R.</t>
  </si>
  <si>
    <t>2856</t>
  </si>
  <si>
    <t>Collins; John C</t>
  </si>
  <si>
    <t>3004</t>
  </si>
  <si>
    <t>Cooper; Kelly D</t>
  </si>
  <si>
    <t>3030</t>
  </si>
  <si>
    <t>Cordova; John J</t>
  </si>
  <si>
    <t>3050</t>
  </si>
  <si>
    <t>Cortez; Daniel R</t>
  </si>
  <si>
    <t>3085</t>
  </si>
  <si>
    <t>Crowder; Travis M</t>
  </si>
  <si>
    <t>3311</t>
  </si>
  <si>
    <t>Damery; William J.</t>
  </si>
  <si>
    <t>3382</t>
  </si>
  <si>
    <t>Deitz; Steve Andrew</t>
  </si>
  <si>
    <t>3596</t>
  </si>
  <si>
    <t>Dunn; Bradley C</t>
  </si>
  <si>
    <t>3597</t>
  </si>
  <si>
    <t>Duncan Jr.; Ronald B</t>
  </si>
  <si>
    <t>3612</t>
  </si>
  <si>
    <t>Drauschak; Joseph D</t>
  </si>
  <si>
    <t>3615</t>
  </si>
  <si>
    <t>Durkin; Patrick J</t>
  </si>
  <si>
    <t>3616</t>
  </si>
  <si>
    <t>Dobry; Casey A</t>
  </si>
  <si>
    <t>3630</t>
  </si>
  <si>
    <t>Egress Jr; Frank</t>
  </si>
  <si>
    <t>4051</t>
  </si>
  <si>
    <t>Farmer; Keith A</t>
  </si>
  <si>
    <t>4071</t>
  </si>
  <si>
    <t>Fell; Jeffrey C</t>
  </si>
  <si>
    <t>4123</t>
  </si>
  <si>
    <t>Fierro; Abraham M.</t>
  </si>
  <si>
    <t>4127</t>
  </si>
  <si>
    <t>Filkins; Shane K</t>
  </si>
  <si>
    <t>4142</t>
  </si>
  <si>
    <t>Finley; Jerry L</t>
  </si>
  <si>
    <t>4241</t>
  </si>
  <si>
    <t>Freeman; Christopher Shane</t>
  </si>
  <si>
    <t>4251</t>
  </si>
  <si>
    <t>Freismuth; Edward J</t>
  </si>
  <si>
    <t>4259</t>
  </si>
  <si>
    <t>Frias; Ronald</t>
  </si>
  <si>
    <t>4387</t>
  </si>
  <si>
    <t>Gallegos; Jose I</t>
  </si>
  <si>
    <t>Transmission Tech 5</t>
  </si>
  <si>
    <t>4424</t>
  </si>
  <si>
    <t>Garner; David C</t>
  </si>
  <si>
    <t>4525</t>
  </si>
  <si>
    <t>Gnall Jr.; John A</t>
  </si>
  <si>
    <t>4565</t>
  </si>
  <si>
    <t>Gorst; Quinn R</t>
  </si>
  <si>
    <t>4671</t>
  </si>
  <si>
    <t>Giancola; Jacob F</t>
  </si>
  <si>
    <t>4733</t>
  </si>
  <si>
    <t>Gray; Michael W</t>
  </si>
  <si>
    <t>4735</t>
  </si>
  <si>
    <t>Gray; Christopher N</t>
  </si>
  <si>
    <t>4782</t>
  </si>
  <si>
    <t>Grose; Robert Douglas</t>
  </si>
  <si>
    <t>4815</t>
  </si>
  <si>
    <t>Gunderson; Eric C</t>
  </si>
  <si>
    <t>4833</t>
  </si>
  <si>
    <t>Gunia; Michael D</t>
  </si>
  <si>
    <t>4983</t>
  </si>
  <si>
    <t>Harmon; Darren L</t>
  </si>
  <si>
    <t>5016</t>
  </si>
  <si>
    <t>Harris; Jason B</t>
  </si>
  <si>
    <t>5067</t>
  </si>
  <si>
    <t>5107</t>
  </si>
  <si>
    <t>Hedburg; Arthur J</t>
  </si>
  <si>
    <t>5115</t>
  </si>
  <si>
    <t>Heredia; Marco A</t>
  </si>
  <si>
    <t>5116</t>
  </si>
  <si>
    <t>Heuer; Jordan P</t>
  </si>
  <si>
    <t>5165</t>
  </si>
  <si>
    <t>Hippensteel; Thomas A</t>
  </si>
  <si>
    <t>5186</t>
  </si>
  <si>
    <t>Hill; Jared M</t>
  </si>
  <si>
    <t>5372</t>
  </si>
  <si>
    <t>Hook; Alan P</t>
  </si>
  <si>
    <t>5571</t>
  </si>
  <si>
    <t>Howard; Edward D</t>
  </si>
  <si>
    <t>5631</t>
  </si>
  <si>
    <t>Hurst; Christopher T</t>
  </si>
  <si>
    <t>5669</t>
  </si>
  <si>
    <t>5755</t>
  </si>
  <si>
    <t>Jedrzejewski; Benjamin</t>
  </si>
  <si>
    <t>5772</t>
  </si>
  <si>
    <t>Jennings; Colton Z</t>
  </si>
  <si>
    <t>5773</t>
  </si>
  <si>
    <t>Jernigan; Raymond C</t>
  </si>
  <si>
    <t>5826</t>
  </si>
  <si>
    <t>Johnson; Brett A.</t>
  </si>
  <si>
    <t>5843</t>
  </si>
  <si>
    <t>Jimenez; Dean R</t>
  </si>
  <si>
    <t>Groundman 0 - 2000 Hours</t>
  </si>
  <si>
    <t>5864</t>
  </si>
  <si>
    <t>Johnson; Nicholas J</t>
  </si>
  <si>
    <t>Inventory Control Coordinator</t>
  </si>
  <si>
    <t>5935</t>
  </si>
  <si>
    <t>Jordan; Nicholas J</t>
  </si>
  <si>
    <t>5943</t>
  </si>
  <si>
    <t>Johnston; Bryan A</t>
  </si>
  <si>
    <t>Operator Small Equipment</t>
  </si>
  <si>
    <t>5955</t>
  </si>
  <si>
    <t>Katzer; Brandon P</t>
  </si>
  <si>
    <t>6110</t>
  </si>
  <si>
    <t>King; Carl D</t>
  </si>
  <si>
    <t>6119</t>
  </si>
  <si>
    <t>Kiourkas; Cody G</t>
  </si>
  <si>
    <t>6196</t>
  </si>
  <si>
    <t>Kokel; Joel R</t>
  </si>
  <si>
    <t>6200</t>
  </si>
  <si>
    <t>Kumi; Richard A</t>
  </si>
  <si>
    <t>6217</t>
  </si>
  <si>
    <t>Kravchenko; Illya</t>
  </si>
  <si>
    <t>6218</t>
  </si>
  <si>
    <t>Koretz; Samuel J</t>
  </si>
  <si>
    <t>6219</t>
  </si>
  <si>
    <t>Kwiatkowski; Patrick J</t>
  </si>
  <si>
    <t>Groundhand Truck Driver</t>
  </si>
  <si>
    <t>6240</t>
  </si>
  <si>
    <t>Lazaron; Kyle M</t>
  </si>
  <si>
    <t>6294</t>
  </si>
  <si>
    <t>LaRock; Aaron M</t>
  </si>
  <si>
    <t>6322</t>
  </si>
  <si>
    <t>Lecompte; Patrick M</t>
  </si>
  <si>
    <t>6480</t>
  </si>
  <si>
    <t>Leanos; Daniel G</t>
  </si>
  <si>
    <t>6498</t>
  </si>
  <si>
    <t>Lenardo; Bradley J</t>
  </si>
  <si>
    <t>6539</t>
  </si>
  <si>
    <t>Lewis; Slone E.</t>
  </si>
  <si>
    <t>6579</t>
  </si>
  <si>
    <t>Little; Jerry S</t>
  </si>
  <si>
    <t>6585</t>
  </si>
  <si>
    <t>Lindley; Jeffrey S</t>
  </si>
  <si>
    <t>6674</t>
  </si>
  <si>
    <t>Longtin; Eric S</t>
  </si>
  <si>
    <t>Trans Tech</t>
  </si>
  <si>
    <t>6675</t>
  </si>
  <si>
    <t>Longtin; Eric Z</t>
  </si>
  <si>
    <t>6981</t>
  </si>
  <si>
    <t>Malik; Zeeshan M</t>
  </si>
  <si>
    <t>7088</t>
  </si>
  <si>
    <t>Dean; Marvin</t>
  </si>
  <si>
    <t>7099</t>
  </si>
  <si>
    <t>Martin; Lucas D</t>
  </si>
  <si>
    <t>7269</t>
  </si>
  <si>
    <t>McClaflin; Barrett M</t>
  </si>
  <si>
    <t>7324</t>
  </si>
  <si>
    <t>McElwain; Devin S</t>
  </si>
  <si>
    <t>7391</t>
  </si>
  <si>
    <t>McPhail; Matthew P</t>
  </si>
  <si>
    <t>7573</t>
  </si>
  <si>
    <t>Mirick; Quinn J</t>
  </si>
  <si>
    <t>7579</t>
  </si>
  <si>
    <t>Mijal; Maxwell L</t>
  </si>
  <si>
    <t>Oiler</t>
  </si>
  <si>
    <t>7697</t>
  </si>
  <si>
    <t>Montanelli; Ryan D</t>
  </si>
  <si>
    <t>7817</t>
  </si>
  <si>
    <t>Moreno; Solomon I</t>
  </si>
  <si>
    <t>7821</t>
  </si>
  <si>
    <t>Morgan; Thomas J</t>
  </si>
  <si>
    <t>7852</t>
  </si>
  <si>
    <t>Morrison; Brian A</t>
  </si>
  <si>
    <t>7916</t>
  </si>
  <si>
    <t>Muse; Brian P</t>
  </si>
  <si>
    <t>7919</t>
  </si>
  <si>
    <t>Musgrove; Roy E</t>
  </si>
  <si>
    <t>8096</t>
  </si>
  <si>
    <t>Nickolei; Christopher R</t>
  </si>
  <si>
    <t>8301</t>
  </si>
  <si>
    <t>Parmenter; George N.</t>
  </si>
  <si>
    <t>8304</t>
  </si>
  <si>
    <t>Parrisher; Colin K</t>
  </si>
  <si>
    <t>8328</t>
  </si>
  <si>
    <t>Pauley; Ryan H.</t>
  </si>
  <si>
    <t>8334</t>
  </si>
  <si>
    <t>Paez; David A</t>
  </si>
  <si>
    <t>8341</t>
  </si>
  <si>
    <t>Pavon; Marcus T</t>
  </si>
  <si>
    <t>8342</t>
  </si>
  <si>
    <t>Pavao; Jordan J</t>
  </si>
  <si>
    <t>8398</t>
  </si>
  <si>
    <t>Pendarvis; Jason L.</t>
  </si>
  <si>
    <t>8461</t>
  </si>
  <si>
    <t>Pfaff; Rory C</t>
  </si>
  <si>
    <t>8485</t>
  </si>
  <si>
    <t>Pinedo; Daniel</t>
  </si>
  <si>
    <t>8510</t>
  </si>
  <si>
    <t>Porras; Jose R</t>
  </si>
  <si>
    <t>Transmission Tech 3</t>
  </si>
  <si>
    <t>8786</t>
  </si>
  <si>
    <t>Ransom; William B.</t>
  </si>
  <si>
    <t>8787</t>
  </si>
  <si>
    <t>Rapozo; Titus K</t>
  </si>
  <si>
    <t>8792</t>
  </si>
  <si>
    <t>Rasmussen; Anita</t>
  </si>
  <si>
    <t>8817</t>
  </si>
  <si>
    <t>Reavis; Sam H</t>
  </si>
  <si>
    <t>8829</t>
  </si>
  <si>
    <t>Richmond; Cordell D</t>
  </si>
  <si>
    <t>8858</t>
  </si>
  <si>
    <t>Romero; Johnny O</t>
  </si>
  <si>
    <t>8895</t>
  </si>
  <si>
    <t>Roan; Dustin Michael</t>
  </si>
  <si>
    <t>8908</t>
  </si>
  <si>
    <t>Rivera; Andrew L</t>
  </si>
  <si>
    <t>9026</t>
  </si>
  <si>
    <t>Rojas; Hilario O</t>
  </si>
  <si>
    <t>9191</t>
  </si>
  <si>
    <t>Salazar; Michael</t>
  </si>
  <si>
    <t>9198</t>
  </si>
  <si>
    <t>Sarinana; Ricardo</t>
  </si>
  <si>
    <t>9238</t>
  </si>
  <si>
    <t>Sanchez; John R</t>
  </si>
  <si>
    <t>9261</t>
  </si>
  <si>
    <t>Scott; Coltin B</t>
  </si>
  <si>
    <t>Environmental/Land Liaison</t>
  </si>
  <si>
    <t>9265</t>
  </si>
  <si>
    <t>Schmeusser; Randy J</t>
  </si>
  <si>
    <t>9287</t>
  </si>
  <si>
    <t>Sheridan; Anthony W</t>
  </si>
  <si>
    <t>9307</t>
  </si>
  <si>
    <t>Sheen; Frederick W.</t>
  </si>
  <si>
    <t>9318</t>
  </si>
  <si>
    <t>Shipman; Audie L.</t>
  </si>
  <si>
    <t>9337</t>
  </si>
  <si>
    <t>Sibley; Anthony E</t>
  </si>
  <si>
    <t>9375</t>
  </si>
  <si>
    <t>Simmons; Cyrus E.</t>
  </si>
  <si>
    <t>9377</t>
  </si>
  <si>
    <t>Singledecker; Devin J.</t>
  </si>
  <si>
    <t>9489</t>
  </si>
  <si>
    <t>Smith; Dustin A</t>
  </si>
  <si>
    <t>Smith; Wayne A</t>
  </si>
  <si>
    <t>9506</t>
  </si>
  <si>
    <t>Smith; Jerry D.</t>
  </si>
  <si>
    <t>9552</t>
  </si>
  <si>
    <t>Schreiner; Stephen A</t>
  </si>
  <si>
    <t>9662</t>
  </si>
  <si>
    <t>Stewart; Joseph Benjamin</t>
  </si>
  <si>
    <t>9663</t>
  </si>
  <si>
    <t>Stewart; Joshua A</t>
  </si>
  <si>
    <t>9727</t>
  </si>
  <si>
    <t>Stevens; Cole L</t>
  </si>
  <si>
    <t>9732</t>
  </si>
  <si>
    <t>Symonds; Roy D</t>
  </si>
  <si>
    <t>9995</t>
  </si>
  <si>
    <t>Tom; Antonio J</t>
  </si>
  <si>
    <t>9997</t>
  </si>
  <si>
    <t>Tolson; Chad A</t>
  </si>
  <si>
    <t>10039</t>
  </si>
  <si>
    <t>Tsuha; Mark</t>
  </si>
  <si>
    <t>10057</t>
  </si>
  <si>
    <t>Torres; Carlos</t>
  </si>
  <si>
    <t>10160</t>
  </si>
  <si>
    <t>Varnell; Derek B</t>
  </si>
  <si>
    <t>10177</t>
  </si>
  <si>
    <t>Verkler; Jacob M</t>
  </si>
  <si>
    <t>10439</t>
  </si>
  <si>
    <t>Washington; Donell</t>
  </si>
  <si>
    <t>10445</t>
  </si>
  <si>
    <t>Watkins; Garrett L</t>
  </si>
  <si>
    <t>10449</t>
  </si>
  <si>
    <t>Watkins; Gary L</t>
  </si>
  <si>
    <t>10560</t>
  </si>
  <si>
    <t>Weber; Austin J</t>
  </si>
  <si>
    <t>10648</t>
  </si>
  <si>
    <t>Whitcomb; Shawn M</t>
  </si>
  <si>
    <t>10672</t>
  </si>
  <si>
    <t>Wickman; David S.</t>
  </si>
  <si>
    <t>10747</t>
  </si>
  <si>
    <t>Williams; Anthony J</t>
  </si>
  <si>
    <t>10784</t>
  </si>
  <si>
    <t>Wimberly; Bryan E</t>
  </si>
  <si>
    <t>10831</t>
  </si>
  <si>
    <t>Wofford; Joseph W</t>
  </si>
  <si>
    <t>10839</t>
  </si>
  <si>
    <t>Woodard; Christopher K</t>
  </si>
  <si>
    <t>10841</t>
  </si>
  <si>
    <t>Wittner; Adam K</t>
  </si>
  <si>
    <t>10893</t>
  </si>
  <si>
    <t>Yazzie; Dehn D</t>
  </si>
  <si>
    <t>10912</t>
  </si>
  <si>
    <t>Yanez; Fernando V</t>
  </si>
  <si>
    <t>627017-70-0</t>
  </si>
  <si>
    <t>MN</t>
  </si>
  <si>
    <t>27</t>
  </si>
  <si>
    <t>Journeyman Tech 1st</t>
  </si>
  <si>
    <t>28</t>
  </si>
  <si>
    <t>Journeyman Tech 2nd</t>
  </si>
  <si>
    <t>Journeyman Tech 3rd</t>
  </si>
  <si>
    <t>1769</t>
  </si>
  <si>
    <t>Bindel; Bruce A.</t>
  </si>
  <si>
    <t>2670</t>
  </si>
  <si>
    <t>Cartwright; Brandon J</t>
  </si>
  <si>
    <t>2894</t>
  </si>
  <si>
    <t>Coffelt; Kenneth</t>
  </si>
  <si>
    <t>3128</t>
  </si>
  <si>
    <t>Crouch; Steven J</t>
  </si>
  <si>
    <t>4432</t>
  </si>
  <si>
    <t>Ghering; Tadd P</t>
  </si>
  <si>
    <t>Heller; Erik C</t>
  </si>
  <si>
    <t>5340</t>
  </si>
  <si>
    <t>Holt; Derek H</t>
  </si>
  <si>
    <t>Collette; Hannah E</t>
  </si>
  <si>
    <t>6948</t>
  </si>
  <si>
    <t>Maier; Bailey M</t>
  </si>
  <si>
    <t>Project Assistant</t>
  </si>
  <si>
    <t>7019</t>
  </si>
  <si>
    <t>Martinez-Verela; Gerardo</t>
  </si>
  <si>
    <t>7804</t>
  </si>
  <si>
    <t>Moran; Jon B</t>
  </si>
  <si>
    <t>8194</t>
  </si>
  <si>
    <t>Ochoa; Luis</t>
  </si>
  <si>
    <t>8861</t>
  </si>
  <si>
    <t>Rhodes; Sam A</t>
  </si>
  <si>
    <t>9118</t>
  </si>
  <si>
    <t>Rodriguez; Ramon O</t>
  </si>
  <si>
    <t>9463</t>
  </si>
  <si>
    <t>Smith; George M</t>
  </si>
  <si>
    <t>10123</t>
  </si>
  <si>
    <t>Valenzuela; Ariel A</t>
  </si>
  <si>
    <t>10212</t>
  </si>
  <si>
    <t>Villa Jr.; Arturo</t>
  </si>
  <si>
    <t>7538MN</t>
  </si>
  <si>
    <t>5948</t>
  </si>
  <si>
    <t>Kaestner; Cole R</t>
  </si>
  <si>
    <t>MINNESOTA SHOP</t>
  </si>
  <si>
    <t>2205</t>
  </si>
  <si>
    <t>Britton; Mark C</t>
  </si>
  <si>
    <t>4340</t>
  </si>
  <si>
    <t>Garcia; John A</t>
  </si>
  <si>
    <t>5017</t>
  </si>
  <si>
    <t>Harrison; John Wesley</t>
  </si>
  <si>
    <t>160</t>
  </si>
  <si>
    <t>5905</t>
  </si>
  <si>
    <t>Jones; Kenneth A.</t>
  </si>
  <si>
    <t>5969</t>
  </si>
  <si>
    <t>Kelley; Weldon W</t>
  </si>
  <si>
    <t>7008</t>
  </si>
  <si>
    <t>Marley; Kyle C</t>
  </si>
  <si>
    <t>7021</t>
  </si>
  <si>
    <t>Marquez; Vincent A</t>
  </si>
  <si>
    <t>7490</t>
  </si>
  <si>
    <t>Meyer; Kristopher A</t>
  </si>
  <si>
    <t>8481</t>
  </si>
  <si>
    <t>Pitts; Andrew J</t>
  </si>
  <si>
    <t>ENVIRONMENTAL OVERHEAD CA</t>
  </si>
  <si>
    <t>WOODBURN FACILITIES MAINT</t>
  </si>
  <si>
    <t>AURORA HANGAR COSTS</t>
  </si>
  <si>
    <t>STACY WILSON</t>
  </si>
  <si>
    <t>JUAN AGUILAR</t>
  </si>
  <si>
    <t>BRAD PROCTOR</t>
  </si>
  <si>
    <t>BRAD FRAZIER</t>
  </si>
  <si>
    <t>ROD ENDERS</t>
  </si>
  <si>
    <t>SHOP COSTS OREGON NOT WOODBURN</t>
  </si>
  <si>
    <t>CALIFORNIA SHOP</t>
  </si>
  <si>
    <t>ARIZONA SHOP COSTS</t>
  </si>
  <si>
    <t>PG&amp;E PRO-RATED COSTS-CA</t>
  </si>
  <si>
    <t>74</t>
  </si>
  <si>
    <t>16T</t>
  </si>
  <si>
    <t>Operator Trainee</t>
  </si>
  <si>
    <t>1046</t>
  </si>
  <si>
    <t>Alcala Jr.; Juan Antonio</t>
  </si>
  <si>
    <t>1056</t>
  </si>
  <si>
    <t>Ewanchew; John F.</t>
  </si>
  <si>
    <t>1061</t>
  </si>
  <si>
    <t>Alday; Caleb T.</t>
  </si>
  <si>
    <t>1085</t>
  </si>
  <si>
    <t>Almendarez; Raymond K</t>
  </si>
  <si>
    <t>1103</t>
  </si>
  <si>
    <t>Allen; Corey L.</t>
  </si>
  <si>
    <t>1108</t>
  </si>
  <si>
    <t>Arehart; Joshua D.</t>
  </si>
  <si>
    <t>1109</t>
  </si>
  <si>
    <t>Atayde; Manuel</t>
  </si>
  <si>
    <t>Groundman 4000 + Hours</t>
  </si>
  <si>
    <t>1110</t>
  </si>
  <si>
    <t>Al-Raies; Sam</t>
  </si>
  <si>
    <t>1111</t>
  </si>
  <si>
    <t>Atchison; Jason E.</t>
  </si>
  <si>
    <t>1114</t>
  </si>
  <si>
    <t>Archuleta Jr.; Felix</t>
  </si>
  <si>
    <t>1115</t>
  </si>
  <si>
    <t>Archuleta; Louis A.</t>
  </si>
  <si>
    <t>1130</t>
  </si>
  <si>
    <t>Allred; Shane M.</t>
  </si>
  <si>
    <t>1180</t>
  </si>
  <si>
    <t>Atayde; Dimas</t>
  </si>
  <si>
    <t>1193</t>
  </si>
  <si>
    <t>Arredondo; Juan V</t>
  </si>
  <si>
    <t>1202</t>
  </si>
  <si>
    <t>Anderson; Chad M.</t>
  </si>
  <si>
    <t>1231</t>
  </si>
  <si>
    <t>Aparicio; Diego</t>
  </si>
  <si>
    <t>1234</t>
  </si>
  <si>
    <t>Andrews; Riston B.</t>
  </si>
  <si>
    <t>1236</t>
  </si>
  <si>
    <t>Anderson; James N</t>
  </si>
  <si>
    <t>1238</t>
  </si>
  <si>
    <t>Anderson; Trenton L.</t>
  </si>
  <si>
    <t>1241</t>
  </si>
  <si>
    <t>Anderson; Michael L.</t>
  </si>
  <si>
    <t>Arnold; Dylan M</t>
  </si>
  <si>
    <t>1261</t>
  </si>
  <si>
    <t>Auzston; Russell E</t>
  </si>
  <si>
    <t>1283</t>
  </si>
  <si>
    <t>Avelar Palacios; Moises</t>
  </si>
  <si>
    <t>1361</t>
  </si>
  <si>
    <t>Bailey; Michael J</t>
  </si>
  <si>
    <t>483</t>
  </si>
  <si>
    <t>1485</t>
  </si>
  <si>
    <t>Barker; Kyle D.</t>
  </si>
  <si>
    <t>1490</t>
  </si>
  <si>
    <t>Barlow; Gary L</t>
  </si>
  <si>
    <t>1506</t>
  </si>
  <si>
    <t>Barnes; Rodney</t>
  </si>
  <si>
    <t>1527</t>
  </si>
  <si>
    <t>Bash; Troy S.</t>
  </si>
  <si>
    <t>Lineman Apprentice 2nd Step</t>
  </si>
  <si>
    <t>1556</t>
  </si>
  <si>
    <t>Bednar; Shannon Michael</t>
  </si>
  <si>
    <t>1565</t>
  </si>
  <si>
    <t>Begaye; Donald</t>
  </si>
  <si>
    <t>1572</t>
  </si>
  <si>
    <t>Belcher; Jeffrey James</t>
  </si>
  <si>
    <t>1580</t>
  </si>
  <si>
    <t>Bell; Edward Douglas</t>
  </si>
  <si>
    <t>1604</t>
  </si>
  <si>
    <t>Bojt; James E</t>
  </si>
  <si>
    <t>Foreman Small Job</t>
  </si>
  <si>
    <t>1606</t>
  </si>
  <si>
    <t>Bock; Nathan Philip</t>
  </si>
  <si>
    <t>1610</t>
  </si>
  <si>
    <t>Belsterling; David J</t>
  </si>
  <si>
    <t>1720</t>
  </si>
  <si>
    <t>Berry; Andrew C.</t>
  </si>
  <si>
    <t>1774</t>
  </si>
  <si>
    <t>Bishop; Clark Bryant</t>
  </si>
  <si>
    <t>Groundman 2081+ Hours</t>
  </si>
  <si>
    <t>1778</t>
  </si>
  <si>
    <t>Bishop; Toby J.</t>
  </si>
  <si>
    <t>1831</t>
  </si>
  <si>
    <t>Black; Haven</t>
  </si>
  <si>
    <t>1835</t>
  </si>
  <si>
    <t>Blacksheep; Darrell A.</t>
  </si>
  <si>
    <t>1849</t>
  </si>
  <si>
    <t>Blakely Jr.; Steven William</t>
  </si>
  <si>
    <t>Groundman 4000+</t>
  </si>
  <si>
    <t>1860</t>
  </si>
  <si>
    <t>Bligh; Brandon R</t>
  </si>
  <si>
    <t>1970</t>
  </si>
  <si>
    <t>Booton; Michael G</t>
  </si>
  <si>
    <t>1980</t>
  </si>
  <si>
    <t>Borboa; Jose C.</t>
  </si>
  <si>
    <t>2118</t>
  </si>
  <si>
    <t>Bautista; Hector N.</t>
  </si>
  <si>
    <t>2129</t>
  </si>
  <si>
    <t>Bradford; Richard</t>
  </si>
  <si>
    <t>2136</t>
  </si>
  <si>
    <t>Boyd Jr.; Philip R.</t>
  </si>
  <si>
    <t>2141</t>
  </si>
  <si>
    <t>Boyle; Kevin T.</t>
  </si>
  <si>
    <t>2210</t>
  </si>
  <si>
    <t>Brogdon; Case O</t>
  </si>
  <si>
    <t>2243</t>
  </si>
  <si>
    <t>Brown; Kevin C.</t>
  </si>
  <si>
    <t>2360</t>
  </si>
  <si>
    <t>Bunnell; Gregory L</t>
  </si>
  <si>
    <t>2366</t>
  </si>
  <si>
    <t>Burchett; Justin D.</t>
  </si>
  <si>
    <t>2380</t>
  </si>
  <si>
    <t>Bush; Jeffrey W.</t>
  </si>
  <si>
    <t>2420</t>
  </si>
  <si>
    <t>Butcher; Kody A.</t>
  </si>
  <si>
    <t>2555</t>
  </si>
  <si>
    <t>Cain; Jonathan B</t>
  </si>
  <si>
    <t>2556</t>
  </si>
  <si>
    <t>Calhoun; Anthony R</t>
  </si>
  <si>
    <t>2572</t>
  </si>
  <si>
    <t>Carbajal Jr.; Robert E</t>
  </si>
  <si>
    <t>2575</t>
  </si>
  <si>
    <t>Carlon; Ramy M.</t>
  </si>
  <si>
    <t>2584</t>
  </si>
  <si>
    <t>Campas; Abdullah J.</t>
  </si>
  <si>
    <t>2597</t>
  </si>
  <si>
    <t>Campos; Hector A.</t>
  </si>
  <si>
    <t>2623</t>
  </si>
  <si>
    <t>Carrillo; Kylie Dianne</t>
  </si>
  <si>
    <t>Admin Assistant Rancho</t>
  </si>
  <si>
    <t>2627</t>
  </si>
  <si>
    <t>Carter; Andrew R.</t>
  </si>
  <si>
    <t>Warehouse Manager - Rancho</t>
  </si>
  <si>
    <t>2646</t>
  </si>
  <si>
    <t>Castillo; Rudy Remigio</t>
  </si>
  <si>
    <t>2658</t>
  </si>
  <si>
    <t>Casey; Austin J</t>
  </si>
  <si>
    <t>2662</t>
  </si>
  <si>
    <t>Castle; Nicholas C.</t>
  </si>
  <si>
    <t>2707</t>
  </si>
  <si>
    <t>Champion; Rusty D.</t>
  </si>
  <si>
    <t>2715</t>
  </si>
  <si>
    <t>Cheatham; Daryl T.</t>
  </si>
  <si>
    <t>2718</t>
  </si>
  <si>
    <t>Chew; Seth D</t>
  </si>
  <si>
    <t>2722</t>
  </si>
  <si>
    <t>Chennault; Jacob</t>
  </si>
  <si>
    <t>2790</t>
  </si>
  <si>
    <t>Clawson; Robert R.</t>
  </si>
  <si>
    <t>2802</t>
  </si>
  <si>
    <t>Clements; Joshua J.</t>
  </si>
  <si>
    <t>2803</t>
  </si>
  <si>
    <t>Chandler; Allen L</t>
  </si>
  <si>
    <t>2817</t>
  </si>
  <si>
    <t>Christie; John Vincent</t>
  </si>
  <si>
    <t>2834</t>
  </si>
  <si>
    <t>Clause; Jason James</t>
  </si>
  <si>
    <t>2885</t>
  </si>
  <si>
    <t>Coleman; David L</t>
  </si>
  <si>
    <t>2886</t>
  </si>
  <si>
    <t>Coleman; David Scott</t>
  </si>
  <si>
    <t>2889</t>
  </si>
  <si>
    <t>Condoll; Brenton K.</t>
  </si>
  <si>
    <t>2897</t>
  </si>
  <si>
    <t>Conrad; Pamela A</t>
  </si>
  <si>
    <t>2899</t>
  </si>
  <si>
    <t>Conrad; Thomas H</t>
  </si>
  <si>
    <t>2903</t>
  </si>
  <si>
    <t>Conde; Carleton John</t>
  </si>
  <si>
    <t>Groundman 4000+ Hours</t>
  </si>
  <si>
    <t>2904</t>
  </si>
  <si>
    <t>Cole Jr.; William C.</t>
  </si>
  <si>
    <t>2905</t>
  </si>
  <si>
    <t>Cocotis; Shayne G.</t>
  </si>
  <si>
    <t>2975</t>
  </si>
  <si>
    <t>Coolbaugh; Brandon S.</t>
  </si>
  <si>
    <t>3020</t>
  </si>
  <si>
    <t>Corbin; Aaron</t>
  </si>
  <si>
    <t>3028</t>
  </si>
  <si>
    <t>Cornett; Michael J</t>
  </si>
  <si>
    <t>3049</t>
  </si>
  <si>
    <t>Coury; Andrew A</t>
  </si>
  <si>
    <t>3068</t>
  </si>
  <si>
    <t>Crabtree; Leroy J</t>
  </si>
  <si>
    <t>3079</t>
  </si>
  <si>
    <t>Creighton; Mark Jeffrey</t>
  </si>
  <si>
    <t>3082</t>
  </si>
  <si>
    <t>Cross; Mitchel Dee</t>
  </si>
  <si>
    <t>3084</t>
  </si>
  <si>
    <t>Crowder; Joseph Dennis</t>
  </si>
  <si>
    <t>3095</t>
  </si>
  <si>
    <t>Crites; Eric J</t>
  </si>
  <si>
    <t>3113</t>
  </si>
  <si>
    <t>Curry; Patrick Michael</t>
  </si>
  <si>
    <t>3118</t>
  </si>
  <si>
    <t>Crupper; David Daniel</t>
  </si>
  <si>
    <t>3125</t>
  </si>
  <si>
    <t>Crouch; Daniel Jennings</t>
  </si>
  <si>
    <t>3140</t>
  </si>
  <si>
    <t>Crosby; Paul S.</t>
  </si>
  <si>
    <t>3317</t>
  </si>
  <si>
    <t>Daniels; Dustin J.</t>
  </si>
  <si>
    <t>3318</t>
  </si>
  <si>
    <t>Danielson; Ryan G.</t>
  </si>
  <si>
    <t>3322</t>
  </si>
  <si>
    <t>Daugs; Matthew J</t>
  </si>
  <si>
    <t>3324</t>
  </si>
  <si>
    <t>Daugherty; Jerry Lee</t>
  </si>
  <si>
    <t>3342</t>
  </si>
  <si>
    <t>Davis; Jayson A</t>
  </si>
  <si>
    <t>3367</t>
  </si>
  <si>
    <t>De La Torre; Filimon V</t>
  </si>
  <si>
    <t>3368</t>
  </si>
  <si>
    <t>Dees; Bradley A</t>
  </si>
  <si>
    <t>3377</t>
  </si>
  <si>
    <t>Deal; Nathan W.</t>
  </si>
  <si>
    <t>3413</t>
  </si>
  <si>
    <t>Denk; Dean L.</t>
  </si>
  <si>
    <t>3417</t>
  </si>
  <si>
    <t>Domenick; James A</t>
  </si>
  <si>
    <t>Groundman 2nd year</t>
  </si>
  <si>
    <t>3438</t>
  </si>
  <si>
    <t>Andrade Diaz; Jose Rolando</t>
  </si>
  <si>
    <t>Fabricator Technician</t>
  </si>
  <si>
    <t>3465</t>
  </si>
  <si>
    <t>Dineen; Timothy J.</t>
  </si>
  <si>
    <t>3470</t>
  </si>
  <si>
    <t>Dixon; Dustin M.</t>
  </si>
  <si>
    <t>3537</t>
  </si>
  <si>
    <t>Dotson; David Lee</t>
  </si>
  <si>
    <t>3549</t>
  </si>
  <si>
    <t>Early; Darren M</t>
  </si>
  <si>
    <t>3550</t>
  </si>
  <si>
    <t>Giles; Martinez A.</t>
  </si>
  <si>
    <t>3588</t>
  </si>
  <si>
    <t>Duffer; Taylor L</t>
  </si>
  <si>
    <t>3595</t>
  </si>
  <si>
    <t>Dungan; Joshua</t>
  </si>
  <si>
    <t>3610</t>
  </si>
  <si>
    <t>Driver; Kenneth R</t>
  </si>
  <si>
    <t>3618</t>
  </si>
  <si>
    <t>Doan; Christopher P</t>
  </si>
  <si>
    <t>Operator Heavy A</t>
  </si>
  <si>
    <t>3622</t>
  </si>
  <si>
    <t>Eberhart; Bradley D</t>
  </si>
  <si>
    <t>3623</t>
  </si>
  <si>
    <t>Eckstein; Blake Robert</t>
  </si>
  <si>
    <t>3990</t>
  </si>
  <si>
    <t>Esparza; Joel S.</t>
  </si>
  <si>
    <t>4005</t>
  </si>
  <si>
    <t>Espinoza; Joseph A.</t>
  </si>
  <si>
    <t>4061</t>
  </si>
  <si>
    <t>Farris; Christopher J</t>
  </si>
  <si>
    <t>4067</t>
  </si>
  <si>
    <t>Fazio; Joseph A.</t>
  </si>
  <si>
    <t>Project Manager - Pennsylvania</t>
  </si>
  <si>
    <t>4072</t>
  </si>
  <si>
    <t>Felts; Dallas Z.</t>
  </si>
  <si>
    <t>4075</t>
  </si>
  <si>
    <t>Ferrara; Jeffrey C.</t>
  </si>
  <si>
    <t>4079</t>
  </si>
  <si>
    <t>Fergus; Jeffrey</t>
  </si>
  <si>
    <t>4103</t>
  </si>
  <si>
    <t>Fitzpatrick; John Michael</t>
  </si>
  <si>
    <t>Flanagan; Christopher M</t>
  </si>
  <si>
    <t>4135</t>
  </si>
  <si>
    <t>Fernandez; Jose A.</t>
  </si>
  <si>
    <t>4141</t>
  </si>
  <si>
    <t>Fitzpatrick; Ryan C.</t>
  </si>
  <si>
    <t>4153</t>
  </si>
  <si>
    <t>Foreman; Shane M</t>
  </si>
  <si>
    <t>4194</t>
  </si>
  <si>
    <t>Francis; Adam J</t>
  </si>
  <si>
    <t>4232</t>
  </si>
  <si>
    <t>Frederiksen; Shawn A.</t>
  </si>
  <si>
    <t>4285</t>
  </si>
  <si>
    <t>Funez; Marcial</t>
  </si>
  <si>
    <t>Groundman + 4000 Hours</t>
  </si>
  <si>
    <t>4330</t>
  </si>
  <si>
    <t>Gameng; Marlon G.</t>
  </si>
  <si>
    <t>4345</t>
  </si>
  <si>
    <t>Frolov; Gleb</t>
  </si>
  <si>
    <t>4350</t>
  </si>
  <si>
    <t>Full; Laramie M</t>
  </si>
  <si>
    <t>4357</t>
  </si>
  <si>
    <t>Gage; Matthew Loren</t>
  </si>
  <si>
    <t>4358</t>
  </si>
  <si>
    <t>Gadsby; Terrence P</t>
  </si>
  <si>
    <t>4370</t>
  </si>
  <si>
    <t>Gardner; Michael Lynn</t>
  </si>
  <si>
    <t>4371</t>
  </si>
  <si>
    <t>Garcia; Nathan M.</t>
  </si>
  <si>
    <t>Groundman &gt; 2000</t>
  </si>
  <si>
    <t>4373</t>
  </si>
  <si>
    <t>Gardner; Mitchell T.</t>
  </si>
  <si>
    <t>4381</t>
  </si>
  <si>
    <t>Garcia; David D.</t>
  </si>
  <si>
    <t>4390</t>
  </si>
  <si>
    <t>Gallaher; Adam C</t>
  </si>
  <si>
    <t>4420</t>
  </si>
  <si>
    <t>Garcia; Leonel V.</t>
  </si>
  <si>
    <t>4440</t>
  </si>
  <si>
    <t>Gerber Jr; Christian</t>
  </si>
  <si>
    <t>4526</t>
  </si>
  <si>
    <t>Godeke; Joel</t>
  </si>
  <si>
    <t>4535</t>
  </si>
  <si>
    <t>Goodrich; Thadeus J.</t>
  </si>
  <si>
    <t>4542</t>
  </si>
  <si>
    <t>Gordon; Robert S</t>
  </si>
  <si>
    <t>4556</t>
  </si>
  <si>
    <t>Gonzales; Isaiah C.</t>
  </si>
  <si>
    <t>4558</t>
  </si>
  <si>
    <t>Gordon; Cody Richard</t>
  </si>
  <si>
    <t>4563</t>
  </si>
  <si>
    <t>Gordon; Seth</t>
  </si>
  <si>
    <t>4564</t>
  </si>
  <si>
    <t>Gomez; Angel S.</t>
  </si>
  <si>
    <t>Groundman-Truck Driver w/CDL</t>
  </si>
  <si>
    <t>4567</t>
  </si>
  <si>
    <t>Gonzales; Francisco</t>
  </si>
  <si>
    <t>4590</t>
  </si>
  <si>
    <t>Gowdy; Arthur S.</t>
  </si>
  <si>
    <t>4630</t>
  </si>
  <si>
    <t>Gibby; Geoffrey S.</t>
  </si>
  <si>
    <t>4640</t>
  </si>
  <si>
    <t>Gilman Jr.; David G.</t>
  </si>
  <si>
    <t>4673</t>
  </si>
  <si>
    <t>Gibbs; Bruce Everett</t>
  </si>
  <si>
    <t>4675</t>
  </si>
  <si>
    <t>George; Marcus</t>
  </si>
  <si>
    <t>4709</t>
  </si>
  <si>
    <t>Glasser; James T</t>
  </si>
  <si>
    <t>4722</t>
  </si>
  <si>
    <t>Graham; Wesley D</t>
  </si>
  <si>
    <t>4723</t>
  </si>
  <si>
    <t>Graebel; Pascal Ferling</t>
  </si>
  <si>
    <t>4724</t>
  </si>
  <si>
    <t>Grantham; Joshua O</t>
  </si>
  <si>
    <t>4725</t>
  </si>
  <si>
    <t>Grantham; Benjamin</t>
  </si>
  <si>
    <t>4736</t>
  </si>
  <si>
    <t>Gravelle; Joshua A</t>
  </si>
  <si>
    <t>4745</t>
  </si>
  <si>
    <t>Green; Christopher A</t>
  </si>
  <si>
    <t>4749</t>
  </si>
  <si>
    <t>Green; Jacob E.</t>
  </si>
  <si>
    <t>4754</t>
  </si>
  <si>
    <t>Greer; Rebecca J.</t>
  </si>
  <si>
    <t>Field Administrative Assistant</t>
  </si>
  <si>
    <t>4764</t>
  </si>
  <si>
    <t>Greer; Arnold Joseph Jay</t>
  </si>
  <si>
    <t>4829</t>
  </si>
  <si>
    <t>Haase; Eric N</t>
  </si>
  <si>
    <t>4882</t>
  </si>
  <si>
    <t>Hankins; Austin Allan</t>
  </si>
  <si>
    <t>Groundman +4000 Hours</t>
  </si>
  <si>
    <t>4895</t>
  </si>
  <si>
    <t>Harding; Grant l</t>
  </si>
  <si>
    <t>4898</t>
  </si>
  <si>
    <t>Hall; Levi R</t>
  </si>
  <si>
    <t>4905</t>
  </si>
  <si>
    <t>Hancock; James A</t>
  </si>
  <si>
    <t>4930</t>
  </si>
  <si>
    <t>Hathaway; Phillip J</t>
  </si>
  <si>
    <t>4950</t>
  </si>
  <si>
    <t>Hawkins; Shawn C.</t>
  </si>
  <si>
    <t>4963</t>
  </si>
  <si>
    <t>Hairell; Ronald W</t>
  </si>
  <si>
    <t>4969</t>
  </si>
  <si>
    <t>Hartman; Matthew J.</t>
  </si>
  <si>
    <t>4973</t>
  </si>
  <si>
    <t>Harroun; Steven C</t>
  </si>
  <si>
    <t>4979</t>
  </si>
  <si>
    <t>Hathcock; Steven Heath</t>
  </si>
  <si>
    <t>4989</t>
  </si>
  <si>
    <t>Hankins; Clifford Lee</t>
  </si>
  <si>
    <t>4995</t>
  </si>
  <si>
    <t>Hinch; Anthony T.</t>
  </si>
  <si>
    <t>5013</t>
  </si>
  <si>
    <t>Harrah; Robert Fred</t>
  </si>
  <si>
    <t>5056</t>
  </si>
  <si>
    <t>Hatchett; Terry V</t>
  </si>
  <si>
    <t>5071</t>
  </si>
  <si>
    <t>Henderson; Steven M.</t>
  </si>
  <si>
    <t>5100</t>
  </si>
  <si>
    <t>Hegdahl; Andres J</t>
  </si>
  <si>
    <t>5102</t>
  </si>
  <si>
    <t>Heil; Allen A.</t>
  </si>
  <si>
    <t>5119</t>
  </si>
  <si>
    <t>Herron; Gregory W.</t>
  </si>
  <si>
    <t>5127</t>
  </si>
  <si>
    <t>Hester; John Calvin</t>
  </si>
  <si>
    <t>5140</t>
  </si>
  <si>
    <t>Hidalgo; Francisco R.</t>
  </si>
  <si>
    <t>5181</t>
  </si>
  <si>
    <t>Hoy; Turner A</t>
  </si>
  <si>
    <t>5182</t>
  </si>
  <si>
    <t>Hill; Joshua K</t>
  </si>
  <si>
    <t>5183</t>
  </si>
  <si>
    <t>Hill; Anthony D</t>
  </si>
  <si>
    <t>5331</t>
  </si>
  <si>
    <t>Hoefler; Trevor B</t>
  </si>
  <si>
    <t>5357</t>
  </si>
  <si>
    <t>Honorato; Armando</t>
  </si>
  <si>
    <t>5380</t>
  </si>
  <si>
    <t>Horlacher; Jared Lee</t>
  </si>
  <si>
    <t>5449</t>
  </si>
  <si>
    <t>Hostetler; Travis L</t>
  </si>
  <si>
    <t>5620</t>
  </si>
  <si>
    <t>Hubbard; Jason C.</t>
  </si>
  <si>
    <t>5621</t>
  </si>
  <si>
    <t>Hubbard; Marcus W</t>
  </si>
  <si>
    <t>5625</t>
  </si>
  <si>
    <t>Hunt; Terry L.</t>
  </si>
  <si>
    <t>5630</t>
  </si>
  <si>
    <t>Huravitch; Duane L.</t>
  </si>
  <si>
    <t>5644</t>
  </si>
  <si>
    <t>Huck; Anthony</t>
  </si>
  <si>
    <t>5647</t>
  </si>
  <si>
    <t>Hubbard; Bryce Keaton</t>
  </si>
  <si>
    <t>5667</t>
  </si>
  <si>
    <t>Hudson; Terry Wayne</t>
  </si>
  <si>
    <t>5668</t>
  </si>
  <si>
    <t>Huling; James Everett</t>
  </si>
  <si>
    <t>5712</t>
  </si>
  <si>
    <t>Istanbouly; Edmond</t>
  </si>
  <si>
    <t>5714</t>
  </si>
  <si>
    <t>Isley; Brennan M</t>
  </si>
  <si>
    <t>5727</t>
  </si>
  <si>
    <t>Jansen; Jon A.</t>
  </si>
  <si>
    <t>5735</t>
  </si>
  <si>
    <t>James; Joseph Ryan</t>
  </si>
  <si>
    <t>5770</t>
  </si>
  <si>
    <t>Jewell; Michael W.</t>
  </si>
  <si>
    <t>5814</t>
  </si>
  <si>
    <t>Johnson; Caleb T</t>
  </si>
  <si>
    <t>5815</t>
  </si>
  <si>
    <t>Johnson; Robert V</t>
  </si>
  <si>
    <t>5818</t>
  </si>
  <si>
    <t>Jones; Theodore Nicklas</t>
  </si>
  <si>
    <t>5834</t>
  </si>
  <si>
    <t>Johnson; Justin R</t>
  </si>
  <si>
    <t>5840</t>
  </si>
  <si>
    <t>Johnson; Thomas D.</t>
  </si>
  <si>
    <t>5850</t>
  </si>
  <si>
    <t>Jones; Michael M</t>
  </si>
  <si>
    <t>5856</t>
  </si>
  <si>
    <t>Jones; Jered P</t>
  </si>
  <si>
    <t>5862</t>
  </si>
  <si>
    <t>Johnson; Taylor S.</t>
  </si>
  <si>
    <t>5865</t>
  </si>
  <si>
    <t>Johnson; Edward J</t>
  </si>
  <si>
    <t>5868</t>
  </si>
  <si>
    <t>Johnson; Hunter A</t>
  </si>
  <si>
    <t>5910</t>
  </si>
  <si>
    <t>Jones; James</t>
  </si>
  <si>
    <t>5920</t>
  </si>
  <si>
    <t>Justice; Kaleb K.</t>
  </si>
  <si>
    <t>5928</t>
  </si>
  <si>
    <t>Jones; Acil B.</t>
  </si>
  <si>
    <t>5929</t>
  </si>
  <si>
    <t>Judd; Brian R.</t>
  </si>
  <si>
    <t>5931</t>
  </si>
  <si>
    <t>Juarez; Carlos G.</t>
  </si>
  <si>
    <t>5934</t>
  </si>
  <si>
    <t>Juenke; David P</t>
  </si>
  <si>
    <t>5951</t>
  </si>
  <si>
    <t>Kent; Adam J.</t>
  </si>
  <si>
    <t>5954</t>
  </si>
  <si>
    <t>Kash; Korey C.</t>
  </si>
  <si>
    <t>5957</t>
  </si>
  <si>
    <t>Kane; Rick A</t>
  </si>
  <si>
    <t>5958</t>
  </si>
  <si>
    <t>Kamrar; William D</t>
  </si>
  <si>
    <t>5959</t>
  </si>
  <si>
    <t>Kautzman; Eugene Joseph</t>
  </si>
  <si>
    <t>Mechanic Field</t>
  </si>
  <si>
    <t>5963</t>
  </si>
  <si>
    <t>Kendall; Benjamin C</t>
  </si>
  <si>
    <t>5965</t>
  </si>
  <si>
    <t>Keene; Brandon J</t>
  </si>
  <si>
    <t>6090</t>
  </si>
  <si>
    <t>King; Kyle M.</t>
  </si>
  <si>
    <t>6101</t>
  </si>
  <si>
    <t>Kemp; Michael B.</t>
  </si>
  <si>
    <t>6108</t>
  </si>
  <si>
    <t>Kelsch; Nathan B.</t>
  </si>
  <si>
    <t>Fabricator Tech</t>
  </si>
  <si>
    <t>6112</t>
  </si>
  <si>
    <t>Kirk; Robert E</t>
  </si>
  <si>
    <t>6129</t>
  </si>
  <si>
    <t>King; Mathew Edward</t>
  </si>
  <si>
    <t>6159</t>
  </si>
  <si>
    <t>Kohtz; Kyle G</t>
  </si>
  <si>
    <t>6165</t>
  </si>
  <si>
    <t>Kolvek; Michael A</t>
  </si>
  <si>
    <t>6202</t>
  </si>
  <si>
    <t>Kokrine; Sage D</t>
  </si>
  <si>
    <t>6206</t>
  </si>
  <si>
    <t>Konopaski; Kevin</t>
  </si>
  <si>
    <t>6213</t>
  </si>
  <si>
    <t>Klinger; Timothy J.</t>
  </si>
  <si>
    <t>6214</t>
  </si>
  <si>
    <t>Kingsbury; Andrew J.</t>
  </si>
  <si>
    <t>6220</t>
  </si>
  <si>
    <t>Koutnik; Ryan L.</t>
  </si>
  <si>
    <t>6222</t>
  </si>
  <si>
    <t>Kimball; Frank H.</t>
  </si>
  <si>
    <t>6257</t>
  </si>
  <si>
    <t>Landers; Jacie A</t>
  </si>
  <si>
    <t>Administrative Asst. Tonopah</t>
  </si>
  <si>
    <t>6270</t>
  </si>
  <si>
    <t>Landon; Lance A</t>
  </si>
  <si>
    <t>6300</t>
  </si>
  <si>
    <t>McCaul-Larson; Tyler L</t>
  </si>
  <si>
    <t>6314</t>
  </si>
  <si>
    <t>Laskowsky; Mark A</t>
  </si>
  <si>
    <t>6329</t>
  </si>
  <si>
    <t>Lee; Laurence Cooper</t>
  </si>
  <si>
    <t>6479</t>
  </si>
  <si>
    <t>Leiv; Kendell Jonathan</t>
  </si>
  <si>
    <t>6482</t>
  </si>
  <si>
    <t>Ledoux; Walter W</t>
  </si>
  <si>
    <t>6485</t>
  </si>
  <si>
    <t>Lege; Kevin J</t>
  </si>
  <si>
    <t>6487</t>
  </si>
  <si>
    <t>Lemus; Edward</t>
  </si>
  <si>
    <t>6576</t>
  </si>
  <si>
    <t>Lindsay; Cassidy L.</t>
  </si>
  <si>
    <t>6582</t>
  </si>
  <si>
    <t>Little; Richard K</t>
  </si>
  <si>
    <t>Substation Technician Foreman</t>
  </si>
  <si>
    <t>6584</t>
  </si>
  <si>
    <t>Livingston; Christian D.</t>
  </si>
  <si>
    <t>6586</t>
  </si>
  <si>
    <t>Livengood; Justin N.</t>
  </si>
  <si>
    <t>6597</t>
  </si>
  <si>
    <t>LLamas; Oscar J.</t>
  </si>
  <si>
    <t>6611</t>
  </si>
  <si>
    <t>Lock; Shane R</t>
  </si>
  <si>
    <t>6614</t>
  </si>
  <si>
    <t>Loera; Francisco</t>
  </si>
  <si>
    <t>6661</t>
  </si>
  <si>
    <t>Long; Scott A.</t>
  </si>
  <si>
    <t>6665</t>
  </si>
  <si>
    <t>Long; Gerald</t>
  </si>
  <si>
    <t>6706</t>
  </si>
  <si>
    <t>Loucks; Tammi Louise</t>
  </si>
  <si>
    <t>Tools/Parts Associate</t>
  </si>
  <si>
    <t>6729</t>
  </si>
  <si>
    <t>Lowen; Elijah S</t>
  </si>
  <si>
    <t>6730</t>
  </si>
  <si>
    <t>Loya; James S.</t>
  </si>
  <si>
    <t>6926</t>
  </si>
  <si>
    <t>MacMillan; Kandus WS</t>
  </si>
  <si>
    <t>6928</t>
  </si>
  <si>
    <t>Madden; Thomas P</t>
  </si>
  <si>
    <t>6930</t>
  </si>
  <si>
    <t>Maes; Daniel T.</t>
  </si>
  <si>
    <t>6985</t>
  </si>
  <si>
    <t>Maloney; Thane C.</t>
  </si>
  <si>
    <t>6994</t>
  </si>
  <si>
    <t>Mantei; Kody J</t>
  </si>
  <si>
    <t>7000</t>
  </si>
  <si>
    <t>March; Patrick D</t>
  </si>
  <si>
    <t>7009</t>
  </si>
  <si>
    <t>Martinez; Hector R.</t>
  </si>
  <si>
    <t>7017</t>
  </si>
  <si>
    <t>Martinez; Ruben Michael</t>
  </si>
  <si>
    <t>7026</t>
  </si>
  <si>
    <t>Massei; Anthony Joseph</t>
  </si>
  <si>
    <t>7031</t>
  </si>
  <si>
    <t>Martinez; Richard D.</t>
  </si>
  <si>
    <t>7082</t>
  </si>
  <si>
    <t>Maryboy; Leo Harvey</t>
  </si>
  <si>
    <t>7091</t>
  </si>
  <si>
    <t>Mawhinney; Matthew Perin</t>
  </si>
  <si>
    <t>7257</t>
  </si>
  <si>
    <t>McBride; Michael J.</t>
  </si>
  <si>
    <t>7270</t>
  </si>
  <si>
    <t>McCarver; Shawn M.</t>
  </si>
  <si>
    <t>7346</t>
  </si>
  <si>
    <t>McKee; James J.</t>
  </si>
  <si>
    <t>7347</t>
  </si>
  <si>
    <t>McKernan; Shane C</t>
  </si>
  <si>
    <t>7351</t>
  </si>
  <si>
    <t>McIlwain; Stanley</t>
  </si>
  <si>
    <t>7362</t>
  </si>
  <si>
    <t>McGinnis; Terry Scott</t>
  </si>
  <si>
    <t>7385</t>
  </si>
  <si>
    <t>McNally; Sean T</t>
  </si>
  <si>
    <t>7388</t>
  </si>
  <si>
    <t>McNiven; Kirk F</t>
  </si>
  <si>
    <t>7390</t>
  </si>
  <si>
    <t>McManus; Jessie E</t>
  </si>
  <si>
    <t>7394</t>
  </si>
  <si>
    <t>McPherson; Martin L</t>
  </si>
  <si>
    <t>7450</t>
  </si>
  <si>
    <t>McWhorter II; Gary R</t>
  </si>
  <si>
    <t>7488</t>
  </si>
  <si>
    <t>Merritt; Bryan Thomas</t>
  </si>
  <si>
    <t>7509</t>
  </si>
  <si>
    <t>Merlino; Philip M</t>
  </si>
  <si>
    <t>7537</t>
  </si>
  <si>
    <t>Mickelsen; Matthew R</t>
  </si>
  <si>
    <t>7551</t>
  </si>
  <si>
    <t>Miller; Jeremiah David</t>
  </si>
  <si>
    <t>7568</t>
  </si>
  <si>
    <t>Miller; Justin</t>
  </si>
  <si>
    <t>7583</t>
  </si>
  <si>
    <t>Minor; Laurence Tipton</t>
  </si>
  <si>
    <t>7588</t>
  </si>
  <si>
    <t>Miller; Ronald I</t>
  </si>
  <si>
    <t>7678</t>
  </si>
  <si>
    <t>Mogensen; Royce M</t>
  </si>
  <si>
    <t>7679</t>
  </si>
  <si>
    <t>Mohr; Shawn L</t>
  </si>
  <si>
    <t>7680</t>
  </si>
  <si>
    <t>Mohamed; Jamil F.</t>
  </si>
  <si>
    <t>7685</t>
  </si>
  <si>
    <t>Molina; Manuel B</t>
  </si>
  <si>
    <t>7740</t>
  </si>
  <si>
    <t>Moore; Elmer L.</t>
  </si>
  <si>
    <t>7757</t>
  </si>
  <si>
    <t>Moore; Stephen W.</t>
  </si>
  <si>
    <t>7760</t>
  </si>
  <si>
    <t>Moore Jr; Wesley</t>
  </si>
  <si>
    <t>7800</t>
  </si>
  <si>
    <t>Morales; Ariel</t>
  </si>
  <si>
    <t>7842</t>
  </si>
  <si>
    <t>Morton Jr.; Jeff P.</t>
  </si>
  <si>
    <t>7843</t>
  </si>
  <si>
    <t>Morton; Zac R</t>
  </si>
  <si>
    <t>7844</t>
  </si>
  <si>
    <t>Morton; Jess T.</t>
  </si>
  <si>
    <t>7850</t>
  </si>
  <si>
    <t>Morris; Nicholas L</t>
  </si>
  <si>
    <t>7851</t>
  </si>
  <si>
    <t>Morris; Kurt A.</t>
  </si>
  <si>
    <t>7921</t>
  </si>
  <si>
    <t>Murrell; Jimmie L</t>
  </si>
  <si>
    <t>7931</t>
  </si>
  <si>
    <t>Myers; Bradley T</t>
  </si>
  <si>
    <t>7935</t>
  </si>
  <si>
    <t>Nail; Brandon C</t>
  </si>
  <si>
    <t>7961</t>
  </si>
  <si>
    <t>Nadzom; Bradley A.</t>
  </si>
  <si>
    <t>8025</t>
  </si>
  <si>
    <t>Navarro; Daniel</t>
  </si>
  <si>
    <t>8041</t>
  </si>
  <si>
    <t>Nease; Jeffrey B.</t>
  </si>
  <si>
    <t>Mechanic - Welder Canby</t>
  </si>
  <si>
    <t>8070</t>
  </si>
  <si>
    <t>Nichols; Jesse J.</t>
  </si>
  <si>
    <t>8091</t>
  </si>
  <si>
    <t>Nimmo; Scott Michael</t>
  </si>
  <si>
    <t>8142</t>
  </si>
  <si>
    <t>Novins; Steve</t>
  </si>
  <si>
    <t>8143</t>
  </si>
  <si>
    <t>Novak; Triston J.</t>
  </si>
  <si>
    <t>8165</t>
  </si>
  <si>
    <t>Nunez; Hector</t>
  </si>
  <si>
    <t>8172</t>
  </si>
  <si>
    <t>Ochoa; Edward</t>
  </si>
  <si>
    <t>8176</t>
  </si>
  <si>
    <t>O'Brien; Timothy J.</t>
  </si>
  <si>
    <t>8204</t>
  </si>
  <si>
    <t>Oosthof; Ryan R.</t>
  </si>
  <si>
    <t>8207</t>
  </si>
  <si>
    <t>O'Neill; Nicholas</t>
  </si>
  <si>
    <t>8237</t>
  </si>
  <si>
    <t>Overly; Bradley Williams</t>
  </si>
  <si>
    <t>8242</t>
  </si>
  <si>
    <t>Oswald II; Douglas D</t>
  </si>
  <si>
    <t>8243</t>
  </si>
  <si>
    <t>Olson; Zachery J.</t>
  </si>
  <si>
    <t>8249</t>
  </si>
  <si>
    <t>Ortega; Nick F.</t>
  </si>
  <si>
    <t>8250</t>
  </si>
  <si>
    <t>Ortiz; John R.</t>
  </si>
  <si>
    <t>8260</t>
  </si>
  <si>
    <t>Pacheco; Erick</t>
  </si>
  <si>
    <t>8265</t>
  </si>
  <si>
    <t>Paddock; Gary L</t>
  </si>
  <si>
    <t>8281</t>
  </si>
  <si>
    <t>Paola; Jonathan M.</t>
  </si>
  <si>
    <t>8330</t>
  </si>
  <si>
    <t>Paull; Chadwick R</t>
  </si>
  <si>
    <t>8335</t>
  </si>
  <si>
    <t>8340</t>
  </si>
  <si>
    <t>Paulsen; Michael B.</t>
  </si>
  <si>
    <t>8345</t>
  </si>
  <si>
    <t>Peachy; Joseph F</t>
  </si>
  <si>
    <t>8395</t>
  </si>
  <si>
    <t>Perez; Ruben Michel</t>
  </si>
  <si>
    <t>8405</t>
  </si>
  <si>
    <t>Perzel; Donna</t>
  </si>
  <si>
    <t>Administrative Assistant</t>
  </si>
  <si>
    <t>8430</t>
  </si>
  <si>
    <t>Pelley; Robert M</t>
  </si>
  <si>
    <t>8452</t>
  </si>
  <si>
    <t>Phillips; Blake R</t>
  </si>
  <si>
    <t>8453</t>
  </si>
  <si>
    <t>Pierce; Andrew J.</t>
  </si>
  <si>
    <t>8472</t>
  </si>
  <si>
    <t>Pierson Jr.; Robert Dewey</t>
  </si>
  <si>
    <t>8476</t>
  </si>
  <si>
    <t>Pinios; Frank N.</t>
  </si>
  <si>
    <t>8477</t>
  </si>
  <si>
    <t>Piedra; Jose Manuel</t>
  </si>
  <si>
    <t>8483</t>
  </si>
  <si>
    <t>Pineda; Adolfo Rudy</t>
  </si>
  <si>
    <t>8509</t>
  </si>
  <si>
    <t>Porter; Wes Fraser</t>
  </si>
  <si>
    <t>8515</t>
  </si>
  <si>
    <t>Pock; Alvin J.</t>
  </si>
  <si>
    <t>Shop Mechanic - AZ</t>
  </si>
  <si>
    <t>8524</t>
  </si>
  <si>
    <t>Potter; Howard Michael</t>
  </si>
  <si>
    <t>8525</t>
  </si>
  <si>
    <t>Powers; Nicholas L</t>
  </si>
  <si>
    <t>8526</t>
  </si>
  <si>
    <t>Perlick; Timothy C</t>
  </si>
  <si>
    <t>8527</t>
  </si>
  <si>
    <t>Potter; Shawn M</t>
  </si>
  <si>
    <t>Operator Trainee 2</t>
  </si>
  <si>
    <t>8532</t>
  </si>
  <si>
    <t>Prather; Robert D.</t>
  </si>
  <si>
    <t>8551</t>
  </si>
  <si>
    <t>Reyes; Gerardo</t>
  </si>
  <si>
    <t>8613</t>
  </si>
  <si>
    <t>Prochoren; Neal A</t>
  </si>
  <si>
    <t>8685</t>
  </si>
  <si>
    <t>Quigley; Patrick Allen</t>
  </si>
  <si>
    <t>8686</t>
  </si>
  <si>
    <t>Quinones; Leopoldo A</t>
  </si>
  <si>
    <t>8687</t>
  </si>
  <si>
    <t>Quick; Brett A.</t>
  </si>
  <si>
    <t>8690</t>
  </si>
  <si>
    <t>Quinn; Benjamin D.</t>
  </si>
  <si>
    <t>714</t>
  </si>
  <si>
    <t>8I</t>
  </si>
  <si>
    <t>8732</t>
  </si>
  <si>
    <t>Rabon; Leland C.</t>
  </si>
  <si>
    <t>8746</t>
  </si>
  <si>
    <t>Raffety; Michael Shawn</t>
  </si>
  <si>
    <t>8836</t>
  </si>
  <si>
    <t>Richmond; Shawn J.</t>
  </si>
  <si>
    <t>8837</t>
  </si>
  <si>
    <t>Ricker; Chad M</t>
  </si>
  <si>
    <t>8855</t>
  </si>
  <si>
    <t>Robbins; Nathan Ray</t>
  </si>
  <si>
    <t>8856</t>
  </si>
  <si>
    <t>Rethi; Attila Alex</t>
  </si>
  <si>
    <t>8857</t>
  </si>
  <si>
    <t>Romberg; Grant M</t>
  </si>
  <si>
    <t>8862</t>
  </si>
  <si>
    <t>Rex; Paul Arthur</t>
  </si>
  <si>
    <t>8887</t>
  </si>
  <si>
    <t>Riley; Brian Patrick</t>
  </si>
  <si>
    <t>Field Safety Representative</t>
  </si>
  <si>
    <t>8888</t>
  </si>
  <si>
    <t>Rinehimer; Geary M</t>
  </si>
  <si>
    <t>8891</t>
  </si>
  <si>
    <t>Rinella; Philip M</t>
  </si>
  <si>
    <t>8905</t>
  </si>
  <si>
    <t>Rieskamp; Amanda M</t>
  </si>
  <si>
    <t>Safety Admin Assistant</t>
  </si>
  <si>
    <t>8930</t>
  </si>
  <si>
    <t>Roark; Dale B.</t>
  </si>
  <si>
    <t>9012</t>
  </si>
  <si>
    <t>Robinett; Austin R.</t>
  </si>
  <si>
    <t>9047</t>
  </si>
  <si>
    <t>Rose; Bob R</t>
  </si>
  <si>
    <t>9083</t>
  </si>
  <si>
    <t>Rydecki; Christopher E</t>
  </si>
  <si>
    <t>9084</t>
  </si>
  <si>
    <t>Ruiz Castillo; Lorenzo</t>
  </si>
  <si>
    <t>9091</t>
  </si>
  <si>
    <t>Rosenlund; David Joel</t>
  </si>
  <si>
    <t>9108</t>
  </si>
  <si>
    <t>Robbins; Christopher A.</t>
  </si>
  <si>
    <t>9111</t>
  </si>
  <si>
    <t>Rodriguez; Daniel N.</t>
  </si>
  <si>
    <t>9114</t>
  </si>
  <si>
    <t>Rodriguez; Ricardo R.</t>
  </si>
  <si>
    <t>9116</t>
  </si>
  <si>
    <t>Rogers; Jason A.</t>
  </si>
  <si>
    <t>9140</t>
  </si>
  <si>
    <t>Rust; James S.</t>
  </si>
  <si>
    <t>9160</t>
  </si>
  <si>
    <t>Salloum; Joseph</t>
  </si>
  <si>
    <t>9162</t>
  </si>
  <si>
    <t>Sadler; Christopher S.</t>
  </si>
  <si>
    <t>9164</t>
  </si>
  <si>
    <t>Saiz; Robert B.</t>
  </si>
  <si>
    <t>9181</t>
  </si>
  <si>
    <t>Salt; Ronald Robert</t>
  </si>
  <si>
    <t>9183</t>
  </si>
  <si>
    <t>Salyers Jr.; Joseph Lee</t>
  </si>
  <si>
    <t>9188</t>
  </si>
  <si>
    <t>Salazar; Christopher</t>
  </si>
  <si>
    <t>9217</t>
  </si>
  <si>
    <t>Schaefer; Kurtis Jon</t>
  </si>
  <si>
    <t>9247</t>
  </si>
  <si>
    <t>Sanchez; Jesse</t>
  </si>
  <si>
    <t>9257</t>
  </si>
  <si>
    <t>Schmerber; Raymond L</t>
  </si>
  <si>
    <t>9258</t>
  </si>
  <si>
    <t>Scott; Nevin P.</t>
  </si>
  <si>
    <t>9259</t>
  </si>
  <si>
    <t>Scott; Bryan David</t>
  </si>
  <si>
    <t>9285</t>
  </si>
  <si>
    <t>Sedlak; Anthony Michael</t>
  </si>
  <si>
    <t>9288</t>
  </si>
  <si>
    <t>Servin; Carlos E.</t>
  </si>
  <si>
    <t>9289</t>
  </si>
  <si>
    <t>Sheridan; Jimmy L.</t>
  </si>
  <si>
    <t>9298</t>
  </si>
  <si>
    <t>Shelton; William M</t>
  </si>
  <si>
    <t>9300</t>
  </si>
  <si>
    <t>Shearer; Kaylee A</t>
  </si>
  <si>
    <t>File Clerk</t>
  </si>
  <si>
    <t>9312</t>
  </si>
  <si>
    <t>Shiflett; William J</t>
  </si>
  <si>
    <t>9315</t>
  </si>
  <si>
    <t>Sherlock; Andrew C</t>
  </si>
  <si>
    <t>9364</t>
  </si>
  <si>
    <t>Sprunt; Stuart Gregory</t>
  </si>
  <si>
    <t>9380</t>
  </si>
  <si>
    <t>Spears; Harvey L.</t>
  </si>
  <si>
    <t>9382</t>
  </si>
  <si>
    <t>Spear; George J</t>
  </si>
  <si>
    <t>9400</t>
  </si>
  <si>
    <t>Slater; Anthony W.</t>
  </si>
  <si>
    <t>9494</t>
  </si>
  <si>
    <t>Smith; Karl V</t>
  </si>
  <si>
    <t>9534</t>
  </si>
  <si>
    <t>Smothermon; Archie DeWayne</t>
  </si>
  <si>
    <t>9540</t>
  </si>
  <si>
    <t>Schnider; Jacob Clinton</t>
  </si>
  <si>
    <t>9554</t>
  </si>
  <si>
    <t>Schumacher; Matthew J</t>
  </si>
  <si>
    <t>9561</t>
  </si>
  <si>
    <t>Sokolovich; Eduard</t>
  </si>
  <si>
    <t>9563</t>
  </si>
  <si>
    <t>Sotelo; Demis C.</t>
  </si>
  <si>
    <t>9575</t>
  </si>
  <si>
    <t>Sorensen; Kelly</t>
  </si>
  <si>
    <t>9612</t>
  </si>
  <si>
    <t>Stafford; Miles Randolph</t>
  </si>
  <si>
    <t>9615</t>
  </si>
  <si>
    <t>Stanton; Adam M</t>
  </si>
  <si>
    <t>9631</t>
  </si>
  <si>
    <t>Steward; Thomas J</t>
  </si>
  <si>
    <t>9639</t>
  </si>
  <si>
    <t>Stinton; Marco Isaiah</t>
  </si>
  <si>
    <t>9640</t>
  </si>
  <si>
    <t>Stimmler; Justin E</t>
  </si>
  <si>
    <t>9688</t>
  </si>
  <si>
    <t>Strickland-Wynn; Anthony J</t>
  </si>
  <si>
    <t>9708</t>
  </si>
  <si>
    <t>Stephens; Richard L</t>
  </si>
  <si>
    <t>9717</t>
  </si>
  <si>
    <t>Stephens; William M.</t>
  </si>
  <si>
    <t>9718</t>
  </si>
  <si>
    <t>Stoneburner; Robert H.</t>
  </si>
  <si>
    <t>222</t>
  </si>
  <si>
    <t>9723</t>
  </si>
  <si>
    <t>Stevens; Raymond</t>
  </si>
  <si>
    <t>9740</t>
  </si>
  <si>
    <t>Swain; Cody J.</t>
  </si>
  <si>
    <t>9750</t>
  </si>
  <si>
    <t>Swiger; Robert H</t>
  </si>
  <si>
    <t>9822</t>
  </si>
  <si>
    <t>Taglieri; Matthew D</t>
  </si>
  <si>
    <t>9841</t>
  </si>
  <si>
    <t>Taylor; Dalthard Grant</t>
  </si>
  <si>
    <t>9862</t>
  </si>
  <si>
    <t>Tellez; John Henry</t>
  </si>
  <si>
    <t>Field Mechanic Arizona</t>
  </si>
  <si>
    <t>9869</t>
  </si>
  <si>
    <t>Tepesano; Pablo A</t>
  </si>
  <si>
    <t>9910</t>
  </si>
  <si>
    <t>Thagon; Robert G</t>
  </si>
  <si>
    <t>9950</t>
  </si>
  <si>
    <t>Thomas; Vance L</t>
  </si>
  <si>
    <t>9957</t>
  </si>
  <si>
    <t>Thomas; Samuel Troy</t>
  </si>
  <si>
    <t>9959</t>
  </si>
  <si>
    <t>Thompson; Glen S</t>
  </si>
  <si>
    <t>9960</t>
  </si>
  <si>
    <t>Thompson; Ryan M.</t>
  </si>
  <si>
    <t>9964</t>
  </si>
  <si>
    <t>Thomson; Michael D.</t>
  </si>
  <si>
    <t>9973</t>
  </si>
  <si>
    <t>Thygesen; Brian R.</t>
  </si>
  <si>
    <t>9985</t>
  </si>
  <si>
    <t>Tucker; Michael W.</t>
  </si>
  <si>
    <t>Welder Lineman</t>
  </si>
  <si>
    <t>9988</t>
  </si>
  <si>
    <t>Torres; Victor M.</t>
  </si>
  <si>
    <t>10001</t>
  </si>
  <si>
    <t>Tohara; John D.</t>
  </si>
  <si>
    <t>10026</t>
  </si>
  <si>
    <t>Trimnal; Jerry Gamble</t>
  </si>
  <si>
    <t>10028</t>
  </si>
  <si>
    <t>Triner; Jeremy BJ</t>
  </si>
  <si>
    <t>10030</t>
  </si>
  <si>
    <t>Tritten; Eric W</t>
  </si>
  <si>
    <t>10055</t>
  </si>
  <si>
    <t>Torres; Isaac</t>
  </si>
  <si>
    <t>10069</t>
  </si>
  <si>
    <t>Turner; Bradley S.</t>
  </si>
  <si>
    <t>10090</t>
  </si>
  <si>
    <t>Uribe; Jorge</t>
  </si>
  <si>
    <t>10105</t>
  </si>
  <si>
    <t>Urquijo; Bernardo</t>
  </si>
  <si>
    <t>10112</t>
  </si>
  <si>
    <t>Valenzuela; Mark</t>
  </si>
  <si>
    <t>10148</t>
  </si>
  <si>
    <t>Vanderheiden; Ricky J.</t>
  </si>
  <si>
    <t>10158</t>
  </si>
  <si>
    <t>Valis; Theodore G.</t>
  </si>
  <si>
    <t>10161</t>
  </si>
  <si>
    <t>Vargas; Andre A</t>
  </si>
  <si>
    <t>10170</t>
  </si>
  <si>
    <t>Vega-Brown; Elias</t>
  </si>
  <si>
    <t>10171</t>
  </si>
  <si>
    <t>VanAntwerp; Derek R.</t>
  </si>
  <si>
    <t>10173</t>
  </si>
  <si>
    <t>Vessel; Derick L</t>
  </si>
  <si>
    <t>10181</t>
  </si>
  <si>
    <t>Vick; Clinton W</t>
  </si>
  <si>
    <t>10183</t>
  </si>
  <si>
    <t>Vickers; Tom E</t>
  </si>
  <si>
    <t>10195</t>
  </si>
  <si>
    <t>Vogt; Jay A.</t>
  </si>
  <si>
    <t>10205</t>
  </si>
  <si>
    <t>Vorce; Brian M</t>
  </si>
  <si>
    <t>10209</t>
  </si>
  <si>
    <t>Voshall; Jared C</t>
  </si>
  <si>
    <t>10252</t>
  </si>
  <si>
    <t>Waite; Ronald Eric</t>
  </si>
  <si>
    <t>10253</t>
  </si>
  <si>
    <t>Wakefield; Josiah T</t>
  </si>
  <si>
    <t>10273</t>
  </si>
  <si>
    <t>Walker; Matthew R.</t>
  </si>
  <si>
    <t>10275</t>
  </si>
  <si>
    <t>Walker; Danny L</t>
  </si>
  <si>
    <t>10289</t>
  </si>
  <si>
    <t>Wallace; Benjamin D.</t>
  </si>
  <si>
    <t>10291</t>
  </si>
  <si>
    <t>Walter; Ryan A.</t>
  </si>
  <si>
    <t>10305</t>
  </si>
  <si>
    <t>Wallace; Scott A.</t>
  </si>
  <si>
    <t>10453</t>
  </si>
  <si>
    <t>Watson; Frederic M.</t>
  </si>
  <si>
    <t>10549</t>
  </si>
  <si>
    <t>Werner; Allen</t>
  </si>
  <si>
    <t>10552</t>
  </si>
  <si>
    <t>Weaver; Emmett Lynn</t>
  </si>
  <si>
    <t>10556</t>
  </si>
  <si>
    <t>Weaver; Benjamin P.</t>
  </si>
  <si>
    <t>10558</t>
  </si>
  <si>
    <t>Webber; Cody C</t>
  </si>
  <si>
    <t>10580</t>
  </si>
  <si>
    <t>Wells; Chris A.</t>
  </si>
  <si>
    <t>10587</t>
  </si>
  <si>
    <t>Wendt; Matthew S</t>
  </si>
  <si>
    <t>10665</t>
  </si>
  <si>
    <t>Whiting; Kenneth E.</t>
  </si>
  <si>
    <t>10687</t>
  </si>
  <si>
    <t>Wilcox; Freddy H.</t>
  </si>
  <si>
    <t>10730</t>
  </si>
  <si>
    <t>Worlinsky; Benjamin C.</t>
  </si>
  <si>
    <t>10749</t>
  </si>
  <si>
    <t>Williams II; Orville C.</t>
  </si>
  <si>
    <t>10750</t>
  </si>
  <si>
    <t>Williams; Harley L.</t>
  </si>
  <si>
    <t>10756</t>
  </si>
  <si>
    <t>Williams; Michael Lavell</t>
  </si>
  <si>
    <t>10787</t>
  </si>
  <si>
    <t>Winkler; Jessie E.</t>
  </si>
  <si>
    <t>10789</t>
  </si>
  <si>
    <t>Woods; Kyle E.</t>
  </si>
  <si>
    <t>10798</t>
  </si>
  <si>
    <t>Winslow; Andy J</t>
  </si>
  <si>
    <t>10806</t>
  </si>
  <si>
    <t>Wing; Chad E</t>
  </si>
  <si>
    <t>10836</t>
  </si>
  <si>
    <t>Woitt; Tom D.</t>
  </si>
  <si>
    <t>Mechanic - Arizona</t>
  </si>
  <si>
    <t>10837</t>
  </si>
  <si>
    <t>Wolsten; Todd M.</t>
  </si>
  <si>
    <t>10869</t>
  </si>
  <si>
    <t>Wilson; Jeffrey M.</t>
  </si>
  <si>
    <t>10889</t>
  </si>
  <si>
    <t>Yetka; Brian V.</t>
  </si>
  <si>
    <t>10891</t>
  </si>
  <si>
    <t>Yadon; Nicholas J.</t>
  </si>
  <si>
    <t>10902</t>
  </si>
  <si>
    <t>Young; Greg N</t>
  </si>
  <si>
    <t>10929</t>
  </si>
  <si>
    <t>Nieves Zarate; Jose</t>
  </si>
  <si>
    <t>10930</t>
  </si>
  <si>
    <t>Young; Micah J.</t>
  </si>
  <si>
    <t>10931</t>
  </si>
  <si>
    <t>Zul; Daniel</t>
  </si>
  <si>
    <t>3048</t>
  </si>
  <si>
    <t>Cousland; Peter D.</t>
  </si>
  <si>
    <t>4834</t>
  </si>
  <si>
    <t>Hacker; Travis K</t>
  </si>
  <si>
    <t>5732</t>
  </si>
  <si>
    <t>Jante; Kevin D</t>
  </si>
  <si>
    <t>10086</t>
  </si>
  <si>
    <t>Unruh; Spencer J</t>
  </si>
  <si>
    <t>3600</t>
  </si>
  <si>
    <t>Dunlap; Chad J</t>
  </si>
  <si>
    <t>5866</t>
  </si>
  <si>
    <t>Johnson; Earl</t>
  </si>
  <si>
    <t>7016</t>
  </si>
  <si>
    <t>Martin; Jason K.</t>
  </si>
  <si>
    <t>8442</t>
  </si>
  <si>
    <t>Persche; Mark Russell</t>
  </si>
  <si>
    <t>8445</t>
  </si>
  <si>
    <t>Pelayo; Ruben</t>
  </si>
  <si>
    <t>9168</t>
  </si>
  <si>
    <t>Sakae; Jasen D</t>
  </si>
  <si>
    <t>10002</t>
  </si>
  <si>
    <t>Toman; Lance E</t>
  </si>
  <si>
    <t>Sr Groundman/Truck Driver</t>
  </si>
  <si>
    <t>1940</t>
  </si>
  <si>
    <t>Bond; Bob M.</t>
  </si>
  <si>
    <t>2909</t>
  </si>
  <si>
    <t>Comer; James S</t>
  </si>
  <si>
    <t>4695</t>
  </si>
  <si>
    <t>Givens; David N</t>
  </si>
  <si>
    <t>5938</t>
  </si>
  <si>
    <t>Justus; Daniel J</t>
  </si>
  <si>
    <t>6194</t>
  </si>
  <si>
    <t>Kruger; Matthew J</t>
  </si>
  <si>
    <t>6221</t>
  </si>
  <si>
    <t>Kwaad; Kyle R</t>
  </si>
  <si>
    <t>6274</t>
  </si>
  <si>
    <t>Lange; Anthony R.</t>
  </si>
  <si>
    <t>6921</t>
  </si>
  <si>
    <t>Mackeprang; Jake R</t>
  </si>
  <si>
    <t>7536</t>
  </si>
  <si>
    <t>Myklejord; Vance D</t>
  </si>
  <si>
    <t>Sr. Groundman/Truck Driver</t>
  </si>
  <si>
    <t>8201</t>
  </si>
  <si>
    <t>Olson; Todd</t>
  </si>
  <si>
    <t>8864</t>
  </si>
  <si>
    <t>Rhodes; Shawn A</t>
  </si>
  <si>
    <t>9072</t>
  </si>
  <si>
    <t>Rowley; Jared N</t>
  </si>
  <si>
    <t>9270</t>
  </si>
  <si>
    <t>Scroggie; Michael L</t>
  </si>
  <si>
    <t>9286</t>
  </si>
  <si>
    <t>Severson; Cody D</t>
  </si>
  <si>
    <t>9461</t>
  </si>
  <si>
    <t>Smith; Christopher B</t>
  </si>
  <si>
    <t>10203</t>
  </si>
  <si>
    <t>Vigil; Darian Marie</t>
  </si>
  <si>
    <t>Field Coordinator</t>
  </si>
  <si>
    <t>10723</t>
  </si>
  <si>
    <t>Wilkinson; Cody M</t>
  </si>
  <si>
    <t>Fab Tech Trainee</t>
  </si>
  <si>
    <t>1372</t>
  </si>
  <si>
    <t>Bamer; Gregory F</t>
  </si>
  <si>
    <t>1579</t>
  </si>
  <si>
    <t>Bauer; Bradley L</t>
  </si>
  <si>
    <t>1962</t>
  </si>
  <si>
    <t>Booker; Chris L</t>
  </si>
  <si>
    <t>3608</t>
  </si>
  <si>
    <t>Dovichi; Gregory D</t>
  </si>
  <si>
    <t>4892</t>
  </si>
  <si>
    <t>Hall; Adam J</t>
  </si>
  <si>
    <t>6235</t>
  </si>
  <si>
    <t>Lachcik; Shaun M</t>
  </si>
  <si>
    <t>6986</t>
  </si>
  <si>
    <t>Mann; Justin M</t>
  </si>
  <si>
    <t>7741</t>
  </si>
  <si>
    <t>Moore; George E</t>
  </si>
  <si>
    <t>7932</t>
  </si>
  <si>
    <t>Myers; Craig L</t>
  </si>
  <si>
    <t>8047</t>
  </si>
  <si>
    <t>Nelson Jr; Donald C</t>
  </si>
  <si>
    <t>8077</t>
  </si>
  <si>
    <t>Neuberger; Shane M</t>
  </si>
  <si>
    <t>Lineman  Journeyman</t>
  </si>
  <si>
    <t>8471</t>
  </si>
  <si>
    <t>Pierson; Ian R</t>
  </si>
  <si>
    <t>8616</t>
  </si>
  <si>
    <t>Proctor; Casey D</t>
  </si>
  <si>
    <t>Washbay</t>
  </si>
  <si>
    <t>9340</t>
  </si>
  <si>
    <t>Side; Ryan P</t>
  </si>
  <si>
    <t>638618-70-0</t>
  </si>
  <si>
    <t>GANNON/SCHNIDER/KERBER</t>
  </si>
  <si>
    <t>stubbs</t>
  </si>
  <si>
    <t>1255</t>
  </si>
  <si>
    <t>Ash IV; Leonard C</t>
  </si>
  <si>
    <t>1598</t>
  </si>
  <si>
    <t>Becker; Bryan</t>
  </si>
  <si>
    <t>3356</t>
  </si>
  <si>
    <t>Davis; Keane A</t>
  </si>
  <si>
    <t>3387</t>
  </si>
  <si>
    <t>DeWitt; Craig R</t>
  </si>
  <si>
    <t>4243</t>
  </si>
  <si>
    <t>Frazier; Forrest F</t>
  </si>
  <si>
    <t>4445</t>
  </si>
  <si>
    <t>Geronimo; Dionicio</t>
  </si>
  <si>
    <t>Oiler-Lead/Coordinator</t>
  </si>
  <si>
    <t>9734</t>
  </si>
  <si>
    <t>Stevenson; Micah J</t>
  </si>
  <si>
    <t>4737</t>
  </si>
  <si>
    <t>Gravil II; James F</t>
  </si>
  <si>
    <t>7087</t>
  </si>
  <si>
    <t>Marsh; Jeffrey A</t>
  </si>
  <si>
    <t>PG&amp;E-MVWF StinsonBeach Bolinas</t>
  </si>
  <si>
    <t>8931</t>
  </si>
  <si>
    <t>Rocha; Jonathan M</t>
  </si>
  <si>
    <t>10795</t>
  </si>
  <si>
    <t>Wilmarth; Lewis Day</t>
  </si>
  <si>
    <t>1055</t>
  </si>
  <si>
    <t>Adams; Timothy J</t>
  </si>
  <si>
    <t>1763</t>
  </si>
  <si>
    <t>Biggs; Bret S</t>
  </si>
  <si>
    <t>2086</t>
  </si>
  <si>
    <t>Boulden; Alexander A</t>
  </si>
  <si>
    <t>2560</t>
  </si>
  <si>
    <t>Cage; Cody M</t>
  </si>
  <si>
    <t>2616</t>
  </si>
  <si>
    <t>Carr; Jeffrey A</t>
  </si>
  <si>
    <t>4249</t>
  </si>
  <si>
    <t>Hudson; Freeman L.</t>
  </si>
  <si>
    <t>4946</t>
  </si>
  <si>
    <t>Hawkins; Christopher D.</t>
  </si>
  <si>
    <t>6105</t>
  </si>
  <si>
    <t>Project Field Engineer</t>
  </si>
  <si>
    <t>7086</t>
  </si>
  <si>
    <t>Martinez; Edward</t>
  </si>
  <si>
    <t>7590</t>
  </si>
  <si>
    <t>Mills; Daniel K</t>
  </si>
  <si>
    <t>8171</t>
  </si>
  <si>
    <t>Obregon; Matthew D</t>
  </si>
  <si>
    <t>Project Field Coordinator</t>
  </si>
  <si>
    <t>9511</t>
  </si>
  <si>
    <t>9847</t>
  </si>
  <si>
    <t>10595</t>
  </si>
  <si>
    <t>Weideman; Michael R</t>
  </si>
  <si>
    <t>1586</t>
  </si>
  <si>
    <t>Beeler; Michael A</t>
  </si>
  <si>
    <t>1599</t>
  </si>
  <si>
    <t>1871</t>
  </si>
  <si>
    <t>Blount; Undrae A</t>
  </si>
  <si>
    <t>2279</t>
  </si>
  <si>
    <t>Bruce; Carson L</t>
  </si>
  <si>
    <t>2561</t>
  </si>
  <si>
    <t>Caldwell; Randy C</t>
  </si>
  <si>
    <t>4107</t>
  </si>
  <si>
    <t>Fisher; Lucas M.</t>
  </si>
  <si>
    <t>4698</t>
  </si>
  <si>
    <t>Giguere; Jacob Robert</t>
  </si>
  <si>
    <t>5012</t>
  </si>
  <si>
    <t>Haagen; Adam E</t>
  </si>
  <si>
    <t>5835</t>
  </si>
  <si>
    <t>Johnson; Joseph A</t>
  </si>
  <si>
    <t>Kilby; Kyle G</t>
  </si>
  <si>
    <t>6663</t>
  </si>
  <si>
    <t>Long; William K</t>
  </si>
  <si>
    <t>7498</t>
  </si>
  <si>
    <t>Mendoza; Felipe A</t>
  </si>
  <si>
    <t>7511</t>
  </si>
  <si>
    <t>8181</t>
  </si>
  <si>
    <t>O'Hogan; Kevin S</t>
  </si>
  <si>
    <t>Truck Driver - OR</t>
  </si>
  <si>
    <t>8284</t>
  </si>
  <si>
    <t>Pandolfi Jr.; James L</t>
  </si>
  <si>
    <t>8332</t>
  </si>
  <si>
    <t>Payne; Marlin C</t>
  </si>
  <si>
    <t>8559</t>
  </si>
  <si>
    <t>Ibarra; Diego</t>
  </si>
  <si>
    <t>8865</t>
  </si>
  <si>
    <t>Rivet Jr.; Lipton J</t>
  </si>
  <si>
    <t>9840</t>
  </si>
  <si>
    <t>Tapani; Randall J</t>
  </si>
  <si>
    <t>Taylor; Corey M</t>
  </si>
  <si>
    <t>10031</t>
  </si>
  <si>
    <t>Triplett; Bret M</t>
  </si>
  <si>
    <t>10140</t>
  </si>
  <si>
    <t>Vann; Tyhein E</t>
  </si>
  <si>
    <t>10432</t>
  </si>
  <si>
    <t>Ward; Barry E</t>
  </si>
  <si>
    <t>BRANDON HAWKINS</t>
  </si>
  <si>
    <t>1064</t>
  </si>
  <si>
    <t>Aguilar; Matthias J</t>
  </si>
  <si>
    <t>3010</t>
  </si>
  <si>
    <t>3371</t>
  </si>
  <si>
    <t>DeBon; Mitchell C</t>
  </si>
  <si>
    <t>3662</t>
  </si>
  <si>
    <t>Elder; John J</t>
  </si>
  <si>
    <t>4382</t>
  </si>
  <si>
    <t>Garcia; Edmundo</t>
  </si>
  <si>
    <t>4389</t>
  </si>
  <si>
    <t>Garceau; Tristan J</t>
  </si>
  <si>
    <t>4568</t>
  </si>
  <si>
    <t>Gonzales; Danny S</t>
  </si>
  <si>
    <t>4902</t>
  </si>
  <si>
    <t>Hamner; Brant S</t>
  </si>
  <si>
    <t>5076</t>
  </si>
  <si>
    <t>Henderson; Levi A</t>
  </si>
  <si>
    <t>Lineman Journeyaman</t>
  </si>
  <si>
    <t>5722</t>
  </si>
  <si>
    <t>Inskeep; Alexander K</t>
  </si>
  <si>
    <t>5972</t>
  </si>
  <si>
    <t>Kair; Shane M</t>
  </si>
  <si>
    <t>7023</t>
  </si>
  <si>
    <t>Marvin; Kelly J</t>
  </si>
  <si>
    <t>8219</t>
  </si>
  <si>
    <t>Ortega; Lamar S</t>
  </si>
  <si>
    <t>8604</t>
  </si>
  <si>
    <t>Price; Conner M</t>
  </si>
  <si>
    <t>8910</t>
  </si>
  <si>
    <t>Rimer Jr; James D</t>
  </si>
  <si>
    <t>9119</t>
  </si>
  <si>
    <t>Roberts; Chaney C</t>
  </si>
  <si>
    <t>10058</t>
  </si>
  <si>
    <t>10155</t>
  </si>
  <si>
    <t>Vandyke; Jess D</t>
  </si>
  <si>
    <t>4200</t>
  </si>
  <si>
    <t>BHOE</t>
  </si>
  <si>
    <t>1223</t>
  </si>
  <si>
    <t>Angulo; Jose L</t>
  </si>
  <si>
    <t>1536</t>
  </si>
  <si>
    <t>Barrows; Trent D</t>
  </si>
  <si>
    <t>2647</t>
  </si>
  <si>
    <t>Castellon; Luis R</t>
  </si>
  <si>
    <t>2815</t>
  </si>
  <si>
    <t>Christopherson; Stephanie M</t>
  </si>
  <si>
    <t>Field Administration Assistant</t>
  </si>
  <si>
    <t>2822</t>
  </si>
  <si>
    <t>Chaves Jr; Arthur R</t>
  </si>
  <si>
    <t>Copen; James R</t>
  </si>
  <si>
    <t>3625</t>
  </si>
  <si>
    <t>Edwards; Cole</t>
  </si>
  <si>
    <t>3767</t>
  </si>
  <si>
    <t>Ellis; Shawn P</t>
  </si>
  <si>
    <t>4032</t>
  </si>
  <si>
    <t>Fahlund; Adam S</t>
  </si>
  <si>
    <t>4130</t>
  </si>
  <si>
    <t>Filippini; Lucas V</t>
  </si>
  <si>
    <t>4442</t>
  </si>
  <si>
    <t>Germany; Sammy R</t>
  </si>
  <si>
    <t>4500</t>
  </si>
  <si>
    <t>Gesiriech; Gustin W</t>
  </si>
  <si>
    <t>4836</t>
  </si>
  <si>
    <t>Guerrero; Rene J</t>
  </si>
  <si>
    <t>5688</t>
  </si>
  <si>
    <t>Iloilo; Adam M</t>
  </si>
  <si>
    <t>5689</t>
  </si>
  <si>
    <t>Iannone; Emil P</t>
  </si>
  <si>
    <t>6224</t>
  </si>
  <si>
    <t>Kress; Paul M</t>
  </si>
  <si>
    <t>6341</t>
  </si>
  <si>
    <t>Lee; David</t>
  </si>
  <si>
    <t>DECEASED 10-15-18 MECHANIC</t>
  </si>
  <si>
    <t>7027</t>
  </si>
  <si>
    <t>Marquez; Jorge</t>
  </si>
  <si>
    <t>7278</t>
  </si>
  <si>
    <t>McCool; Trent W</t>
  </si>
  <si>
    <t>7477</t>
  </si>
  <si>
    <t>Medrano; Uriel A</t>
  </si>
  <si>
    <t>7492</t>
  </si>
  <si>
    <t>Mejia; Armando T</t>
  </si>
  <si>
    <t>8177</t>
  </si>
  <si>
    <t>O'Brien; Brandon Scott</t>
  </si>
  <si>
    <t>8458</t>
  </si>
  <si>
    <t>Phillips; John W</t>
  </si>
  <si>
    <t>8534</t>
  </si>
  <si>
    <t>Potts; Noah M</t>
  </si>
  <si>
    <t>9355</t>
  </si>
  <si>
    <t>Spargo; Joseph C</t>
  </si>
  <si>
    <t>9509</t>
  </si>
  <si>
    <t>Smith; Joel J</t>
  </si>
  <si>
    <t>9738</t>
  </si>
  <si>
    <t>Stolz; Brandon N</t>
  </si>
  <si>
    <t>Towns; Isaac W</t>
  </si>
  <si>
    <t>10067</t>
  </si>
  <si>
    <t>Tune; Christopher D</t>
  </si>
  <si>
    <t>10216</t>
  </si>
  <si>
    <t>Volesky; Dakota R</t>
  </si>
  <si>
    <t>10440</t>
  </si>
  <si>
    <t>Wasdin; Jimmy L</t>
  </si>
  <si>
    <t>642718-70-0</t>
  </si>
  <si>
    <t>Isaac Christopherson</t>
  </si>
  <si>
    <t>3349</t>
  </si>
  <si>
    <t>Davis; Daniel J</t>
  </si>
  <si>
    <t>4372</t>
  </si>
  <si>
    <t>Gardapee; Cory D</t>
  </si>
  <si>
    <t>5680</t>
  </si>
  <si>
    <t>Hughes; Ryan W</t>
  </si>
  <si>
    <t>6281</t>
  </si>
  <si>
    <t>9747</t>
  </si>
  <si>
    <t>Swegan; David L</t>
  </si>
  <si>
    <t>X</t>
  </si>
  <si>
    <t>1112</t>
  </si>
  <si>
    <t>Amato; Pietro</t>
  </si>
  <si>
    <t>1374</t>
  </si>
  <si>
    <t>Bailey; Matthew</t>
  </si>
  <si>
    <t>1568</t>
  </si>
  <si>
    <t>Beissel; Lee C</t>
  </si>
  <si>
    <t>2131</t>
  </si>
  <si>
    <t>Bradley; Michael W.</t>
  </si>
  <si>
    <t>3052</t>
  </si>
  <si>
    <t>Coscarart; Juan</t>
  </si>
  <si>
    <t>3372</t>
  </si>
  <si>
    <t>Environmental Specialist I</t>
  </si>
  <si>
    <t>Lamb; Robert C</t>
  </si>
  <si>
    <t>6703</t>
  </si>
  <si>
    <t>Lovelady; Brian B</t>
  </si>
  <si>
    <t>VP of Safety</t>
  </si>
  <si>
    <t>7819</t>
  </si>
  <si>
    <t>Morey; Tod W</t>
  </si>
  <si>
    <t>Field Helio Refueling Tech</t>
  </si>
  <si>
    <t>8072</t>
  </si>
  <si>
    <t>Neuman; Dennis D</t>
  </si>
  <si>
    <t>9823</t>
  </si>
  <si>
    <t>Taghon; Elijah D</t>
  </si>
  <si>
    <t>10184</t>
  </si>
  <si>
    <t>Vickhammer; Bryan S</t>
  </si>
  <si>
    <t>645918-70-0</t>
  </si>
  <si>
    <t>3373</t>
  </si>
  <si>
    <t>Dearing; Randy E</t>
  </si>
  <si>
    <t>Franks; Curtis A.</t>
  </si>
  <si>
    <t>9618</t>
  </si>
  <si>
    <t>Standifer; Eddie L</t>
  </si>
  <si>
    <t>Everyone-&gt;PRAR-&gt;Weekly Payroll Files-&gt;1California-&gt;Triple Sub</t>
  </si>
  <si>
    <t>Everyone-&gt;PRAR-&gt;Weekly Payroll Files-&gt;1California-&gt;Double Sub</t>
  </si>
  <si>
    <t>If EE received double or triple sub, refer to the Double Sub or Triple sub Folders.</t>
  </si>
  <si>
    <t>2270</t>
  </si>
  <si>
    <t>Brown; Floyd W</t>
  </si>
  <si>
    <t>3321</t>
  </si>
  <si>
    <t>Darr; Taylor W</t>
  </si>
  <si>
    <t>3392</t>
  </si>
  <si>
    <t>Demond; Kyle D</t>
  </si>
  <si>
    <t>4066</t>
  </si>
  <si>
    <t>Farias; Jose M</t>
  </si>
  <si>
    <t>4342</t>
  </si>
  <si>
    <t>Fye; Scott R</t>
  </si>
  <si>
    <t>Northern CA Equipment Manager</t>
  </si>
  <si>
    <t>6001</t>
  </si>
  <si>
    <t>Kelly; Justin J</t>
  </si>
  <si>
    <t>9557</t>
  </si>
  <si>
    <t>Schnider Jr.; Kevin T</t>
  </si>
  <si>
    <t>10652</t>
  </si>
  <si>
    <t>Whitney; Jason K</t>
  </si>
  <si>
    <t>AJAY JOSHI</t>
  </si>
  <si>
    <t>8227MN</t>
  </si>
  <si>
    <t>300019-00-0</t>
  </si>
  <si>
    <t>300019-27-0</t>
  </si>
  <si>
    <t>300019-58-0</t>
  </si>
  <si>
    <t>300019-70-0</t>
  </si>
  <si>
    <t>300019-72-0</t>
  </si>
  <si>
    <t>300019-83-0</t>
  </si>
  <si>
    <t>300019-90-0</t>
  </si>
  <si>
    <t>300019-91-0</t>
  </si>
  <si>
    <t>300019-92-0</t>
  </si>
  <si>
    <t>320019-58-0</t>
  </si>
  <si>
    <t>HELICOPTER MINNESOTA</t>
  </si>
  <si>
    <t>320019-70-0</t>
  </si>
  <si>
    <t>HELICOPTER-CALIFORNIA</t>
  </si>
  <si>
    <t>320019-88-0</t>
  </si>
  <si>
    <t>HELICOPTER COSTS OVERHEAD</t>
  </si>
  <si>
    <t>Luna Beltran; Ramon</t>
  </si>
  <si>
    <t>2144</t>
  </si>
  <si>
    <t>Brdlik; Michael R</t>
  </si>
  <si>
    <t>2884</t>
  </si>
  <si>
    <t>Cohen; Steven J</t>
  </si>
  <si>
    <t>OPERT ENG</t>
  </si>
  <si>
    <t>138</t>
  </si>
  <si>
    <t>Equipment Operator</t>
  </si>
  <si>
    <t>4753</t>
  </si>
  <si>
    <t>Green; Douglas V</t>
  </si>
  <si>
    <t>5706</t>
  </si>
  <si>
    <t>Impastato; Clark D</t>
  </si>
  <si>
    <t>6225</t>
  </si>
  <si>
    <t>Kuniski; Roger L</t>
  </si>
  <si>
    <t>Rojas Merino; Reynier</t>
  </si>
  <si>
    <t>8280</t>
  </si>
  <si>
    <t>Seekell; Robert R</t>
  </si>
  <si>
    <t>8343</t>
  </si>
  <si>
    <t>Pedersen; Daniel D</t>
  </si>
  <si>
    <t>8868</t>
  </si>
  <si>
    <t>Richardson; Rush L</t>
  </si>
  <si>
    <t>9219</t>
  </si>
  <si>
    <t>Savanpanyadeth; Erik P</t>
  </si>
  <si>
    <t>648419-70-0</t>
  </si>
  <si>
    <t>648219-80-1</t>
  </si>
  <si>
    <t>2408</t>
  </si>
  <si>
    <t>Burnett; Eva M</t>
  </si>
  <si>
    <t>3408</t>
  </si>
  <si>
    <t>Desz; Daniel R</t>
  </si>
  <si>
    <t>4755</t>
  </si>
  <si>
    <t>Gutierrez; Luis G</t>
  </si>
  <si>
    <t>6192</t>
  </si>
  <si>
    <t>Kramer; David W</t>
  </si>
  <si>
    <t>8027</t>
  </si>
  <si>
    <t>Navarro; Michael D</t>
  </si>
  <si>
    <t>10653</t>
  </si>
  <si>
    <t>White; Anthony S</t>
  </si>
  <si>
    <t>10754</t>
  </si>
  <si>
    <t>Williams; Benjamin J</t>
  </si>
  <si>
    <t>8933</t>
  </si>
  <si>
    <t>Rodericks; Marvin C</t>
  </si>
  <si>
    <t>320019-58-1</t>
  </si>
  <si>
    <t>HELICOPTER MINNESOTA 1&amp;4</t>
  </si>
  <si>
    <t>6005</t>
  </si>
  <si>
    <t>Kelly; Ezra N</t>
  </si>
  <si>
    <t>3047</t>
  </si>
  <si>
    <t>Coulson; Christopher D</t>
  </si>
  <si>
    <t>Field Mechanic - CA</t>
  </si>
  <si>
    <t>4566</t>
  </si>
  <si>
    <t>Gomez; Javier A</t>
  </si>
  <si>
    <t>5349</t>
  </si>
  <si>
    <t>Holland; Kyle J</t>
  </si>
  <si>
    <t>7549</t>
  </si>
  <si>
    <t>Miller; Dustin W</t>
  </si>
  <si>
    <t>Groundman + 4000 hours</t>
  </si>
  <si>
    <t>7552</t>
  </si>
  <si>
    <t>Miller; Casey S</t>
  </si>
  <si>
    <t>5827</t>
  </si>
  <si>
    <t>Johnson; Devon L</t>
  </si>
  <si>
    <t>9124</t>
  </si>
  <si>
    <t>Rodriguez; Blain F</t>
  </si>
  <si>
    <t>9068</t>
  </si>
  <si>
    <t>Row; Ryan A</t>
  </si>
  <si>
    <t>OVERHEAD NEW YORK</t>
  </si>
  <si>
    <t>300019-28-0</t>
  </si>
  <si>
    <t>NEW YORK SHOP</t>
  </si>
  <si>
    <t>6559</t>
  </si>
  <si>
    <t>Liles; Jack V</t>
  </si>
  <si>
    <t>6678</t>
  </si>
  <si>
    <t>Lopez; Joseph Kelly</t>
  </si>
  <si>
    <t>10909</t>
  </si>
  <si>
    <t>Zamudio U; Raymundo</t>
  </si>
  <si>
    <t>2617</t>
  </si>
  <si>
    <t>Carlson; Dina M</t>
  </si>
  <si>
    <t>Admin Assistant</t>
  </si>
  <si>
    <t>Fabrication Tech</t>
  </si>
  <si>
    <t>5574</t>
  </si>
  <si>
    <t>Howard; Eli P</t>
  </si>
  <si>
    <t>6317</t>
  </si>
  <si>
    <t>Lauer; Mason S</t>
  </si>
  <si>
    <t>TRL</t>
  </si>
  <si>
    <t>Training Labor</t>
  </si>
  <si>
    <t>TRP</t>
  </si>
  <si>
    <t>Training Per Diem</t>
  </si>
  <si>
    <t>5.5</t>
  </si>
  <si>
    <t>Equipment Allocation Jobs</t>
  </si>
  <si>
    <t>PDS</t>
  </si>
  <si>
    <t>Per Diem - Supervisors</t>
  </si>
  <si>
    <t>Safety Manager (Hrs)</t>
  </si>
  <si>
    <t>Equipment Maint/Repair (Hrs)</t>
  </si>
  <si>
    <t>Zach Zeulner</t>
  </si>
  <si>
    <t>1-001</t>
  </si>
  <si>
    <t>Project Superintendent (Hrs)</t>
  </si>
  <si>
    <t>General Foreman (Hrs)</t>
  </si>
  <si>
    <t>5337</t>
  </si>
  <si>
    <t>Hoffman; Ryan S</t>
  </si>
  <si>
    <t>6712</t>
  </si>
  <si>
    <t>Lucero; Dominic L</t>
  </si>
  <si>
    <t>8403</t>
  </si>
  <si>
    <t>Perez; Gabriel D</t>
  </si>
  <si>
    <t>4098</t>
  </si>
  <si>
    <t>Fitzgerald; Thomas L.</t>
  </si>
  <si>
    <t>6679</t>
  </si>
  <si>
    <t>Loomis; Jerald A</t>
  </si>
  <si>
    <t>HOLIDAY PAY</t>
  </si>
  <si>
    <t>6541</t>
  </si>
  <si>
    <t>Lewis; Jacob L.</t>
  </si>
  <si>
    <t>Fabricator Tech Trainee</t>
  </si>
  <si>
    <t>8080</t>
  </si>
  <si>
    <t>Nemesio; Jorge L.</t>
  </si>
  <si>
    <t>9386</t>
  </si>
  <si>
    <t>Spurrier; Warren</t>
  </si>
  <si>
    <t>2-110</t>
  </si>
  <si>
    <t>PP</t>
  </si>
  <si>
    <t>Premium Pay</t>
  </si>
  <si>
    <t>2-000</t>
  </si>
  <si>
    <t>NON-PRODUCTION</t>
  </si>
  <si>
    <t>Safety Training (Hrs)</t>
  </si>
  <si>
    <t>8C</t>
  </si>
  <si>
    <t>Construction Lineman</t>
  </si>
  <si>
    <t>1830</t>
  </si>
  <si>
    <t>Black; Jonathan Michael</t>
  </si>
  <si>
    <t>4.2</t>
  </si>
  <si>
    <t>FACILITIES RENTAL</t>
  </si>
  <si>
    <t>BPA-BonnevillePH-Hood RiverNo1</t>
  </si>
  <si>
    <t>7920</t>
  </si>
  <si>
    <t>Murray; Byron Todd</t>
  </si>
  <si>
    <t>320019-80-1</t>
  </si>
  <si>
    <t>HELICOPTER OR SPECIAL PROJ</t>
  </si>
  <si>
    <t>BRETT VAUGHTERS</t>
  </si>
  <si>
    <t>4.1</t>
  </si>
  <si>
    <t>DUMPSTER RENTAL</t>
  </si>
  <si>
    <t>4346</t>
  </si>
  <si>
    <t>Frost; Joston T</t>
  </si>
  <si>
    <t>5740</t>
  </si>
  <si>
    <t>Jackson; Cody Wayne</t>
  </si>
  <si>
    <t>2830</t>
  </si>
  <si>
    <t>Christensen; Shane M</t>
  </si>
  <si>
    <t>6295</t>
  </si>
  <si>
    <t>Larkin; William B.</t>
  </si>
  <si>
    <t>7367</t>
  </si>
  <si>
    <t>McInnes; Charles B</t>
  </si>
  <si>
    <t>8255</t>
  </si>
  <si>
    <t>Ortiz; Rocky</t>
  </si>
  <si>
    <t>9736</t>
  </si>
  <si>
    <t>Strasser; Richard L</t>
  </si>
  <si>
    <t>75</t>
  </si>
  <si>
    <t>4336</t>
  </si>
  <si>
    <t>Gandy; Douglas John</t>
  </si>
  <si>
    <t>8871</t>
  </si>
  <si>
    <t>Romero; Ricardo</t>
  </si>
  <si>
    <t>JEFF BRONSON</t>
  </si>
  <si>
    <t>2203</t>
  </si>
  <si>
    <t>Britt; Mitchell L.</t>
  </si>
  <si>
    <t>8487</t>
  </si>
  <si>
    <t>Plant; Zachary</t>
  </si>
  <si>
    <t>2621</t>
  </si>
  <si>
    <t>Carlton; Ryan W</t>
  </si>
  <si>
    <t>3626</t>
  </si>
  <si>
    <t>Eckhardt; Kenneth R</t>
  </si>
  <si>
    <t>3920</t>
  </si>
  <si>
    <t>Edgar; Donald G</t>
  </si>
  <si>
    <t>4837</t>
  </si>
  <si>
    <t>Guy; Nicholas M</t>
  </si>
  <si>
    <t>5724</t>
  </si>
  <si>
    <t>Jenkins; Terry R</t>
  </si>
  <si>
    <t>1574</t>
  </si>
  <si>
    <t>Beach; Dale D.</t>
  </si>
  <si>
    <t>3075</t>
  </si>
  <si>
    <t>Craver; Adam S</t>
  </si>
  <si>
    <t>6121</t>
  </si>
  <si>
    <t>Kirkpatrick; Gary L</t>
  </si>
  <si>
    <t>7063</t>
  </si>
  <si>
    <t>Mata; Adam N.</t>
  </si>
  <si>
    <t>9952</t>
  </si>
  <si>
    <t>Tijerina; Ramiro</t>
  </si>
  <si>
    <t>656219-70-0</t>
  </si>
  <si>
    <t>2365</t>
  </si>
  <si>
    <t>Burkhard; Christopher R</t>
  </si>
  <si>
    <t>5743</t>
  </si>
  <si>
    <t>Jameson; Thomas A.</t>
  </si>
  <si>
    <t>4254</t>
  </si>
  <si>
    <t>French ll; Thomas E</t>
  </si>
  <si>
    <t>5011</t>
  </si>
  <si>
    <t>Harris; Guy A</t>
  </si>
  <si>
    <t>5089</t>
  </si>
  <si>
    <t>Haught; James E</t>
  </si>
  <si>
    <t>5998</t>
  </si>
  <si>
    <t>Kagarise ll; Jack N</t>
  </si>
  <si>
    <t>8684</t>
  </si>
  <si>
    <t>Quillen; Justis J</t>
  </si>
  <si>
    <t>9721</t>
  </si>
  <si>
    <t>Stevenson; Trent H.</t>
  </si>
  <si>
    <t>10808</t>
  </si>
  <si>
    <t>Wobbema; Austin R</t>
  </si>
  <si>
    <t>6227</t>
  </si>
  <si>
    <t>Kovacs; Zolton I</t>
  </si>
  <si>
    <t>2.0</t>
  </si>
  <si>
    <t>Material - Jobs</t>
  </si>
  <si>
    <t>SMUD-Substation E</t>
  </si>
  <si>
    <t>1199</t>
  </si>
  <si>
    <t>Andress; Jesse B</t>
  </si>
  <si>
    <t>1475</t>
  </si>
  <si>
    <t>Barley; Tyrone L</t>
  </si>
  <si>
    <t>1500</t>
  </si>
  <si>
    <t>Barnes; Brian Dale</t>
  </si>
  <si>
    <t>1755</t>
  </si>
  <si>
    <t>Bibiano; Brandon Lee</t>
  </si>
  <si>
    <t>QA/QC Manager</t>
  </si>
  <si>
    <t>4680</t>
  </si>
  <si>
    <t>Gibson; Nicholas A</t>
  </si>
  <si>
    <t>7074</t>
  </si>
  <si>
    <t>Mayer; Donald Patrick</t>
  </si>
  <si>
    <t>8097</t>
  </si>
  <si>
    <t>Nickerson; Rodney W</t>
  </si>
  <si>
    <t>9125</t>
  </si>
  <si>
    <t>Rodriguez; Derek M</t>
  </si>
  <si>
    <t>9320</t>
  </si>
  <si>
    <t>Shull; Travis J</t>
  </si>
  <si>
    <t>320019-60-0</t>
  </si>
  <si>
    <t>HELICOPTER OREGON</t>
  </si>
  <si>
    <t>SCE-Valley-Ivyglen Linear Proj</t>
  </si>
  <si>
    <t>4339</t>
  </si>
  <si>
    <t>Gabbert; Jarid D</t>
  </si>
  <si>
    <t>8440</t>
  </si>
  <si>
    <t>Pelster; Damian S</t>
  </si>
  <si>
    <t>8518</t>
  </si>
  <si>
    <t>Pino; Adam J</t>
  </si>
  <si>
    <t>5.1</t>
  </si>
  <si>
    <t>Damage to Equipment - Jobs</t>
  </si>
  <si>
    <t>320019-40-0</t>
  </si>
  <si>
    <t>HELICOPTER WASHINGTON</t>
  </si>
  <si>
    <t>3614</t>
  </si>
  <si>
    <t>Duncan; Thomas K</t>
  </si>
  <si>
    <t>7917</t>
  </si>
  <si>
    <t>Murphy; Taylor M</t>
  </si>
  <si>
    <t>SCE-Valley South Subtransm</t>
  </si>
  <si>
    <t>SCE-TLRR Bulk Power Work Pkg 1</t>
  </si>
  <si>
    <t>659919-25-0</t>
  </si>
  <si>
    <t>Dominion Energy-Gainesville</t>
  </si>
  <si>
    <t>Ajay Joshi - Ashley Carter</t>
  </si>
  <si>
    <t>Tom Howell</t>
  </si>
  <si>
    <t>7538VA</t>
  </si>
  <si>
    <t>VA</t>
  </si>
  <si>
    <t>Substation Tech</t>
  </si>
  <si>
    <t>4068</t>
  </si>
  <si>
    <t>Farias; Ramon A</t>
  </si>
  <si>
    <t>Paz; Arturo</t>
  </si>
  <si>
    <t>7823</t>
  </si>
  <si>
    <t>Morgan; Blaine D</t>
  </si>
  <si>
    <t>7867</t>
  </si>
  <si>
    <t>Moua; Bee</t>
  </si>
  <si>
    <t>8779</t>
  </si>
  <si>
    <t>Ramirez-Hernandez; Kevin A</t>
  </si>
  <si>
    <t>Shop Assistant - Oregon</t>
  </si>
  <si>
    <t>660819-70-0</t>
  </si>
  <si>
    <t>DeBruler; Daniel</t>
  </si>
  <si>
    <t>8873</t>
  </si>
  <si>
    <t>Rico; Jose M</t>
  </si>
  <si>
    <t>1229</t>
  </si>
  <si>
    <t>Apana; Walter K</t>
  </si>
  <si>
    <t>1186</t>
  </si>
  <si>
    <t>1377</t>
  </si>
  <si>
    <t>Baliaris-Salvi; Rajan A</t>
  </si>
  <si>
    <t>5747</t>
  </si>
  <si>
    <t>Jardine; Kaleb</t>
  </si>
  <si>
    <t>8441</t>
  </si>
  <si>
    <t>10546</t>
  </si>
  <si>
    <t>Torres Cervantes; Federico</t>
  </si>
  <si>
    <t>2174</t>
  </si>
  <si>
    <t>Breaux; Derrick J</t>
  </si>
  <si>
    <t>10766</t>
  </si>
  <si>
    <t>Williams; Robbie A</t>
  </si>
  <si>
    <t>ZACH ZEULNER</t>
  </si>
  <si>
    <t>Groundman 45%</t>
  </si>
  <si>
    <t>4571</t>
  </si>
  <si>
    <t>Gonzales; Mark A</t>
  </si>
  <si>
    <t>4891</t>
  </si>
  <si>
    <t>Hall; Cody R</t>
  </si>
  <si>
    <t>Petrarca Jr; Jay M</t>
  </si>
  <si>
    <t>2020-00-0</t>
  </si>
  <si>
    <t>OVERHEAD COSTS G&amp;A 2020</t>
  </si>
  <si>
    <t>DEBBIE GREENE</t>
  </si>
  <si>
    <t>2020-01-0</t>
  </si>
  <si>
    <t>MARK BRITTON</t>
  </si>
  <si>
    <t>2020-02-0</t>
  </si>
  <si>
    <t>INDIRECT COSTS 2020</t>
  </si>
  <si>
    <t>2020-07-0</t>
  </si>
  <si>
    <t>2020-08-0</t>
  </si>
  <si>
    <t>2020-20-0</t>
  </si>
  <si>
    <t>2020-27-0</t>
  </si>
  <si>
    <t>2020-28-0</t>
  </si>
  <si>
    <t>JIM KEEGAN</t>
  </si>
  <si>
    <t>2020-58-0</t>
  </si>
  <si>
    <t>OVERHEAD MINNESOTA</t>
  </si>
  <si>
    <t>2020-70-0</t>
  </si>
  <si>
    <t>2020-72-0</t>
  </si>
  <si>
    <t>2020-82-0</t>
  </si>
  <si>
    <t>ENVIRONMENTAL OVERHEAD</t>
  </si>
  <si>
    <t>2020-82-2</t>
  </si>
  <si>
    <t>2020-85-0</t>
  </si>
  <si>
    <t>2020-87-0</t>
  </si>
  <si>
    <t>2020-89-0</t>
  </si>
  <si>
    <t>2020-90-0</t>
  </si>
  <si>
    <t>OVERHEAD COSTS WASHINGTON</t>
  </si>
  <si>
    <t>2020-91-0</t>
  </si>
  <si>
    <t>OVERHEAD COSTS ARIZONA</t>
  </si>
  <si>
    <t>2020-92-0</t>
  </si>
  <si>
    <t>OVERHEAD COSTS S. CALIFORNIA</t>
  </si>
  <si>
    <t>2020-99-0</t>
  </si>
  <si>
    <t>OVERHEAD ARIZONA GENERAL</t>
  </si>
  <si>
    <t>300020-00-0</t>
  </si>
  <si>
    <t>300020-27-0</t>
  </si>
  <si>
    <t>300020-28-0</t>
  </si>
  <si>
    <t>300020-58-0</t>
  </si>
  <si>
    <t>300020-70-0</t>
  </si>
  <si>
    <t>300020-72-0</t>
  </si>
  <si>
    <t>300020-83-0</t>
  </si>
  <si>
    <t>300020-90-0</t>
  </si>
  <si>
    <t>300020-91-0</t>
  </si>
  <si>
    <t>300020-92-0</t>
  </si>
  <si>
    <t>S. CALIFORNIA SHOP COSTS</t>
  </si>
  <si>
    <t>320020-40-0</t>
  </si>
  <si>
    <t>320020-58-0</t>
  </si>
  <si>
    <t>320020-58-1</t>
  </si>
  <si>
    <t>320020-70-0</t>
  </si>
  <si>
    <t>HELICOPTER CALIFORNIA</t>
  </si>
  <si>
    <t>320020-80-1</t>
  </si>
  <si>
    <t>320020-88-0</t>
  </si>
  <si>
    <t>KATIE HORRAX</t>
  </si>
  <si>
    <t>BRYAN MOODY</t>
  </si>
  <si>
    <t>JON TALBOTT</t>
  </si>
  <si>
    <t>10049</t>
  </si>
  <si>
    <t>Truog; Brannon M</t>
  </si>
  <si>
    <t>Groundman 0-2000 HR</t>
  </si>
  <si>
    <t>MATT MACKENZIE</t>
  </si>
  <si>
    <t>2622</t>
  </si>
  <si>
    <t>Carmona; Jonathan H</t>
  </si>
  <si>
    <t>8178</t>
  </si>
  <si>
    <t>Ocegueda; Fernando R</t>
  </si>
  <si>
    <t>8529</t>
  </si>
  <si>
    <t>Preciado; Joseph A</t>
  </si>
  <si>
    <t>8960</t>
  </si>
  <si>
    <t>Rodriguez; Ruben</t>
  </si>
  <si>
    <t>9748</t>
  </si>
  <si>
    <t>Swennes; Taylor W</t>
  </si>
  <si>
    <t>9967</t>
  </si>
  <si>
    <t>Thomson; Shayne A</t>
  </si>
  <si>
    <t>5.0</t>
  </si>
  <si>
    <t>Equipment Repairs</t>
  </si>
  <si>
    <t>2020-95-0</t>
  </si>
  <si>
    <t>COVID-19 PAID LEAVE COSTS</t>
  </si>
  <si>
    <t>664520-70-0</t>
  </si>
  <si>
    <t>Travis Sanders</t>
  </si>
  <si>
    <t>UNS/TEP-Subs Voice Elect Work</t>
  </si>
  <si>
    <t>8605</t>
  </si>
  <si>
    <t>Price; Hunter S</t>
  </si>
  <si>
    <t>664920-70-0</t>
  </si>
  <si>
    <t>1106</t>
  </si>
  <si>
    <t>Archibeque; Larry Michael</t>
  </si>
  <si>
    <t>7593</t>
  </si>
  <si>
    <t>Mkrtchyan; Joseph J</t>
  </si>
  <si>
    <t>7734</t>
  </si>
  <si>
    <t>Moody; Collin J</t>
  </si>
  <si>
    <t>8329</t>
  </si>
  <si>
    <t>Palacios; Levi S</t>
  </si>
  <si>
    <t>PG&amp;E-2020 Pole Non-Pole Tags</t>
  </si>
  <si>
    <t>9743</t>
  </si>
  <si>
    <t>Stephas; Roger J</t>
  </si>
  <si>
    <t>2798</t>
  </si>
  <si>
    <t>Chesser; Ronnie E</t>
  </si>
  <si>
    <t>5131</t>
  </si>
  <si>
    <t>Hernandez; Alejandro</t>
  </si>
  <si>
    <t>6100</t>
  </si>
  <si>
    <t>Kintz; Kyle W</t>
  </si>
  <si>
    <t>6230</t>
  </si>
  <si>
    <t>Kingsbury; Craig W</t>
  </si>
  <si>
    <t>1-005</t>
  </si>
  <si>
    <t>12-101</t>
  </si>
  <si>
    <t>12-102</t>
  </si>
  <si>
    <t>12-201</t>
  </si>
  <si>
    <t>12-202</t>
  </si>
  <si>
    <t>12-301</t>
  </si>
  <si>
    <t>HT</t>
  </si>
  <si>
    <t>HELICOPTER LABOR</t>
  </si>
  <si>
    <t>12-302</t>
  </si>
  <si>
    <t>12-401</t>
  </si>
  <si>
    <t>12-402</t>
  </si>
  <si>
    <t>4.3</t>
  </si>
  <si>
    <t>TOOL RENTAL</t>
  </si>
  <si>
    <t>9.3</t>
  </si>
  <si>
    <t>Transport Equipment</t>
  </si>
  <si>
    <t>Office (Hrs)</t>
  </si>
  <si>
    <t>12-000</t>
  </si>
  <si>
    <t>12kV Class Work</t>
  </si>
  <si>
    <t>*Type 1-Accessible</t>
  </si>
  <si>
    <t>*Type 1-Inaccessible</t>
  </si>
  <si>
    <t>*Type 2-Accessible</t>
  </si>
  <si>
    <t>*Type 2-Inaccessible</t>
  </si>
  <si>
    <t>*Type 3-Accessible</t>
  </si>
  <si>
    <t>*Type 3-Inaccessible</t>
  </si>
  <si>
    <t>Type 4-Accessible</t>
  </si>
  <si>
    <t>Type 4-Inaccessible</t>
  </si>
  <si>
    <t>665320-71-0</t>
  </si>
  <si>
    <t>UNS-Electrical Const Services</t>
  </si>
  <si>
    <t>FRED M. RAUNIG</t>
  </si>
  <si>
    <t>665520-70-0</t>
  </si>
  <si>
    <t>PG&amp;E-Salt Sprgs 2102 PH1.4</t>
  </si>
  <si>
    <t>Robert MacLauchlin</t>
  </si>
  <si>
    <t>2137</t>
  </si>
  <si>
    <t>Boyd; Joseph M</t>
  </si>
  <si>
    <t>3629</t>
  </si>
  <si>
    <t>Durbin; Logan B</t>
  </si>
  <si>
    <t>4528</t>
  </si>
  <si>
    <t>Gollehon; Nolan B</t>
  </si>
  <si>
    <t>4765</t>
  </si>
  <si>
    <t>Gregory; Corey J</t>
  </si>
  <si>
    <t>4787</t>
  </si>
  <si>
    <t>Gross; Kacy E</t>
  </si>
  <si>
    <t>5073</t>
  </si>
  <si>
    <t>Henderson; Evann L</t>
  </si>
  <si>
    <t>5401</t>
  </si>
  <si>
    <t>Horton; Johnny L</t>
  </si>
  <si>
    <t>5674</t>
  </si>
  <si>
    <t>Hutter; Peter E</t>
  </si>
  <si>
    <t>6296</t>
  </si>
  <si>
    <t>Larson; Blaze A</t>
  </si>
  <si>
    <t>6321</t>
  </si>
  <si>
    <t>Lavin; Jared M</t>
  </si>
  <si>
    <t>6915</t>
  </si>
  <si>
    <t>MacDonald; Lance GK</t>
  </si>
  <si>
    <t>7024</t>
  </si>
  <si>
    <t>Massiatte; Joseph B</t>
  </si>
  <si>
    <t>7284</t>
  </si>
  <si>
    <t>McCall; Daveion M</t>
  </si>
  <si>
    <t>8258</t>
  </si>
  <si>
    <t>Olmos-Ramos; Antonio D</t>
  </si>
  <si>
    <t>8671</t>
  </si>
  <si>
    <t>Queen; Joseph D</t>
  </si>
  <si>
    <t>8962</t>
  </si>
  <si>
    <t>Rodriguez; Victor M</t>
  </si>
  <si>
    <t>9825</t>
  </si>
  <si>
    <t>Szteliga; Bryan D</t>
  </si>
  <si>
    <t>9877</t>
  </si>
  <si>
    <t>Tenneson; Mack E</t>
  </si>
  <si>
    <t>10048</t>
  </si>
  <si>
    <t>Turner; Luke E</t>
  </si>
  <si>
    <t>10879</t>
  </si>
  <si>
    <t>Wilson; Brenton J</t>
  </si>
  <si>
    <t>1-007</t>
  </si>
  <si>
    <t>Environmental Costs (Hrs)</t>
  </si>
  <si>
    <t>12-901</t>
  </si>
  <si>
    <t>*Extra Work</t>
  </si>
  <si>
    <t>985-000</t>
  </si>
  <si>
    <t>REVENUE-WILSON EFFORT</t>
  </si>
  <si>
    <t>985-100</t>
  </si>
  <si>
    <t>REVENUE- SUBS MAT WILSON</t>
  </si>
  <si>
    <t>990-000</t>
  </si>
  <si>
    <t>Accrued Revenue</t>
  </si>
  <si>
    <t>990-900</t>
  </si>
  <si>
    <t>M&amp;S</t>
  </si>
  <si>
    <t>Managers &amp; Supervisors</t>
  </si>
  <si>
    <t>SOC</t>
  </si>
  <si>
    <t>Salaries Office - California</t>
  </si>
  <si>
    <t>8.4</t>
  </si>
  <si>
    <t>Safety Supplies - Jobs</t>
  </si>
  <si>
    <t>9.4</t>
  </si>
  <si>
    <t>Office Supplies Job</t>
  </si>
  <si>
    <t>REV</t>
  </si>
  <si>
    <t>EARNED REVENUE WIP</t>
  </si>
  <si>
    <t>PG&amp;E-TSRP Secco Motor Op</t>
  </si>
  <si>
    <t>3645</t>
  </si>
  <si>
    <t>Elam; John C</t>
  </si>
  <si>
    <t>7475</t>
  </si>
  <si>
    <t>Medina; Juan M</t>
  </si>
  <si>
    <t>Shop/Field Mechanic</t>
  </si>
  <si>
    <t>8693</t>
  </si>
  <si>
    <t>Quiroz; Arnulfo M</t>
  </si>
  <si>
    <t>8773</t>
  </si>
  <si>
    <t>Ramirez; Eric G</t>
  </si>
  <si>
    <t>10071</t>
  </si>
  <si>
    <t>Turpin; Kyle R</t>
  </si>
  <si>
    <t>10276</t>
  </si>
  <si>
    <t>Walker; Damon V</t>
  </si>
  <si>
    <t>1-009</t>
  </si>
  <si>
    <t>Helicopter Costs</t>
  </si>
  <si>
    <t>9.6</t>
  </si>
  <si>
    <t>HELICOPTER JOB COSTS</t>
  </si>
  <si>
    <t>2.1</t>
  </si>
  <si>
    <t>Use Tax On Material - Jobs</t>
  </si>
  <si>
    <t>8.3</t>
  </si>
  <si>
    <t>Small Tools - Jobs</t>
  </si>
  <si>
    <t>8.7</t>
  </si>
  <si>
    <t>Utilities Yard Rent Job</t>
  </si>
  <si>
    <t>Jeff S Jaime J Mark B Dave L</t>
  </si>
  <si>
    <t>667620-70-0</t>
  </si>
  <si>
    <t>SCE-Moorpark Pardee PRE</t>
  </si>
  <si>
    <t>Scott Welcher - Jeff Stark</t>
  </si>
  <si>
    <t>2221</t>
  </si>
  <si>
    <t>Brown; Zebulun M</t>
  </si>
  <si>
    <t>2402</t>
  </si>
  <si>
    <t>Burt; Matthew P</t>
  </si>
  <si>
    <t>2761</t>
  </si>
  <si>
    <t>Cline; Luke Gordon</t>
  </si>
  <si>
    <t>4576</t>
  </si>
  <si>
    <t>Gonzalez; Joshua A.</t>
  </si>
  <si>
    <t>8247</t>
  </si>
  <si>
    <t>Origer; Caleb J</t>
  </si>
  <si>
    <t>Airframe Helicopter Mechanic</t>
  </si>
  <si>
    <t>9169</t>
  </si>
  <si>
    <t>Saiz; Dominic J</t>
  </si>
  <si>
    <t>10190</t>
  </si>
  <si>
    <t>Ventura; Francisco A</t>
  </si>
  <si>
    <t>10191</t>
  </si>
  <si>
    <t>Verduzco Jr; Ricardo</t>
  </si>
  <si>
    <t>10907</t>
  </si>
  <si>
    <t>Zamora; Catarino R</t>
  </si>
  <si>
    <t>668320-70-0</t>
  </si>
  <si>
    <t>669020-70-0</t>
  </si>
  <si>
    <t>5129</t>
  </si>
  <si>
    <t>Hickman; Ira Q</t>
  </si>
  <si>
    <t>5921</t>
  </si>
  <si>
    <t>Johnson; Carpenter L</t>
  </si>
  <si>
    <t>8336</t>
  </si>
  <si>
    <t>Palacios; Alberto A</t>
  </si>
  <si>
    <t>8668</t>
  </si>
  <si>
    <t>Pyeatt; Jordan M</t>
  </si>
  <si>
    <t>10767</t>
  </si>
  <si>
    <t>Williams; Andy Ryan</t>
  </si>
  <si>
    <t>Jeff Stark Scott W. Jaime J.</t>
  </si>
  <si>
    <t>Chad Devine</t>
  </si>
  <si>
    <t>3999</t>
  </si>
  <si>
    <t>Franks; Billy J</t>
  </si>
  <si>
    <t>Warehouse Foreman</t>
  </si>
  <si>
    <t>8811</t>
  </si>
  <si>
    <t>Ridley IV; Nelson</t>
  </si>
  <si>
    <t>SWO</t>
  </si>
  <si>
    <t>Shop Wages - Oregon</t>
  </si>
  <si>
    <t>50LW-Bellefield Solar Project</t>
  </si>
  <si>
    <t>4284</t>
  </si>
  <si>
    <t>Fulton; Ross A</t>
  </si>
  <si>
    <t>4813</t>
  </si>
  <si>
    <t>Guizar; Axel M</t>
  </si>
  <si>
    <t>4846</t>
  </si>
  <si>
    <t>Haldiman; Zachary J</t>
  </si>
  <si>
    <t>7564</t>
  </si>
  <si>
    <t>Mitcham; Kenneth Christopher</t>
  </si>
  <si>
    <t>8520</t>
  </si>
  <si>
    <t>Posey; Walter</t>
  </si>
  <si>
    <t>Director Safety and Training</t>
  </si>
  <si>
    <t>1-200</t>
  </si>
  <si>
    <t>Wilson Per Diem</t>
  </si>
  <si>
    <t>7.3</t>
  </si>
  <si>
    <t>Travel Other</t>
  </si>
  <si>
    <t>9.0</t>
  </si>
  <si>
    <t>Small Claims Damage - Jobs</t>
  </si>
  <si>
    <t>2757</t>
  </si>
  <si>
    <t>Clark; Milton Jay</t>
  </si>
  <si>
    <t>4739</t>
  </si>
  <si>
    <t>Green; David R</t>
  </si>
  <si>
    <t>669920-70-0</t>
  </si>
  <si>
    <t>670120-40-0</t>
  </si>
  <si>
    <t>2119</t>
  </si>
  <si>
    <t>Brandt; Travis M</t>
  </si>
  <si>
    <t>4081</t>
  </si>
  <si>
    <t>Fenstermaker; Marshall D</t>
  </si>
  <si>
    <t>6122</t>
  </si>
  <si>
    <t>Kemmsies; Kenneth C</t>
  </si>
  <si>
    <t>8822</t>
  </si>
  <si>
    <t>Reidhead; Trek W</t>
  </si>
  <si>
    <t>8914</t>
  </si>
  <si>
    <t>Rivera; Juan D</t>
  </si>
  <si>
    <t>320020-71-0</t>
  </si>
  <si>
    <t>HELICOPTER ARIZONA</t>
  </si>
  <si>
    <t>BRET VAUGHTERS</t>
  </si>
  <si>
    <t>SCE-Metro East Grid</t>
  </si>
  <si>
    <t>PSE-CleElum Volt Cbl Rep Proj</t>
  </si>
  <si>
    <t>Fred M. Raunig</t>
  </si>
  <si>
    <t>1228</t>
  </si>
  <si>
    <t>Apalategui; Randall</t>
  </si>
  <si>
    <t>2389</t>
  </si>
  <si>
    <t>Bustos; Anthony D</t>
  </si>
  <si>
    <t>2551</t>
  </si>
  <si>
    <t>Calahan; Stephen D</t>
  </si>
  <si>
    <t>2563</t>
  </si>
  <si>
    <t>Canal; Adam</t>
  </si>
  <si>
    <t>4682</t>
  </si>
  <si>
    <t>Gibson; Chase E</t>
  </si>
  <si>
    <t>4904</t>
  </si>
  <si>
    <t>Hammon; Jake B</t>
  </si>
  <si>
    <t>Environmental Lead-Regional</t>
  </si>
  <si>
    <t>9353</t>
  </si>
  <si>
    <t>Spargo; Jack Victor</t>
  </si>
  <si>
    <t>9362</t>
  </si>
  <si>
    <t>Sims; Kristina M</t>
  </si>
  <si>
    <t>9582</t>
  </si>
  <si>
    <t>Schoenborn; Brian M</t>
  </si>
  <si>
    <t>9855</t>
  </si>
  <si>
    <t>Tallman; Jared M</t>
  </si>
  <si>
    <t>10582</t>
  </si>
  <si>
    <t>West; Matthew R</t>
  </si>
  <si>
    <t>10849</t>
  </si>
  <si>
    <t>Wilson; Stephanie L</t>
  </si>
  <si>
    <t>Tech Aide II / Analyst</t>
  </si>
  <si>
    <t>10853</t>
  </si>
  <si>
    <t>Wyatt; Layton D</t>
  </si>
  <si>
    <t>9.8</t>
  </si>
  <si>
    <t>Security Job Site</t>
  </si>
  <si>
    <t>320020-40-1</t>
  </si>
  <si>
    <t>HELICOPTER IDAHO</t>
  </si>
  <si>
    <t>Jay Clark</t>
  </si>
  <si>
    <t>Jaime Jauregui-ChuckW.-Jeff S.</t>
  </si>
  <si>
    <t>KYLE SCHNIDER</t>
  </si>
  <si>
    <t>671020-70-0</t>
  </si>
  <si>
    <t>PG&amp;E-35180324 PIH Middleton</t>
  </si>
  <si>
    <t>TRAVIS SANDERS</t>
  </si>
  <si>
    <t>671120-60-0</t>
  </si>
  <si>
    <t>PGE-MurrayHill StMary Lat Twr</t>
  </si>
  <si>
    <t>CHAD SAWYER</t>
  </si>
  <si>
    <t>CHRIS HUGHES</t>
  </si>
  <si>
    <t>SCE-189 Moorpark-Pardee No 4</t>
  </si>
  <si>
    <t>671720-70-0</t>
  </si>
  <si>
    <t>SCE-Orange Grid Bulk Pwr T&amp;E</t>
  </si>
  <si>
    <t>1365</t>
  </si>
  <si>
    <t>Bagwell; Douglas W.</t>
  </si>
  <si>
    <t>Regional Manager - AZ/NM</t>
  </si>
  <si>
    <t>4080</t>
  </si>
  <si>
    <t>Federline; Christopher M</t>
  </si>
  <si>
    <t>4286</t>
  </si>
  <si>
    <t>Garcia; Edith G</t>
  </si>
  <si>
    <t>4522</t>
  </si>
  <si>
    <t>Gochenouer; Jacob C</t>
  </si>
  <si>
    <t>4729</t>
  </si>
  <si>
    <t>Grant; Jacob A</t>
  </si>
  <si>
    <t>5329</t>
  </si>
  <si>
    <t>Hodge; Tyler D</t>
  </si>
  <si>
    <t>6232</t>
  </si>
  <si>
    <t>Koleszar; Dakota R</t>
  </si>
  <si>
    <t>6564</t>
  </si>
  <si>
    <t>Lieurance; Joshua T</t>
  </si>
  <si>
    <t>6755</t>
  </si>
  <si>
    <t>Lulay; Brent D</t>
  </si>
  <si>
    <t>7034</t>
  </si>
  <si>
    <t>Martinez; Adam L</t>
  </si>
  <si>
    <t>8564</t>
  </si>
  <si>
    <t>Reyes; Joe M</t>
  </si>
  <si>
    <t>8915</t>
  </si>
  <si>
    <t>Rivera; Juan H</t>
  </si>
  <si>
    <t>Director of Safety - SW Region</t>
  </si>
  <si>
    <t>9342</t>
  </si>
  <si>
    <t>9372</t>
  </si>
  <si>
    <t>Sisson; Joseph R</t>
  </si>
  <si>
    <t>9733</t>
  </si>
  <si>
    <t>Strader Jr.; Edward A</t>
  </si>
  <si>
    <t>10854</t>
  </si>
  <si>
    <t>Wolfe; Chad A</t>
  </si>
  <si>
    <t>2021-00-0</t>
  </si>
  <si>
    <t>OVERHEAD COSTS G&amp;A 2021</t>
  </si>
  <si>
    <t>2021-01-0</t>
  </si>
  <si>
    <t>WILSON QA/QC OVERHEAD 2021</t>
  </si>
  <si>
    <t>2021-02-0</t>
  </si>
  <si>
    <t>INDIRECT COSTS 2021</t>
  </si>
  <si>
    <t>2021-07-0</t>
  </si>
  <si>
    <t>BUSINESS DEVELOPMENT 2021</t>
  </si>
  <si>
    <t>2021-08-0</t>
  </si>
  <si>
    <t>PENNSYLVANIA OFFICE COSTS 2021</t>
  </si>
  <si>
    <t>2021-20-0</t>
  </si>
  <si>
    <t>STACEY BOSSEN</t>
  </si>
  <si>
    <t>2021-27-0</t>
  </si>
  <si>
    <t>OVERHEAD PENNSYLVANIA 2021</t>
  </si>
  <si>
    <t>2021-28-0</t>
  </si>
  <si>
    <t>OVERHEAD NEW YORK 2021</t>
  </si>
  <si>
    <t>7538NY</t>
  </si>
  <si>
    <t>NY</t>
  </si>
  <si>
    <t>2021-58-0</t>
  </si>
  <si>
    <t>OVERHEAD MINNESOTA 2021</t>
  </si>
  <si>
    <t>2021-70-0</t>
  </si>
  <si>
    <t>OVERHEAD CALIFORNIA 2021</t>
  </si>
  <si>
    <t>2021-72-0</t>
  </si>
  <si>
    <t>OVERHEAD RANCHO OFFICE 2021</t>
  </si>
  <si>
    <t>2021-82-0</t>
  </si>
  <si>
    <t>ENVIRONMENTAL OVERHEAD 2021</t>
  </si>
  <si>
    <t>2021-82-2</t>
  </si>
  <si>
    <t>ENVIRONMENTAL OVERHEAD CA 2021</t>
  </si>
  <si>
    <t>2021-85-0</t>
  </si>
  <si>
    <t>OVERHEAD CANADA 2021</t>
  </si>
  <si>
    <t>2021-87-0</t>
  </si>
  <si>
    <t>WOODBURN FACILITIES MAINT 2021</t>
  </si>
  <si>
    <t>2021-89-0</t>
  </si>
  <si>
    <t>AURORA HANGAR COSTS 2021</t>
  </si>
  <si>
    <t>2021-90-0</t>
  </si>
  <si>
    <t>OVERHEAD WASHINGTON 2021</t>
  </si>
  <si>
    <t>2021-91-0</t>
  </si>
  <si>
    <t>OVERHEAD ARIZONA 2021</t>
  </si>
  <si>
    <t>2021-92-0</t>
  </si>
  <si>
    <t>OVERHEAD S. CALIFORNIA 2021</t>
  </si>
  <si>
    <t>2021-99-0</t>
  </si>
  <si>
    <t>OVERHEAD ARIZONA GENERAL 2021</t>
  </si>
  <si>
    <t>300021-00-0</t>
  </si>
  <si>
    <t>STACY BOSSEN</t>
  </si>
  <si>
    <t>300021-27-0</t>
  </si>
  <si>
    <t>PENNSYLVANIA SHOP 2021</t>
  </si>
  <si>
    <t>300021-28-0</t>
  </si>
  <si>
    <t>NEW YORK SHOP 2021</t>
  </si>
  <si>
    <t>SCOT CARR</t>
  </si>
  <si>
    <t>300021-70-0</t>
  </si>
  <si>
    <t>CALIFORNIA SHOP 2021</t>
  </si>
  <si>
    <t>300021-72-0</t>
  </si>
  <si>
    <t>RANCHO SHOP 2021</t>
  </si>
  <si>
    <t>300021-83-0</t>
  </si>
  <si>
    <t>WOODBURN SHOP 2021</t>
  </si>
  <si>
    <t>300021-90-0</t>
  </si>
  <si>
    <t>WASHINGTON SHOP 2021</t>
  </si>
  <si>
    <t>300021-91-0</t>
  </si>
  <si>
    <t>ARIZONA SHOP 2021</t>
  </si>
  <si>
    <t>300021-92-0</t>
  </si>
  <si>
    <t>S. CALIFORNIA SHOP 2021</t>
  </si>
  <si>
    <t>320021-40-0</t>
  </si>
  <si>
    <t>HELICOPTER WASHINGTON 2021</t>
  </si>
  <si>
    <t>320021-40-1</t>
  </si>
  <si>
    <t>HELICOPTER IDAHO 2021</t>
  </si>
  <si>
    <t>320021-70-0</t>
  </si>
  <si>
    <t>HELICOPTER CALIFORNIA 2021</t>
  </si>
  <si>
    <t>320021-80-1</t>
  </si>
  <si>
    <t>HELICOPTER OR SPECIAL PROJ2021</t>
  </si>
  <si>
    <t>320021-88-0</t>
  </si>
  <si>
    <t>HELICOPTER COSTS OVERHEAD 2021</t>
  </si>
  <si>
    <t>399921-70-0</t>
  </si>
  <si>
    <t>664721-71-0</t>
  </si>
  <si>
    <t>Arnulfo Quiroz</t>
  </si>
  <si>
    <t>JOHN BROTHERS &amp; JEFF STARK</t>
  </si>
  <si>
    <t>JON GANNON</t>
  </si>
  <si>
    <t>672121-70-0</t>
  </si>
  <si>
    <t>DIEGO IBARRA &amp; JEFF STARK</t>
  </si>
  <si>
    <t>672220-70-0</t>
  </si>
  <si>
    <t>SCE-Metro East Grid BlkPwr T&amp;E</t>
  </si>
  <si>
    <t>672320-70-0</t>
  </si>
  <si>
    <t>SCE-Metro West Grid BlkPwr T&amp;E</t>
  </si>
  <si>
    <t>672520-40-1</t>
  </si>
  <si>
    <t>Kootenai-2021 Dock Crew</t>
  </si>
  <si>
    <t>672620-40-0</t>
  </si>
  <si>
    <t>3090</t>
  </si>
  <si>
    <t>Cressell; David A</t>
  </si>
  <si>
    <t>6560</t>
  </si>
  <si>
    <t>Lightfoot; Gregory W</t>
  </si>
  <si>
    <t>10826</t>
  </si>
  <si>
    <t>Wirth; Steve B</t>
  </si>
  <si>
    <t>674521-70-0</t>
  </si>
  <si>
    <t>1221</t>
  </si>
  <si>
    <t>Arlt; Dalton M</t>
  </si>
  <si>
    <t>1491</t>
  </si>
  <si>
    <t>Barnard; Mathew W.</t>
  </si>
  <si>
    <t>2630</t>
  </si>
  <si>
    <t>Carranza; Andrew M</t>
  </si>
  <si>
    <t>3029</t>
  </si>
  <si>
    <t>Cordova; Stephen R</t>
  </si>
  <si>
    <t>3046</t>
  </si>
  <si>
    <t>Cozad; Joshua L</t>
  </si>
  <si>
    <t>3443</t>
  </si>
  <si>
    <t>Dimaano; Joseph R</t>
  </si>
  <si>
    <t>4119</t>
  </si>
  <si>
    <t>Flores; Jose M</t>
  </si>
  <si>
    <t>4423</t>
  </si>
  <si>
    <t>Garrett; Skyler A</t>
  </si>
  <si>
    <t>4433</t>
  </si>
  <si>
    <t>Gednalske; Colton R</t>
  </si>
  <si>
    <t>5187</t>
  </si>
  <si>
    <t>Hill; Daniel A</t>
  </si>
  <si>
    <t>5758</t>
  </si>
  <si>
    <t>Jackson; Dane W</t>
  </si>
  <si>
    <t>6609</t>
  </si>
  <si>
    <t>Lloyd; Mikel B</t>
  </si>
  <si>
    <t>7803</t>
  </si>
  <si>
    <t>Moran; Javier</t>
  </si>
  <si>
    <t>7815</t>
  </si>
  <si>
    <t>Moreno; Carlos</t>
  </si>
  <si>
    <t>7933</t>
  </si>
  <si>
    <t>Myers; Kyle A</t>
  </si>
  <si>
    <t>8157</t>
  </si>
  <si>
    <t>Norton; Joseph T</t>
  </si>
  <si>
    <t>8286</t>
  </si>
  <si>
    <t>Papendick; Dale R</t>
  </si>
  <si>
    <t>8346</t>
  </si>
  <si>
    <t>Peake; Ryan A</t>
  </si>
  <si>
    <t>8427</t>
  </si>
  <si>
    <t>Peterson; Alexander M</t>
  </si>
  <si>
    <t>8784</t>
  </si>
  <si>
    <t>Raper; Michael G.</t>
  </si>
  <si>
    <t>9202</t>
  </si>
  <si>
    <t>Salazar; Carlos A</t>
  </si>
  <si>
    <t>9203</t>
  </si>
  <si>
    <t>Sanchez; Saul U</t>
  </si>
  <si>
    <t>9522</t>
  </si>
  <si>
    <t>Smith; Jordan P</t>
  </si>
  <si>
    <t>9751</t>
  </si>
  <si>
    <t>Stevenson Jr; Robert L</t>
  </si>
  <si>
    <t>10843</t>
  </si>
  <si>
    <t>Wurzer; Mark J</t>
  </si>
  <si>
    <t>OSC</t>
  </si>
  <si>
    <t>Shop Wages Overtime-California</t>
  </si>
  <si>
    <t>SOO</t>
  </si>
  <si>
    <t>Shop Overtime Oregon</t>
  </si>
  <si>
    <t>SWC</t>
  </si>
  <si>
    <t>Shop Wages - California</t>
  </si>
  <si>
    <t>2021-95-0</t>
  </si>
  <si>
    <t>340021-00-0</t>
  </si>
  <si>
    <t>SPOKANE SHOP LEASEHOLD IMP</t>
  </si>
  <si>
    <t>Tony Helbling</t>
  </si>
  <si>
    <t>639021-40-0</t>
  </si>
  <si>
    <t>Avista-AMI Project 2021</t>
  </si>
  <si>
    <t>639021-40-1</t>
  </si>
  <si>
    <t>Avista-AMI Project 2021 ID</t>
  </si>
  <si>
    <t>Inland-2021 Inland PowerT&amp;M</t>
  </si>
  <si>
    <t>673221-40-1</t>
  </si>
  <si>
    <t>MIED-2021 UofI Emerg Work</t>
  </si>
  <si>
    <t>KORY CASE</t>
  </si>
  <si>
    <t>673421-10-0</t>
  </si>
  <si>
    <t>673521-40-0</t>
  </si>
  <si>
    <t>Avista-2021 Dock Crew Work WA</t>
  </si>
  <si>
    <t>Chad Devine - Brad Frazier</t>
  </si>
  <si>
    <t>673521-40-1</t>
  </si>
  <si>
    <t>Avista-2021 Dock Crew Work ID</t>
  </si>
  <si>
    <t>673621-76-0</t>
  </si>
  <si>
    <t>PNM-Zia1-DGA Gas Mon Con Pwr</t>
  </si>
  <si>
    <t>ERIC SCHMIDT</t>
  </si>
  <si>
    <t>673821-70-0</t>
  </si>
  <si>
    <t>PG&amp;E-Elec Dist Capacity PRE</t>
  </si>
  <si>
    <t>Jim Keegan</t>
  </si>
  <si>
    <t>674021-70-0</t>
  </si>
  <si>
    <t>PG&amp;E-Elec Dist Reliability PRE</t>
  </si>
  <si>
    <t>674221-70-0</t>
  </si>
  <si>
    <t>674321-40-0</t>
  </si>
  <si>
    <t>Avista-Storm Work 2021 WA PRE</t>
  </si>
  <si>
    <t>CHAD DEVINE</t>
  </si>
  <si>
    <t>674321-40-1</t>
  </si>
  <si>
    <t>Avista-Storm Work 2021 ID PRE</t>
  </si>
  <si>
    <t>PG&amp;E-Elect Dist Pole Replace</t>
  </si>
  <si>
    <t>674621-40-0</t>
  </si>
  <si>
    <t>Avista-2021 Grid Hard WA PRE</t>
  </si>
  <si>
    <t>674621-40-1</t>
  </si>
  <si>
    <t>Avista-2021 Grid Hard ID PRE</t>
  </si>
  <si>
    <t>674721-71-0</t>
  </si>
  <si>
    <t>2811</t>
  </si>
  <si>
    <t>Chantry; Justin L</t>
  </si>
  <si>
    <t>5626</t>
  </si>
  <si>
    <t>Hunt; Everett L</t>
  </si>
  <si>
    <t>8277</t>
  </si>
  <si>
    <t>Padilla; Isaac F</t>
  </si>
  <si>
    <t>9074</t>
  </si>
  <si>
    <t>Ruddell; Scott M</t>
  </si>
  <si>
    <t>300021-25-0</t>
  </si>
  <si>
    <t>VIRGINIA SHOP 2021</t>
  </si>
  <si>
    <t>300021-76-0</t>
  </si>
  <si>
    <t>NEW MEXICO SHOP 2021</t>
  </si>
  <si>
    <t>674421-80-1</t>
  </si>
  <si>
    <t>674921-40-0</t>
  </si>
  <si>
    <t>Acom-5G Port Change 2021</t>
  </si>
  <si>
    <t>675021-70-0</t>
  </si>
  <si>
    <t>675121-70-0</t>
  </si>
  <si>
    <t>675221-70-0</t>
  </si>
  <si>
    <t>PG&amp;E-Cap Maint Prog Emer FAA</t>
  </si>
  <si>
    <t>675321-76-0</t>
  </si>
  <si>
    <t>PNM-Zia2 DGA Gas Mon Con Pwr</t>
  </si>
  <si>
    <t>675621-80-1</t>
  </si>
  <si>
    <t>675721-80-1</t>
  </si>
  <si>
    <t>Cameron Roy</t>
  </si>
  <si>
    <t>675921-70-0</t>
  </si>
  <si>
    <t>676021-70-0</t>
  </si>
  <si>
    <t>676121-71-0</t>
  </si>
  <si>
    <t>Vulcan-Marana North Pit</t>
  </si>
  <si>
    <t>1619</t>
  </si>
  <si>
    <t>Berg; Dane M</t>
  </si>
  <si>
    <t>5999</t>
  </si>
  <si>
    <t>Ketchum; Seth F</t>
  </si>
  <si>
    <t>8061</t>
  </si>
  <si>
    <t>Newberry; Jeremy J</t>
  </si>
  <si>
    <t>8216</t>
  </si>
  <si>
    <t>Ortiz; John George</t>
  </si>
  <si>
    <t>9205</t>
  </si>
  <si>
    <t>Sandoval; Peter E</t>
  </si>
  <si>
    <t>WestRock-Emergency Rest Svcs</t>
  </si>
  <si>
    <t>Jon Talbott - Ryan Harms</t>
  </si>
  <si>
    <t>Jon Talbott - Ryian Harms</t>
  </si>
  <si>
    <t>675821-70-0</t>
  </si>
  <si>
    <t>PETE COVEY</t>
  </si>
  <si>
    <t>1206</t>
  </si>
  <si>
    <t>Arroyo; Jose M</t>
  </si>
  <si>
    <t>4521</t>
  </si>
  <si>
    <t>Goforth; Kaden R</t>
  </si>
  <si>
    <t>4538</t>
  </si>
  <si>
    <t>Goodman; Timothy L</t>
  </si>
  <si>
    <t>5879</t>
  </si>
  <si>
    <t>Johnson; Sameka S</t>
  </si>
  <si>
    <t>7268</t>
  </si>
  <si>
    <t>McClain; Peter R</t>
  </si>
  <si>
    <t>7451</t>
  </si>
  <si>
    <t>McMillan; Tracy</t>
  </si>
  <si>
    <t>8195</t>
  </si>
  <si>
    <t>Odle; Hunter G</t>
  </si>
  <si>
    <t>8378</t>
  </si>
  <si>
    <t>Peart; Adam D</t>
  </si>
  <si>
    <t>9234</t>
  </si>
  <si>
    <t>Schmidt; Bryan M</t>
  </si>
  <si>
    <t>9581</t>
  </si>
  <si>
    <t>Schott; Nathan A</t>
  </si>
  <si>
    <t>9641</t>
  </si>
  <si>
    <t>Steward; Joseph L</t>
  </si>
  <si>
    <t>Groundman Exp.</t>
  </si>
  <si>
    <t>2021-06-0</t>
  </si>
  <si>
    <t>COUGAR CONSTRUCTION INC</t>
  </si>
  <si>
    <t>340121-00-0</t>
  </si>
  <si>
    <t>SPOKANE SHOP NEW POLE BLDG</t>
  </si>
  <si>
    <t>Ryan Harms-Adam Peart</t>
  </si>
  <si>
    <t>BPA-JohnDay PH-JohnDay No1-4</t>
  </si>
  <si>
    <t>TOUA-14.4/24.9kV Dist Rebuild</t>
  </si>
  <si>
    <t>PG&amp;E-Eastshore-Oakland 115kV</t>
  </si>
  <si>
    <t>PG&amp;E-Elec Dist 2AF Idle Fac</t>
  </si>
  <si>
    <t>676221-70-0</t>
  </si>
  <si>
    <t>PG&amp;E-Colusa Subs Dist ReconPRE</t>
  </si>
  <si>
    <t>676521-80-0</t>
  </si>
  <si>
    <t>TONY SCHUMACHER</t>
  </si>
  <si>
    <t>676621-70-0</t>
  </si>
  <si>
    <t>PG&amp;E-ECOP Diamond Sprgs PRE</t>
  </si>
  <si>
    <t>676821-70-0</t>
  </si>
  <si>
    <t>PG&amp;E-EO Wilson 2021 Maj Ev PRE</t>
  </si>
  <si>
    <t>1207</t>
  </si>
  <si>
    <t>Arrington; Austin M</t>
  </si>
  <si>
    <t>1224</t>
  </si>
  <si>
    <t>Anonuevo; Jomar N</t>
  </si>
  <si>
    <t>1274</t>
  </si>
  <si>
    <t>Averhart; Alexander M</t>
  </si>
  <si>
    <t>2262</t>
  </si>
  <si>
    <t>Brumfield; Kevin M</t>
  </si>
  <si>
    <t>4643</t>
  </si>
  <si>
    <t>Gillmore; Jesse E</t>
  </si>
  <si>
    <t>4646</t>
  </si>
  <si>
    <t>Gillmore; Thomas J</t>
  </si>
  <si>
    <t>4683</t>
  </si>
  <si>
    <t>Girtman; Zakary M</t>
  </si>
  <si>
    <t>Mobile Lube Technician</t>
  </si>
  <si>
    <t>4719</t>
  </si>
  <si>
    <t>Grams; Rodney R.</t>
  </si>
  <si>
    <t>5700</t>
  </si>
  <si>
    <t>Ibarra; Carlos</t>
  </si>
  <si>
    <t>6242</t>
  </si>
  <si>
    <t>LaJocies; William C</t>
  </si>
  <si>
    <t>6591</t>
  </si>
  <si>
    <t>Lipka; Glen J</t>
  </si>
  <si>
    <t>7035</t>
  </si>
  <si>
    <t>Martinez; Christian</t>
  </si>
  <si>
    <t>7285</t>
  </si>
  <si>
    <t>McCallum; Pyper L</t>
  </si>
  <si>
    <t>9179</t>
  </si>
  <si>
    <t>Sammaripa; Cameron D</t>
  </si>
  <si>
    <t>9830</t>
  </si>
  <si>
    <t>Talbott; William Gale</t>
  </si>
  <si>
    <t>10594</t>
  </si>
  <si>
    <t>Weldon; Brett A</t>
  </si>
  <si>
    <t>ADAM PEART</t>
  </si>
  <si>
    <t>B&amp;V-Golden Hills Proj Trans Ln</t>
  </si>
  <si>
    <t>B&amp;V-Golden Hills Sub &amp; Site</t>
  </si>
  <si>
    <t>BPA-Marker Ball Priority Proj</t>
  </si>
  <si>
    <t>676921-70-0</t>
  </si>
  <si>
    <t>PG&amp;E-Emergency Event 21-22 PRE</t>
  </si>
  <si>
    <t>677021-70-0</t>
  </si>
  <si>
    <t>PG&amp;E-IDIQ WMP Tag Maint &amp; Rep</t>
  </si>
  <si>
    <t>ADAM PEART - RYAN HARMS</t>
  </si>
  <si>
    <t>CHRISTIAN ABELLA</t>
  </si>
  <si>
    <t>677121-10-0</t>
  </si>
  <si>
    <t>677321-70-0</t>
  </si>
  <si>
    <t>Eric Schmidt</t>
  </si>
  <si>
    <t>677521-80-1</t>
  </si>
  <si>
    <t>ECE-Pole Insp at GP Mill</t>
  </si>
  <si>
    <t>677721-80-1</t>
  </si>
  <si>
    <t>B&amp;ME-BPA Cust Interconnect PRE</t>
  </si>
  <si>
    <t>CHUCK WOODARD</t>
  </si>
  <si>
    <t>FRANK RAINE</t>
  </si>
  <si>
    <t>678021-76-0</t>
  </si>
  <si>
    <t>PNM-West Mesa Switch Station</t>
  </si>
  <si>
    <t>2084</t>
  </si>
  <si>
    <t>Boughamer; Brandon J</t>
  </si>
  <si>
    <t>5023</t>
  </si>
  <si>
    <t>Harrison; Chase L</t>
  </si>
  <si>
    <t>7474</t>
  </si>
  <si>
    <t>Del Medico; Trevor L</t>
  </si>
  <si>
    <t>7825</t>
  </si>
  <si>
    <t>Morgan; Ryan N</t>
  </si>
  <si>
    <t>8184</t>
  </si>
  <si>
    <t>O'Keefe; Martin G</t>
  </si>
  <si>
    <t>Groundman 1st 2000 Hours</t>
  </si>
  <si>
    <t>8934</t>
  </si>
  <si>
    <t>Rocha Guzman; Salvador</t>
  </si>
  <si>
    <t>Facility Maintenance Foreman</t>
  </si>
  <si>
    <t>9456</t>
  </si>
  <si>
    <t>Smith; Brandon J</t>
  </si>
  <si>
    <t>320021-80-0</t>
  </si>
  <si>
    <t>HELICOPTER WA SPEC PROJ 2021</t>
  </si>
  <si>
    <t>676421-70-0</t>
  </si>
  <si>
    <t>SCE-FAA Maintenance of NOTAMS</t>
  </si>
  <si>
    <t>GABE PEREZ - JEFF STARK</t>
  </si>
  <si>
    <t>WestRock-Mill Bus 4 Transformr</t>
  </si>
  <si>
    <t>PG&amp;E-K4 Oroville Reconduct PRE</t>
  </si>
  <si>
    <t>678121-70-0</t>
  </si>
  <si>
    <t>PG&amp;E-2021 PSPS Emer PatrolsPRE</t>
  </si>
  <si>
    <t>678321-70-0</t>
  </si>
  <si>
    <t>PG&amp;E-2021-2022 PSPS Patrol PRE</t>
  </si>
  <si>
    <t>678421-76-0</t>
  </si>
  <si>
    <t>RUSSELL LACY</t>
  </si>
  <si>
    <t xml:space="preserve">Per Matt MacKenzie: Effective 07/19/21 LM and above on PG&amp;E Jobs to receive 3 Subs/Day. </t>
  </si>
  <si>
    <t>GM will only receive 1 Sub/Day</t>
  </si>
  <si>
    <t>3-100</t>
  </si>
  <si>
    <t>80</t>
  </si>
  <si>
    <t>Material Runner</t>
  </si>
  <si>
    <t>15P</t>
  </si>
  <si>
    <t>Pre-Apprentice</t>
  </si>
  <si>
    <t>1091</t>
  </si>
  <si>
    <t>Alvarez; Jesus M</t>
  </si>
  <si>
    <t>1105</t>
  </si>
  <si>
    <t>Amador; Luis D</t>
  </si>
  <si>
    <t>Mobile Lube Tech</t>
  </si>
  <si>
    <t>1119</t>
  </si>
  <si>
    <t>Amato; Joshua D</t>
  </si>
  <si>
    <t>1209</t>
  </si>
  <si>
    <t>Andrade; Carlos</t>
  </si>
  <si>
    <t>1219</t>
  </si>
  <si>
    <t>Andrews; James H</t>
  </si>
  <si>
    <t>1225</t>
  </si>
  <si>
    <t>Angelucci; Dylan R</t>
  </si>
  <si>
    <t>1332</t>
  </si>
  <si>
    <t>Babbitt; Brian S</t>
  </si>
  <si>
    <t>1541</t>
  </si>
  <si>
    <t>Bathurst; Nick</t>
  </si>
  <si>
    <t>112</t>
  </si>
  <si>
    <t>1555</t>
  </si>
  <si>
    <t>Becht; Dustin L</t>
  </si>
  <si>
    <t>1562</t>
  </si>
  <si>
    <t>Bebee; Carter W</t>
  </si>
  <si>
    <t>1773</t>
  </si>
  <si>
    <t>Bills; Connor L</t>
  </si>
  <si>
    <t>2138</t>
  </si>
  <si>
    <t>Boyd; Ethan F</t>
  </si>
  <si>
    <t>2273</t>
  </si>
  <si>
    <t>Brunner; Brian A.</t>
  </si>
  <si>
    <t>2357</t>
  </si>
  <si>
    <t>Butler; Johnathan L</t>
  </si>
  <si>
    <t>2425</t>
  </si>
  <si>
    <t>Bykonen; Shane R</t>
  </si>
  <si>
    <t>2565</t>
  </si>
  <si>
    <t>Capeder; Andrew J</t>
  </si>
  <si>
    <t>2629</t>
  </si>
  <si>
    <t>Carrera; Jason E</t>
  </si>
  <si>
    <t>2645</t>
  </si>
  <si>
    <t>Cervantez; Fabian</t>
  </si>
  <si>
    <t>2663</t>
  </si>
  <si>
    <t>Cerenzia; Kurk M</t>
  </si>
  <si>
    <t>2664</t>
  </si>
  <si>
    <t>Cerny; Andrew B</t>
  </si>
  <si>
    <t>2688</t>
  </si>
  <si>
    <t>Chacon; Bill L</t>
  </si>
  <si>
    <t>2916</t>
  </si>
  <si>
    <t>Conro; Keegan W</t>
  </si>
  <si>
    <t>3114</t>
  </si>
  <si>
    <t>Cutler; Jeremy D</t>
  </si>
  <si>
    <t>3395</t>
  </si>
  <si>
    <t>Delawder; Dakota M</t>
  </si>
  <si>
    <t>3405</t>
  </si>
  <si>
    <t>Devin; William S</t>
  </si>
  <si>
    <t>47LOU</t>
  </si>
  <si>
    <t>Material Handler 1st 6 Months</t>
  </si>
  <si>
    <t>4145</t>
  </si>
  <si>
    <t>Floyd; Jarrod M</t>
  </si>
  <si>
    <t>4242</t>
  </si>
  <si>
    <t>Freeman Jr.; Bryce A.</t>
  </si>
  <si>
    <t>4331</t>
  </si>
  <si>
    <t>Galindo Muniz; Julio C</t>
  </si>
  <si>
    <t>Canby Runner</t>
  </si>
  <si>
    <t>4644</t>
  </si>
  <si>
    <t>Gill; Grant D</t>
  </si>
  <si>
    <t>4730</t>
  </si>
  <si>
    <t>Graft; Jeremy D</t>
  </si>
  <si>
    <t>Groundman w/ CDL</t>
  </si>
  <si>
    <t>4758</t>
  </si>
  <si>
    <t>Green; Joshua G</t>
  </si>
  <si>
    <t>4759</t>
  </si>
  <si>
    <t>Green; Jesse D</t>
  </si>
  <si>
    <t>5113</t>
  </si>
  <si>
    <t>Henry; John R</t>
  </si>
  <si>
    <t>5197</t>
  </si>
  <si>
    <t>Hill; Brian M</t>
  </si>
  <si>
    <t>5198</t>
  </si>
  <si>
    <t>Hoch; Spencer W</t>
  </si>
  <si>
    <t>5302</t>
  </si>
  <si>
    <t>Hopson; Jesse B</t>
  </si>
  <si>
    <t>5645</t>
  </si>
  <si>
    <t>Humphries; Daniel A</t>
  </si>
  <si>
    <t>5713</t>
  </si>
  <si>
    <t>Isitt; Kyle W</t>
  </si>
  <si>
    <t>5985</t>
  </si>
  <si>
    <t>Johnston; Jake E</t>
  </si>
  <si>
    <t>5990</t>
  </si>
  <si>
    <t>Kennedy; Alexander X</t>
  </si>
  <si>
    <t>6123</t>
  </si>
  <si>
    <t>Kilgore; Logan T</t>
  </si>
  <si>
    <t>6124</t>
  </si>
  <si>
    <t>Kinnie; Reece T</t>
  </si>
  <si>
    <t>6234</t>
  </si>
  <si>
    <t>Kuykendall; Colton R</t>
  </si>
  <si>
    <t>6243</t>
  </si>
  <si>
    <t>Kutchera Jr.; Michael R</t>
  </si>
  <si>
    <t>6289</t>
  </si>
  <si>
    <t>Lamb III; Ted O</t>
  </si>
  <si>
    <t>6592</t>
  </si>
  <si>
    <t>Linton; Eric R</t>
  </si>
  <si>
    <t>Field Safety</t>
  </si>
  <si>
    <t>7276</t>
  </si>
  <si>
    <t>McCartt; Joseph Paul</t>
  </si>
  <si>
    <t>7296</t>
  </si>
  <si>
    <t>McCoy; Christopher D</t>
  </si>
  <si>
    <t>7736</t>
  </si>
  <si>
    <t>Moody; Garrett E.</t>
  </si>
  <si>
    <t>7761</t>
  </si>
  <si>
    <t>Moore; Connor R</t>
  </si>
  <si>
    <t>8135</t>
  </si>
  <si>
    <t>Noble; Norman F</t>
  </si>
  <si>
    <t>8230</t>
  </si>
  <si>
    <t>Olson; Richard C</t>
  </si>
  <si>
    <t>8386</t>
  </si>
  <si>
    <t>Perea; Luis D</t>
  </si>
  <si>
    <t>8467</t>
  </si>
  <si>
    <t>Phillips; Michael W</t>
  </si>
  <si>
    <t>8538</t>
  </si>
  <si>
    <t>Prado; Carlos A</t>
  </si>
  <si>
    <t>8780</t>
  </si>
  <si>
    <t>Ramirez Lima; Jose D</t>
  </si>
  <si>
    <t>8799</t>
  </si>
  <si>
    <t>Rau; Jared W</t>
  </si>
  <si>
    <t>8916</t>
  </si>
  <si>
    <t>Rivera; Darick J</t>
  </si>
  <si>
    <t>8929</t>
  </si>
  <si>
    <t>Rode; Richard D</t>
  </si>
  <si>
    <t>9113</t>
  </si>
  <si>
    <t>Rodriguez; Cuauhtemoc</t>
  </si>
  <si>
    <t>9127</t>
  </si>
  <si>
    <t>Ros; Christian E</t>
  </si>
  <si>
    <t>9129</t>
  </si>
  <si>
    <t>Rogers; Mason Q</t>
  </si>
  <si>
    <t>9233</t>
  </si>
  <si>
    <t>Sansaver; Kash J</t>
  </si>
  <si>
    <t>Sickler; Jonathan</t>
  </si>
  <si>
    <t>9346</t>
  </si>
  <si>
    <t>Scott; Shawn M</t>
  </si>
  <si>
    <t>9455</t>
  </si>
  <si>
    <t>Smith; Cody M</t>
  </si>
  <si>
    <t>9514</t>
  </si>
  <si>
    <t>Smith; Jeffery A</t>
  </si>
  <si>
    <t>9519</t>
  </si>
  <si>
    <t>Smith; Robert W</t>
  </si>
  <si>
    <t>9536</t>
  </si>
  <si>
    <t>Smoots; Robert J</t>
  </si>
  <si>
    <t>9720</t>
  </si>
  <si>
    <t>Stone; William J.</t>
  </si>
  <si>
    <t>Training Director</t>
  </si>
  <si>
    <t>9764</t>
  </si>
  <si>
    <t>Spitler II; Robert J</t>
  </si>
  <si>
    <t>9979</t>
  </si>
  <si>
    <t>Tice; Raymond W</t>
  </si>
  <si>
    <t>10040</t>
  </si>
  <si>
    <t>Trujillo; Gregory M</t>
  </si>
  <si>
    <t>10192</t>
  </si>
  <si>
    <t>Vincent; Eric T</t>
  </si>
  <si>
    <t>10193</t>
  </si>
  <si>
    <t>Vadnais; Randy L</t>
  </si>
  <si>
    <t>10455</t>
  </si>
  <si>
    <t>Watkins; Jonathan D</t>
  </si>
  <si>
    <t>10457</t>
  </si>
  <si>
    <t>Wayne; Cory M</t>
  </si>
  <si>
    <t>10565</t>
  </si>
  <si>
    <t>Weatherford; Joel B</t>
  </si>
  <si>
    <t>10579</t>
  </si>
  <si>
    <t>Welsh; Darren W</t>
  </si>
  <si>
    <t>10746</t>
  </si>
  <si>
    <t>Williams; Gavin P</t>
  </si>
  <si>
    <t>10920</t>
  </si>
  <si>
    <t>Zaumseil; Kody T</t>
  </si>
  <si>
    <t>10939</t>
  </si>
  <si>
    <t>Zwan; Andrew F</t>
  </si>
  <si>
    <t>2021-96-0</t>
  </si>
  <si>
    <t>COVID PAID LEAVE-NO CREDIT</t>
  </si>
  <si>
    <t>320021-60-0</t>
  </si>
  <si>
    <t>HELICOPTER OREGON 2021</t>
  </si>
  <si>
    <t>593221-89-0</t>
  </si>
  <si>
    <t>Southend Air Park-Hangar Maint</t>
  </si>
  <si>
    <t>GABE MILLER</t>
  </si>
  <si>
    <t>670621-71-0</t>
  </si>
  <si>
    <t>GilaRiver-Line Const Svc 21-22</t>
  </si>
  <si>
    <t>Adam Peart</t>
  </si>
  <si>
    <t>676321-70-0</t>
  </si>
  <si>
    <t>SCE-Photocell Replacement</t>
  </si>
  <si>
    <t>Gabe Perez - Jeff Stark</t>
  </si>
  <si>
    <t>Adam Peart - Zach Zeulner</t>
  </si>
  <si>
    <t>PNM-Cibola Surveillance SecSys</t>
  </si>
  <si>
    <t>678621-70-0</t>
  </si>
  <si>
    <t>PG&amp;E-FRRB-BigBend 1102-B4 PH4</t>
  </si>
  <si>
    <t>678721-10-0</t>
  </si>
  <si>
    <t>678921-76-0</t>
  </si>
  <si>
    <t>PNM-Abo Surv Sec Syst Infrast</t>
  </si>
  <si>
    <t>Ron Stewart</t>
  </si>
  <si>
    <t>679121-70-0</t>
  </si>
  <si>
    <t>PacifiCorp-2021 HelioSvsCA PRE</t>
  </si>
  <si>
    <t>679321-76-0</t>
  </si>
  <si>
    <t>PNM-Pajarito Surv Sec Syst-Inf</t>
  </si>
  <si>
    <t>679421-80-0</t>
  </si>
  <si>
    <t>PSE-Energ Eastside Tran FacPRE</t>
  </si>
  <si>
    <t>CHUCK WOODARD-GABE PEREZ</t>
  </si>
  <si>
    <t>679521-70-0</t>
  </si>
  <si>
    <t>JAIME JAUREGUI-JEFF STARK</t>
  </si>
  <si>
    <t>JAY CLARK</t>
  </si>
  <si>
    <t>679621-70-0</t>
  </si>
  <si>
    <t>PG&amp;E-2021 Routine Em Wrk PRE</t>
  </si>
  <si>
    <t>679821-71-0</t>
  </si>
  <si>
    <t>Vulcan-Marana Plant Terminate</t>
  </si>
  <si>
    <t>CHRIS KERBER</t>
  </si>
  <si>
    <t>679921-70-0</t>
  </si>
  <si>
    <t>SCE-Lake Success Trans &amp; Dist</t>
  </si>
  <si>
    <t>JEFF STARK</t>
  </si>
  <si>
    <t>JON W. JOHNSON</t>
  </si>
  <si>
    <t>680021-70-0</t>
  </si>
  <si>
    <t>680221-76-0</t>
  </si>
  <si>
    <t>PNM-W Mesa Switch Sta Sec Wall</t>
  </si>
  <si>
    <t>680321-71-0</t>
  </si>
  <si>
    <t>Wallen-T&amp;E Rates 2021</t>
  </si>
  <si>
    <t>680421-76-0</t>
  </si>
  <si>
    <t>PNM-Daily Crews 2021-2022</t>
  </si>
  <si>
    <t>680521-40-1</t>
  </si>
  <si>
    <t>Clearwater-Bird Diverter Inst</t>
  </si>
  <si>
    <t>680621-70-0</t>
  </si>
  <si>
    <t>680721-70-0</t>
  </si>
  <si>
    <t>PG&amp;E-Diamond Sprgs 1107 PRE</t>
  </si>
  <si>
    <t>680821-70-0</t>
  </si>
  <si>
    <t>681021-70-0</t>
  </si>
  <si>
    <t>PG&amp;E-CWSP Mtn Quarries PRE</t>
  </si>
  <si>
    <t>MIKE RAPER</t>
  </si>
  <si>
    <t>681121-10-0</t>
  </si>
  <si>
    <t>PSE-Storm Work 2021 PRE</t>
  </si>
  <si>
    <t>RYAN HARMS</t>
  </si>
  <si>
    <t>681221-70-0</t>
  </si>
  <si>
    <t>681321-70-0</t>
  </si>
  <si>
    <t>PG&amp;E-Elec Dist Fuse Repl 21PRE</t>
  </si>
  <si>
    <t>1264</t>
  </si>
  <si>
    <t>Aumann III; Walter R</t>
  </si>
  <si>
    <t>Pre-Apprentice Lineman</t>
  </si>
  <si>
    <t>1623</t>
  </si>
  <si>
    <t>Benedict; Vincent A</t>
  </si>
  <si>
    <t>2206</t>
  </si>
  <si>
    <t>Brittain; Tristan C</t>
  </si>
  <si>
    <t>2274</t>
  </si>
  <si>
    <t>Brown Jr.; Richard W</t>
  </si>
  <si>
    <t>3398</t>
  </si>
  <si>
    <t>Delgado; Isaac E</t>
  </si>
  <si>
    <t>4147</t>
  </si>
  <si>
    <t>Finley; Samuel R</t>
  </si>
  <si>
    <t>4418</t>
  </si>
  <si>
    <t>Garcia; Alberto D</t>
  </si>
  <si>
    <t>4769</t>
  </si>
  <si>
    <t>Griego; Joseph D</t>
  </si>
  <si>
    <t>5087</t>
  </si>
  <si>
    <t>Harper; Dawn Lee</t>
  </si>
  <si>
    <t>5303</t>
  </si>
  <si>
    <t>Hopkins; Michael E</t>
  </si>
  <si>
    <t>8038</t>
  </si>
  <si>
    <t>Nguyen; Tuan A</t>
  </si>
  <si>
    <t>8170</t>
  </si>
  <si>
    <t>Nunez; Raul G</t>
  </si>
  <si>
    <t>9131</t>
  </si>
  <si>
    <t>Rogich; Gregory J</t>
  </si>
  <si>
    <t>9187</t>
  </si>
  <si>
    <t>Salazar; Isaias</t>
  </si>
  <si>
    <t>Lineman Jouneyman</t>
  </si>
  <si>
    <t>9255</t>
  </si>
  <si>
    <t>Santa Cruz; Gregory P.</t>
  </si>
  <si>
    <t>9308</t>
  </si>
  <si>
    <t>Sessions; Joshua R</t>
  </si>
  <si>
    <t>9691</t>
  </si>
  <si>
    <t>Sutton; Ian J</t>
  </si>
  <si>
    <t>9858</t>
  </si>
  <si>
    <t>Teasley; Ryan D</t>
  </si>
  <si>
    <t>10144</t>
  </si>
  <si>
    <t>Van Brocklin; Jordan L</t>
  </si>
  <si>
    <t>10220</t>
  </si>
  <si>
    <t>Villalobos; Maria T</t>
  </si>
  <si>
    <t>10441</t>
  </si>
  <si>
    <t>Waters; Jeffery L</t>
  </si>
  <si>
    <t>10458</t>
  </si>
  <si>
    <t>Waters; Nicholas D</t>
  </si>
  <si>
    <t>PG&amp;E-Sac Div Pole Repl PRE</t>
  </si>
  <si>
    <t>681421-70-0</t>
  </si>
  <si>
    <t>PG&amp;E-CWSP-Vacaville PH 1.2 PRE</t>
  </si>
  <si>
    <t>681521-70-0</t>
  </si>
  <si>
    <t>PG&amp;E-Elec Dist 2AF Idle FacPRE</t>
  </si>
  <si>
    <t>681721-70-0</t>
  </si>
  <si>
    <t>SCE-Cerritos Chan FAA Lgt PRE</t>
  </si>
  <si>
    <t>ROBERT MCINTIRE</t>
  </si>
  <si>
    <t>681821-70-0</t>
  </si>
  <si>
    <t>ISAAC CHRISTOPHERSON</t>
  </si>
  <si>
    <t>681921-76-0</t>
  </si>
  <si>
    <t>PNM-Luna Switch Sta DGA Mon</t>
  </si>
  <si>
    <t>682021-70-0</t>
  </si>
  <si>
    <t>PG&amp;E-CWSP Vacaville PH1.4PRE</t>
  </si>
  <si>
    <t>682121-76-0</t>
  </si>
  <si>
    <t>PNM-Turquoise Switch Sta DGA</t>
  </si>
  <si>
    <t>`</t>
  </si>
  <si>
    <t>LITW</t>
  </si>
  <si>
    <t>1027</t>
  </si>
  <si>
    <t>Acosta; Christopher M</t>
  </si>
  <si>
    <t>1210</t>
  </si>
  <si>
    <t>Anderson; Calvin J</t>
  </si>
  <si>
    <t>1276</t>
  </si>
  <si>
    <t>Avila; David J</t>
  </si>
  <si>
    <t>1559</t>
  </si>
  <si>
    <t>Beck; Ian M</t>
  </si>
  <si>
    <t>Groundman 0-2000</t>
  </si>
  <si>
    <t>1625</t>
  </si>
  <si>
    <t>Bentley; Michael J</t>
  </si>
  <si>
    <t>1829</t>
  </si>
  <si>
    <t>Black; Cody S</t>
  </si>
  <si>
    <t>Apprentice Linemam 1st Step</t>
  </si>
  <si>
    <t>2092</t>
  </si>
  <si>
    <t>Bossow; Tyson J</t>
  </si>
  <si>
    <t>2115</t>
  </si>
  <si>
    <t>Bowkett; John D</t>
  </si>
  <si>
    <t>Lineman Journymen</t>
  </si>
  <si>
    <t>2344</t>
  </si>
  <si>
    <t>Buckmaster; Matthew D</t>
  </si>
  <si>
    <t>2566</t>
  </si>
  <si>
    <t>Calderon; Alan E</t>
  </si>
  <si>
    <t>2665</t>
  </si>
  <si>
    <t>Cervantes; Gabriel C</t>
  </si>
  <si>
    <t>2666</t>
  </si>
  <si>
    <t>Castrejon; Ivan</t>
  </si>
  <si>
    <t>Groundman 2080+</t>
  </si>
  <si>
    <t>2810</t>
  </si>
  <si>
    <t>Chance; Daniel W</t>
  </si>
  <si>
    <t>2828</t>
  </si>
  <si>
    <t>Christensen; Bradly J</t>
  </si>
  <si>
    <t>3035</t>
  </si>
  <si>
    <t>Cordova; Patrick L</t>
  </si>
  <si>
    <t>3036</t>
  </si>
  <si>
    <t>Corey; Dashun</t>
  </si>
  <si>
    <t>3059</t>
  </si>
  <si>
    <t>Cottier; Alec P</t>
  </si>
  <si>
    <t>3089</t>
  </si>
  <si>
    <t>Crandall; Nathan S</t>
  </si>
  <si>
    <t>3115</t>
  </si>
  <si>
    <t>Curtis; Bryce S</t>
  </si>
  <si>
    <t>3445</t>
  </si>
  <si>
    <t>Diem; Charles K</t>
  </si>
  <si>
    <t>3582</t>
  </si>
  <si>
    <t>Ducey; Cain M</t>
  </si>
  <si>
    <t>3946</t>
  </si>
  <si>
    <t>Erickson; Jacob D</t>
  </si>
  <si>
    <t>4053</t>
  </si>
  <si>
    <t>Farley; Shawn L</t>
  </si>
  <si>
    <t>4113</t>
  </si>
  <si>
    <t>Flores; Jesus M</t>
  </si>
  <si>
    <t>4154</t>
  </si>
  <si>
    <t>Fiallos; Leonardo A.</t>
  </si>
  <si>
    <t>4244</t>
  </si>
  <si>
    <t>Frazier; Benjamin W</t>
  </si>
  <si>
    <t>4263</t>
  </si>
  <si>
    <t>Frisbie; Troy A</t>
  </si>
  <si>
    <t>4279</t>
  </si>
  <si>
    <t>Fuentes; Bryan A</t>
  </si>
  <si>
    <t>4292</t>
  </si>
  <si>
    <t>Futrell; James D</t>
  </si>
  <si>
    <t>4376</t>
  </si>
  <si>
    <t>Gardner; Phillip S</t>
  </si>
  <si>
    <t>4692</t>
  </si>
  <si>
    <t>Given; Dalton J</t>
  </si>
  <si>
    <t>4707</t>
  </si>
  <si>
    <t>Grassl; James D</t>
  </si>
  <si>
    <t>4890</t>
  </si>
  <si>
    <t>Hardison; Corey O</t>
  </si>
  <si>
    <t>4991</t>
  </si>
  <si>
    <t>Hinkley; Edward J</t>
  </si>
  <si>
    <t>5139</t>
  </si>
  <si>
    <t>Hidalgo; Cody B.</t>
  </si>
  <si>
    <t>5161</t>
  </si>
  <si>
    <t>Hickson; Rodgerick T</t>
  </si>
  <si>
    <t>5350</t>
  </si>
  <si>
    <t>Hollingsworth; Zachary S</t>
  </si>
  <si>
    <t>5582</t>
  </si>
  <si>
    <t>Howland; Hayden L</t>
  </si>
  <si>
    <t>5639</t>
  </si>
  <si>
    <t>Hubel; Ryan M</t>
  </si>
  <si>
    <t>5717</t>
  </si>
  <si>
    <t>Inman; Aaron T</t>
  </si>
  <si>
    <t>5744</t>
  </si>
  <si>
    <t>Jenkins; Wyatt E</t>
  </si>
  <si>
    <t>5880</t>
  </si>
  <si>
    <t>Johnson; Loren M</t>
  </si>
  <si>
    <t>5992</t>
  </si>
  <si>
    <t>Kaufman; Clay D</t>
  </si>
  <si>
    <t>6244</t>
  </si>
  <si>
    <t>LaGarce; Trevor L</t>
  </si>
  <si>
    <t>6245</t>
  </si>
  <si>
    <t>Kutsev; Kira</t>
  </si>
  <si>
    <t>Equipment Admin Clerk</t>
  </si>
  <si>
    <t>6286</t>
  </si>
  <si>
    <t>Lambourne; Jason W</t>
  </si>
  <si>
    <t>6299</t>
  </si>
  <si>
    <t>Larsen; Jed C</t>
  </si>
  <si>
    <t>6475</t>
  </si>
  <si>
    <t>Leon; Jose E.</t>
  </si>
  <si>
    <t>6666</t>
  </si>
  <si>
    <t>Long; Klayt H</t>
  </si>
  <si>
    <t>6684</t>
  </si>
  <si>
    <t>Lopez; Samuel J</t>
  </si>
  <si>
    <t>6735</t>
  </si>
  <si>
    <t>Luevano; Jesus R</t>
  </si>
  <si>
    <t>6740</t>
  </si>
  <si>
    <t>Lunsford; Matthew D</t>
  </si>
  <si>
    <t>6757</t>
  </si>
  <si>
    <t>Lumry; Kyle W</t>
  </si>
  <si>
    <t>6914</t>
  </si>
  <si>
    <t>MacMaster; Justin T</t>
  </si>
  <si>
    <t>6955</t>
  </si>
  <si>
    <t>Maldonado; Shane M</t>
  </si>
  <si>
    <t>7077</t>
  </si>
  <si>
    <t>Maynes; Jared J</t>
  </si>
  <si>
    <t>7304</t>
  </si>
  <si>
    <t>McDermott; Matt</t>
  </si>
  <si>
    <t>7306</t>
  </si>
  <si>
    <t>McDonald; Kreshawn E</t>
  </si>
  <si>
    <t>7345</t>
  </si>
  <si>
    <t>McKay; Christopher W</t>
  </si>
  <si>
    <t>7401</t>
  </si>
  <si>
    <t>McManus; Sean P</t>
  </si>
  <si>
    <t>7478</t>
  </si>
  <si>
    <t>Medley; Trevor L</t>
  </si>
  <si>
    <t>7504</t>
  </si>
  <si>
    <t>Meyers; Brian R</t>
  </si>
  <si>
    <t>7676</t>
  </si>
  <si>
    <t>Moe; Travis A</t>
  </si>
  <si>
    <t>7758</t>
  </si>
  <si>
    <t>Moore; Randall C</t>
  </si>
  <si>
    <t>Field Mechanic - New Mexico</t>
  </si>
  <si>
    <t>8049</t>
  </si>
  <si>
    <t>Neil; Austin L</t>
  </si>
  <si>
    <t>8229</t>
  </si>
  <si>
    <t>Opresik; Jesse D</t>
  </si>
  <si>
    <t>8235</t>
  </si>
  <si>
    <t>Lane; Luke R</t>
  </si>
  <si>
    <t>8263</t>
  </si>
  <si>
    <t>Opresik; Derrik J</t>
  </si>
  <si>
    <t>8291</t>
  </si>
  <si>
    <t>Pagaza; Santino</t>
  </si>
  <si>
    <t>8308</t>
  </si>
  <si>
    <t>Parker; Evan M</t>
  </si>
  <si>
    <t>8309</t>
  </si>
  <si>
    <t>Parker; Scott T</t>
  </si>
  <si>
    <t>8344</t>
  </si>
  <si>
    <t>Palacios; Anthony</t>
  </si>
  <si>
    <t>8350</t>
  </si>
  <si>
    <t>Pendergast; Johnnie W.</t>
  </si>
  <si>
    <t>8351</t>
  </si>
  <si>
    <t>Pendergast III; Johnnie W.</t>
  </si>
  <si>
    <t>8404</t>
  </si>
  <si>
    <t>Perez; Pedro Antonio</t>
  </si>
  <si>
    <t>8504</t>
  </si>
  <si>
    <t>Pope; Aric D</t>
  </si>
  <si>
    <t>8521</t>
  </si>
  <si>
    <t>Preciado; Edgar E.</t>
  </si>
  <si>
    <t>8540</t>
  </si>
  <si>
    <t>Pottage; Edward D</t>
  </si>
  <si>
    <t>8781</t>
  </si>
  <si>
    <t>Ramirez; Jose L</t>
  </si>
  <si>
    <t>8881</t>
  </si>
  <si>
    <t>Rich; Steven P</t>
  </si>
  <si>
    <t>8882</t>
  </si>
  <si>
    <t>Rolin; Cody R</t>
  </si>
  <si>
    <t>8883</t>
  </si>
  <si>
    <t>Rhyne; Jesse A</t>
  </si>
  <si>
    <t>8917</t>
  </si>
  <si>
    <t>Rivera; Anthony R</t>
  </si>
  <si>
    <t>9132</t>
  </si>
  <si>
    <t>Rodriquez; Israel</t>
  </si>
  <si>
    <t>9133</t>
  </si>
  <si>
    <t>Rodriguez; Juan C</t>
  </si>
  <si>
    <t>9206</t>
  </si>
  <si>
    <t>Sanford; John K</t>
  </si>
  <si>
    <t>9347</t>
  </si>
  <si>
    <t>Serna; Edwin</t>
  </si>
  <si>
    <t>9348</t>
  </si>
  <si>
    <t>Sealy; William C</t>
  </si>
  <si>
    <t>9356</t>
  </si>
  <si>
    <t>Spaulding; Raymond K</t>
  </si>
  <si>
    <t>Sagger</t>
  </si>
  <si>
    <t>9697</t>
  </si>
  <si>
    <t>Suttle; Jared C</t>
  </si>
  <si>
    <t>9752</t>
  </si>
  <si>
    <t>Swan; Benjamin D</t>
  </si>
  <si>
    <t>9999</t>
  </si>
  <si>
    <t>Tramblie; Tanner David</t>
  </si>
  <si>
    <t>10073</t>
  </si>
  <si>
    <t>Turner; John W</t>
  </si>
  <si>
    <t>10075</t>
  </si>
  <si>
    <t>Turner; Justin T</t>
  </si>
  <si>
    <t>10080</t>
  </si>
  <si>
    <t>Townsend; Gerald</t>
  </si>
  <si>
    <t>10141</t>
  </si>
  <si>
    <t>Valdez; Daniel V</t>
  </si>
  <si>
    <t>10164</t>
  </si>
  <si>
    <t>Vanderlip; Stanley T</t>
  </si>
  <si>
    <t>10194</t>
  </si>
  <si>
    <t>Vick; Trenton C</t>
  </si>
  <si>
    <t>10221</t>
  </si>
  <si>
    <t>Villasenor; Ricardo</t>
  </si>
  <si>
    <t>10235</t>
  </si>
  <si>
    <t>Waddell; Robert C</t>
  </si>
  <si>
    <t>10236</t>
  </si>
  <si>
    <t>Wagner; Xahn O</t>
  </si>
  <si>
    <t>Weaver; Stephanie G.</t>
  </si>
  <si>
    <t>10292</t>
  </si>
  <si>
    <t>Wallace; Rodney A</t>
  </si>
  <si>
    <t>10459</t>
  </si>
  <si>
    <t>Warnock; Nash V</t>
  </si>
  <si>
    <t>10566</t>
  </si>
  <si>
    <t>Webb; Lamont D</t>
  </si>
  <si>
    <t>10577</t>
  </si>
  <si>
    <t>Wells Jr; Ricky</t>
  </si>
  <si>
    <t>10657</t>
  </si>
  <si>
    <t>Whitman; Joshua D</t>
  </si>
  <si>
    <t>10725</t>
  </si>
  <si>
    <t>Wilkinson; Kyle D</t>
  </si>
  <si>
    <t>10769</t>
  </si>
  <si>
    <t>Williamson; Grant D</t>
  </si>
  <si>
    <t>10856</t>
  </si>
  <si>
    <t>Wood; Samuel G</t>
  </si>
  <si>
    <t>10904</t>
  </si>
  <si>
    <t>Zamora; Julio C</t>
  </si>
  <si>
    <t>PG&amp;E-Wood Pole Replacement</t>
  </si>
  <si>
    <t>ADAM PEART-SAMEKA JOHNSON</t>
  </si>
  <si>
    <t>PG&amp;E-Elec Dist New Bus Wk</t>
  </si>
  <si>
    <t>ADAM PEART - KATIE HORRAX</t>
  </si>
  <si>
    <t>KATIE HORRAX-SAMEKA JOHNSON</t>
  </si>
  <si>
    <t>PG&amp;E-Big Bend B1 Polygon</t>
  </si>
  <si>
    <t>PG&amp;E-Elec Dis Non-Exmt Fuse</t>
  </si>
  <si>
    <t>PG&amp;E-Elect Dist Pole Rep-NV</t>
  </si>
  <si>
    <t>Elmhurst-Distrb Dock Crews</t>
  </si>
  <si>
    <t>SCE-MiraLoma-Corona-Jefferson</t>
  </si>
  <si>
    <t>Barnard-Elm Lugo-Mohave 500kV</t>
  </si>
  <si>
    <t>PG&amp;E-OR Trail Eng Proc EPC Ph6</t>
  </si>
  <si>
    <t>ADAM PEART - SAMEKA JOHNSON</t>
  </si>
  <si>
    <t>PG&amp;E-OR Trail Eng Proc EPC Ph4</t>
  </si>
  <si>
    <t>KATIE HORRAX-ADAM PEART</t>
  </si>
  <si>
    <t>SCE-Mira Loma Walnut 220kV TL</t>
  </si>
  <si>
    <t>682321-40-0</t>
  </si>
  <si>
    <t>Avista-Ford to Long Lk Recond</t>
  </si>
  <si>
    <t>JON TALBOTT - RYAN HARMS</t>
  </si>
  <si>
    <t>682421-80-1</t>
  </si>
  <si>
    <t>B&amp;ME-BPA Cust Intercon PRE</t>
  </si>
  <si>
    <t>682621-76-0</t>
  </si>
  <si>
    <t>PNM-Western Spirits Gate Inst</t>
  </si>
  <si>
    <t>682721-40-1</t>
  </si>
  <si>
    <t>4JEngel-Undergrd Cbl Elbow Spl</t>
  </si>
  <si>
    <t>682821-76-0</t>
  </si>
  <si>
    <t>PNM-Mimbres Breaker Replacemnt</t>
  </si>
  <si>
    <t>682921-76-0</t>
  </si>
  <si>
    <t>PNM-West Mesa Conduit</t>
  </si>
  <si>
    <t>683021-76-0</t>
  </si>
  <si>
    <t>PNM-Pajarito Sub Cond Acc Pan</t>
  </si>
  <si>
    <t>683121-40-0</t>
  </si>
  <si>
    <t>Inland-2021 Snake Riv CrossPRE</t>
  </si>
  <si>
    <t>683221-70-0</t>
  </si>
  <si>
    <t>BETA-Eldorado Lugo Mohave</t>
  </si>
  <si>
    <t>683321-40-0</t>
  </si>
  <si>
    <t>Mtn States-Midnite Mine</t>
  </si>
  <si>
    <t>683421-70-0</t>
  </si>
  <si>
    <t>BETA-Elm QEW Support PRE</t>
  </si>
  <si>
    <t>JAIME JAUREGUI - JEFF STARK</t>
  </si>
  <si>
    <t>683521-70-0</t>
  </si>
  <si>
    <t>DCI-Hold Pole at Winch &amp; Borel</t>
  </si>
  <si>
    <t>JEFF STARK-CHRIS ACOSTA</t>
  </si>
  <si>
    <t>CODY JACKSON</t>
  </si>
  <si>
    <t>683621-60-0</t>
  </si>
  <si>
    <t>MW&amp;L-Steel Trans Pwr Pole Inst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</si>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</sst>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/dd/yy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[$-409]h:mm\ AM/PM;@"/>
    <numFmt numFmtId="169" formatCode="00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Calibri"/>
      <family val="2"/>
      <scheme val="minor"/>
    </font>
    <font>
      <sz val="10"/>
      <name val="Arial"/>
      <family val="2"/>
    </font>
    <font>
      <b/>
      <sz val="13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sz val="2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theme="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24"/>
      <name val="Calibri"/>
      <family val="2"/>
      <scheme val="minor"/>
    </font>
    <font>
      <sz val="12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indexed="1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u/>
      <sz val="20"/>
      <name val="Calibri"/>
      <family val="2"/>
      <scheme val="minor"/>
    </font>
    <font>
      <b/>
      <sz val="2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4"/>
      <color theme="3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FF"/>
      <name val="Calibri"/>
      <family val="2"/>
      <scheme val="minor"/>
    </font>
    <font>
      <sz val="18"/>
      <color rgb="FF990099"/>
      <name val="Calibri"/>
      <family val="2"/>
      <scheme val="minor"/>
    </font>
    <font>
      <b/>
      <sz val="18"/>
      <color rgb="FF990099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b/>
      <sz val="13"/>
      <color rgb="FFFF33CC"/>
      <name val="Calibri"/>
      <family val="2"/>
      <scheme val="minor"/>
    </font>
    <font>
      <sz val="22"/>
      <color rgb="FFFF33CC"/>
      <name val="Calibri"/>
      <family val="2"/>
      <scheme val="minor"/>
    </font>
    <font>
      <sz val="16"/>
      <color rgb="FFFF0000"/>
      <name val="Calibri"/>
      <family val="2"/>
      <scheme val="minor"/>
    </font>
    <font>
      <sz val="24"/>
      <color rgb="FF80008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name val="Calibri"/>
      <family val="2"/>
      <scheme val="minor"/>
    </font>
    <font>
      <sz val="22"/>
      <color rgb="FF7030A0"/>
      <name val="Calibri"/>
      <family val="2"/>
      <scheme val="minor"/>
    </font>
    <font>
      <sz val="13"/>
      <name val="Cambria"/>
      <family val="1"/>
      <scheme val="major"/>
    </font>
    <font>
      <b/>
      <sz val="13"/>
      <color rgb="FFFF0000"/>
      <name val="Cambria"/>
      <family val="1"/>
      <scheme val="major"/>
    </font>
    <font>
      <b/>
      <sz val="22"/>
      <color rgb="FFFF0000"/>
      <name val="Calibri"/>
      <family val="2"/>
      <scheme val="minor"/>
    </font>
    <font>
      <sz val="20"/>
      <color rgb="FF7030A0"/>
      <name val="Calibri"/>
      <family val="2"/>
      <scheme val="minor"/>
    </font>
    <font>
      <sz val="18"/>
      <color rgb="FF7030A0"/>
      <name val="Calibri"/>
      <family val="2"/>
      <scheme val="minor"/>
    </font>
    <font>
      <sz val="26"/>
      <color rgb="FF7030A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CC"/>
        <bgColor indexed="64"/>
      </patternFill>
    </fill>
  </fills>
  <borders count="8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indexed="64"/>
      </top>
      <bottom style="thin">
        <color rgb="FFC00000"/>
      </bottom>
      <diagonal/>
    </border>
    <border>
      <left/>
      <right style="medium">
        <color rgb="FFC00000"/>
      </right>
      <top style="thin">
        <color indexed="64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indexed="64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rgb="FFC00000"/>
      </bottom>
      <diagonal/>
    </border>
    <border>
      <left style="thin">
        <color indexed="64"/>
      </left>
      <right style="medium">
        <color rgb="FFC00000"/>
      </right>
      <top/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thin">
        <color indexed="64"/>
      </right>
      <top style="thin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rgb="FFC00000"/>
      </top>
      <bottom/>
      <diagonal/>
    </border>
    <border>
      <left style="thin">
        <color indexed="64"/>
      </left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thin">
        <color rgb="FFC00000"/>
      </left>
      <right style="medium">
        <color rgb="FFC00000"/>
      </right>
      <top/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rgb="FFC00000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rgb="FFC00000"/>
      </bottom>
      <diagonal/>
    </border>
  </borders>
  <cellStyleXfs count="1117">
    <xf numFmtId="168" fontId="0" fillId="0" borderId="0"/>
    <xf numFmtId="168" fontId="2" fillId="0" borderId="0"/>
    <xf numFmtId="43" fontId="2" fillId="0" borderId="0" applyFont="0" applyFill="0" applyBorder="0" applyAlignment="0" applyProtection="0"/>
    <xf numFmtId="168" fontId="1" fillId="0" borderId="0"/>
    <xf numFmtId="168" fontId="2" fillId="0" borderId="0"/>
    <xf numFmtId="168" fontId="4" fillId="0" borderId="0"/>
    <xf numFmtId="43" fontId="1" fillId="0" borderId="0" applyFont="0" applyFill="0" applyBorder="0" applyAlignment="0" applyProtection="0"/>
    <xf numFmtId="168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1" fillId="2" borderId="1" applyNumberFormat="0" applyFont="0" applyAlignment="0" applyProtection="0"/>
    <xf numFmtId="168" fontId="6" fillId="2" borderId="1" applyNumberFormat="0" applyFont="0" applyAlignment="0" applyProtection="0"/>
    <xf numFmtId="43" fontId="1" fillId="0" borderId="0" applyFont="0" applyFill="0" applyBorder="0" applyAlignment="0" applyProtection="0"/>
    <xf numFmtId="168" fontId="8" fillId="0" borderId="0" applyNumberFormat="0" applyFill="0" applyBorder="0" applyAlignment="0" applyProtection="0"/>
    <xf numFmtId="168" fontId="9" fillId="0" borderId="14" applyNumberFormat="0" applyFill="0" applyAlignment="0" applyProtection="0"/>
    <xf numFmtId="168" fontId="10" fillId="0" borderId="15" applyNumberFormat="0" applyFill="0" applyAlignment="0" applyProtection="0"/>
    <xf numFmtId="168" fontId="11" fillId="0" borderId="16" applyNumberFormat="0" applyFill="0" applyAlignment="0" applyProtection="0"/>
    <xf numFmtId="168" fontId="11" fillId="0" borderId="0" applyNumberFormat="0" applyFill="0" applyBorder="0" applyAlignment="0" applyProtection="0"/>
    <xf numFmtId="168" fontId="12" fillId="5" borderId="0" applyNumberFormat="0" applyBorder="0" applyAlignment="0" applyProtection="0"/>
    <xf numFmtId="168" fontId="13" fillId="6" borderId="0" applyNumberFormat="0" applyBorder="0" applyAlignment="0" applyProtection="0"/>
    <xf numFmtId="168" fontId="14" fillId="7" borderId="0" applyNumberFormat="0" applyBorder="0" applyAlignment="0" applyProtection="0"/>
    <xf numFmtId="168" fontId="15" fillId="8" borderId="17" applyNumberFormat="0" applyAlignment="0" applyProtection="0"/>
    <xf numFmtId="168" fontId="16" fillId="9" borderId="18" applyNumberFormat="0" applyAlignment="0" applyProtection="0"/>
    <xf numFmtId="168" fontId="17" fillId="9" borderId="17" applyNumberFormat="0" applyAlignment="0" applyProtection="0"/>
    <xf numFmtId="168" fontId="18" fillId="0" borderId="19" applyNumberFormat="0" applyFill="0" applyAlignment="0" applyProtection="0"/>
    <xf numFmtId="168" fontId="19" fillId="10" borderId="20" applyNumberFormat="0" applyAlignment="0" applyProtection="0"/>
    <xf numFmtId="168" fontId="20" fillId="0" borderId="0" applyNumberFormat="0" applyFill="0" applyBorder="0" applyAlignment="0" applyProtection="0"/>
    <xf numFmtId="168" fontId="21" fillId="0" borderId="0" applyNumberFormat="0" applyFill="0" applyBorder="0" applyAlignment="0" applyProtection="0"/>
    <xf numFmtId="168" fontId="7" fillId="0" borderId="21" applyNumberFormat="0" applyFill="0" applyAlignment="0" applyProtection="0"/>
    <xf numFmtId="168" fontId="22" fillId="11" borderId="0" applyNumberFormat="0" applyBorder="0" applyAlignment="0" applyProtection="0"/>
    <xf numFmtId="168" fontId="1" fillId="12" borderId="0" applyNumberFormat="0" applyBorder="0" applyAlignment="0" applyProtection="0"/>
    <xf numFmtId="168" fontId="1" fillId="13" borderId="0" applyNumberFormat="0" applyBorder="0" applyAlignment="0" applyProtection="0"/>
    <xf numFmtId="168" fontId="22" fillId="14" borderId="0" applyNumberFormat="0" applyBorder="0" applyAlignment="0" applyProtection="0"/>
    <xf numFmtId="168" fontId="22" fillId="15" borderId="0" applyNumberFormat="0" applyBorder="0" applyAlignment="0" applyProtection="0"/>
    <xf numFmtId="168" fontId="1" fillId="16" borderId="0" applyNumberFormat="0" applyBorder="0" applyAlignment="0" applyProtection="0"/>
    <xf numFmtId="168" fontId="1" fillId="17" borderId="0" applyNumberFormat="0" applyBorder="0" applyAlignment="0" applyProtection="0"/>
    <xf numFmtId="168" fontId="22" fillId="18" borderId="0" applyNumberFormat="0" applyBorder="0" applyAlignment="0" applyProtection="0"/>
    <xf numFmtId="168" fontId="22" fillId="19" borderId="0" applyNumberFormat="0" applyBorder="0" applyAlignment="0" applyProtection="0"/>
    <xf numFmtId="168" fontId="1" fillId="20" borderId="0" applyNumberFormat="0" applyBorder="0" applyAlignment="0" applyProtection="0"/>
    <xf numFmtId="168" fontId="1" fillId="21" borderId="0" applyNumberFormat="0" applyBorder="0" applyAlignment="0" applyProtection="0"/>
    <xf numFmtId="168" fontId="22" fillId="22" borderId="0" applyNumberFormat="0" applyBorder="0" applyAlignment="0" applyProtection="0"/>
    <xf numFmtId="168" fontId="22" fillId="23" borderId="0" applyNumberFormat="0" applyBorder="0" applyAlignment="0" applyProtection="0"/>
    <xf numFmtId="168" fontId="1" fillId="24" borderId="0" applyNumberFormat="0" applyBorder="0" applyAlignment="0" applyProtection="0"/>
    <xf numFmtId="168" fontId="1" fillId="25" borderId="0" applyNumberFormat="0" applyBorder="0" applyAlignment="0" applyProtection="0"/>
    <xf numFmtId="168" fontId="22" fillId="26" borderId="0" applyNumberFormat="0" applyBorder="0" applyAlignment="0" applyProtection="0"/>
    <xf numFmtId="168" fontId="22" fillId="27" borderId="0" applyNumberFormat="0" applyBorder="0" applyAlignment="0" applyProtection="0"/>
    <xf numFmtId="168" fontId="1" fillId="28" borderId="0" applyNumberFormat="0" applyBorder="0" applyAlignment="0" applyProtection="0"/>
    <xf numFmtId="168" fontId="1" fillId="29" borderId="0" applyNumberFormat="0" applyBorder="0" applyAlignment="0" applyProtection="0"/>
    <xf numFmtId="168" fontId="22" fillId="30" borderId="0" applyNumberFormat="0" applyBorder="0" applyAlignment="0" applyProtection="0"/>
    <xf numFmtId="168" fontId="22" fillId="31" borderId="0" applyNumberFormat="0" applyBorder="0" applyAlignment="0" applyProtection="0"/>
    <xf numFmtId="168" fontId="1" fillId="32" borderId="0" applyNumberFormat="0" applyBorder="0" applyAlignment="0" applyProtection="0"/>
    <xf numFmtId="168" fontId="1" fillId="33" borderId="0" applyNumberFormat="0" applyBorder="0" applyAlignment="0" applyProtection="0"/>
    <xf numFmtId="168" fontId="22" fillId="34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1" fillId="0" borderId="0"/>
    <xf numFmtId="168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6" fillId="2" borderId="1" applyNumberFormat="0" applyFont="0" applyAlignment="0" applyProtection="0"/>
    <xf numFmtId="168" fontId="39" fillId="0" borderId="14" applyNumberFormat="0" applyFill="0" applyAlignment="0" applyProtection="0"/>
    <xf numFmtId="168" fontId="40" fillId="0" borderId="0"/>
    <xf numFmtId="168" fontId="41" fillId="37" borderId="3">
      <alignment horizontal="center" wrapText="1"/>
    </xf>
    <xf numFmtId="168" fontId="42" fillId="0" borderId="3" applyNumberFormat="0" applyAlignment="0"/>
    <xf numFmtId="0" fontId="2" fillId="0" borderId="0"/>
    <xf numFmtId="0" fontId="1" fillId="0" borderId="0"/>
    <xf numFmtId="0" fontId="2" fillId="0" borderId="0"/>
    <xf numFmtId="168" fontId="2" fillId="0" borderId="0"/>
    <xf numFmtId="168" fontId="1" fillId="0" borderId="0"/>
    <xf numFmtId="168" fontId="2" fillId="0" borderId="0"/>
  </cellStyleXfs>
  <cellXfs count="430">
    <xf numFmtId="168" fontId="0" fillId="0" borderId="0" xfId="0"/>
    <xf numFmtId="168" fontId="3" fillId="0" borderId="0" xfId="1" applyFont="1" applyProtection="1">
      <protection locked="0"/>
    </xf>
    <xf numFmtId="168" fontId="3" fillId="0" borderId="0" xfId="1" applyFont="1"/>
    <xf numFmtId="168" fontId="7" fillId="0" borderId="0" xfId="0" applyFont="1"/>
    <xf numFmtId="168" fontId="28" fillId="0" borderId="0" xfId="0" applyFont="1"/>
    <xf numFmtId="168" fontId="28" fillId="0" borderId="23" xfId="0" applyFont="1" applyBorder="1"/>
    <xf numFmtId="168" fontId="23" fillId="36" borderId="7" xfId="1" applyFont="1" applyFill="1" applyBorder="1" applyProtection="1">
      <protection locked="0"/>
    </xf>
    <xf numFmtId="168" fontId="24" fillId="36" borderId="8" xfId="1" applyFont="1" applyFill="1" applyBorder="1" applyProtection="1">
      <protection locked="0"/>
    </xf>
    <xf numFmtId="168" fontId="24" fillId="36" borderId="6" xfId="1" applyFont="1" applyFill="1" applyBorder="1" applyProtection="1">
      <protection locked="0"/>
    </xf>
    <xf numFmtId="168" fontId="25" fillId="36" borderId="13" xfId="1" applyFont="1" applyFill="1" applyBorder="1" applyProtection="1">
      <protection locked="0"/>
    </xf>
    <xf numFmtId="168" fontId="24" fillId="36" borderId="11" xfId="1" applyFont="1" applyFill="1" applyBorder="1" applyProtection="1">
      <protection locked="0"/>
    </xf>
    <xf numFmtId="168" fontId="26" fillId="36" borderId="13" xfId="1" applyFont="1" applyFill="1" applyBorder="1" applyProtection="1">
      <protection locked="0"/>
    </xf>
    <xf numFmtId="168" fontId="24" fillId="36" borderId="10" xfId="1" applyFont="1" applyFill="1" applyBorder="1" applyProtection="1">
      <protection locked="0"/>
    </xf>
    <xf numFmtId="168" fontId="24" fillId="36" borderId="2" xfId="1" applyFont="1" applyFill="1" applyBorder="1" applyProtection="1">
      <protection locked="0"/>
    </xf>
    <xf numFmtId="168" fontId="26" fillId="36" borderId="10" xfId="1" applyFont="1" applyFill="1" applyBorder="1" applyProtection="1">
      <protection locked="0"/>
    </xf>
    <xf numFmtId="168" fontId="24" fillId="36" borderId="0" xfId="1" applyFont="1" applyFill="1" applyProtection="1">
      <protection locked="0"/>
    </xf>
    <xf numFmtId="168" fontId="24" fillId="36" borderId="9" xfId="1" applyFont="1" applyFill="1" applyBorder="1" applyProtection="1">
      <protection locked="0"/>
    </xf>
    <xf numFmtId="168" fontId="30" fillId="0" borderId="0" xfId="1" applyFont="1" applyProtection="1">
      <protection locked="0"/>
    </xf>
    <xf numFmtId="168" fontId="28" fillId="35" borderId="22" xfId="0" applyFont="1" applyFill="1" applyBorder="1"/>
    <xf numFmtId="168" fontId="27" fillId="36" borderId="12" xfId="1" applyFont="1" applyFill="1" applyBorder="1" applyProtection="1">
      <protection locked="0"/>
    </xf>
    <xf numFmtId="168" fontId="24" fillId="36" borderId="3" xfId="1" applyFont="1" applyFill="1" applyBorder="1" applyAlignment="1" applyProtection="1">
      <alignment horizontal="left"/>
      <protection locked="0"/>
    </xf>
    <xf numFmtId="168" fontId="25" fillId="36" borderId="24" xfId="1" applyFont="1" applyFill="1" applyBorder="1" applyAlignment="1" applyProtection="1">
      <alignment horizontal="left"/>
      <protection locked="0"/>
    </xf>
    <xf numFmtId="168" fontId="26" fillId="36" borderId="25" xfId="1" applyFont="1" applyFill="1" applyBorder="1" applyAlignment="1" applyProtection="1">
      <alignment horizontal="left"/>
      <protection locked="0"/>
    </xf>
    <xf numFmtId="168" fontId="24" fillId="36" borderId="4" xfId="1" applyFont="1" applyFill="1" applyBorder="1" applyAlignment="1" applyProtection="1">
      <alignment horizontal="left"/>
      <protection locked="0"/>
    </xf>
    <xf numFmtId="168" fontId="7" fillId="0" borderId="0" xfId="0" applyFont="1" applyAlignment="1">
      <alignment horizontal="center"/>
    </xf>
    <xf numFmtId="168" fontId="0" fillId="0" borderId="0" xfId="0" applyAlignment="1">
      <alignment horizontal="center"/>
    </xf>
    <xf numFmtId="168" fontId="28" fillId="35" borderId="0" xfId="0" applyFont="1" applyFill="1"/>
    <xf numFmtId="168" fontId="28" fillId="0" borderId="8" xfId="0" applyFont="1" applyBorder="1"/>
    <xf numFmtId="49" fontId="36" fillId="0" borderId="8" xfId="1" applyNumberFormat="1" applyFont="1" applyBorder="1" applyProtection="1">
      <protection locked="0"/>
    </xf>
    <xf numFmtId="168" fontId="39" fillId="0" borderId="14" xfId="1107"/>
    <xf numFmtId="168" fontId="0" fillId="38" borderId="0" xfId="0" applyFill="1"/>
    <xf numFmtId="168" fontId="0" fillId="0" borderId="26" xfId="0" applyBorder="1"/>
    <xf numFmtId="168" fontId="7" fillId="0" borderId="27" xfId="0" applyFont="1" applyBorder="1"/>
    <xf numFmtId="168" fontId="7" fillId="0" borderId="28" xfId="0" applyFont="1" applyBorder="1"/>
    <xf numFmtId="168" fontId="29" fillId="0" borderId="0" xfId="0" applyFont="1"/>
    <xf numFmtId="168" fontId="29" fillId="35" borderId="0" xfId="0" applyFont="1" applyFill="1"/>
    <xf numFmtId="168" fontId="0" fillId="35" borderId="0" xfId="0" applyFill="1"/>
    <xf numFmtId="168" fontId="0" fillId="35" borderId="0" xfId="0" applyFill="1" applyAlignment="1">
      <alignment horizontal="center"/>
    </xf>
    <xf numFmtId="168" fontId="29" fillId="38" borderId="0" xfId="0" applyFont="1" applyFill="1"/>
    <xf numFmtId="168" fontId="0" fillId="38" borderId="0" xfId="0" applyFill="1" applyAlignment="1">
      <alignment horizontal="center"/>
    </xf>
    <xf numFmtId="168" fontId="29" fillId="39" borderId="0" xfId="0" applyFont="1" applyFill="1"/>
    <xf numFmtId="168" fontId="0" fillId="39" borderId="0" xfId="0" applyFill="1"/>
    <xf numFmtId="168" fontId="0" fillId="39" borderId="0" xfId="0" applyFill="1" applyAlignment="1">
      <alignment horizontal="center"/>
    </xf>
    <xf numFmtId="168" fontId="45" fillId="0" borderId="0" xfId="0" applyFont="1"/>
    <xf numFmtId="168" fontId="0" fillId="0" borderId="27" xfId="0" applyBorder="1"/>
    <xf numFmtId="168" fontId="0" fillId="0" borderId="28" xfId="0" applyBorder="1"/>
    <xf numFmtId="168" fontId="0" fillId="0" borderId="29" xfId="0" applyBorder="1"/>
    <xf numFmtId="168" fontId="32" fillId="4" borderId="64" xfId="688" applyFont="1" applyFill="1" applyBorder="1" applyAlignment="1">
      <alignment horizontal="center" vertical="center"/>
    </xf>
    <xf numFmtId="168" fontId="43" fillId="4" borderId="64" xfId="1" applyFont="1" applyFill="1" applyBorder="1" applyAlignment="1" applyProtection="1">
      <alignment horizontal="center" vertical="center"/>
      <protection locked="0"/>
    </xf>
    <xf numFmtId="168" fontId="46" fillId="0" borderId="0" xfId="1" applyFont="1" applyAlignment="1" applyProtection="1">
      <alignment vertical="center"/>
      <protection locked="0"/>
    </xf>
    <xf numFmtId="168" fontId="3" fillId="0" borderId="0" xfId="1" applyFont="1" applyAlignment="1" applyProtection="1">
      <alignment vertical="center"/>
      <protection locked="0"/>
    </xf>
    <xf numFmtId="168" fontId="32" fillId="0" borderId="64" xfId="1" applyFont="1" applyBorder="1" applyAlignment="1" applyProtection="1">
      <alignment horizontal="center" vertical="center"/>
      <protection locked="0"/>
    </xf>
    <xf numFmtId="168" fontId="32" fillId="4" borderId="68" xfId="1" applyFont="1" applyFill="1" applyBorder="1" applyAlignment="1" applyProtection="1">
      <alignment horizontal="center" vertical="center" wrapText="1"/>
      <protection locked="0"/>
    </xf>
    <xf numFmtId="168" fontId="32" fillId="4" borderId="64" xfId="688" applyFont="1" applyFill="1" applyBorder="1" applyAlignment="1">
      <alignment horizontal="center" vertical="center" wrapText="1"/>
    </xf>
    <xf numFmtId="168" fontId="30" fillId="0" borderId="0" xfId="1" applyFont="1" applyAlignment="1" applyProtection="1">
      <alignment vertical="center"/>
      <protection locked="0"/>
    </xf>
    <xf numFmtId="168" fontId="44" fillId="4" borderId="0" xfId="1" applyFont="1" applyFill="1" applyAlignment="1" applyProtection="1">
      <alignment vertical="center"/>
      <protection locked="0"/>
    </xf>
    <xf numFmtId="168" fontId="44" fillId="4" borderId="30" xfId="1" applyFont="1" applyFill="1" applyBorder="1" applyAlignment="1" applyProtection="1">
      <alignment vertical="center"/>
      <protection locked="0"/>
    </xf>
    <xf numFmtId="168" fontId="5" fillId="36" borderId="31" xfId="1" applyFont="1" applyFill="1" applyBorder="1" applyAlignment="1" applyProtection="1">
      <alignment vertical="center"/>
      <protection locked="0"/>
    </xf>
    <xf numFmtId="168" fontId="5" fillId="36" borderId="0" xfId="1" applyFont="1" applyFill="1" applyAlignment="1" applyProtection="1">
      <alignment vertical="center"/>
      <protection locked="0"/>
    </xf>
    <xf numFmtId="168" fontId="5" fillId="36" borderId="30" xfId="1" applyFont="1" applyFill="1" applyBorder="1" applyAlignment="1" applyProtection="1">
      <alignment vertical="center"/>
      <protection locked="0"/>
    </xf>
    <xf numFmtId="168" fontId="5" fillId="40" borderId="31" xfId="1" applyFont="1" applyFill="1" applyBorder="1" applyAlignment="1" applyProtection="1">
      <alignment vertical="center"/>
      <protection locked="0"/>
    </xf>
    <xf numFmtId="168" fontId="5" fillId="40" borderId="0" xfId="1" applyFont="1" applyFill="1" applyAlignment="1" applyProtection="1">
      <alignment vertical="center"/>
      <protection locked="0"/>
    </xf>
    <xf numFmtId="168" fontId="5" fillId="40" borderId="30" xfId="1" applyFont="1" applyFill="1" applyBorder="1" applyAlignment="1" applyProtection="1">
      <alignment vertical="center"/>
      <protection locked="0"/>
    </xf>
    <xf numFmtId="168" fontId="5" fillId="4" borderId="31" xfId="1" applyFont="1" applyFill="1" applyBorder="1" applyAlignment="1" applyProtection="1">
      <alignment vertical="center"/>
      <protection locked="0"/>
    </xf>
    <xf numFmtId="168" fontId="5" fillId="4" borderId="0" xfId="1" applyFont="1" applyFill="1" applyAlignment="1" applyProtection="1">
      <alignment vertical="center"/>
      <protection locked="0"/>
    </xf>
    <xf numFmtId="168" fontId="5" fillId="0" borderId="0" xfId="1" applyFont="1" applyAlignment="1" applyProtection="1">
      <alignment vertical="center"/>
      <protection locked="0"/>
    </xf>
    <xf numFmtId="168" fontId="5" fillId="4" borderId="30" xfId="1" applyFont="1" applyFill="1" applyBorder="1" applyAlignment="1" applyProtection="1">
      <alignment vertical="center"/>
      <protection locked="0"/>
    </xf>
    <xf numFmtId="168" fontId="32" fillId="4" borderId="0" xfId="1" applyFont="1" applyFill="1" applyAlignment="1" applyProtection="1">
      <alignment vertical="center"/>
      <protection locked="0"/>
    </xf>
    <xf numFmtId="168" fontId="32" fillId="4" borderId="30" xfId="1" applyFont="1" applyFill="1" applyBorder="1" applyAlignment="1" applyProtection="1">
      <alignment vertical="center"/>
      <protection locked="0"/>
    </xf>
    <xf numFmtId="168" fontId="5" fillId="4" borderId="45" xfId="1" applyFont="1" applyFill="1" applyBorder="1" applyAlignment="1" applyProtection="1">
      <alignment vertical="center"/>
      <protection locked="0"/>
    </xf>
    <xf numFmtId="168" fontId="5" fillId="4" borderId="46" xfId="1" applyFont="1" applyFill="1" applyBorder="1" applyAlignment="1" applyProtection="1">
      <alignment vertical="center"/>
      <protection locked="0"/>
    </xf>
    <xf numFmtId="168" fontId="5" fillId="4" borderId="47" xfId="1" applyFont="1" applyFill="1" applyBorder="1" applyAlignment="1" applyProtection="1">
      <alignment vertical="center"/>
      <protection locked="0"/>
    </xf>
    <xf numFmtId="168" fontId="3" fillId="4" borderId="45" xfId="1" applyFont="1" applyFill="1" applyBorder="1" applyAlignment="1">
      <alignment vertical="center"/>
    </xf>
    <xf numFmtId="168" fontId="3" fillId="4" borderId="46" xfId="1" applyFont="1" applyFill="1" applyBorder="1" applyAlignment="1">
      <alignment vertical="center"/>
    </xf>
    <xf numFmtId="168" fontId="3" fillId="4" borderId="40" xfId="1" applyFont="1" applyFill="1" applyBorder="1" applyAlignment="1">
      <alignment vertical="center"/>
    </xf>
    <xf numFmtId="168" fontId="37" fillId="4" borderId="40" xfId="1" applyFont="1" applyFill="1" applyBorder="1" applyAlignment="1">
      <alignment horizontal="right" vertical="center"/>
    </xf>
    <xf numFmtId="168" fontId="38" fillId="0" borderId="41" xfId="1" applyFont="1" applyBorder="1" applyAlignment="1">
      <alignment horizontal="right" vertical="center"/>
    </xf>
    <xf numFmtId="168" fontId="37" fillId="4" borderId="42" xfId="1" applyFont="1" applyFill="1" applyBorder="1" applyAlignment="1" applyProtection="1">
      <alignment horizontal="center" vertical="center"/>
      <protection locked="0"/>
    </xf>
    <xf numFmtId="168" fontId="37" fillId="4" borderId="43" xfId="1" applyFont="1" applyFill="1" applyBorder="1" applyAlignment="1" applyProtection="1">
      <alignment horizontal="center" vertical="center"/>
      <protection locked="0"/>
    </xf>
    <xf numFmtId="168" fontId="37" fillId="4" borderId="44" xfId="1" applyFont="1" applyFill="1" applyBorder="1" applyAlignment="1" applyProtection="1">
      <alignment horizontal="center" vertical="center"/>
      <protection locked="0"/>
    </xf>
    <xf numFmtId="168" fontId="3" fillId="4" borderId="42" xfId="1" applyFont="1" applyFill="1" applyBorder="1" applyAlignment="1">
      <alignment vertical="center"/>
    </xf>
    <xf numFmtId="168" fontId="3" fillId="4" borderId="43" xfId="1" applyFont="1" applyFill="1" applyBorder="1" applyAlignment="1">
      <alignment vertical="center"/>
    </xf>
    <xf numFmtId="168" fontId="37" fillId="4" borderId="43" xfId="1" applyFont="1" applyFill="1" applyBorder="1" applyAlignment="1">
      <alignment horizontal="right" vertical="center"/>
    </xf>
    <xf numFmtId="168" fontId="38" fillId="0" borderId="43" xfId="1" applyFont="1" applyBorder="1" applyAlignment="1" applyProtection="1">
      <alignment vertical="center"/>
      <protection locked="0"/>
    </xf>
    <xf numFmtId="168" fontId="38" fillId="0" borderId="44" xfId="1" applyFont="1" applyBorder="1" applyAlignment="1" applyProtection="1">
      <alignment horizontal="right" vertical="center"/>
      <protection locked="0"/>
    </xf>
    <xf numFmtId="168" fontId="38" fillId="0" borderId="44" xfId="1" applyFont="1" applyBorder="1" applyAlignment="1">
      <alignment horizontal="right" vertical="center"/>
    </xf>
    <xf numFmtId="168" fontId="38" fillId="0" borderId="43" xfId="1" applyFont="1" applyBorder="1" applyAlignment="1">
      <alignment vertical="center"/>
    </xf>
    <xf numFmtId="168" fontId="38" fillId="4" borderId="43" xfId="1" applyFont="1" applyFill="1" applyBorder="1" applyAlignment="1">
      <alignment vertical="center"/>
    </xf>
    <xf numFmtId="168" fontId="38" fillId="4" borderId="44" xfId="1" applyFont="1" applyFill="1" applyBorder="1" applyAlignment="1">
      <alignment horizontal="right" vertical="center"/>
    </xf>
    <xf numFmtId="168" fontId="3" fillId="4" borderId="54" xfId="1" applyFont="1" applyFill="1" applyBorder="1" applyAlignment="1">
      <alignment vertical="center"/>
    </xf>
    <xf numFmtId="168" fontId="3" fillId="4" borderId="55" xfId="1" applyFont="1" applyFill="1" applyBorder="1" applyAlignment="1">
      <alignment vertical="center"/>
    </xf>
    <xf numFmtId="168" fontId="37" fillId="4" borderId="55" xfId="1" applyFont="1" applyFill="1" applyBorder="1" applyAlignment="1">
      <alignment horizontal="right" vertical="center"/>
    </xf>
    <xf numFmtId="168" fontId="38" fillId="0" borderId="55" xfId="1" applyFont="1" applyBorder="1" applyAlignment="1">
      <alignment vertical="center"/>
    </xf>
    <xf numFmtId="168" fontId="38" fillId="0" borderId="56" xfId="1" applyFont="1" applyBorder="1" applyAlignment="1">
      <alignment horizontal="right" vertical="center"/>
    </xf>
    <xf numFmtId="168" fontId="3" fillId="36" borderId="35" xfId="1" applyFont="1" applyFill="1" applyBorder="1" applyAlignment="1">
      <alignment vertical="center" wrapText="1"/>
    </xf>
    <xf numFmtId="168" fontId="3" fillId="36" borderId="36" xfId="1" applyFont="1" applyFill="1" applyBorder="1" applyAlignment="1">
      <alignment vertical="center" wrapText="1"/>
    </xf>
    <xf numFmtId="168" fontId="3" fillId="36" borderId="36" xfId="1" applyFont="1" applyFill="1" applyBorder="1" applyAlignment="1">
      <alignment horizontal="center" vertical="center"/>
    </xf>
    <xf numFmtId="168" fontId="3" fillId="36" borderId="60" xfId="1" applyFont="1" applyFill="1" applyBorder="1" applyAlignment="1">
      <alignment horizontal="center" vertical="center"/>
    </xf>
    <xf numFmtId="168" fontId="3" fillId="36" borderId="38" xfId="1" applyFont="1" applyFill="1" applyBorder="1" applyAlignment="1">
      <alignment horizontal="center" vertical="center"/>
    </xf>
    <xf numFmtId="168" fontId="3" fillId="36" borderId="38" xfId="1" applyFont="1" applyFill="1" applyBorder="1" applyAlignment="1">
      <alignment horizontal="center" vertical="center" wrapText="1"/>
    </xf>
    <xf numFmtId="168" fontId="3" fillId="36" borderId="62" xfId="1" applyFont="1" applyFill="1" applyBorder="1" applyAlignment="1">
      <alignment horizontal="center" vertical="center"/>
    </xf>
    <xf numFmtId="168" fontId="3" fillId="40" borderId="60" xfId="1" applyFont="1" applyFill="1" applyBorder="1" applyAlignment="1">
      <alignment horizontal="center" vertical="center"/>
    </xf>
    <xf numFmtId="168" fontId="3" fillId="40" borderId="38" xfId="1" applyFont="1" applyFill="1" applyBorder="1" applyAlignment="1">
      <alignment horizontal="center" vertical="center"/>
    </xf>
    <xf numFmtId="168" fontId="3" fillId="40" borderId="38" xfId="1" applyFont="1" applyFill="1" applyBorder="1" applyAlignment="1">
      <alignment horizontal="center" vertical="center" wrapText="1"/>
    </xf>
    <xf numFmtId="168" fontId="3" fillId="40" borderId="62" xfId="1" applyFont="1" applyFill="1" applyBorder="1" applyAlignment="1">
      <alignment horizontal="center" vertical="center"/>
    </xf>
    <xf numFmtId="168" fontId="3" fillId="3" borderId="60" xfId="1" applyFont="1" applyFill="1" applyBorder="1" applyAlignment="1">
      <alignment horizontal="center" vertical="center"/>
    </xf>
    <xf numFmtId="168" fontId="3" fillId="3" borderId="38" xfId="1" applyFont="1" applyFill="1" applyBorder="1" applyAlignment="1">
      <alignment horizontal="center" vertical="center"/>
    </xf>
    <xf numFmtId="168" fontId="3" fillId="3" borderId="38" xfId="1" applyFont="1" applyFill="1" applyBorder="1" applyAlignment="1">
      <alignment horizontal="center" vertical="center" wrapText="1"/>
    </xf>
    <xf numFmtId="168" fontId="3" fillId="3" borderId="62" xfId="1" applyFont="1" applyFill="1" applyBorder="1" applyAlignment="1">
      <alignment horizontal="center" vertical="center"/>
    </xf>
    <xf numFmtId="168" fontId="43" fillId="4" borderId="39" xfId="1" applyFont="1" applyFill="1" applyBorder="1" applyAlignment="1" applyProtection="1">
      <alignment horizontal="center" vertical="center"/>
      <protection locked="0"/>
    </xf>
    <xf numFmtId="168" fontId="5" fillId="0" borderId="37" xfId="1" applyFont="1" applyBorder="1" applyAlignment="1" applyProtection="1">
      <alignment vertical="center"/>
      <protection locked="0"/>
    </xf>
    <xf numFmtId="41" fontId="5" fillId="0" borderId="37" xfId="1" applyNumberFormat="1" applyFont="1" applyBorder="1" applyAlignment="1" applyProtection="1">
      <alignment vertical="center"/>
      <protection locked="0"/>
    </xf>
    <xf numFmtId="49" fontId="5" fillId="0" borderId="37" xfId="1" applyNumberFormat="1" applyFont="1" applyBorder="1" applyAlignment="1" applyProtection="1">
      <alignment horizontal="center" vertical="center"/>
      <protection locked="0"/>
    </xf>
    <xf numFmtId="164" fontId="5" fillId="36" borderId="37" xfId="1" applyNumberFormat="1" applyFont="1" applyFill="1" applyBorder="1" applyAlignment="1" applyProtection="1">
      <alignment vertical="center"/>
      <protection locked="0"/>
    </xf>
    <xf numFmtId="164" fontId="5" fillId="36" borderId="63" xfId="1" applyNumberFormat="1" applyFont="1" applyFill="1" applyBorder="1" applyAlignment="1" applyProtection="1">
      <alignment vertical="center"/>
      <protection locked="0"/>
    </xf>
    <xf numFmtId="164" fontId="5" fillId="40" borderId="37" xfId="1" applyNumberFormat="1" applyFont="1" applyFill="1" applyBorder="1" applyAlignment="1" applyProtection="1">
      <alignment vertical="center"/>
      <protection locked="0"/>
    </xf>
    <xf numFmtId="164" fontId="5" fillId="40" borderId="63" xfId="1" applyNumberFormat="1" applyFont="1" applyFill="1" applyBorder="1" applyAlignment="1" applyProtection="1">
      <alignment vertical="center"/>
      <protection locked="0"/>
    </xf>
    <xf numFmtId="164" fontId="5" fillId="40" borderId="61" xfId="1" applyNumberFormat="1" applyFont="1" applyFill="1" applyBorder="1" applyAlignment="1" applyProtection="1">
      <alignment vertical="center"/>
      <protection locked="0"/>
    </xf>
    <xf numFmtId="164" fontId="5" fillId="36" borderId="61" xfId="1" applyNumberFormat="1" applyFont="1" applyFill="1" applyBorder="1" applyAlignment="1" applyProtection="1">
      <alignment vertical="center"/>
      <protection locked="0"/>
    </xf>
    <xf numFmtId="164" fontId="5" fillId="0" borderId="61" xfId="1" applyNumberFormat="1" applyFont="1" applyBorder="1" applyAlignment="1">
      <alignment vertical="center"/>
    </xf>
    <xf numFmtId="164" fontId="5" fillId="0" borderId="37" xfId="1" applyNumberFormat="1" applyFont="1" applyBorder="1" applyAlignment="1">
      <alignment vertical="center"/>
    </xf>
    <xf numFmtId="168" fontId="3" fillId="41" borderId="36" xfId="1" applyFont="1" applyFill="1" applyBorder="1" applyAlignment="1">
      <alignment vertical="center"/>
    </xf>
    <xf numFmtId="168" fontId="3" fillId="3" borderId="72" xfId="1" applyFont="1" applyFill="1" applyBorder="1" applyAlignment="1">
      <alignment horizontal="center" vertical="center"/>
    </xf>
    <xf numFmtId="164" fontId="5" fillId="3" borderId="71" xfId="1" applyNumberFormat="1" applyFont="1" applyFill="1" applyBorder="1" applyAlignment="1">
      <alignment vertical="center"/>
    </xf>
    <xf numFmtId="168" fontId="3" fillId="41" borderId="70" xfId="1" applyFont="1" applyFill="1" applyBorder="1" applyAlignment="1">
      <alignment vertical="center"/>
    </xf>
    <xf numFmtId="168" fontId="3" fillId="41" borderId="69" xfId="1" applyFont="1" applyFill="1" applyBorder="1" applyAlignment="1">
      <alignment vertical="center"/>
    </xf>
    <xf numFmtId="164" fontId="5" fillId="41" borderId="61" xfId="1" applyNumberFormat="1" applyFont="1" applyFill="1" applyBorder="1" applyAlignment="1">
      <alignment vertical="center"/>
    </xf>
    <xf numFmtId="164" fontId="5" fillId="41" borderId="37" xfId="1" applyNumberFormat="1" applyFont="1" applyFill="1" applyBorder="1" applyAlignment="1">
      <alignment vertical="center"/>
    </xf>
    <xf numFmtId="164" fontId="5" fillId="41" borderId="63" xfId="1" applyNumberFormat="1" applyFont="1" applyFill="1" applyBorder="1" applyAlignment="1">
      <alignment vertical="center"/>
    </xf>
    <xf numFmtId="168" fontId="43" fillId="42" borderId="64" xfId="1" applyFont="1" applyFill="1" applyBorder="1" applyAlignment="1" applyProtection="1">
      <alignment vertical="center"/>
      <protection locked="0"/>
    </xf>
    <xf numFmtId="168" fontId="38" fillId="0" borderId="43" xfId="1" applyFont="1" applyBorder="1" applyAlignment="1" applyProtection="1">
      <alignment horizontal="right" vertical="center"/>
      <protection locked="0"/>
    </xf>
    <xf numFmtId="168" fontId="38" fillId="0" borderId="43" xfId="1" applyFont="1" applyBorder="1" applyAlignment="1">
      <alignment horizontal="right" vertical="center"/>
    </xf>
    <xf numFmtId="168" fontId="38" fillId="0" borderId="55" xfId="1" applyFont="1" applyBorder="1" applyAlignment="1">
      <alignment horizontal="right" vertical="center"/>
    </xf>
    <xf numFmtId="168" fontId="44" fillId="4" borderId="73" xfId="1" applyFont="1" applyFill="1" applyBorder="1" applyAlignment="1" applyProtection="1">
      <alignment vertical="center"/>
      <protection locked="0"/>
    </xf>
    <xf numFmtId="168" fontId="38" fillId="0" borderId="40" xfId="1" applyFont="1" applyBorder="1" applyAlignment="1">
      <alignment horizontal="right" vertical="center"/>
    </xf>
    <xf numFmtId="168" fontId="38" fillId="4" borderId="43" xfId="1" applyFont="1" applyFill="1" applyBorder="1" applyAlignment="1">
      <alignment horizontal="right" vertical="center"/>
    </xf>
    <xf numFmtId="168" fontId="3" fillId="36" borderId="36" xfId="1" applyFont="1" applyFill="1" applyBorder="1" applyAlignment="1">
      <alignment horizontal="center" vertical="center" wrapText="1"/>
    </xf>
    <xf numFmtId="168" fontId="3" fillId="36" borderId="69" xfId="1" applyFont="1" applyFill="1" applyBorder="1" applyAlignment="1">
      <alignment horizontal="center" vertical="center" wrapText="1"/>
    </xf>
    <xf numFmtId="169" fontId="5" fillId="0" borderId="63" xfId="1" applyNumberFormat="1" applyFont="1" applyBorder="1" applyAlignment="1" applyProtection="1">
      <alignment vertical="center"/>
      <protection locked="0"/>
    </xf>
    <xf numFmtId="1" fontId="5" fillId="0" borderId="37" xfId="1" applyNumberFormat="1" applyFont="1" applyBorder="1" applyAlignment="1" applyProtection="1">
      <alignment vertical="center"/>
      <protection locked="0"/>
    </xf>
    <xf numFmtId="14" fontId="0" fillId="0" borderId="0" xfId="0" applyNumberFormat="1"/>
    <xf numFmtId="168" fontId="3" fillId="35" borderId="37" xfId="1" applyFont="1" applyFill="1" applyBorder="1" applyAlignment="1">
      <alignment horizontal="center" vertical="center"/>
    </xf>
    <xf numFmtId="168" fontId="47" fillId="0" borderId="65" xfId="688" applyFont="1" applyBorder="1" applyAlignment="1" applyProtection="1">
      <alignment vertical="center"/>
      <protection locked="0"/>
    </xf>
    <xf numFmtId="168" fontId="47" fillId="0" borderId="66" xfId="688" applyFont="1" applyBorder="1" applyAlignment="1" applyProtection="1">
      <alignment vertical="center"/>
      <protection locked="0"/>
    </xf>
    <xf numFmtId="168" fontId="47" fillId="0" borderId="67" xfId="688" applyFont="1" applyBorder="1" applyAlignment="1" applyProtection="1">
      <alignment vertical="center"/>
      <protection locked="0"/>
    </xf>
    <xf numFmtId="168" fontId="47" fillId="0" borderId="65" xfId="1" applyFont="1" applyBorder="1" applyAlignment="1" applyProtection="1">
      <alignment vertical="center"/>
      <protection locked="0"/>
    </xf>
    <xf numFmtId="168" fontId="47" fillId="0" borderId="66" xfId="1" applyFont="1" applyBorder="1" applyAlignment="1" applyProtection="1">
      <alignment vertical="center"/>
      <protection locked="0"/>
    </xf>
    <xf numFmtId="168" fontId="47" fillId="4" borderId="66" xfId="1" applyFont="1" applyFill="1" applyBorder="1" applyAlignment="1" applyProtection="1">
      <alignment vertical="center"/>
      <protection locked="0"/>
    </xf>
    <xf numFmtId="168" fontId="48" fillId="4" borderId="66" xfId="1" applyFont="1" applyFill="1" applyBorder="1" applyAlignment="1" applyProtection="1">
      <alignment vertical="center"/>
      <protection locked="0"/>
    </xf>
    <xf numFmtId="168" fontId="47" fillId="4" borderId="67" xfId="1" applyFont="1" applyFill="1" applyBorder="1" applyAlignment="1" applyProtection="1">
      <alignment horizontal="right" vertical="center"/>
      <protection locked="0"/>
    </xf>
    <xf numFmtId="169" fontId="5" fillId="0" borderId="63" xfId="1" quotePrefix="1" applyNumberFormat="1" applyFont="1" applyBorder="1" applyAlignment="1" applyProtection="1">
      <alignment vertical="center"/>
      <protection locked="0"/>
    </xf>
    <xf numFmtId="168" fontId="3" fillId="41" borderId="74" xfId="1" applyFont="1" applyFill="1" applyBorder="1" applyAlignment="1">
      <alignment vertical="center"/>
    </xf>
    <xf numFmtId="168" fontId="3" fillId="36" borderId="74" xfId="1" applyFont="1" applyFill="1" applyBorder="1" applyAlignment="1">
      <alignment horizontal="center" vertical="center" wrapText="1"/>
    </xf>
    <xf numFmtId="1" fontId="5" fillId="0" borderId="75" xfId="1" applyNumberFormat="1" applyFont="1" applyBorder="1" applyAlignment="1" applyProtection="1">
      <alignment horizontal="center" vertical="center"/>
      <protection locked="0"/>
    </xf>
    <xf numFmtId="164" fontId="5" fillId="0" borderId="63" xfId="1" applyNumberFormat="1" applyFont="1" applyBorder="1" applyAlignment="1">
      <alignment vertical="center"/>
    </xf>
    <xf numFmtId="168" fontId="24" fillId="36" borderId="5" xfId="1" applyFont="1" applyFill="1" applyBorder="1" applyProtection="1">
      <protection locked="0"/>
    </xf>
    <xf numFmtId="168" fontId="50" fillId="0" borderId="61" xfId="0" applyFont="1" applyBorder="1" applyAlignment="1" applyProtection="1">
      <alignment vertical="center"/>
      <protection locked="0"/>
    </xf>
    <xf numFmtId="168" fontId="51" fillId="0" borderId="37" xfId="0" applyFont="1" applyBorder="1" applyAlignment="1" applyProtection="1">
      <alignment vertical="center"/>
      <protection locked="0"/>
    </xf>
    <xf numFmtId="41" fontId="51" fillId="0" borderId="37" xfId="0" applyNumberFormat="1" applyFont="1" applyBorder="1" applyAlignment="1" applyProtection="1">
      <alignment vertical="center"/>
      <protection locked="0"/>
    </xf>
    <xf numFmtId="49" fontId="51" fillId="0" borderId="37" xfId="0" applyNumberFormat="1" applyFont="1" applyBorder="1" applyAlignment="1" applyProtection="1">
      <alignment horizontal="center" vertical="center"/>
      <protection locked="0"/>
    </xf>
    <xf numFmtId="164" fontId="51" fillId="36" borderId="61" xfId="0" applyNumberFormat="1" applyFont="1" applyFill="1" applyBorder="1" applyAlignment="1" applyProtection="1">
      <alignment vertical="center"/>
      <protection locked="0"/>
    </xf>
    <xf numFmtId="164" fontId="51" fillId="36" borderId="37" xfId="0" applyNumberFormat="1" applyFont="1" applyFill="1" applyBorder="1" applyAlignment="1" applyProtection="1">
      <alignment vertical="center"/>
      <protection locked="0"/>
    </xf>
    <xf numFmtId="164" fontId="51" fillId="36" borderId="63" xfId="0" applyNumberFormat="1" applyFont="1" applyFill="1" applyBorder="1" applyAlignment="1" applyProtection="1">
      <alignment vertical="center"/>
      <protection locked="0"/>
    </xf>
    <xf numFmtId="164" fontId="51" fillId="40" borderId="61" xfId="0" applyNumberFormat="1" applyFont="1" applyFill="1" applyBorder="1" applyAlignment="1" applyProtection="1">
      <alignment vertical="center"/>
      <protection locked="0"/>
    </xf>
    <xf numFmtId="164" fontId="51" fillId="40" borderId="37" xfId="0" applyNumberFormat="1" applyFont="1" applyFill="1" applyBorder="1" applyAlignment="1" applyProtection="1">
      <alignment vertical="center"/>
      <protection locked="0"/>
    </xf>
    <xf numFmtId="164" fontId="51" fillId="40" borderId="63" xfId="0" applyNumberFormat="1" applyFont="1" applyFill="1" applyBorder="1" applyAlignment="1" applyProtection="1">
      <alignment vertical="center"/>
      <protection locked="0"/>
    </xf>
    <xf numFmtId="164" fontId="51" fillId="0" borderId="61" xfId="0" applyNumberFormat="1" applyFont="1" applyBorder="1" applyAlignment="1">
      <alignment vertical="center"/>
    </xf>
    <xf numFmtId="164" fontId="51" fillId="0" borderId="37" xfId="0" applyNumberFormat="1" applyFont="1" applyBorder="1" applyAlignment="1">
      <alignment vertical="center"/>
    </xf>
    <xf numFmtId="164" fontId="51" fillId="0" borderId="63" xfId="0" applyNumberFormat="1" applyFont="1" applyBorder="1" applyAlignment="1">
      <alignment vertical="center"/>
    </xf>
    <xf numFmtId="164" fontId="51" fillId="3" borderId="71" xfId="0" applyNumberFormat="1" applyFont="1" applyFill="1" applyBorder="1" applyAlignment="1">
      <alignment vertical="center"/>
    </xf>
    <xf numFmtId="168" fontId="51" fillId="41" borderId="61" xfId="0" applyFont="1" applyFill="1" applyBorder="1" applyAlignment="1">
      <alignment vertical="center"/>
    </xf>
    <xf numFmtId="168" fontId="51" fillId="41" borderId="37" xfId="0" applyFont="1" applyFill="1" applyBorder="1" applyAlignment="1">
      <alignment vertical="center"/>
    </xf>
    <xf numFmtId="168" fontId="51" fillId="41" borderId="63" xfId="0" applyFont="1" applyFill="1" applyBorder="1" applyAlignment="1">
      <alignment vertical="center"/>
    </xf>
    <xf numFmtId="49" fontId="35" fillId="0" borderId="8" xfId="1" applyNumberFormat="1" applyFont="1" applyBorder="1" applyProtection="1">
      <protection locked="0"/>
    </xf>
    <xf numFmtId="49" fontId="34" fillId="36" borderId="13" xfId="1" applyNumberFormat="1" applyFont="1" applyFill="1" applyBorder="1" applyProtection="1">
      <protection locked="0"/>
    </xf>
    <xf numFmtId="168" fontId="3" fillId="36" borderId="12" xfId="1" applyFont="1" applyFill="1" applyBorder="1" applyProtection="1">
      <protection locked="0"/>
    </xf>
    <xf numFmtId="49" fontId="36" fillId="36" borderId="11" xfId="1" applyNumberFormat="1" applyFont="1" applyFill="1" applyBorder="1" applyProtection="1">
      <protection locked="0"/>
    </xf>
    <xf numFmtId="49" fontId="52" fillId="36" borderId="11" xfId="1" applyNumberFormat="1" applyFont="1" applyFill="1" applyBorder="1" applyProtection="1">
      <protection locked="0"/>
    </xf>
    <xf numFmtId="49" fontId="34" fillId="36" borderId="24" xfId="1" applyNumberFormat="1" applyFont="1" applyFill="1" applyBorder="1" applyAlignment="1" applyProtection="1">
      <alignment horizontal="left"/>
      <protection locked="0"/>
    </xf>
    <xf numFmtId="49" fontId="36" fillId="36" borderId="10" xfId="1" applyNumberFormat="1" applyFont="1" applyFill="1" applyBorder="1" applyProtection="1">
      <protection locked="0"/>
    </xf>
    <xf numFmtId="168" fontId="3" fillId="36" borderId="0" xfId="1" applyFont="1" applyFill="1" applyProtection="1">
      <protection locked="0"/>
    </xf>
    <xf numFmtId="49" fontId="36" fillId="36" borderId="2" xfId="1" applyNumberFormat="1" applyFont="1" applyFill="1" applyBorder="1" applyProtection="1">
      <protection locked="0"/>
    </xf>
    <xf numFmtId="49" fontId="34" fillId="36" borderId="10" xfId="1" applyNumberFormat="1" applyFont="1" applyFill="1" applyBorder="1" applyProtection="1">
      <protection locked="0"/>
    </xf>
    <xf numFmtId="49" fontId="53" fillId="36" borderId="25" xfId="1" applyNumberFormat="1" applyFont="1" applyFill="1" applyBorder="1" applyAlignment="1" applyProtection="1">
      <alignment horizontal="left"/>
      <protection locked="0"/>
    </xf>
    <xf numFmtId="49" fontId="36" fillId="36" borderId="9" xfId="1" applyNumberFormat="1" applyFont="1" applyFill="1" applyBorder="1" applyProtection="1">
      <protection locked="0"/>
    </xf>
    <xf numFmtId="168" fontId="3" fillId="36" borderId="8" xfId="1" applyFont="1" applyFill="1" applyBorder="1" applyProtection="1">
      <protection locked="0"/>
    </xf>
    <xf numFmtId="49" fontId="36" fillId="36" borderId="5" xfId="1" applyNumberFormat="1" applyFont="1" applyFill="1" applyBorder="1" applyProtection="1">
      <protection locked="0"/>
    </xf>
    <xf numFmtId="49" fontId="36" fillId="36" borderId="25" xfId="1" applyNumberFormat="1" applyFont="1" applyFill="1" applyBorder="1" applyAlignment="1" applyProtection="1">
      <alignment horizontal="left"/>
      <protection locked="0"/>
    </xf>
    <xf numFmtId="49" fontId="54" fillId="36" borderId="13" xfId="1" applyNumberFormat="1" applyFont="1" applyFill="1" applyBorder="1" applyProtection="1">
      <protection locked="0"/>
    </xf>
    <xf numFmtId="49" fontId="53" fillId="36" borderId="11" xfId="1" applyNumberFormat="1" applyFont="1" applyFill="1" applyBorder="1" applyProtection="1">
      <protection locked="0"/>
    </xf>
    <xf numFmtId="49" fontId="54" fillId="36" borderId="12" xfId="1" applyNumberFormat="1" applyFont="1" applyFill="1" applyBorder="1" applyProtection="1">
      <protection locked="0"/>
    </xf>
    <xf numFmtId="49" fontId="36" fillId="36" borderId="0" xfId="1" applyNumberFormat="1" applyFont="1" applyFill="1" applyProtection="1">
      <protection locked="0"/>
    </xf>
    <xf numFmtId="49" fontId="36" fillId="36" borderId="8" xfId="1" applyNumberFormat="1" applyFont="1" applyFill="1" applyBorder="1" applyProtection="1">
      <protection locked="0"/>
    </xf>
    <xf numFmtId="49" fontId="36" fillId="36" borderId="4" xfId="1" applyNumberFormat="1" applyFont="1" applyFill="1" applyBorder="1" applyAlignment="1" applyProtection="1">
      <alignment horizontal="left"/>
      <protection locked="0"/>
    </xf>
    <xf numFmtId="14" fontId="47" fillId="4" borderId="66" xfId="1" applyNumberFormat="1" applyFont="1" applyFill="1" applyBorder="1" applyAlignment="1" applyProtection="1">
      <alignment vertical="center"/>
      <protection locked="0"/>
    </xf>
    <xf numFmtId="168" fontId="38" fillId="0" borderId="0" xfId="1" applyFont="1" applyProtection="1">
      <protection locked="0"/>
    </xf>
    <xf numFmtId="2" fontId="38" fillId="0" borderId="0" xfId="1" applyNumberFormat="1" applyFont="1" applyProtection="1">
      <protection locked="0"/>
    </xf>
    <xf numFmtId="168" fontId="55" fillId="0" borderId="0" xfId="1" applyFont="1" applyProtection="1">
      <protection locked="0"/>
    </xf>
    <xf numFmtId="0" fontId="43" fillId="4" borderId="64" xfId="1" applyNumberFormat="1" applyFont="1" applyFill="1" applyBorder="1" applyAlignment="1" applyProtection="1">
      <alignment horizontal="center" vertical="center"/>
      <protection locked="0"/>
    </xf>
    <xf numFmtId="49" fontId="56" fillId="0" borderId="37" xfId="1" applyNumberFormat="1" applyFont="1" applyBorder="1" applyAlignment="1" applyProtection="1">
      <alignment horizontal="center" vertical="center"/>
      <protection locked="0"/>
    </xf>
    <xf numFmtId="164" fontId="56" fillId="36" borderId="61" xfId="1" applyNumberFormat="1" applyFont="1" applyFill="1" applyBorder="1" applyAlignment="1" applyProtection="1">
      <alignment vertical="center"/>
      <protection locked="0"/>
    </xf>
    <xf numFmtId="164" fontId="56" fillId="36" borderId="37" xfId="1" applyNumberFormat="1" applyFont="1" applyFill="1" applyBorder="1" applyAlignment="1" applyProtection="1">
      <alignment vertical="center"/>
      <protection locked="0"/>
    </xf>
    <xf numFmtId="164" fontId="56" fillId="40" borderId="37" xfId="1" applyNumberFormat="1" applyFont="1" applyFill="1" applyBorder="1" applyAlignment="1" applyProtection="1">
      <alignment vertical="center"/>
      <protection locked="0"/>
    </xf>
    <xf numFmtId="164" fontId="56" fillId="40" borderId="63" xfId="1" applyNumberFormat="1" applyFont="1" applyFill="1" applyBorder="1" applyAlignment="1" applyProtection="1">
      <alignment vertical="center"/>
      <protection locked="0"/>
    </xf>
    <xf numFmtId="168" fontId="5" fillId="0" borderId="0" xfId="1" applyFont="1" applyProtection="1">
      <protection locked="0"/>
    </xf>
    <xf numFmtId="168" fontId="56" fillId="0" borderId="0" xfId="1" applyFont="1" applyProtection="1">
      <protection locked="0"/>
    </xf>
    <xf numFmtId="168" fontId="56" fillId="0" borderId="37" xfId="1" applyFont="1" applyBorder="1" applyAlignment="1" applyProtection="1">
      <alignment vertical="center"/>
      <protection locked="0"/>
    </xf>
    <xf numFmtId="168" fontId="3" fillId="43" borderId="5" xfId="1" applyFont="1" applyFill="1" applyBorder="1" applyAlignment="1" applyProtection="1">
      <alignment horizontal="left"/>
      <protection locked="0"/>
    </xf>
    <xf numFmtId="168" fontId="3" fillId="43" borderId="8" xfId="1" applyFont="1" applyFill="1" applyBorder="1" applyAlignment="1" applyProtection="1">
      <alignment horizontal="left"/>
      <protection locked="0"/>
    </xf>
    <xf numFmtId="168" fontId="55" fillId="43" borderId="9" xfId="0" applyFont="1" applyFill="1" applyBorder="1" applyAlignment="1">
      <alignment horizontal="left"/>
    </xf>
    <xf numFmtId="168" fontId="3" fillId="43" borderId="2" xfId="1" applyFont="1" applyFill="1" applyBorder="1" applyAlignment="1" applyProtection="1">
      <alignment horizontal="left"/>
      <protection locked="0"/>
    </xf>
    <xf numFmtId="168" fontId="3" fillId="43" borderId="0" xfId="1" applyFont="1" applyFill="1" applyAlignment="1" applyProtection="1">
      <alignment horizontal="left"/>
      <protection locked="0"/>
    </xf>
    <xf numFmtId="168" fontId="57" fillId="43" borderId="0" xfId="1" applyFont="1" applyFill="1" applyAlignment="1" applyProtection="1">
      <alignment horizontal="left"/>
      <protection locked="0"/>
    </xf>
    <xf numFmtId="168" fontId="55" fillId="43" borderId="0" xfId="1" applyFont="1" applyFill="1" applyAlignment="1" applyProtection="1">
      <alignment horizontal="left"/>
      <protection locked="0"/>
    </xf>
    <xf numFmtId="168" fontId="57" fillId="43" borderId="0" xfId="0" applyFont="1" applyFill="1" applyAlignment="1">
      <alignment horizontal="left"/>
    </xf>
    <xf numFmtId="168" fontId="55" fillId="43" borderId="10" xfId="0" applyFont="1" applyFill="1" applyBorder="1" applyAlignment="1">
      <alignment horizontal="left"/>
    </xf>
    <xf numFmtId="168" fontId="3" fillId="43" borderId="11" xfId="1" applyFont="1" applyFill="1" applyBorder="1" applyAlignment="1" applyProtection="1">
      <alignment horizontal="left"/>
      <protection locked="0"/>
    </xf>
    <xf numFmtId="168" fontId="3" fillId="43" borderId="12" xfId="1" applyFont="1" applyFill="1" applyBorder="1" applyAlignment="1" applyProtection="1">
      <alignment horizontal="left"/>
      <protection locked="0"/>
    </xf>
    <xf numFmtId="168" fontId="57" fillId="43" borderId="12" xfId="1" applyFont="1" applyFill="1" applyBorder="1" applyAlignment="1" applyProtection="1">
      <alignment horizontal="left"/>
      <protection locked="0"/>
    </xf>
    <xf numFmtId="168" fontId="57" fillId="43" borderId="12" xfId="0" applyFont="1" applyFill="1" applyBorder="1" applyAlignment="1">
      <alignment horizontal="left"/>
    </xf>
    <xf numFmtId="168" fontId="55" fillId="43" borderId="13" xfId="0" applyFont="1" applyFill="1" applyBorder="1" applyAlignment="1">
      <alignment horizontal="left"/>
    </xf>
    <xf numFmtId="168" fontId="47" fillId="0" borderId="0" xfId="1" applyFont="1" applyProtection="1">
      <protection locked="0"/>
    </xf>
    <xf numFmtId="168" fontId="57" fillId="0" borderId="0" xfId="1" applyFont="1" applyProtection="1">
      <protection locked="0"/>
    </xf>
    <xf numFmtId="168" fontId="57" fillId="0" borderId="0" xfId="0" applyFont="1"/>
    <xf numFmtId="168" fontId="55" fillId="0" borderId="0" xfId="0" applyFont="1"/>
    <xf numFmtId="0" fontId="5" fillId="0" borderId="37" xfId="1" applyNumberFormat="1" applyFont="1" applyBorder="1" applyAlignment="1" applyProtection="1">
      <alignment horizontal="left" vertical="center"/>
      <protection locked="0"/>
    </xf>
    <xf numFmtId="168" fontId="55" fillId="0" borderId="0" xfId="1" applyFont="1" applyAlignment="1" applyProtection="1">
      <alignment vertical="center"/>
      <protection locked="0"/>
    </xf>
    <xf numFmtId="168" fontId="32" fillId="0" borderId="0" xfId="1" applyFont="1" applyAlignment="1" applyProtection="1">
      <alignment vertical="center"/>
      <protection locked="0"/>
    </xf>
    <xf numFmtId="168" fontId="3" fillId="42" borderId="0" xfId="1" applyFont="1" applyFill="1" applyProtection="1">
      <protection locked="0"/>
    </xf>
    <xf numFmtId="168" fontId="5" fillId="42" borderId="0" xfId="1" applyFont="1" applyFill="1" applyProtection="1">
      <protection locked="0"/>
    </xf>
    <xf numFmtId="168" fontId="56" fillId="42" borderId="0" xfId="1" applyFont="1" applyFill="1" applyProtection="1">
      <protection locked="0"/>
    </xf>
    <xf numFmtId="168" fontId="57" fillId="42" borderId="0" xfId="1" applyFont="1" applyFill="1" applyProtection="1">
      <protection locked="0"/>
    </xf>
    <xf numFmtId="168" fontId="59" fillId="42" borderId="0" xfId="1" applyFont="1" applyFill="1" applyProtection="1">
      <protection locked="0"/>
    </xf>
    <xf numFmtId="168" fontId="43" fillId="42" borderId="0" xfId="1" applyFont="1" applyFill="1" applyAlignment="1" applyProtection="1">
      <alignment vertical="center"/>
      <protection locked="0"/>
    </xf>
    <xf numFmtId="168" fontId="32" fillId="42" borderId="0" xfId="1" applyFont="1" applyFill="1" applyAlignment="1" applyProtection="1">
      <alignment vertical="center"/>
      <protection locked="0"/>
    </xf>
    <xf numFmtId="168" fontId="53" fillId="0" borderId="0" xfId="1" applyFont="1" applyFill="1" applyProtection="1">
      <protection locked="0"/>
    </xf>
    <xf numFmtId="168" fontId="3" fillId="0" borderId="0" xfId="1" applyFont="1" applyFill="1" applyProtection="1">
      <protection locked="0"/>
    </xf>
    <xf numFmtId="164" fontId="56" fillId="36" borderId="63" xfId="1" applyNumberFormat="1" applyFont="1" applyFill="1" applyBorder="1" applyAlignment="1" applyProtection="1">
      <alignment vertical="center"/>
      <protection locked="0"/>
    </xf>
    <xf numFmtId="164" fontId="56" fillId="40" borderId="61" xfId="1" applyNumberFormat="1" applyFont="1" applyFill="1" applyBorder="1" applyAlignment="1" applyProtection="1">
      <alignment vertical="center"/>
      <protection locked="0"/>
    </xf>
    <xf numFmtId="168" fontId="35" fillId="0" borderId="0" xfId="1" applyFont="1" applyProtection="1">
      <protection locked="0"/>
    </xf>
    <xf numFmtId="168" fontId="55" fillId="42" borderId="0" xfId="1" applyFont="1" applyFill="1" applyProtection="1">
      <protection locked="0"/>
    </xf>
    <xf numFmtId="49" fontId="5" fillId="0" borderId="37" xfId="1" applyNumberFormat="1" applyFont="1" applyFill="1" applyBorder="1" applyAlignment="1" applyProtection="1">
      <alignment horizontal="center" vertical="center"/>
      <protection locked="0"/>
    </xf>
    <xf numFmtId="168" fontId="5" fillId="0" borderId="37" xfId="1" applyFont="1" applyFill="1" applyBorder="1" applyAlignment="1" applyProtection="1">
      <alignment vertical="center"/>
      <protection locked="0"/>
    </xf>
    <xf numFmtId="0" fontId="3" fillId="3" borderId="38" xfId="1" applyNumberFormat="1" applyFont="1" applyFill="1" applyBorder="1" applyAlignment="1">
      <alignment horizontal="center" vertical="center"/>
    </xf>
    <xf numFmtId="168" fontId="60" fillId="42" borderId="0" xfId="1" applyFont="1" applyFill="1" applyProtection="1">
      <protection locked="0"/>
    </xf>
    <xf numFmtId="168" fontId="61" fillId="0" borderId="0" xfId="1" applyFont="1" applyProtection="1">
      <protection locked="0"/>
    </xf>
    <xf numFmtId="168" fontId="36" fillId="42" borderId="0" xfId="1" applyFont="1" applyFill="1" applyProtection="1">
      <protection locked="0"/>
    </xf>
    <xf numFmtId="168" fontId="47" fillId="4" borderId="67" xfId="1" applyFont="1" applyFill="1" applyBorder="1" applyAlignment="1" applyProtection="1">
      <alignment vertical="center"/>
      <protection locked="0"/>
    </xf>
    <xf numFmtId="168" fontId="62" fillId="42" borderId="0" xfId="1" applyFont="1" applyFill="1" applyProtection="1">
      <protection locked="0"/>
    </xf>
    <xf numFmtId="1" fontId="56" fillId="0" borderId="37" xfId="1" applyNumberFormat="1" applyFont="1" applyBorder="1" applyAlignment="1" applyProtection="1">
      <alignment vertical="center"/>
      <protection locked="0"/>
    </xf>
    <xf numFmtId="1" fontId="56" fillId="0" borderId="75" xfId="1" applyNumberFormat="1" applyFont="1" applyBorder="1" applyAlignment="1" applyProtection="1">
      <alignment horizontal="center" vertical="center"/>
      <protection locked="0"/>
    </xf>
    <xf numFmtId="169" fontId="56" fillId="0" borderId="63" xfId="1" quotePrefix="1" applyNumberFormat="1" applyFont="1" applyBorder="1" applyAlignment="1" applyProtection="1">
      <alignment vertical="center"/>
      <protection locked="0"/>
    </xf>
    <xf numFmtId="2" fontId="3" fillId="0" borderId="0" xfId="1" applyNumberFormat="1" applyFont="1" applyProtection="1">
      <protection locked="0"/>
    </xf>
    <xf numFmtId="168" fontId="63" fillId="0" borderId="0" xfId="1" applyFont="1" applyProtection="1">
      <protection locked="0"/>
    </xf>
    <xf numFmtId="168" fontId="5" fillId="0" borderId="0" xfId="1" applyFont="1" applyFill="1" applyProtection="1">
      <protection locked="0"/>
    </xf>
    <xf numFmtId="168" fontId="65" fillId="0" borderId="0" xfId="1" applyFont="1" applyProtection="1">
      <protection locked="0"/>
    </xf>
    <xf numFmtId="2" fontId="3" fillId="0" borderId="0" xfId="1" applyNumberFormat="1" applyFont="1" applyFill="1" applyProtection="1">
      <protection locked="0"/>
    </xf>
    <xf numFmtId="168" fontId="66" fillId="0" borderId="0" xfId="1" applyFont="1" applyProtection="1">
      <protection locked="0"/>
    </xf>
    <xf numFmtId="164" fontId="5" fillId="36" borderId="37" xfId="1" applyNumberFormat="1" applyFont="1" applyFill="1" applyBorder="1" applyAlignment="1" applyProtection="1">
      <alignment vertical="center"/>
      <protection locked="0"/>
    </xf>
    <xf numFmtId="164" fontId="5" fillId="36" borderId="63" xfId="1" applyNumberFormat="1" applyFont="1" applyFill="1" applyBorder="1" applyAlignment="1" applyProtection="1">
      <alignment vertical="center"/>
      <protection locked="0"/>
    </xf>
    <xf numFmtId="164" fontId="5" fillId="40" borderId="37" xfId="1" applyNumberFormat="1" applyFont="1" applyFill="1" applyBorder="1" applyAlignment="1" applyProtection="1">
      <alignment vertical="center"/>
      <protection locked="0"/>
    </xf>
    <xf numFmtId="164" fontId="5" fillId="40" borderId="63" xfId="1" applyNumberFormat="1" applyFont="1" applyFill="1" applyBorder="1" applyAlignment="1" applyProtection="1">
      <alignment vertical="center"/>
      <protection locked="0"/>
    </xf>
    <xf numFmtId="164" fontId="5" fillId="40" borderId="61" xfId="1" applyNumberFormat="1" applyFont="1" applyFill="1" applyBorder="1" applyAlignment="1" applyProtection="1">
      <alignment vertical="center"/>
      <protection locked="0"/>
    </xf>
    <xf numFmtId="164" fontId="5" fillId="36" borderId="61" xfId="1" applyNumberFormat="1" applyFont="1" applyFill="1" applyBorder="1" applyAlignment="1" applyProtection="1">
      <alignment vertical="center"/>
      <protection locked="0"/>
    </xf>
    <xf numFmtId="168" fontId="5" fillId="0" borderId="37" xfId="1" applyFont="1" applyBorder="1" applyAlignment="1" applyProtection="1">
      <alignment vertical="center"/>
      <protection locked="0"/>
    </xf>
    <xf numFmtId="49" fontId="5" fillId="0" borderId="37" xfId="1" applyNumberFormat="1" applyFont="1" applyBorder="1" applyAlignment="1" applyProtection="1">
      <alignment horizontal="center" vertical="center"/>
      <protection locked="0"/>
    </xf>
    <xf numFmtId="168" fontId="65" fillId="0" borderId="0" xfId="1" applyFont="1" applyFill="1" applyProtection="1">
      <protection locked="0"/>
    </xf>
    <xf numFmtId="168" fontId="67" fillId="0" borderId="0" xfId="1" applyFont="1" applyProtection="1">
      <protection locked="0"/>
    </xf>
    <xf numFmtId="168" fontId="68" fillId="0" borderId="0" xfId="1" applyFont="1" applyProtection="1">
      <protection locked="0"/>
    </xf>
    <xf numFmtId="168" fontId="58" fillId="0" borderId="37" xfId="1" applyFont="1" applyBorder="1" applyAlignment="1" applyProtection="1">
      <alignment vertical="center"/>
      <protection locked="0"/>
    </xf>
    <xf numFmtId="168" fontId="1" fillId="0" borderId="0" xfId="0" applyFont="1"/>
    <xf numFmtId="168" fontId="69" fillId="42" borderId="0" xfId="1" applyFont="1" applyFill="1" applyProtection="1">
      <protection locked="0"/>
    </xf>
    <xf numFmtId="168" fontId="3" fillId="44" borderId="0" xfId="1" applyFont="1" applyFill="1" applyProtection="1">
      <protection locked="0"/>
    </xf>
    <xf numFmtId="168" fontId="57" fillId="44" borderId="0" xfId="1" applyFont="1" applyFill="1" applyProtection="1">
      <protection locked="0"/>
    </xf>
    <xf numFmtId="168" fontId="69" fillId="0" borderId="0" xfId="1" applyFont="1" applyProtection="1">
      <protection locked="0"/>
    </xf>
    <xf numFmtId="168" fontId="70" fillId="42" borderId="0" xfId="1" applyFont="1" applyFill="1" applyProtection="1">
      <protection locked="0"/>
    </xf>
    <xf numFmtId="168" fontId="5" fillId="0" borderId="37" xfId="1" applyFont="1" applyBorder="1" applyAlignment="1" applyProtection="1">
      <alignment vertical="center"/>
      <protection locked="0"/>
    </xf>
    <xf numFmtId="49" fontId="5" fillId="0" borderId="37" xfId="1" applyNumberFormat="1" applyFont="1" applyBorder="1" applyAlignment="1" applyProtection="1">
      <alignment horizontal="center" vertical="center"/>
      <protection locked="0"/>
    </xf>
    <xf numFmtId="168" fontId="37" fillId="0" borderId="0" xfId="1" applyFont="1" applyProtection="1">
      <protection locked="0"/>
    </xf>
    <xf numFmtId="168" fontId="36" fillId="0" borderId="0" xfId="1" applyFont="1" applyProtection="1">
      <protection locked="0"/>
    </xf>
    <xf numFmtId="0" fontId="5" fillId="40" borderId="37" xfId="1" applyNumberFormat="1" applyFont="1" applyFill="1" applyBorder="1" applyAlignment="1" applyProtection="1">
      <alignment vertical="center"/>
      <protection locked="0"/>
    </xf>
    <xf numFmtId="0" fontId="5" fillId="0" borderId="37" xfId="1" applyNumberFormat="1" applyFont="1" applyBorder="1" applyAlignment="1">
      <alignment vertical="center"/>
    </xf>
    <xf numFmtId="168" fontId="63" fillId="42" borderId="0" xfId="1" applyFont="1" applyFill="1" applyProtection="1">
      <protection locked="0"/>
    </xf>
    <xf numFmtId="168" fontId="71" fillId="0" borderId="37" xfId="1" applyFont="1" applyBorder="1" applyAlignment="1" applyProtection="1">
      <alignment vertical="center"/>
      <protection locked="0"/>
    </xf>
    <xf numFmtId="49" fontId="71" fillId="0" borderId="37" xfId="1" applyNumberFormat="1" applyFont="1" applyBorder="1" applyAlignment="1" applyProtection="1">
      <alignment horizontal="center" vertical="center"/>
      <protection locked="0"/>
    </xf>
    <xf numFmtId="164" fontId="71" fillId="36" borderId="61" xfId="1" applyNumberFormat="1" applyFont="1" applyFill="1" applyBorder="1" applyAlignment="1" applyProtection="1">
      <alignment vertical="center"/>
      <protection locked="0"/>
    </xf>
    <xf numFmtId="164" fontId="71" fillId="36" borderId="37" xfId="1" applyNumberFormat="1" applyFont="1" applyFill="1" applyBorder="1" applyAlignment="1" applyProtection="1">
      <alignment vertical="center"/>
      <protection locked="0"/>
    </xf>
    <xf numFmtId="164" fontId="71" fillId="36" borderId="63" xfId="1" applyNumberFormat="1" applyFont="1" applyFill="1" applyBorder="1" applyAlignment="1" applyProtection="1">
      <alignment vertical="center"/>
      <protection locked="0"/>
    </xf>
    <xf numFmtId="164" fontId="71" fillId="40" borderId="61" xfId="1" applyNumberFormat="1" applyFont="1" applyFill="1" applyBorder="1" applyAlignment="1" applyProtection="1">
      <alignment vertical="center"/>
      <protection locked="0"/>
    </xf>
    <xf numFmtId="164" fontId="71" fillId="40" borderId="37" xfId="1" applyNumberFormat="1" applyFont="1" applyFill="1" applyBorder="1" applyAlignment="1" applyProtection="1">
      <alignment vertical="center"/>
      <protection locked="0"/>
    </xf>
    <xf numFmtId="164" fontId="71" fillId="40" borderId="63" xfId="1" applyNumberFormat="1" applyFont="1" applyFill="1" applyBorder="1" applyAlignment="1" applyProtection="1">
      <alignment vertical="center"/>
      <protection locked="0"/>
    </xf>
    <xf numFmtId="168" fontId="72" fillId="0" borderId="0" xfId="1" applyFont="1" applyProtection="1">
      <protection locked="0"/>
    </xf>
    <xf numFmtId="0" fontId="3" fillId="0" borderId="0" xfId="1" applyNumberFormat="1" applyFont="1" applyProtection="1">
      <protection locked="0"/>
    </xf>
    <xf numFmtId="168" fontId="73" fillId="42" borderId="0" xfId="1" applyFont="1" applyFill="1" applyProtection="1">
      <protection locked="0"/>
    </xf>
    <xf numFmtId="168" fontId="56" fillId="0" borderId="37" xfId="1" applyFont="1" applyFill="1" applyBorder="1" applyAlignment="1" applyProtection="1">
      <alignment vertical="center"/>
      <protection locked="0"/>
    </xf>
    <xf numFmtId="49" fontId="56" fillId="0" borderId="37" xfId="1" applyNumberFormat="1" applyFont="1" applyFill="1" applyBorder="1" applyAlignment="1" applyProtection="1">
      <alignment horizontal="center" vertical="center"/>
      <protection locked="0"/>
    </xf>
    <xf numFmtId="41" fontId="5" fillId="0" borderId="37" xfId="1" applyNumberFormat="1" applyFont="1" applyFill="1" applyBorder="1" applyAlignment="1" applyProtection="1">
      <alignment vertical="center"/>
      <protection locked="0"/>
    </xf>
    <xf numFmtId="0" fontId="5" fillId="0" borderId="37" xfId="1" quotePrefix="1" applyNumberFormat="1" applyFont="1" applyBorder="1" applyAlignment="1" applyProtection="1">
      <alignment vertical="center"/>
      <protection locked="0"/>
    </xf>
    <xf numFmtId="0" fontId="64" fillId="44" borderId="0" xfId="1111" applyFont="1" applyFill="1" applyProtection="1">
      <protection locked="0"/>
    </xf>
    <xf numFmtId="0" fontId="64" fillId="0" borderId="0" xfId="1111" applyFont="1" applyProtection="1">
      <protection locked="0"/>
    </xf>
    <xf numFmtId="168" fontId="75" fillId="0" borderId="0" xfId="0" applyFont="1" applyAlignment="1">
      <alignment vertical="center"/>
    </xf>
    <xf numFmtId="164" fontId="5" fillId="36" borderId="37" xfId="1111" applyNumberFormat="1" applyFont="1" applyFill="1" applyBorder="1" applyAlignment="1" applyProtection="1">
      <alignment vertical="center"/>
      <protection locked="0"/>
    </xf>
    <xf numFmtId="164" fontId="5" fillId="36" borderId="61" xfId="1111" applyNumberFormat="1" applyFont="1" applyFill="1" applyBorder="1" applyAlignment="1" applyProtection="1">
      <alignment vertical="center"/>
      <protection locked="0"/>
    </xf>
    <xf numFmtId="0" fontId="3" fillId="3" borderId="62" xfId="1" applyNumberFormat="1" applyFont="1" applyFill="1" applyBorder="1" applyAlignment="1">
      <alignment horizontal="center" vertical="center"/>
    </xf>
    <xf numFmtId="0" fontId="3" fillId="3" borderId="38" xfId="1" applyNumberFormat="1" applyFont="1" applyFill="1" applyBorder="1" applyAlignment="1">
      <alignment horizontal="center" vertical="center" wrapText="1"/>
    </xf>
    <xf numFmtId="0" fontId="3" fillId="3" borderId="60" xfId="1" applyNumberFormat="1" applyFont="1" applyFill="1" applyBorder="1" applyAlignment="1">
      <alignment horizontal="center" vertical="center"/>
    </xf>
    <xf numFmtId="168" fontId="3" fillId="0" borderId="43" xfId="1" applyFont="1" applyBorder="1" applyAlignment="1">
      <alignment vertical="center"/>
    </xf>
    <xf numFmtId="168" fontId="46" fillId="0" borderId="42" xfId="1" applyFont="1" applyBorder="1" applyAlignment="1">
      <alignment vertical="center"/>
    </xf>
    <xf numFmtId="168" fontId="32" fillId="0" borderId="30" xfId="1" applyFont="1" applyBorder="1" applyAlignment="1" applyProtection="1">
      <alignment vertical="center"/>
      <protection locked="0"/>
    </xf>
    <xf numFmtId="168" fontId="74" fillId="0" borderId="0" xfId="1" applyFont="1" applyFill="1" applyProtection="1">
      <protection locked="0"/>
    </xf>
    <xf numFmtId="168" fontId="5" fillId="0" borderId="0" xfId="1" applyFont="1" applyFill="1" applyAlignment="1" applyProtection="1">
      <alignment vertical="center"/>
      <protection locked="0"/>
    </xf>
    <xf numFmtId="0" fontId="64" fillId="0" borderId="0" xfId="1111" applyFont="1" applyFill="1" applyProtection="1">
      <protection locked="0"/>
    </xf>
    <xf numFmtId="41" fontId="76" fillId="0" borderId="37" xfId="1" applyNumberFormat="1" applyFont="1" applyFill="1" applyBorder="1" applyAlignment="1" applyProtection="1">
      <alignment vertical="center"/>
      <protection locked="0"/>
    </xf>
    <xf numFmtId="49" fontId="76" fillId="0" borderId="37" xfId="1" applyNumberFormat="1" applyFont="1" applyFill="1" applyBorder="1" applyAlignment="1" applyProtection="1">
      <alignment horizontal="center" vertical="center"/>
      <protection locked="0"/>
    </xf>
    <xf numFmtId="0" fontId="76" fillId="0" borderId="37" xfId="1" applyNumberFormat="1" applyFont="1" applyFill="1" applyBorder="1" applyAlignment="1" applyProtection="1">
      <alignment vertical="center"/>
      <protection locked="0"/>
    </xf>
    <xf numFmtId="0" fontId="5" fillId="0" borderId="37" xfId="0" applyNumberFormat="1" applyFont="1" applyBorder="1" applyAlignment="1">
      <alignment vertical="center"/>
    </xf>
    <xf numFmtId="168" fontId="5" fillId="0" borderId="37" xfId="1" applyFont="1" applyBorder="1" applyAlignment="1" applyProtection="1">
      <alignment vertical="center"/>
      <protection locked="0"/>
    </xf>
    <xf numFmtId="168" fontId="3" fillId="0" borderId="61" xfId="0" applyFont="1" applyBorder="1" applyAlignment="1" applyProtection="1">
      <alignment vertical="center"/>
      <protection locked="0"/>
    </xf>
    <xf numFmtId="168" fontId="5" fillId="0" borderId="37" xfId="0" applyFont="1" applyBorder="1" applyAlignment="1" applyProtection="1">
      <alignment vertical="center"/>
      <protection locked="0"/>
    </xf>
    <xf numFmtId="41" fontId="5" fillId="0" borderId="37" xfId="0" applyNumberFormat="1" applyFont="1" applyBorder="1" applyAlignment="1" applyProtection="1">
      <alignment vertical="center"/>
      <protection locked="0"/>
    </xf>
    <xf numFmtId="49" fontId="5" fillId="0" borderId="37" xfId="0" applyNumberFormat="1" applyFont="1" applyBorder="1" applyAlignment="1" applyProtection="1">
      <alignment horizontal="center" vertical="center"/>
      <protection locked="0"/>
    </xf>
    <xf numFmtId="164" fontId="5" fillId="36" borderId="61" xfId="0" applyNumberFormat="1" applyFont="1" applyFill="1" applyBorder="1" applyAlignment="1" applyProtection="1">
      <alignment vertical="center"/>
      <protection locked="0"/>
    </xf>
    <xf numFmtId="164" fontId="5" fillId="36" borderId="37" xfId="0" applyNumberFormat="1" applyFont="1" applyFill="1" applyBorder="1" applyAlignment="1" applyProtection="1">
      <alignment vertical="center"/>
      <protection locked="0"/>
    </xf>
    <xf numFmtId="164" fontId="5" fillId="36" borderId="63" xfId="0" applyNumberFormat="1" applyFont="1" applyFill="1" applyBorder="1" applyAlignment="1" applyProtection="1">
      <alignment vertical="center"/>
      <protection locked="0"/>
    </xf>
    <xf numFmtId="164" fontId="5" fillId="40" borderId="61" xfId="0" applyNumberFormat="1" applyFont="1" applyFill="1" applyBorder="1" applyAlignment="1" applyProtection="1">
      <alignment vertical="center"/>
      <protection locked="0"/>
    </xf>
    <xf numFmtId="164" fontId="5" fillId="40" borderId="37" xfId="0" applyNumberFormat="1" applyFont="1" applyFill="1" applyBorder="1" applyAlignment="1" applyProtection="1">
      <alignment vertical="center"/>
      <protection locked="0"/>
    </xf>
    <xf numFmtId="164" fontId="5" fillId="40" borderId="63" xfId="0" applyNumberFormat="1" applyFont="1" applyFill="1" applyBorder="1" applyAlignment="1" applyProtection="1">
      <alignment vertical="center"/>
      <protection locked="0"/>
    </xf>
    <xf numFmtId="164" fontId="5" fillId="0" borderId="61" xfId="0" applyNumberFormat="1" applyFont="1" applyBorder="1" applyAlignment="1">
      <alignment vertical="center"/>
    </xf>
    <xf numFmtId="164" fontId="5" fillId="0" borderId="37" xfId="0" applyNumberFormat="1" applyFont="1" applyBorder="1" applyAlignment="1">
      <alignment vertical="center"/>
    </xf>
    <xf numFmtId="164" fontId="5" fillId="0" borderId="63" xfId="0" applyNumberFormat="1" applyFont="1" applyBorder="1" applyAlignment="1">
      <alignment vertical="center"/>
    </xf>
    <xf numFmtId="164" fontId="5" fillId="3" borderId="71" xfId="0" applyNumberFormat="1" applyFont="1" applyFill="1" applyBorder="1" applyAlignment="1">
      <alignment vertical="center"/>
    </xf>
    <xf numFmtId="168" fontId="5" fillId="41" borderId="61" xfId="0" applyFont="1" applyFill="1" applyBorder="1" applyAlignment="1">
      <alignment vertical="center"/>
    </xf>
    <xf numFmtId="168" fontId="5" fillId="41" borderId="37" xfId="0" applyFont="1" applyFill="1" applyBorder="1" applyAlignment="1">
      <alignment vertical="center"/>
    </xf>
    <xf numFmtId="168" fontId="5" fillId="41" borderId="63" xfId="0" applyFont="1" applyFill="1" applyBorder="1" applyAlignment="1">
      <alignment vertical="center"/>
    </xf>
    <xf numFmtId="168" fontId="60" fillId="0" borderId="3" xfId="0" applyFont="1" applyBorder="1" applyAlignment="1">
      <alignment vertical="center"/>
    </xf>
    <xf numFmtId="168" fontId="77" fillId="0" borderId="0" xfId="1" applyFont="1" applyProtection="1">
      <protection locked="0"/>
    </xf>
    <xf numFmtId="168" fontId="37" fillId="0" borderId="43" xfId="1" applyFont="1" applyFill="1" applyBorder="1" applyAlignment="1">
      <alignment horizontal="right" vertical="center"/>
    </xf>
    <xf numFmtId="168" fontId="38" fillId="0" borderId="43" xfId="1" applyFont="1" applyFill="1" applyBorder="1" applyAlignment="1" applyProtection="1">
      <alignment vertical="center"/>
      <protection locked="0"/>
    </xf>
    <xf numFmtId="168" fontId="31" fillId="45" borderId="42" xfId="1" applyFont="1" applyFill="1" applyBorder="1" applyAlignment="1">
      <alignment vertical="center"/>
    </xf>
    <xf numFmtId="168" fontId="3" fillId="45" borderId="43" xfId="1" applyFont="1" applyFill="1" applyBorder="1" applyAlignment="1">
      <alignment vertical="center"/>
    </xf>
    <xf numFmtId="2" fontId="5" fillId="0" borderId="63" xfId="0" applyNumberFormat="1" applyFont="1" applyBorder="1" applyAlignment="1">
      <alignment vertical="center"/>
    </xf>
    <xf numFmtId="168" fontId="78" fillId="0" borderId="0" xfId="1" applyFont="1" applyProtection="1">
      <protection locked="0"/>
    </xf>
    <xf numFmtId="168" fontId="79" fillId="0" borderId="0" xfId="1" applyFont="1" applyProtection="1">
      <protection locked="0"/>
    </xf>
    <xf numFmtId="0" fontId="5" fillId="0" borderId="37" xfId="1111" applyFont="1" applyBorder="1" applyAlignment="1" applyProtection="1">
      <alignment vertical="center"/>
      <protection locked="0"/>
    </xf>
    <xf numFmtId="49" fontId="5" fillId="0" borderId="37" xfId="1111" applyNumberFormat="1" applyFont="1" applyBorder="1" applyAlignment="1" applyProtection="1">
      <alignment horizontal="center" vertical="center"/>
      <protection locked="0"/>
    </xf>
    <xf numFmtId="164" fontId="5" fillId="40" borderId="37" xfId="1111" applyNumberFormat="1" applyFont="1" applyFill="1" applyBorder="1" applyAlignment="1" applyProtection="1">
      <alignment vertical="center"/>
      <protection locked="0"/>
    </xf>
    <xf numFmtId="164" fontId="5" fillId="40" borderId="61" xfId="1111" applyNumberFormat="1" applyFont="1" applyFill="1" applyBorder="1" applyAlignment="1" applyProtection="1">
      <alignment vertical="center"/>
      <protection locked="0"/>
    </xf>
    <xf numFmtId="168" fontId="36" fillId="0" borderId="42" xfId="1" applyFont="1" applyFill="1" applyBorder="1" applyAlignment="1">
      <alignment vertical="center"/>
    </xf>
    <xf numFmtId="168" fontId="3" fillId="0" borderId="43" xfId="1" applyFont="1" applyFill="1" applyBorder="1" applyAlignment="1">
      <alignment vertical="center"/>
    </xf>
    <xf numFmtId="168" fontId="80" fillId="42" borderId="0" xfId="1" applyFont="1" applyFill="1" applyProtection="1">
      <protection locked="0"/>
    </xf>
    <xf numFmtId="168" fontId="81" fillId="42" borderId="0" xfId="1" applyFont="1" applyFill="1" applyProtection="1">
      <protection locked="0"/>
    </xf>
    <xf numFmtId="2" fontId="5" fillId="0" borderId="0" xfId="1" applyNumberFormat="1" applyFont="1" applyProtection="1">
      <protection locked="0"/>
    </xf>
    <xf numFmtId="168" fontId="81" fillId="0" borderId="0" xfId="1" applyFont="1" applyProtection="1">
      <protection locked="0"/>
    </xf>
    <xf numFmtId="168" fontId="5" fillId="0" borderId="37" xfId="1" applyFont="1" applyBorder="1" applyAlignment="1" applyProtection="1">
      <alignment vertical="center"/>
      <protection locked="0"/>
    </xf>
    <xf numFmtId="168" fontId="3" fillId="0" borderId="61" xfId="0" applyFont="1" applyBorder="1" applyAlignment="1" applyProtection="1">
      <alignment vertical="center"/>
      <protection locked="0"/>
    </xf>
    <xf numFmtId="168" fontId="5" fillId="0" borderId="37" xfId="0" applyFont="1" applyBorder="1" applyAlignment="1" applyProtection="1">
      <alignment vertical="center"/>
      <protection locked="0"/>
    </xf>
    <xf numFmtId="41" fontId="5" fillId="0" borderId="37" xfId="0" applyNumberFormat="1" applyFont="1" applyBorder="1" applyAlignment="1" applyProtection="1">
      <alignment vertical="center"/>
      <protection locked="0"/>
    </xf>
    <xf numFmtId="49" fontId="5" fillId="0" borderId="37" xfId="0" applyNumberFormat="1" applyFont="1" applyBorder="1" applyAlignment="1" applyProtection="1">
      <alignment horizontal="center" vertical="center"/>
      <protection locked="0"/>
    </xf>
    <xf numFmtId="164" fontId="5" fillId="36" borderId="61" xfId="0" applyNumberFormat="1" applyFont="1" applyFill="1" applyBorder="1" applyAlignment="1" applyProtection="1">
      <alignment vertical="center"/>
      <protection locked="0"/>
    </xf>
    <xf numFmtId="164" fontId="5" fillId="36" borderId="37" xfId="0" applyNumberFormat="1" applyFont="1" applyFill="1" applyBorder="1" applyAlignment="1" applyProtection="1">
      <alignment vertical="center"/>
      <protection locked="0"/>
    </xf>
    <xf numFmtId="164" fontId="5" fillId="36" borderId="63" xfId="0" applyNumberFormat="1" applyFont="1" applyFill="1" applyBorder="1" applyAlignment="1" applyProtection="1">
      <alignment vertical="center"/>
      <protection locked="0"/>
    </xf>
    <xf numFmtId="164" fontId="5" fillId="40" borderId="61" xfId="0" applyNumberFormat="1" applyFont="1" applyFill="1" applyBorder="1" applyAlignment="1" applyProtection="1">
      <alignment vertical="center"/>
      <protection locked="0"/>
    </xf>
    <xf numFmtId="164" fontId="5" fillId="40" borderId="37" xfId="0" applyNumberFormat="1" applyFont="1" applyFill="1" applyBorder="1" applyAlignment="1" applyProtection="1">
      <alignment vertical="center"/>
      <protection locked="0"/>
    </xf>
    <xf numFmtId="164" fontId="5" fillId="40" borderId="63" xfId="0" applyNumberFormat="1" applyFont="1" applyFill="1" applyBorder="1" applyAlignment="1" applyProtection="1">
      <alignment vertical="center"/>
      <protection locked="0"/>
    </xf>
    <xf numFmtId="164" fontId="5" fillId="0" borderId="61" xfId="0" applyNumberFormat="1" applyFont="1" applyBorder="1" applyAlignment="1">
      <alignment vertical="center"/>
    </xf>
    <xf numFmtId="164" fontId="5" fillId="0" borderId="37" xfId="0" applyNumberFormat="1" applyFont="1" applyBorder="1" applyAlignment="1">
      <alignment vertical="center"/>
    </xf>
    <xf numFmtId="164" fontId="5" fillId="0" borderId="63" xfId="0" applyNumberFormat="1" applyFont="1" applyBorder="1" applyAlignment="1">
      <alignment vertical="center"/>
    </xf>
    <xf numFmtId="164" fontId="5" fillId="3" borderId="71" xfId="0" applyNumberFormat="1" applyFont="1" applyFill="1" applyBorder="1" applyAlignment="1">
      <alignment vertical="center"/>
    </xf>
    <xf numFmtId="168" fontId="5" fillId="41" borderId="61" xfId="0" applyFont="1" applyFill="1" applyBorder="1" applyAlignment="1">
      <alignment vertical="center"/>
    </xf>
    <xf numFmtId="168" fontId="5" fillId="41" borderId="37" xfId="0" applyFont="1" applyFill="1" applyBorder="1" applyAlignment="1">
      <alignment vertical="center"/>
    </xf>
    <xf numFmtId="168" fontId="5" fillId="41" borderId="63" xfId="0" applyFont="1" applyFill="1" applyBorder="1" applyAlignment="1">
      <alignment vertical="center"/>
    </xf>
    <xf numFmtId="49" fontId="5" fillId="0" borderId="37" xfId="1111" applyNumberFormat="1" applyFont="1" applyBorder="1" applyAlignment="1" applyProtection="1">
      <alignment horizontal="center" vertical="center"/>
      <protection locked="0"/>
    </xf>
    <xf numFmtId="168" fontId="60" fillId="0" borderId="3" xfId="0" applyFont="1" applyBorder="1" applyAlignment="1">
      <alignment vertical="center"/>
    </xf>
    <xf numFmtId="168" fontId="5" fillId="0" borderId="37" xfId="1" applyFont="1" applyFill="1" applyBorder="1" applyAlignment="1" applyProtection="1">
      <alignment vertical="center"/>
      <protection locked="0"/>
    </xf>
    <xf numFmtId="0" fontId="5" fillId="0" borderId="37" xfId="1" applyNumberFormat="1" applyFont="1" applyBorder="1" applyAlignment="1" applyProtection="1">
      <alignment vertical="center"/>
      <protection locked="0"/>
    </xf>
    <xf numFmtId="168" fontId="82" fillId="42" borderId="0" xfId="1" applyFont="1" applyFill="1" applyProtection="1">
      <protection locked="0"/>
    </xf>
    <xf numFmtId="168" fontId="82" fillId="0" borderId="0" xfId="1" applyFont="1" applyProtection="1">
      <protection locked="0"/>
    </xf>
    <xf numFmtId="168" fontId="83" fillId="0" borderId="0" xfId="1" applyFont="1" applyProtection="1">
      <protection locked="0"/>
    </xf>
    <xf numFmtId="168" fontId="36" fillId="0" borderId="0" xfId="1" applyFont="1" applyFill="1" applyProtection="1">
      <protection locked="0"/>
    </xf>
    <xf numFmtId="168" fontId="53" fillId="0" borderId="43" xfId="1" applyFont="1" applyFill="1" applyBorder="1" applyAlignment="1" applyProtection="1">
      <alignment vertical="center"/>
      <protection locked="0"/>
    </xf>
    <xf numFmtId="168" fontId="38" fillId="0" borderId="42" xfId="1" applyFont="1" applyBorder="1" applyAlignment="1" applyProtection="1">
      <alignment horizontal="left" vertical="center"/>
      <protection locked="0"/>
    </xf>
    <xf numFmtId="168" fontId="38" fillId="0" borderId="43" xfId="1" applyFont="1" applyBorder="1" applyAlignment="1" applyProtection="1">
      <alignment horizontal="left" vertical="center"/>
      <protection locked="0"/>
    </xf>
    <xf numFmtId="168" fontId="38" fillId="0" borderId="44" xfId="1" applyFont="1" applyBorder="1" applyAlignment="1" applyProtection="1">
      <alignment horizontal="left" vertical="center"/>
      <protection locked="0"/>
    </xf>
    <xf numFmtId="0" fontId="5" fillId="0" borderId="61" xfId="1" applyNumberFormat="1" applyFont="1" applyBorder="1" applyAlignment="1">
      <alignment vertical="center"/>
    </xf>
    <xf numFmtId="0" fontId="5" fillId="0" borderId="61" xfId="0" applyNumberFormat="1" applyFont="1" applyBorder="1" applyAlignment="1">
      <alignment vertical="center"/>
    </xf>
    <xf numFmtId="168" fontId="38" fillId="0" borderId="42" xfId="1" applyFont="1" applyBorder="1" applyAlignment="1" applyProtection="1">
      <alignment horizontal="left" vertical="center"/>
      <protection locked="0"/>
    </xf>
    <xf numFmtId="168" fontId="38" fillId="0" borderId="43" xfId="1" applyFont="1" applyBorder="1" applyAlignment="1" applyProtection="1">
      <alignment horizontal="left" vertical="center"/>
      <protection locked="0"/>
    </xf>
    <xf numFmtId="168" fontId="38" fillId="0" borderId="44" xfId="1" applyFont="1" applyBorder="1" applyAlignment="1" applyProtection="1">
      <alignment horizontal="left" vertical="center"/>
      <protection locked="0"/>
    </xf>
    <xf numFmtId="14" fontId="43" fillId="41" borderId="65" xfId="1" applyNumberFormat="1" applyFont="1" applyFill="1" applyBorder="1" applyAlignment="1" applyProtection="1">
      <alignment horizontal="center" vertical="center"/>
      <protection locked="0"/>
    </xf>
    <xf numFmtId="14" fontId="43" fillId="41" borderId="66" xfId="1" applyNumberFormat="1" applyFont="1" applyFill="1" applyBorder="1" applyAlignment="1" applyProtection="1">
      <alignment horizontal="center" vertical="center"/>
      <protection locked="0"/>
    </xf>
    <xf numFmtId="14" fontId="43" fillId="41" borderId="67" xfId="1" applyNumberFormat="1" applyFont="1" applyFill="1" applyBorder="1" applyAlignment="1" applyProtection="1">
      <alignment horizontal="center" vertical="center"/>
      <protection locked="0"/>
    </xf>
    <xf numFmtId="168" fontId="43" fillId="0" borderId="76" xfId="1" applyFont="1" applyBorder="1" applyAlignment="1" applyProtection="1">
      <alignment horizontal="center" vertical="center"/>
      <protection locked="0"/>
    </xf>
    <xf numFmtId="168" fontId="43" fillId="0" borderId="77" xfId="1" applyFont="1" applyBorder="1" applyAlignment="1" applyProtection="1">
      <alignment horizontal="center" vertical="center"/>
      <protection locked="0"/>
    </xf>
    <xf numFmtId="168" fontId="43" fillId="0" borderId="78" xfId="1" applyFont="1" applyBorder="1" applyAlignment="1" applyProtection="1">
      <alignment horizontal="center" vertical="center"/>
      <protection locked="0"/>
    </xf>
    <xf numFmtId="2" fontId="38" fillId="0" borderId="57" xfId="1" applyNumberFormat="1" applyFont="1" applyBorder="1" applyAlignment="1">
      <alignment horizontal="center" vertical="center"/>
    </xf>
    <xf numFmtId="2" fontId="38" fillId="0" borderId="58" xfId="1" applyNumberFormat="1" applyFont="1" applyBorder="1" applyAlignment="1">
      <alignment horizontal="center" vertical="center"/>
    </xf>
    <xf numFmtId="2" fontId="38" fillId="0" borderId="59" xfId="1" applyNumberFormat="1" applyFont="1" applyBorder="1" applyAlignment="1">
      <alignment horizontal="center" vertical="center"/>
    </xf>
    <xf numFmtId="2" fontId="38" fillId="0" borderId="54" xfId="1" applyNumberFormat="1" applyFont="1" applyBorder="1" applyAlignment="1">
      <alignment horizontal="center" vertical="center"/>
    </xf>
    <xf numFmtId="2" fontId="38" fillId="0" borderId="55" xfId="1" applyNumberFormat="1" applyFont="1" applyBorder="1" applyAlignment="1">
      <alignment horizontal="center" vertical="center"/>
    </xf>
    <xf numFmtId="2" fontId="38" fillId="0" borderId="56" xfId="1" applyNumberFormat="1" applyFont="1" applyBorder="1" applyAlignment="1">
      <alignment horizontal="center" vertical="center"/>
    </xf>
    <xf numFmtId="2" fontId="38" fillId="0" borderId="48" xfId="981" applyNumberFormat="1" applyFont="1" applyBorder="1" applyAlignment="1">
      <alignment horizontal="center" vertical="center"/>
    </xf>
    <xf numFmtId="2" fontId="38" fillId="0" borderId="49" xfId="981" applyNumberFormat="1" applyFont="1" applyBorder="1" applyAlignment="1">
      <alignment horizontal="center" vertical="center"/>
    </xf>
    <xf numFmtId="2" fontId="38" fillId="0" borderId="50" xfId="981" applyNumberFormat="1" applyFont="1" applyBorder="1" applyAlignment="1">
      <alignment horizontal="center" vertical="center"/>
    </xf>
    <xf numFmtId="168" fontId="49" fillId="0" borderId="65" xfId="1" applyFont="1" applyBorder="1" applyAlignment="1" applyProtection="1">
      <alignment horizontal="center"/>
      <protection locked="0"/>
    </xf>
    <xf numFmtId="168" fontId="49" fillId="0" borderId="66" xfId="1" applyFont="1" applyBorder="1" applyAlignment="1" applyProtection="1">
      <alignment horizontal="center"/>
      <protection locked="0"/>
    </xf>
    <xf numFmtId="168" fontId="49" fillId="0" borderId="67" xfId="1" applyFont="1" applyBorder="1" applyAlignment="1" applyProtection="1">
      <alignment horizontal="center"/>
      <protection locked="0"/>
    </xf>
    <xf numFmtId="2" fontId="38" fillId="0" borderId="32" xfId="981" applyNumberFormat="1" applyFont="1" applyBorder="1" applyAlignment="1">
      <alignment horizontal="center" vertical="center"/>
    </xf>
    <xf numFmtId="2" fontId="38" fillId="0" borderId="33" xfId="981" applyNumberFormat="1" applyFont="1" applyBorder="1" applyAlignment="1">
      <alignment horizontal="center" vertical="center"/>
    </xf>
    <xf numFmtId="2" fontId="38" fillId="0" borderId="34" xfId="981" applyNumberFormat="1" applyFont="1" applyBorder="1" applyAlignment="1">
      <alignment horizontal="center" vertical="center"/>
    </xf>
    <xf numFmtId="2" fontId="38" fillId="0" borderId="79" xfId="981" applyNumberFormat="1" applyFont="1" applyBorder="1" applyAlignment="1">
      <alignment horizontal="center" vertical="center"/>
    </xf>
    <xf numFmtId="2" fontId="38" fillId="0" borderId="80" xfId="981" applyNumberFormat="1" applyFont="1" applyBorder="1" applyAlignment="1">
      <alignment horizontal="center" vertical="center"/>
    </xf>
    <xf numFmtId="2" fontId="38" fillId="0" borderId="81" xfId="981" applyNumberFormat="1" applyFont="1" applyBorder="1" applyAlignment="1">
      <alignment horizontal="center" vertical="center"/>
    </xf>
    <xf numFmtId="2" fontId="38" fillId="0" borderId="51" xfId="981" applyNumberFormat="1" applyFont="1" applyBorder="1" applyAlignment="1">
      <alignment horizontal="center" vertical="center"/>
    </xf>
    <xf numFmtId="2" fontId="38" fillId="0" borderId="52" xfId="981" applyNumberFormat="1" applyFont="1" applyBorder="1" applyAlignment="1">
      <alignment horizontal="center" vertical="center"/>
    </xf>
    <xf numFmtId="2" fontId="38" fillId="0" borderId="53" xfId="981" applyNumberFormat="1" applyFont="1" applyBorder="1" applyAlignment="1">
      <alignment horizontal="center" vertical="center"/>
    </xf>
    <xf numFmtId="168" fontId="38" fillId="0" borderId="42" xfId="1" applyFont="1" applyBorder="1" applyAlignment="1" applyProtection="1">
      <alignment horizontal="left" vertical="center"/>
      <protection locked="0"/>
    </xf>
    <xf numFmtId="168" fontId="38" fillId="0" borderId="43" xfId="1" applyFont="1" applyBorder="1" applyAlignment="1" applyProtection="1">
      <alignment horizontal="left" vertical="center"/>
      <protection locked="0"/>
    </xf>
    <xf numFmtId="168" fontId="38" fillId="0" borderId="44" xfId="1" applyFont="1" applyBorder="1" applyAlignment="1" applyProtection="1">
      <alignment horizontal="left" vertical="center"/>
      <protection locked="0"/>
    </xf>
    <xf numFmtId="168" fontId="33" fillId="4" borderId="42" xfId="1" applyFont="1" applyFill="1" applyBorder="1" applyAlignment="1" applyProtection="1">
      <alignment horizontal="center" vertical="center"/>
      <protection locked="0"/>
    </xf>
    <xf numFmtId="168" fontId="33" fillId="4" borderId="43" xfId="1" applyFont="1" applyFill="1" applyBorder="1" applyAlignment="1" applyProtection="1">
      <alignment horizontal="center" vertical="center"/>
      <protection locked="0"/>
    </xf>
    <xf numFmtId="168" fontId="33" fillId="4" borderId="44" xfId="1" applyFont="1" applyFill="1" applyBorder="1" applyAlignment="1" applyProtection="1">
      <alignment horizontal="center" vertical="center"/>
      <protection locked="0"/>
    </xf>
    <xf numFmtId="14" fontId="47" fillId="4" borderId="65" xfId="1" applyNumberFormat="1" applyFont="1" applyFill="1" applyBorder="1" applyAlignment="1" applyProtection="1">
      <alignment horizontal="center" vertical="center"/>
      <protection locked="0"/>
    </xf>
    <xf numFmtId="14" fontId="47" fillId="4" borderId="66" xfId="1" applyNumberFormat="1" applyFont="1" applyFill="1" applyBorder="1" applyAlignment="1" applyProtection="1">
      <alignment horizontal="center" vertical="center"/>
      <protection locked="0"/>
    </xf>
    <xf numFmtId="14" fontId="47" fillId="4" borderId="67" xfId="1" applyNumberFormat="1" applyFont="1" applyFill="1" applyBorder="1" applyAlignment="1" applyProtection="1">
      <alignment horizontal="center" vertical="center"/>
      <protection locked="0"/>
    </xf>
    <xf numFmtId="165" fontId="31" fillId="36" borderId="45" xfId="1" applyNumberFormat="1" applyFont="1" applyFill="1" applyBorder="1" applyAlignment="1" applyProtection="1">
      <alignment horizontal="center" vertical="center"/>
      <protection locked="0"/>
    </xf>
    <xf numFmtId="165" fontId="31" fillId="36" borderId="46" xfId="1" applyNumberFormat="1" applyFont="1" applyFill="1" applyBorder="1" applyAlignment="1" applyProtection="1">
      <alignment horizontal="center" vertical="center"/>
      <protection locked="0"/>
    </xf>
    <xf numFmtId="165" fontId="31" fillId="36" borderId="47" xfId="1" applyNumberFormat="1" applyFont="1" applyFill="1" applyBorder="1" applyAlignment="1" applyProtection="1">
      <alignment horizontal="center" vertical="center"/>
      <protection locked="0"/>
    </xf>
    <xf numFmtId="165" fontId="31" fillId="40" borderId="45" xfId="1" applyNumberFormat="1" applyFont="1" applyFill="1" applyBorder="1" applyAlignment="1" applyProtection="1">
      <alignment horizontal="center" vertical="center"/>
      <protection locked="0"/>
    </xf>
    <xf numFmtId="165" fontId="31" fillId="40" borderId="46" xfId="1" applyNumberFormat="1" applyFont="1" applyFill="1" applyBorder="1" applyAlignment="1" applyProtection="1">
      <alignment horizontal="center" vertical="center"/>
      <protection locked="0"/>
    </xf>
    <xf numFmtId="165" fontId="31" fillId="40" borderId="47" xfId="1" applyNumberFormat="1" applyFont="1" applyFill="1" applyBorder="1" applyAlignment="1" applyProtection="1">
      <alignment horizontal="center" vertical="center"/>
      <protection locked="0"/>
    </xf>
  </cellXfs>
  <cellStyles count="1117">
    <cellStyle name="20% - Accent1" xfId="999" builtinId="30" customBuiltin="1"/>
    <cellStyle name="20% - Accent2" xfId="1003" builtinId="34" customBuiltin="1"/>
    <cellStyle name="20% - Accent3" xfId="1007" builtinId="38" customBuiltin="1"/>
    <cellStyle name="20% - Accent4" xfId="1011" builtinId="42" customBuiltin="1"/>
    <cellStyle name="20% - Accent5" xfId="1015" builtinId="46" customBuiltin="1"/>
    <cellStyle name="20% - Accent6" xfId="1019" builtinId="50" customBuiltin="1"/>
    <cellStyle name="40% - Accent1" xfId="1000" builtinId="31" customBuiltin="1"/>
    <cellStyle name="40% - Accent2" xfId="1004" builtinId="35" customBuiltin="1"/>
    <cellStyle name="40% - Accent3" xfId="1008" builtinId="39" customBuiltin="1"/>
    <cellStyle name="40% - Accent4" xfId="1012" builtinId="43" customBuiltin="1"/>
    <cellStyle name="40% - Accent5" xfId="1016" builtinId="47" customBuiltin="1"/>
    <cellStyle name="40% - Accent6" xfId="1020" builtinId="51" customBuiltin="1"/>
    <cellStyle name="60% - Accent1" xfId="1001" builtinId="32" customBuiltin="1"/>
    <cellStyle name="60% - Accent2" xfId="1005" builtinId="36" customBuiltin="1"/>
    <cellStyle name="60% - Accent3" xfId="1009" builtinId="40" customBuiltin="1"/>
    <cellStyle name="60% - Accent4" xfId="1013" builtinId="44" customBuiltin="1"/>
    <cellStyle name="60% - Accent5" xfId="1017" builtinId="48" customBuiltin="1"/>
    <cellStyle name="60% - Accent6" xfId="1021" builtinId="52" customBuiltin="1"/>
    <cellStyle name="Accent1" xfId="998" builtinId="29" customBuiltin="1"/>
    <cellStyle name="Accent2" xfId="1002" builtinId="33" customBuiltin="1"/>
    <cellStyle name="Accent3" xfId="1006" builtinId="37" customBuiltin="1"/>
    <cellStyle name="Accent4" xfId="1010" builtinId="41" customBuiltin="1"/>
    <cellStyle name="Accent5" xfId="1014" builtinId="45" customBuiltin="1"/>
    <cellStyle name="Accent6" xfId="1018" builtinId="49" customBuiltin="1"/>
    <cellStyle name="Bad" xfId="988" builtinId="27" customBuiltin="1"/>
    <cellStyle name="Calculation" xfId="992" builtinId="22" customBuiltin="1"/>
    <cellStyle name="Check Cell" xfId="994" builtinId="23" customBuiltin="1"/>
    <cellStyle name="Column Caption" xfId="1109" xr:uid="{00000000-0005-0000-0000-00001B000000}"/>
    <cellStyle name="Comma" xfId="981" builtinId="3"/>
    <cellStyle name="Comma 10" xfId="1024" xr:uid="{00000000-0005-0000-0000-00001D000000}"/>
    <cellStyle name="Comma 2" xfId="8" xr:uid="{00000000-0005-0000-0000-00001E000000}"/>
    <cellStyle name="Comma 2 10" xfId="9" xr:uid="{00000000-0005-0000-0000-00001F000000}"/>
    <cellStyle name="Comma 2 10 2" xfId="10" xr:uid="{00000000-0005-0000-0000-000020000000}"/>
    <cellStyle name="Comma 2 10 3" xfId="11" xr:uid="{00000000-0005-0000-0000-000021000000}"/>
    <cellStyle name="Comma 2 11" xfId="12" xr:uid="{00000000-0005-0000-0000-000022000000}"/>
    <cellStyle name="Comma 2 11 2" xfId="13" xr:uid="{00000000-0005-0000-0000-000023000000}"/>
    <cellStyle name="Comma 2 12" xfId="14" xr:uid="{00000000-0005-0000-0000-000024000000}"/>
    <cellStyle name="Comma 2 12 2" xfId="15" xr:uid="{00000000-0005-0000-0000-000025000000}"/>
    <cellStyle name="Comma 2 13" xfId="2" xr:uid="{00000000-0005-0000-0000-000026000000}"/>
    <cellStyle name="Comma 2 14" xfId="16" xr:uid="{00000000-0005-0000-0000-000027000000}"/>
    <cellStyle name="Comma 2 14 2" xfId="17" xr:uid="{00000000-0005-0000-0000-000028000000}"/>
    <cellStyle name="Comma 2 14 3" xfId="18" xr:uid="{00000000-0005-0000-0000-000029000000}"/>
    <cellStyle name="Comma 2 15" xfId="19" xr:uid="{00000000-0005-0000-0000-00002A000000}"/>
    <cellStyle name="Comma 2 16" xfId="20" xr:uid="{00000000-0005-0000-0000-00002B000000}"/>
    <cellStyle name="Comma 2 2" xfId="21" xr:uid="{00000000-0005-0000-0000-00002C000000}"/>
    <cellStyle name="Comma 2 2 10" xfId="22" xr:uid="{00000000-0005-0000-0000-00002D000000}"/>
    <cellStyle name="Comma 2 2 2" xfId="23" xr:uid="{00000000-0005-0000-0000-00002E000000}"/>
    <cellStyle name="Comma 2 2 3" xfId="24" xr:uid="{00000000-0005-0000-0000-00002F000000}"/>
    <cellStyle name="Comma 2 2 4" xfId="25" xr:uid="{00000000-0005-0000-0000-000030000000}"/>
    <cellStyle name="Comma 2 2 5" xfId="26" xr:uid="{00000000-0005-0000-0000-000031000000}"/>
    <cellStyle name="Comma 2 2 6" xfId="27" xr:uid="{00000000-0005-0000-0000-000032000000}"/>
    <cellStyle name="Comma 2 2 7" xfId="28" xr:uid="{00000000-0005-0000-0000-000033000000}"/>
    <cellStyle name="Comma 2 2 8" xfId="29" xr:uid="{00000000-0005-0000-0000-000034000000}"/>
    <cellStyle name="Comma 2 2 9" xfId="30" xr:uid="{00000000-0005-0000-0000-000035000000}"/>
    <cellStyle name="Comma 2 3" xfId="31" xr:uid="{00000000-0005-0000-0000-000036000000}"/>
    <cellStyle name="Comma 2 3 10" xfId="32" xr:uid="{00000000-0005-0000-0000-000037000000}"/>
    <cellStyle name="Comma 2 3 2" xfId="33" xr:uid="{00000000-0005-0000-0000-000038000000}"/>
    <cellStyle name="Comma 2 3 3" xfId="34" xr:uid="{00000000-0005-0000-0000-000039000000}"/>
    <cellStyle name="Comma 2 3 4" xfId="35" xr:uid="{00000000-0005-0000-0000-00003A000000}"/>
    <cellStyle name="Comma 2 3 5" xfId="36" xr:uid="{00000000-0005-0000-0000-00003B000000}"/>
    <cellStyle name="Comma 2 3 6" xfId="37" xr:uid="{00000000-0005-0000-0000-00003C000000}"/>
    <cellStyle name="Comma 2 3 7" xfId="38" xr:uid="{00000000-0005-0000-0000-00003D000000}"/>
    <cellStyle name="Comma 2 3 8" xfId="39" xr:uid="{00000000-0005-0000-0000-00003E000000}"/>
    <cellStyle name="Comma 2 3 9" xfId="40" xr:uid="{00000000-0005-0000-0000-00003F000000}"/>
    <cellStyle name="Comma 2 4" xfId="41" xr:uid="{00000000-0005-0000-0000-000040000000}"/>
    <cellStyle name="Comma 2 4 2" xfId="42" xr:uid="{00000000-0005-0000-0000-000041000000}"/>
    <cellStyle name="Comma 2 4 3" xfId="43" xr:uid="{00000000-0005-0000-0000-000042000000}"/>
    <cellStyle name="Comma 2 5" xfId="44" xr:uid="{00000000-0005-0000-0000-000043000000}"/>
    <cellStyle name="Comma 2 5 2" xfId="45" xr:uid="{00000000-0005-0000-0000-000044000000}"/>
    <cellStyle name="Comma 2 5 3" xfId="46" xr:uid="{00000000-0005-0000-0000-000045000000}"/>
    <cellStyle name="Comma 2 6" xfId="47" xr:uid="{00000000-0005-0000-0000-000046000000}"/>
    <cellStyle name="Comma 2 6 2" xfId="48" xr:uid="{00000000-0005-0000-0000-000047000000}"/>
    <cellStyle name="Comma 2 6 3" xfId="49" xr:uid="{00000000-0005-0000-0000-000048000000}"/>
    <cellStyle name="Comma 2 7" xfId="50" xr:uid="{00000000-0005-0000-0000-000049000000}"/>
    <cellStyle name="Comma 2 7 2" xfId="51" xr:uid="{00000000-0005-0000-0000-00004A000000}"/>
    <cellStyle name="Comma 2 7 3" xfId="52" xr:uid="{00000000-0005-0000-0000-00004B000000}"/>
    <cellStyle name="Comma 2 8" xfId="53" xr:uid="{00000000-0005-0000-0000-00004C000000}"/>
    <cellStyle name="Comma 2 8 2" xfId="54" xr:uid="{00000000-0005-0000-0000-00004D000000}"/>
    <cellStyle name="Comma 2 8 3" xfId="55" xr:uid="{00000000-0005-0000-0000-00004E000000}"/>
    <cellStyle name="Comma 2 9" xfId="56" xr:uid="{00000000-0005-0000-0000-00004F000000}"/>
    <cellStyle name="Comma 2 9 2" xfId="57" xr:uid="{00000000-0005-0000-0000-000050000000}"/>
    <cellStyle name="Comma 2 9 3" xfId="58" xr:uid="{00000000-0005-0000-0000-000051000000}"/>
    <cellStyle name="Comma 3" xfId="59" xr:uid="{00000000-0005-0000-0000-000052000000}"/>
    <cellStyle name="Comma 3 10" xfId="60" xr:uid="{00000000-0005-0000-0000-000053000000}"/>
    <cellStyle name="Comma 3 10 2" xfId="61" xr:uid="{00000000-0005-0000-0000-000054000000}"/>
    <cellStyle name="Comma 3 11" xfId="62" xr:uid="{00000000-0005-0000-0000-000055000000}"/>
    <cellStyle name="Comma 3 11 2" xfId="63" xr:uid="{00000000-0005-0000-0000-000056000000}"/>
    <cellStyle name="Comma 3 12" xfId="64" xr:uid="{00000000-0005-0000-0000-000057000000}"/>
    <cellStyle name="Comma 3 12 2" xfId="65" xr:uid="{00000000-0005-0000-0000-000058000000}"/>
    <cellStyle name="Comma 3 13" xfId="66" xr:uid="{00000000-0005-0000-0000-000059000000}"/>
    <cellStyle name="Comma 3 14" xfId="67" xr:uid="{00000000-0005-0000-0000-00005A000000}"/>
    <cellStyle name="Comma 3 14 2" xfId="68" xr:uid="{00000000-0005-0000-0000-00005B000000}"/>
    <cellStyle name="Comma 3 14 3" xfId="69" xr:uid="{00000000-0005-0000-0000-00005C000000}"/>
    <cellStyle name="Comma 3 15" xfId="70" xr:uid="{00000000-0005-0000-0000-00005D000000}"/>
    <cellStyle name="Comma 3 16" xfId="71" xr:uid="{00000000-0005-0000-0000-00005E000000}"/>
    <cellStyle name="Comma 3 2" xfId="72" xr:uid="{00000000-0005-0000-0000-00005F000000}"/>
    <cellStyle name="Comma 3 2 10" xfId="73" xr:uid="{00000000-0005-0000-0000-000060000000}"/>
    <cellStyle name="Comma 3 2 2" xfId="74" xr:uid="{00000000-0005-0000-0000-000061000000}"/>
    <cellStyle name="Comma 3 2 3" xfId="75" xr:uid="{00000000-0005-0000-0000-000062000000}"/>
    <cellStyle name="Comma 3 2 4" xfId="76" xr:uid="{00000000-0005-0000-0000-000063000000}"/>
    <cellStyle name="Comma 3 2 5" xfId="77" xr:uid="{00000000-0005-0000-0000-000064000000}"/>
    <cellStyle name="Comma 3 2 6" xfId="78" xr:uid="{00000000-0005-0000-0000-000065000000}"/>
    <cellStyle name="Comma 3 2 7" xfId="79" xr:uid="{00000000-0005-0000-0000-000066000000}"/>
    <cellStyle name="Comma 3 2 8" xfId="80" xr:uid="{00000000-0005-0000-0000-000067000000}"/>
    <cellStyle name="Comma 3 2 9" xfId="81" xr:uid="{00000000-0005-0000-0000-000068000000}"/>
    <cellStyle name="Comma 3 3" xfId="82" xr:uid="{00000000-0005-0000-0000-000069000000}"/>
    <cellStyle name="Comma 3 3 2" xfId="83" xr:uid="{00000000-0005-0000-0000-00006A000000}"/>
    <cellStyle name="Comma 3 3 3" xfId="84" xr:uid="{00000000-0005-0000-0000-00006B000000}"/>
    <cellStyle name="Comma 3 4" xfId="85" xr:uid="{00000000-0005-0000-0000-00006C000000}"/>
    <cellStyle name="Comma 3 4 2" xfId="86" xr:uid="{00000000-0005-0000-0000-00006D000000}"/>
    <cellStyle name="Comma 3 4 3" xfId="87" xr:uid="{00000000-0005-0000-0000-00006E000000}"/>
    <cellStyle name="Comma 3 5" xfId="88" xr:uid="{00000000-0005-0000-0000-00006F000000}"/>
    <cellStyle name="Comma 3 5 2" xfId="89" xr:uid="{00000000-0005-0000-0000-000070000000}"/>
    <cellStyle name="Comma 3 5 3" xfId="90" xr:uid="{00000000-0005-0000-0000-000071000000}"/>
    <cellStyle name="Comma 3 6" xfId="91" xr:uid="{00000000-0005-0000-0000-000072000000}"/>
    <cellStyle name="Comma 3 6 2" xfId="92" xr:uid="{00000000-0005-0000-0000-000073000000}"/>
    <cellStyle name="Comma 3 6 3" xfId="93" xr:uid="{00000000-0005-0000-0000-000074000000}"/>
    <cellStyle name="Comma 3 7" xfId="94" xr:uid="{00000000-0005-0000-0000-000075000000}"/>
    <cellStyle name="Comma 3 7 2" xfId="95" xr:uid="{00000000-0005-0000-0000-000076000000}"/>
    <cellStyle name="Comma 3 7 3" xfId="96" xr:uid="{00000000-0005-0000-0000-000077000000}"/>
    <cellStyle name="Comma 3 8" xfId="97" xr:uid="{00000000-0005-0000-0000-000078000000}"/>
    <cellStyle name="Comma 3 8 2" xfId="98" xr:uid="{00000000-0005-0000-0000-000079000000}"/>
    <cellStyle name="Comma 3 8 3" xfId="99" xr:uid="{00000000-0005-0000-0000-00007A000000}"/>
    <cellStyle name="Comma 3 9" xfId="100" xr:uid="{00000000-0005-0000-0000-00007B000000}"/>
    <cellStyle name="Comma 3 9 2" xfId="101" xr:uid="{00000000-0005-0000-0000-00007C000000}"/>
    <cellStyle name="Comma 3 9 3" xfId="102" xr:uid="{00000000-0005-0000-0000-00007D000000}"/>
    <cellStyle name="Comma 4" xfId="103" xr:uid="{00000000-0005-0000-0000-00007E000000}"/>
    <cellStyle name="Comma 4 10" xfId="104" xr:uid="{00000000-0005-0000-0000-00007F000000}"/>
    <cellStyle name="Comma 4 10 2" xfId="105" xr:uid="{00000000-0005-0000-0000-000080000000}"/>
    <cellStyle name="Comma 4 11" xfId="106" xr:uid="{00000000-0005-0000-0000-000081000000}"/>
    <cellStyle name="Comma 4 11 2" xfId="107" xr:uid="{00000000-0005-0000-0000-000082000000}"/>
    <cellStyle name="Comma 4 12" xfId="108" xr:uid="{00000000-0005-0000-0000-000083000000}"/>
    <cellStyle name="Comma 4 13" xfId="109" xr:uid="{00000000-0005-0000-0000-000084000000}"/>
    <cellStyle name="Comma 4 14" xfId="110" xr:uid="{00000000-0005-0000-0000-000085000000}"/>
    <cellStyle name="Comma 4 15" xfId="111" xr:uid="{00000000-0005-0000-0000-000086000000}"/>
    <cellStyle name="Comma 4 16" xfId="1025" xr:uid="{00000000-0005-0000-0000-000087000000}"/>
    <cellStyle name="Comma 4 2" xfId="112" xr:uid="{00000000-0005-0000-0000-000088000000}"/>
    <cellStyle name="Comma 4 2 2" xfId="113" xr:uid="{00000000-0005-0000-0000-000089000000}"/>
    <cellStyle name="Comma 4 3" xfId="114" xr:uid="{00000000-0005-0000-0000-00008A000000}"/>
    <cellStyle name="Comma 4 3 2" xfId="115" xr:uid="{00000000-0005-0000-0000-00008B000000}"/>
    <cellStyle name="Comma 4 4" xfId="116" xr:uid="{00000000-0005-0000-0000-00008C000000}"/>
    <cellStyle name="Comma 4 4 2" xfId="117" xr:uid="{00000000-0005-0000-0000-00008D000000}"/>
    <cellStyle name="Comma 4 5" xfId="118" xr:uid="{00000000-0005-0000-0000-00008E000000}"/>
    <cellStyle name="Comma 4 5 2" xfId="119" xr:uid="{00000000-0005-0000-0000-00008F000000}"/>
    <cellStyle name="Comma 4 6" xfId="120" xr:uid="{00000000-0005-0000-0000-000090000000}"/>
    <cellStyle name="Comma 4 6 2" xfId="121" xr:uid="{00000000-0005-0000-0000-000091000000}"/>
    <cellStyle name="Comma 4 7" xfId="122" xr:uid="{00000000-0005-0000-0000-000092000000}"/>
    <cellStyle name="Comma 4 7 2" xfId="123" xr:uid="{00000000-0005-0000-0000-000093000000}"/>
    <cellStyle name="Comma 4 8" xfId="124" xr:uid="{00000000-0005-0000-0000-000094000000}"/>
    <cellStyle name="Comma 4 8 2" xfId="125" xr:uid="{00000000-0005-0000-0000-000095000000}"/>
    <cellStyle name="Comma 4 9" xfId="126" xr:uid="{00000000-0005-0000-0000-000096000000}"/>
    <cellStyle name="Comma 4 9 2" xfId="127" xr:uid="{00000000-0005-0000-0000-000097000000}"/>
    <cellStyle name="Comma 5" xfId="128" xr:uid="{00000000-0005-0000-0000-000098000000}"/>
    <cellStyle name="Comma 5 10" xfId="129" xr:uid="{00000000-0005-0000-0000-000099000000}"/>
    <cellStyle name="Comma 5 10 2" xfId="130" xr:uid="{00000000-0005-0000-0000-00009A000000}"/>
    <cellStyle name="Comma 5 11" xfId="131" xr:uid="{00000000-0005-0000-0000-00009B000000}"/>
    <cellStyle name="Comma 5 12" xfId="132" xr:uid="{00000000-0005-0000-0000-00009C000000}"/>
    <cellStyle name="Comma 5 13" xfId="133" xr:uid="{00000000-0005-0000-0000-00009D000000}"/>
    <cellStyle name="Comma 5 14" xfId="134" xr:uid="{00000000-0005-0000-0000-00009E000000}"/>
    <cellStyle name="Comma 5 2" xfId="135" xr:uid="{00000000-0005-0000-0000-00009F000000}"/>
    <cellStyle name="Comma 5 2 2" xfId="136" xr:uid="{00000000-0005-0000-0000-0000A0000000}"/>
    <cellStyle name="Comma 5 3" xfId="137" xr:uid="{00000000-0005-0000-0000-0000A1000000}"/>
    <cellStyle name="Comma 5 3 2" xfId="138" xr:uid="{00000000-0005-0000-0000-0000A2000000}"/>
    <cellStyle name="Comma 5 4" xfId="139" xr:uid="{00000000-0005-0000-0000-0000A3000000}"/>
    <cellStyle name="Comma 5 4 2" xfId="140" xr:uid="{00000000-0005-0000-0000-0000A4000000}"/>
    <cellStyle name="Comma 5 5" xfId="141" xr:uid="{00000000-0005-0000-0000-0000A5000000}"/>
    <cellStyle name="Comma 5 5 2" xfId="142" xr:uid="{00000000-0005-0000-0000-0000A6000000}"/>
    <cellStyle name="Comma 5 6" xfId="143" xr:uid="{00000000-0005-0000-0000-0000A7000000}"/>
    <cellStyle name="Comma 5 6 2" xfId="144" xr:uid="{00000000-0005-0000-0000-0000A8000000}"/>
    <cellStyle name="Comma 5 7" xfId="145" xr:uid="{00000000-0005-0000-0000-0000A9000000}"/>
    <cellStyle name="Comma 5 7 2" xfId="146" xr:uid="{00000000-0005-0000-0000-0000AA000000}"/>
    <cellStyle name="Comma 5 8" xfId="147" xr:uid="{00000000-0005-0000-0000-0000AB000000}"/>
    <cellStyle name="Comma 5 8 2" xfId="148" xr:uid="{00000000-0005-0000-0000-0000AC000000}"/>
    <cellStyle name="Comma 5 9" xfId="149" xr:uid="{00000000-0005-0000-0000-0000AD000000}"/>
    <cellStyle name="Comma 5 9 2" xfId="150" xr:uid="{00000000-0005-0000-0000-0000AE000000}"/>
    <cellStyle name="Comma 6" xfId="151" xr:uid="{00000000-0005-0000-0000-0000AF000000}"/>
    <cellStyle name="Comma 6 2" xfId="152" xr:uid="{00000000-0005-0000-0000-0000B0000000}"/>
    <cellStyle name="Comma 6 2 2" xfId="153" xr:uid="{00000000-0005-0000-0000-0000B1000000}"/>
    <cellStyle name="Comma 6 2 3" xfId="1027" xr:uid="{00000000-0005-0000-0000-0000B2000000}"/>
    <cellStyle name="Comma 6 3" xfId="154" xr:uid="{00000000-0005-0000-0000-0000B3000000}"/>
    <cellStyle name="Comma 6 3 2" xfId="1029" xr:uid="{00000000-0005-0000-0000-0000B4000000}"/>
    <cellStyle name="Comma 6 3 3" xfId="1028" xr:uid="{00000000-0005-0000-0000-0000B5000000}"/>
    <cellStyle name="Comma 6 4" xfId="155" xr:uid="{00000000-0005-0000-0000-0000B6000000}"/>
    <cellStyle name="Comma 6 4 2" xfId="1030" xr:uid="{00000000-0005-0000-0000-0000B7000000}"/>
    <cellStyle name="Comma 6 5" xfId="1031" xr:uid="{00000000-0005-0000-0000-0000B8000000}"/>
    <cellStyle name="Comma 6 5 2" xfId="1032" xr:uid="{00000000-0005-0000-0000-0000B9000000}"/>
    <cellStyle name="Comma 6 6" xfId="1026" xr:uid="{00000000-0005-0000-0000-0000BA000000}"/>
    <cellStyle name="Comma 7" xfId="6" xr:uid="{00000000-0005-0000-0000-0000BB000000}"/>
    <cellStyle name="Comma 7 2" xfId="156" xr:uid="{00000000-0005-0000-0000-0000BC000000}"/>
    <cellStyle name="Comma 7 2 2" xfId="157" xr:uid="{00000000-0005-0000-0000-0000BD000000}"/>
    <cellStyle name="Comma 7 2 2 2" xfId="1034" xr:uid="{00000000-0005-0000-0000-0000BE000000}"/>
    <cellStyle name="Comma 7 2 3" xfId="1033" xr:uid="{00000000-0005-0000-0000-0000BF000000}"/>
    <cellStyle name="Comma 7 3" xfId="158" xr:uid="{00000000-0005-0000-0000-0000C0000000}"/>
    <cellStyle name="Comma 7 4" xfId="159" xr:uid="{00000000-0005-0000-0000-0000C1000000}"/>
    <cellStyle name="Comma 8" xfId="160" xr:uid="{00000000-0005-0000-0000-0000C2000000}"/>
    <cellStyle name="Comma 8 2" xfId="161" xr:uid="{00000000-0005-0000-0000-0000C3000000}"/>
    <cellStyle name="Comma 8 2 2" xfId="162" xr:uid="{00000000-0005-0000-0000-0000C4000000}"/>
    <cellStyle name="Comma 8 2 2 2" xfId="1037" xr:uid="{00000000-0005-0000-0000-0000C5000000}"/>
    <cellStyle name="Comma 8 2 3" xfId="1036" xr:uid="{00000000-0005-0000-0000-0000C6000000}"/>
    <cellStyle name="Comma 8 3" xfId="163" xr:uid="{00000000-0005-0000-0000-0000C7000000}"/>
    <cellStyle name="Comma 8 3 2" xfId="1038" xr:uid="{00000000-0005-0000-0000-0000C8000000}"/>
    <cellStyle name="Comma 8 4" xfId="1035" xr:uid="{00000000-0005-0000-0000-0000C9000000}"/>
    <cellStyle name="Comma 9" xfId="164" xr:uid="{00000000-0005-0000-0000-0000CA000000}"/>
    <cellStyle name="Comma 9 2" xfId="1040" xr:uid="{00000000-0005-0000-0000-0000CB000000}"/>
    <cellStyle name="Comma 9 3" xfId="1039" xr:uid="{00000000-0005-0000-0000-0000CC000000}"/>
    <cellStyle name="Currency 10" xfId="1041" xr:uid="{00000000-0005-0000-0000-0000CD000000}"/>
    <cellStyle name="Currency 2" xfId="165" xr:uid="{00000000-0005-0000-0000-0000CE000000}"/>
    <cellStyle name="Currency 2 10" xfId="166" xr:uid="{00000000-0005-0000-0000-0000CF000000}"/>
    <cellStyle name="Currency 2 10 2" xfId="167" xr:uid="{00000000-0005-0000-0000-0000D0000000}"/>
    <cellStyle name="Currency 2 10 3" xfId="168" xr:uid="{00000000-0005-0000-0000-0000D1000000}"/>
    <cellStyle name="Currency 2 10 4" xfId="169" xr:uid="{00000000-0005-0000-0000-0000D2000000}"/>
    <cellStyle name="Currency 2 10 5" xfId="170" xr:uid="{00000000-0005-0000-0000-0000D3000000}"/>
    <cellStyle name="Currency 2 10 6" xfId="171" xr:uid="{00000000-0005-0000-0000-0000D4000000}"/>
    <cellStyle name="Currency 2 10 7" xfId="172" xr:uid="{00000000-0005-0000-0000-0000D5000000}"/>
    <cellStyle name="Currency 2 10 8" xfId="173" xr:uid="{00000000-0005-0000-0000-0000D6000000}"/>
    <cellStyle name="Currency 2 11" xfId="174" xr:uid="{00000000-0005-0000-0000-0000D7000000}"/>
    <cellStyle name="Currency 2 11 2" xfId="175" xr:uid="{00000000-0005-0000-0000-0000D8000000}"/>
    <cellStyle name="Currency 2 11 3" xfId="176" xr:uid="{00000000-0005-0000-0000-0000D9000000}"/>
    <cellStyle name="Currency 2 11 4" xfId="177" xr:uid="{00000000-0005-0000-0000-0000DA000000}"/>
    <cellStyle name="Currency 2 11 5" xfId="178" xr:uid="{00000000-0005-0000-0000-0000DB000000}"/>
    <cellStyle name="Currency 2 11 6" xfId="179" xr:uid="{00000000-0005-0000-0000-0000DC000000}"/>
    <cellStyle name="Currency 2 11 7" xfId="180" xr:uid="{00000000-0005-0000-0000-0000DD000000}"/>
    <cellStyle name="Currency 2 11 8" xfId="181" xr:uid="{00000000-0005-0000-0000-0000DE000000}"/>
    <cellStyle name="Currency 2 12" xfId="182" xr:uid="{00000000-0005-0000-0000-0000DF000000}"/>
    <cellStyle name="Currency 2 12 2" xfId="183" xr:uid="{00000000-0005-0000-0000-0000E0000000}"/>
    <cellStyle name="Currency 2 12 3" xfId="184" xr:uid="{00000000-0005-0000-0000-0000E1000000}"/>
    <cellStyle name="Currency 2 12 4" xfId="185" xr:uid="{00000000-0005-0000-0000-0000E2000000}"/>
    <cellStyle name="Currency 2 12 5" xfId="186" xr:uid="{00000000-0005-0000-0000-0000E3000000}"/>
    <cellStyle name="Currency 2 12 6" xfId="187" xr:uid="{00000000-0005-0000-0000-0000E4000000}"/>
    <cellStyle name="Currency 2 12 7" xfId="188" xr:uid="{00000000-0005-0000-0000-0000E5000000}"/>
    <cellStyle name="Currency 2 12 8" xfId="189" xr:uid="{00000000-0005-0000-0000-0000E6000000}"/>
    <cellStyle name="Currency 2 13" xfId="190" xr:uid="{00000000-0005-0000-0000-0000E7000000}"/>
    <cellStyle name="Currency 2 13 2" xfId="191" xr:uid="{00000000-0005-0000-0000-0000E8000000}"/>
    <cellStyle name="Currency 2 13 3" xfId="192" xr:uid="{00000000-0005-0000-0000-0000E9000000}"/>
    <cellStyle name="Currency 2 13 4" xfId="193" xr:uid="{00000000-0005-0000-0000-0000EA000000}"/>
    <cellStyle name="Currency 2 13 5" xfId="194" xr:uid="{00000000-0005-0000-0000-0000EB000000}"/>
    <cellStyle name="Currency 2 13 6" xfId="195" xr:uid="{00000000-0005-0000-0000-0000EC000000}"/>
    <cellStyle name="Currency 2 13 7" xfId="196" xr:uid="{00000000-0005-0000-0000-0000ED000000}"/>
    <cellStyle name="Currency 2 13 8" xfId="197" xr:uid="{00000000-0005-0000-0000-0000EE000000}"/>
    <cellStyle name="Currency 2 14" xfId="198" xr:uid="{00000000-0005-0000-0000-0000EF000000}"/>
    <cellStyle name="Currency 2 14 2" xfId="199" xr:uid="{00000000-0005-0000-0000-0000F0000000}"/>
    <cellStyle name="Currency 2 14 3" xfId="200" xr:uid="{00000000-0005-0000-0000-0000F1000000}"/>
    <cellStyle name="Currency 2 14 4" xfId="201" xr:uid="{00000000-0005-0000-0000-0000F2000000}"/>
    <cellStyle name="Currency 2 14 5" xfId="202" xr:uid="{00000000-0005-0000-0000-0000F3000000}"/>
    <cellStyle name="Currency 2 14 6" xfId="203" xr:uid="{00000000-0005-0000-0000-0000F4000000}"/>
    <cellStyle name="Currency 2 14 7" xfId="204" xr:uid="{00000000-0005-0000-0000-0000F5000000}"/>
    <cellStyle name="Currency 2 14 8" xfId="205" xr:uid="{00000000-0005-0000-0000-0000F6000000}"/>
    <cellStyle name="Currency 2 15" xfId="206" xr:uid="{00000000-0005-0000-0000-0000F7000000}"/>
    <cellStyle name="Currency 2 15 2" xfId="207" xr:uid="{00000000-0005-0000-0000-0000F8000000}"/>
    <cellStyle name="Currency 2 15 3" xfId="208" xr:uid="{00000000-0005-0000-0000-0000F9000000}"/>
    <cellStyle name="Currency 2 15 4" xfId="209" xr:uid="{00000000-0005-0000-0000-0000FA000000}"/>
    <cellStyle name="Currency 2 15 5" xfId="210" xr:uid="{00000000-0005-0000-0000-0000FB000000}"/>
    <cellStyle name="Currency 2 15 6" xfId="211" xr:uid="{00000000-0005-0000-0000-0000FC000000}"/>
    <cellStyle name="Currency 2 15 7" xfId="212" xr:uid="{00000000-0005-0000-0000-0000FD000000}"/>
    <cellStyle name="Currency 2 15 8" xfId="213" xr:uid="{00000000-0005-0000-0000-0000FE000000}"/>
    <cellStyle name="Currency 2 16" xfId="214" xr:uid="{00000000-0005-0000-0000-0000FF000000}"/>
    <cellStyle name="Currency 2 17" xfId="215" xr:uid="{00000000-0005-0000-0000-000000010000}"/>
    <cellStyle name="Currency 2 18" xfId="216" xr:uid="{00000000-0005-0000-0000-000001010000}"/>
    <cellStyle name="Currency 2 19" xfId="217" xr:uid="{00000000-0005-0000-0000-000002010000}"/>
    <cellStyle name="Currency 2 2" xfId="218" xr:uid="{00000000-0005-0000-0000-000003010000}"/>
    <cellStyle name="Currency 2 2 10" xfId="219" xr:uid="{00000000-0005-0000-0000-000004010000}"/>
    <cellStyle name="Currency 2 2 10 2" xfId="220" xr:uid="{00000000-0005-0000-0000-000005010000}"/>
    <cellStyle name="Currency 2 2 10 3" xfId="221" xr:uid="{00000000-0005-0000-0000-000006010000}"/>
    <cellStyle name="Currency 2 2 10 4" xfId="222" xr:uid="{00000000-0005-0000-0000-000007010000}"/>
    <cellStyle name="Currency 2 2 10 5" xfId="223" xr:uid="{00000000-0005-0000-0000-000008010000}"/>
    <cellStyle name="Currency 2 2 10 6" xfId="224" xr:uid="{00000000-0005-0000-0000-000009010000}"/>
    <cellStyle name="Currency 2 2 10 7" xfId="225" xr:uid="{00000000-0005-0000-0000-00000A010000}"/>
    <cellStyle name="Currency 2 2 10 8" xfId="226" xr:uid="{00000000-0005-0000-0000-00000B010000}"/>
    <cellStyle name="Currency 2 2 11" xfId="227" xr:uid="{00000000-0005-0000-0000-00000C010000}"/>
    <cellStyle name="Currency 2 2 11 2" xfId="228" xr:uid="{00000000-0005-0000-0000-00000D010000}"/>
    <cellStyle name="Currency 2 2 11 3" xfId="229" xr:uid="{00000000-0005-0000-0000-00000E010000}"/>
    <cellStyle name="Currency 2 2 11 4" xfId="230" xr:uid="{00000000-0005-0000-0000-00000F010000}"/>
    <cellStyle name="Currency 2 2 11 5" xfId="231" xr:uid="{00000000-0005-0000-0000-000010010000}"/>
    <cellStyle name="Currency 2 2 11 6" xfId="232" xr:uid="{00000000-0005-0000-0000-000011010000}"/>
    <cellStyle name="Currency 2 2 11 7" xfId="233" xr:uid="{00000000-0005-0000-0000-000012010000}"/>
    <cellStyle name="Currency 2 2 11 8" xfId="234" xr:uid="{00000000-0005-0000-0000-000013010000}"/>
    <cellStyle name="Currency 2 2 12" xfId="235" xr:uid="{00000000-0005-0000-0000-000014010000}"/>
    <cellStyle name="Currency 2 2 12 2" xfId="236" xr:uid="{00000000-0005-0000-0000-000015010000}"/>
    <cellStyle name="Currency 2 2 12 3" xfId="237" xr:uid="{00000000-0005-0000-0000-000016010000}"/>
    <cellStyle name="Currency 2 2 12 4" xfId="238" xr:uid="{00000000-0005-0000-0000-000017010000}"/>
    <cellStyle name="Currency 2 2 12 5" xfId="239" xr:uid="{00000000-0005-0000-0000-000018010000}"/>
    <cellStyle name="Currency 2 2 12 6" xfId="240" xr:uid="{00000000-0005-0000-0000-000019010000}"/>
    <cellStyle name="Currency 2 2 12 7" xfId="241" xr:uid="{00000000-0005-0000-0000-00001A010000}"/>
    <cellStyle name="Currency 2 2 12 8" xfId="242" xr:uid="{00000000-0005-0000-0000-00001B010000}"/>
    <cellStyle name="Currency 2 2 13" xfId="243" xr:uid="{00000000-0005-0000-0000-00001C010000}"/>
    <cellStyle name="Currency 2 2 13 2" xfId="244" xr:uid="{00000000-0005-0000-0000-00001D010000}"/>
    <cellStyle name="Currency 2 2 13 3" xfId="245" xr:uid="{00000000-0005-0000-0000-00001E010000}"/>
    <cellStyle name="Currency 2 2 13 4" xfId="246" xr:uid="{00000000-0005-0000-0000-00001F010000}"/>
    <cellStyle name="Currency 2 2 13 5" xfId="247" xr:uid="{00000000-0005-0000-0000-000020010000}"/>
    <cellStyle name="Currency 2 2 13 6" xfId="248" xr:uid="{00000000-0005-0000-0000-000021010000}"/>
    <cellStyle name="Currency 2 2 13 7" xfId="249" xr:uid="{00000000-0005-0000-0000-000022010000}"/>
    <cellStyle name="Currency 2 2 13 8" xfId="250" xr:uid="{00000000-0005-0000-0000-000023010000}"/>
    <cellStyle name="Currency 2 2 14" xfId="251" xr:uid="{00000000-0005-0000-0000-000024010000}"/>
    <cellStyle name="Currency 2 2 14 2" xfId="252" xr:uid="{00000000-0005-0000-0000-000025010000}"/>
    <cellStyle name="Currency 2 2 14 3" xfId="253" xr:uid="{00000000-0005-0000-0000-000026010000}"/>
    <cellStyle name="Currency 2 2 14 4" xfId="254" xr:uid="{00000000-0005-0000-0000-000027010000}"/>
    <cellStyle name="Currency 2 2 14 5" xfId="255" xr:uid="{00000000-0005-0000-0000-000028010000}"/>
    <cellStyle name="Currency 2 2 14 6" xfId="256" xr:uid="{00000000-0005-0000-0000-000029010000}"/>
    <cellStyle name="Currency 2 2 14 7" xfId="257" xr:uid="{00000000-0005-0000-0000-00002A010000}"/>
    <cellStyle name="Currency 2 2 14 8" xfId="258" xr:uid="{00000000-0005-0000-0000-00002B010000}"/>
    <cellStyle name="Currency 2 2 15" xfId="259" xr:uid="{00000000-0005-0000-0000-00002C010000}"/>
    <cellStyle name="Currency 2 2 15 2" xfId="260" xr:uid="{00000000-0005-0000-0000-00002D010000}"/>
    <cellStyle name="Currency 2 2 15 3" xfId="261" xr:uid="{00000000-0005-0000-0000-00002E010000}"/>
    <cellStyle name="Currency 2 2 15 4" xfId="262" xr:uid="{00000000-0005-0000-0000-00002F010000}"/>
    <cellStyle name="Currency 2 2 15 5" xfId="263" xr:uid="{00000000-0005-0000-0000-000030010000}"/>
    <cellStyle name="Currency 2 2 15 6" xfId="264" xr:uid="{00000000-0005-0000-0000-000031010000}"/>
    <cellStyle name="Currency 2 2 15 7" xfId="265" xr:uid="{00000000-0005-0000-0000-000032010000}"/>
    <cellStyle name="Currency 2 2 15 8" xfId="266" xr:uid="{00000000-0005-0000-0000-000033010000}"/>
    <cellStyle name="Currency 2 2 16" xfId="267" xr:uid="{00000000-0005-0000-0000-000034010000}"/>
    <cellStyle name="Currency 2 2 16 2" xfId="268" xr:uid="{00000000-0005-0000-0000-000035010000}"/>
    <cellStyle name="Currency 2 2 16 3" xfId="269" xr:uid="{00000000-0005-0000-0000-000036010000}"/>
    <cellStyle name="Currency 2 2 16 4" xfId="270" xr:uid="{00000000-0005-0000-0000-000037010000}"/>
    <cellStyle name="Currency 2 2 16 5" xfId="271" xr:uid="{00000000-0005-0000-0000-000038010000}"/>
    <cellStyle name="Currency 2 2 16 6" xfId="272" xr:uid="{00000000-0005-0000-0000-000039010000}"/>
    <cellStyle name="Currency 2 2 16 7" xfId="273" xr:uid="{00000000-0005-0000-0000-00003A010000}"/>
    <cellStyle name="Currency 2 2 16 8" xfId="274" xr:uid="{00000000-0005-0000-0000-00003B010000}"/>
    <cellStyle name="Currency 2 2 17" xfId="275" xr:uid="{00000000-0005-0000-0000-00003C010000}"/>
    <cellStyle name="Currency 2 2 17 2" xfId="276" xr:uid="{00000000-0005-0000-0000-00003D010000}"/>
    <cellStyle name="Currency 2 2 17 3" xfId="277" xr:uid="{00000000-0005-0000-0000-00003E010000}"/>
    <cellStyle name="Currency 2 2 17 4" xfId="278" xr:uid="{00000000-0005-0000-0000-00003F010000}"/>
    <cellStyle name="Currency 2 2 17 5" xfId="279" xr:uid="{00000000-0005-0000-0000-000040010000}"/>
    <cellStyle name="Currency 2 2 17 6" xfId="280" xr:uid="{00000000-0005-0000-0000-000041010000}"/>
    <cellStyle name="Currency 2 2 17 7" xfId="281" xr:uid="{00000000-0005-0000-0000-000042010000}"/>
    <cellStyle name="Currency 2 2 17 8" xfId="282" xr:uid="{00000000-0005-0000-0000-000043010000}"/>
    <cellStyle name="Currency 2 2 18" xfId="283" xr:uid="{00000000-0005-0000-0000-000044010000}"/>
    <cellStyle name="Currency 2 2 19" xfId="284" xr:uid="{00000000-0005-0000-0000-000045010000}"/>
    <cellStyle name="Currency 2 2 2" xfId="285" xr:uid="{00000000-0005-0000-0000-000046010000}"/>
    <cellStyle name="Currency 2 2 2 10" xfId="286" xr:uid="{00000000-0005-0000-0000-000047010000}"/>
    <cellStyle name="Currency 2 2 2 11" xfId="287" xr:uid="{00000000-0005-0000-0000-000048010000}"/>
    <cellStyle name="Currency 2 2 2 12" xfId="288" xr:uid="{00000000-0005-0000-0000-000049010000}"/>
    <cellStyle name="Currency 2 2 2 13" xfId="289" xr:uid="{00000000-0005-0000-0000-00004A010000}"/>
    <cellStyle name="Currency 2 2 2 14" xfId="290" xr:uid="{00000000-0005-0000-0000-00004B010000}"/>
    <cellStyle name="Currency 2 2 2 2" xfId="291" xr:uid="{00000000-0005-0000-0000-00004C010000}"/>
    <cellStyle name="Currency 2 2 2 2 2" xfId="292" xr:uid="{00000000-0005-0000-0000-00004D010000}"/>
    <cellStyle name="Currency 2 2 2 2 3" xfId="293" xr:uid="{00000000-0005-0000-0000-00004E010000}"/>
    <cellStyle name="Currency 2 2 2 2 4" xfId="294" xr:uid="{00000000-0005-0000-0000-00004F010000}"/>
    <cellStyle name="Currency 2 2 2 2 5" xfId="295" xr:uid="{00000000-0005-0000-0000-000050010000}"/>
    <cellStyle name="Currency 2 2 2 2 6" xfId="296" xr:uid="{00000000-0005-0000-0000-000051010000}"/>
    <cellStyle name="Currency 2 2 2 2 7" xfId="297" xr:uid="{00000000-0005-0000-0000-000052010000}"/>
    <cellStyle name="Currency 2 2 2 2 8" xfId="298" xr:uid="{00000000-0005-0000-0000-000053010000}"/>
    <cellStyle name="Currency 2 2 2 3" xfId="299" xr:uid="{00000000-0005-0000-0000-000054010000}"/>
    <cellStyle name="Currency 2 2 2 3 2" xfId="300" xr:uid="{00000000-0005-0000-0000-000055010000}"/>
    <cellStyle name="Currency 2 2 2 3 3" xfId="301" xr:uid="{00000000-0005-0000-0000-000056010000}"/>
    <cellStyle name="Currency 2 2 2 3 4" xfId="302" xr:uid="{00000000-0005-0000-0000-000057010000}"/>
    <cellStyle name="Currency 2 2 2 3 5" xfId="303" xr:uid="{00000000-0005-0000-0000-000058010000}"/>
    <cellStyle name="Currency 2 2 2 3 6" xfId="304" xr:uid="{00000000-0005-0000-0000-000059010000}"/>
    <cellStyle name="Currency 2 2 2 3 7" xfId="305" xr:uid="{00000000-0005-0000-0000-00005A010000}"/>
    <cellStyle name="Currency 2 2 2 3 8" xfId="306" xr:uid="{00000000-0005-0000-0000-00005B010000}"/>
    <cellStyle name="Currency 2 2 2 4" xfId="307" xr:uid="{00000000-0005-0000-0000-00005C010000}"/>
    <cellStyle name="Currency 2 2 2 4 2" xfId="308" xr:uid="{00000000-0005-0000-0000-00005D010000}"/>
    <cellStyle name="Currency 2 2 2 4 3" xfId="309" xr:uid="{00000000-0005-0000-0000-00005E010000}"/>
    <cellStyle name="Currency 2 2 2 4 4" xfId="310" xr:uid="{00000000-0005-0000-0000-00005F010000}"/>
    <cellStyle name="Currency 2 2 2 4 5" xfId="311" xr:uid="{00000000-0005-0000-0000-000060010000}"/>
    <cellStyle name="Currency 2 2 2 4 6" xfId="312" xr:uid="{00000000-0005-0000-0000-000061010000}"/>
    <cellStyle name="Currency 2 2 2 4 7" xfId="313" xr:uid="{00000000-0005-0000-0000-000062010000}"/>
    <cellStyle name="Currency 2 2 2 4 8" xfId="314" xr:uid="{00000000-0005-0000-0000-000063010000}"/>
    <cellStyle name="Currency 2 2 2 5" xfId="315" xr:uid="{00000000-0005-0000-0000-000064010000}"/>
    <cellStyle name="Currency 2 2 2 5 2" xfId="316" xr:uid="{00000000-0005-0000-0000-000065010000}"/>
    <cellStyle name="Currency 2 2 2 5 3" xfId="317" xr:uid="{00000000-0005-0000-0000-000066010000}"/>
    <cellStyle name="Currency 2 2 2 5 4" xfId="318" xr:uid="{00000000-0005-0000-0000-000067010000}"/>
    <cellStyle name="Currency 2 2 2 5 5" xfId="319" xr:uid="{00000000-0005-0000-0000-000068010000}"/>
    <cellStyle name="Currency 2 2 2 5 6" xfId="320" xr:uid="{00000000-0005-0000-0000-000069010000}"/>
    <cellStyle name="Currency 2 2 2 5 7" xfId="321" xr:uid="{00000000-0005-0000-0000-00006A010000}"/>
    <cellStyle name="Currency 2 2 2 5 8" xfId="322" xr:uid="{00000000-0005-0000-0000-00006B010000}"/>
    <cellStyle name="Currency 2 2 2 6" xfId="323" xr:uid="{00000000-0005-0000-0000-00006C010000}"/>
    <cellStyle name="Currency 2 2 2 6 2" xfId="324" xr:uid="{00000000-0005-0000-0000-00006D010000}"/>
    <cellStyle name="Currency 2 2 2 6 3" xfId="325" xr:uid="{00000000-0005-0000-0000-00006E010000}"/>
    <cellStyle name="Currency 2 2 2 6 4" xfId="326" xr:uid="{00000000-0005-0000-0000-00006F010000}"/>
    <cellStyle name="Currency 2 2 2 6 5" xfId="327" xr:uid="{00000000-0005-0000-0000-000070010000}"/>
    <cellStyle name="Currency 2 2 2 6 6" xfId="328" xr:uid="{00000000-0005-0000-0000-000071010000}"/>
    <cellStyle name="Currency 2 2 2 6 7" xfId="329" xr:uid="{00000000-0005-0000-0000-000072010000}"/>
    <cellStyle name="Currency 2 2 2 6 8" xfId="330" xr:uid="{00000000-0005-0000-0000-000073010000}"/>
    <cellStyle name="Currency 2 2 2 7" xfId="331" xr:uid="{00000000-0005-0000-0000-000074010000}"/>
    <cellStyle name="Currency 2 2 2 7 2" xfId="332" xr:uid="{00000000-0005-0000-0000-000075010000}"/>
    <cellStyle name="Currency 2 2 2 7 3" xfId="333" xr:uid="{00000000-0005-0000-0000-000076010000}"/>
    <cellStyle name="Currency 2 2 2 7 4" xfId="334" xr:uid="{00000000-0005-0000-0000-000077010000}"/>
    <cellStyle name="Currency 2 2 2 7 5" xfId="335" xr:uid="{00000000-0005-0000-0000-000078010000}"/>
    <cellStyle name="Currency 2 2 2 7 6" xfId="336" xr:uid="{00000000-0005-0000-0000-000079010000}"/>
    <cellStyle name="Currency 2 2 2 7 7" xfId="337" xr:uid="{00000000-0005-0000-0000-00007A010000}"/>
    <cellStyle name="Currency 2 2 2 7 8" xfId="338" xr:uid="{00000000-0005-0000-0000-00007B010000}"/>
    <cellStyle name="Currency 2 2 2 8" xfId="339" xr:uid="{00000000-0005-0000-0000-00007C010000}"/>
    <cellStyle name="Currency 2 2 2 9" xfId="340" xr:uid="{00000000-0005-0000-0000-00007D010000}"/>
    <cellStyle name="Currency 2 2 20" xfId="341" xr:uid="{00000000-0005-0000-0000-00007E010000}"/>
    <cellStyle name="Currency 2 2 21" xfId="342" xr:uid="{00000000-0005-0000-0000-00007F010000}"/>
    <cellStyle name="Currency 2 2 22" xfId="343" xr:uid="{00000000-0005-0000-0000-000080010000}"/>
    <cellStyle name="Currency 2 2 23" xfId="344" xr:uid="{00000000-0005-0000-0000-000081010000}"/>
    <cellStyle name="Currency 2 2 24" xfId="345" xr:uid="{00000000-0005-0000-0000-000082010000}"/>
    <cellStyle name="Currency 2 2 3" xfId="346" xr:uid="{00000000-0005-0000-0000-000083010000}"/>
    <cellStyle name="Currency 2 2 3 10" xfId="347" xr:uid="{00000000-0005-0000-0000-000084010000}"/>
    <cellStyle name="Currency 2 2 3 11" xfId="348" xr:uid="{00000000-0005-0000-0000-000085010000}"/>
    <cellStyle name="Currency 2 2 3 12" xfId="349" xr:uid="{00000000-0005-0000-0000-000086010000}"/>
    <cellStyle name="Currency 2 2 3 13" xfId="350" xr:uid="{00000000-0005-0000-0000-000087010000}"/>
    <cellStyle name="Currency 2 2 3 2" xfId="351" xr:uid="{00000000-0005-0000-0000-000088010000}"/>
    <cellStyle name="Currency 2 2 3 2 2" xfId="352" xr:uid="{00000000-0005-0000-0000-000089010000}"/>
    <cellStyle name="Currency 2 2 3 2 3" xfId="353" xr:uid="{00000000-0005-0000-0000-00008A010000}"/>
    <cellStyle name="Currency 2 2 3 2 4" xfId="354" xr:uid="{00000000-0005-0000-0000-00008B010000}"/>
    <cellStyle name="Currency 2 2 3 2 5" xfId="355" xr:uid="{00000000-0005-0000-0000-00008C010000}"/>
    <cellStyle name="Currency 2 2 3 2 6" xfId="356" xr:uid="{00000000-0005-0000-0000-00008D010000}"/>
    <cellStyle name="Currency 2 2 3 2 7" xfId="357" xr:uid="{00000000-0005-0000-0000-00008E010000}"/>
    <cellStyle name="Currency 2 2 3 2 8" xfId="358" xr:uid="{00000000-0005-0000-0000-00008F010000}"/>
    <cellStyle name="Currency 2 2 3 3" xfId="359" xr:uid="{00000000-0005-0000-0000-000090010000}"/>
    <cellStyle name="Currency 2 2 3 3 2" xfId="360" xr:uid="{00000000-0005-0000-0000-000091010000}"/>
    <cellStyle name="Currency 2 2 3 3 3" xfId="361" xr:uid="{00000000-0005-0000-0000-000092010000}"/>
    <cellStyle name="Currency 2 2 3 3 4" xfId="362" xr:uid="{00000000-0005-0000-0000-000093010000}"/>
    <cellStyle name="Currency 2 2 3 3 5" xfId="363" xr:uid="{00000000-0005-0000-0000-000094010000}"/>
    <cellStyle name="Currency 2 2 3 3 6" xfId="364" xr:uid="{00000000-0005-0000-0000-000095010000}"/>
    <cellStyle name="Currency 2 2 3 3 7" xfId="365" xr:uid="{00000000-0005-0000-0000-000096010000}"/>
    <cellStyle name="Currency 2 2 3 3 8" xfId="366" xr:uid="{00000000-0005-0000-0000-000097010000}"/>
    <cellStyle name="Currency 2 2 3 4" xfId="367" xr:uid="{00000000-0005-0000-0000-000098010000}"/>
    <cellStyle name="Currency 2 2 3 4 2" xfId="368" xr:uid="{00000000-0005-0000-0000-000099010000}"/>
    <cellStyle name="Currency 2 2 3 4 3" xfId="369" xr:uid="{00000000-0005-0000-0000-00009A010000}"/>
    <cellStyle name="Currency 2 2 3 4 4" xfId="370" xr:uid="{00000000-0005-0000-0000-00009B010000}"/>
    <cellStyle name="Currency 2 2 3 4 5" xfId="371" xr:uid="{00000000-0005-0000-0000-00009C010000}"/>
    <cellStyle name="Currency 2 2 3 4 6" xfId="372" xr:uid="{00000000-0005-0000-0000-00009D010000}"/>
    <cellStyle name="Currency 2 2 3 4 7" xfId="373" xr:uid="{00000000-0005-0000-0000-00009E010000}"/>
    <cellStyle name="Currency 2 2 3 4 8" xfId="374" xr:uid="{00000000-0005-0000-0000-00009F010000}"/>
    <cellStyle name="Currency 2 2 3 5" xfId="375" xr:uid="{00000000-0005-0000-0000-0000A0010000}"/>
    <cellStyle name="Currency 2 2 3 5 2" xfId="376" xr:uid="{00000000-0005-0000-0000-0000A1010000}"/>
    <cellStyle name="Currency 2 2 3 5 3" xfId="377" xr:uid="{00000000-0005-0000-0000-0000A2010000}"/>
    <cellStyle name="Currency 2 2 3 5 4" xfId="378" xr:uid="{00000000-0005-0000-0000-0000A3010000}"/>
    <cellStyle name="Currency 2 2 3 5 5" xfId="379" xr:uid="{00000000-0005-0000-0000-0000A4010000}"/>
    <cellStyle name="Currency 2 2 3 5 6" xfId="380" xr:uid="{00000000-0005-0000-0000-0000A5010000}"/>
    <cellStyle name="Currency 2 2 3 5 7" xfId="381" xr:uid="{00000000-0005-0000-0000-0000A6010000}"/>
    <cellStyle name="Currency 2 2 3 5 8" xfId="382" xr:uid="{00000000-0005-0000-0000-0000A7010000}"/>
    <cellStyle name="Currency 2 2 3 6" xfId="383" xr:uid="{00000000-0005-0000-0000-0000A8010000}"/>
    <cellStyle name="Currency 2 2 3 6 2" xfId="384" xr:uid="{00000000-0005-0000-0000-0000A9010000}"/>
    <cellStyle name="Currency 2 2 3 6 3" xfId="385" xr:uid="{00000000-0005-0000-0000-0000AA010000}"/>
    <cellStyle name="Currency 2 2 3 6 4" xfId="386" xr:uid="{00000000-0005-0000-0000-0000AB010000}"/>
    <cellStyle name="Currency 2 2 3 6 5" xfId="387" xr:uid="{00000000-0005-0000-0000-0000AC010000}"/>
    <cellStyle name="Currency 2 2 3 6 6" xfId="388" xr:uid="{00000000-0005-0000-0000-0000AD010000}"/>
    <cellStyle name="Currency 2 2 3 6 7" xfId="389" xr:uid="{00000000-0005-0000-0000-0000AE010000}"/>
    <cellStyle name="Currency 2 2 3 6 8" xfId="390" xr:uid="{00000000-0005-0000-0000-0000AF010000}"/>
    <cellStyle name="Currency 2 2 3 7" xfId="391" xr:uid="{00000000-0005-0000-0000-0000B0010000}"/>
    <cellStyle name="Currency 2 2 3 8" xfId="392" xr:uid="{00000000-0005-0000-0000-0000B1010000}"/>
    <cellStyle name="Currency 2 2 3 9" xfId="393" xr:uid="{00000000-0005-0000-0000-0000B2010000}"/>
    <cellStyle name="Currency 2 2 4" xfId="394" xr:uid="{00000000-0005-0000-0000-0000B3010000}"/>
    <cellStyle name="Currency 2 2 4 2" xfId="395" xr:uid="{00000000-0005-0000-0000-0000B4010000}"/>
    <cellStyle name="Currency 2 2 4 3" xfId="396" xr:uid="{00000000-0005-0000-0000-0000B5010000}"/>
    <cellStyle name="Currency 2 2 4 4" xfId="397" xr:uid="{00000000-0005-0000-0000-0000B6010000}"/>
    <cellStyle name="Currency 2 2 4 5" xfId="398" xr:uid="{00000000-0005-0000-0000-0000B7010000}"/>
    <cellStyle name="Currency 2 2 4 6" xfId="399" xr:uid="{00000000-0005-0000-0000-0000B8010000}"/>
    <cellStyle name="Currency 2 2 4 7" xfId="400" xr:uid="{00000000-0005-0000-0000-0000B9010000}"/>
    <cellStyle name="Currency 2 2 4 8" xfId="401" xr:uid="{00000000-0005-0000-0000-0000BA010000}"/>
    <cellStyle name="Currency 2 2 5" xfId="402" xr:uid="{00000000-0005-0000-0000-0000BB010000}"/>
    <cellStyle name="Currency 2 2 5 2" xfId="403" xr:uid="{00000000-0005-0000-0000-0000BC010000}"/>
    <cellStyle name="Currency 2 2 5 3" xfId="404" xr:uid="{00000000-0005-0000-0000-0000BD010000}"/>
    <cellStyle name="Currency 2 2 5 4" xfId="405" xr:uid="{00000000-0005-0000-0000-0000BE010000}"/>
    <cellStyle name="Currency 2 2 5 5" xfId="406" xr:uid="{00000000-0005-0000-0000-0000BF010000}"/>
    <cellStyle name="Currency 2 2 5 6" xfId="407" xr:uid="{00000000-0005-0000-0000-0000C0010000}"/>
    <cellStyle name="Currency 2 2 5 7" xfId="408" xr:uid="{00000000-0005-0000-0000-0000C1010000}"/>
    <cellStyle name="Currency 2 2 5 8" xfId="409" xr:uid="{00000000-0005-0000-0000-0000C2010000}"/>
    <cellStyle name="Currency 2 2 6" xfId="410" xr:uid="{00000000-0005-0000-0000-0000C3010000}"/>
    <cellStyle name="Currency 2 2 6 2" xfId="411" xr:uid="{00000000-0005-0000-0000-0000C4010000}"/>
    <cellStyle name="Currency 2 2 6 3" xfId="412" xr:uid="{00000000-0005-0000-0000-0000C5010000}"/>
    <cellStyle name="Currency 2 2 6 4" xfId="413" xr:uid="{00000000-0005-0000-0000-0000C6010000}"/>
    <cellStyle name="Currency 2 2 6 5" xfId="414" xr:uid="{00000000-0005-0000-0000-0000C7010000}"/>
    <cellStyle name="Currency 2 2 6 6" xfId="415" xr:uid="{00000000-0005-0000-0000-0000C8010000}"/>
    <cellStyle name="Currency 2 2 6 7" xfId="416" xr:uid="{00000000-0005-0000-0000-0000C9010000}"/>
    <cellStyle name="Currency 2 2 6 8" xfId="417" xr:uid="{00000000-0005-0000-0000-0000CA010000}"/>
    <cellStyle name="Currency 2 2 7" xfId="418" xr:uid="{00000000-0005-0000-0000-0000CB010000}"/>
    <cellStyle name="Currency 2 2 7 2" xfId="419" xr:uid="{00000000-0005-0000-0000-0000CC010000}"/>
    <cellStyle name="Currency 2 2 7 3" xfId="420" xr:uid="{00000000-0005-0000-0000-0000CD010000}"/>
    <cellStyle name="Currency 2 2 7 4" xfId="421" xr:uid="{00000000-0005-0000-0000-0000CE010000}"/>
    <cellStyle name="Currency 2 2 7 5" xfId="422" xr:uid="{00000000-0005-0000-0000-0000CF010000}"/>
    <cellStyle name="Currency 2 2 7 6" xfId="423" xr:uid="{00000000-0005-0000-0000-0000D0010000}"/>
    <cellStyle name="Currency 2 2 7 7" xfId="424" xr:uid="{00000000-0005-0000-0000-0000D1010000}"/>
    <cellStyle name="Currency 2 2 7 8" xfId="425" xr:uid="{00000000-0005-0000-0000-0000D2010000}"/>
    <cellStyle name="Currency 2 2 8" xfId="426" xr:uid="{00000000-0005-0000-0000-0000D3010000}"/>
    <cellStyle name="Currency 2 2 8 2" xfId="427" xr:uid="{00000000-0005-0000-0000-0000D4010000}"/>
    <cellStyle name="Currency 2 2 8 3" xfId="428" xr:uid="{00000000-0005-0000-0000-0000D5010000}"/>
    <cellStyle name="Currency 2 2 8 4" xfId="429" xr:uid="{00000000-0005-0000-0000-0000D6010000}"/>
    <cellStyle name="Currency 2 2 8 5" xfId="430" xr:uid="{00000000-0005-0000-0000-0000D7010000}"/>
    <cellStyle name="Currency 2 2 8 6" xfId="431" xr:uid="{00000000-0005-0000-0000-0000D8010000}"/>
    <cellStyle name="Currency 2 2 8 7" xfId="432" xr:uid="{00000000-0005-0000-0000-0000D9010000}"/>
    <cellStyle name="Currency 2 2 8 8" xfId="433" xr:uid="{00000000-0005-0000-0000-0000DA010000}"/>
    <cellStyle name="Currency 2 2 9" xfId="434" xr:uid="{00000000-0005-0000-0000-0000DB010000}"/>
    <cellStyle name="Currency 2 2 9 2" xfId="435" xr:uid="{00000000-0005-0000-0000-0000DC010000}"/>
    <cellStyle name="Currency 2 2 9 3" xfId="436" xr:uid="{00000000-0005-0000-0000-0000DD010000}"/>
    <cellStyle name="Currency 2 2 9 4" xfId="437" xr:uid="{00000000-0005-0000-0000-0000DE010000}"/>
    <cellStyle name="Currency 2 2 9 5" xfId="438" xr:uid="{00000000-0005-0000-0000-0000DF010000}"/>
    <cellStyle name="Currency 2 2 9 6" xfId="439" xr:uid="{00000000-0005-0000-0000-0000E0010000}"/>
    <cellStyle name="Currency 2 2 9 7" xfId="440" xr:uid="{00000000-0005-0000-0000-0000E1010000}"/>
    <cellStyle name="Currency 2 2 9 8" xfId="441" xr:uid="{00000000-0005-0000-0000-0000E2010000}"/>
    <cellStyle name="Currency 2 20" xfId="442" xr:uid="{00000000-0005-0000-0000-0000E3010000}"/>
    <cellStyle name="Currency 2 21" xfId="443" xr:uid="{00000000-0005-0000-0000-0000E4010000}"/>
    <cellStyle name="Currency 2 22" xfId="444" xr:uid="{00000000-0005-0000-0000-0000E5010000}"/>
    <cellStyle name="Currency 2 23" xfId="445" xr:uid="{00000000-0005-0000-0000-0000E6010000}"/>
    <cellStyle name="Currency 2 23 2" xfId="446" xr:uid="{00000000-0005-0000-0000-0000E7010000}"/>
    <cellStyle name="Currency 2 23 2 2" xfId="447" xr:uid="{00000000-0005-0000-0000-0000E8010000}"/>
    <cellStyle name="Currency 2 23 2 2 2" xfId="1044" xr:uid="{00000000-0005-0000-0000-0000E9010000}"/>
    <cellStyle name="Currency 2 23 2 3" xfId="1043" xr:uid="{00000000-0005-0000-0000-0000EA010000}"/>
    <cellStyle name="Currency 2 23 3" xfId="448" xr:uid="{00000000-0005-0000-0000-0000EB010000}"/>
    <cellStyle name="Currency 2 23 3 2" xfId="1045" xr:uid="{00000000-0005-0000-0000-0000EC010000}"/>
    <cellStyle name="Currency 2 23 4" xfId="1042" xr:uid="{00000000-0005-0000-0000-0000ED010000}"/>
    <cellStyle name="Currency 2 24" xfId="449" xr:uid="{00000000-0005-0000-0000-0000EE010000}"/>
    <cellStyle name="Currency 2 24 2" xfId="450" xr:uid="{00000000-0005-0000-0000-0000EF010000}"/>
    <cellStyle name="Currency 2 24 2 2" xfId="451" xr:uid="{00000000-0005-0000-0000-0000F0010000}"/>
    <cellStyle name="Currency 2 24 2 2 2" xfId="1048" xr:uid="{00000000-0005-0000-0000-0000F1010000}"/>
    <cellStyle name="Currency 2 24 2 3" xfId="1047" xr:uid="{00000000-0005-0000-0000-0000F2010000}"/>
    <cellStyle name="Currency 2 24 3" xfId="452" xr:uid="{00000000-0005-0000-0000-0000F3010000}"/>
    <cellStyle name="Currency 2 24 3 2" xfId="1049" xr:uid="{00000000-0005-0000-0000-0000F4010000}"/>
    <cellStyle name="Currency 2 24 4" xfId="1046" xr:uid="{00000000-0005-0000-0000-0000F5010000}"/>
    <cellStyle name="Currency 2 3" xfId="453" xr:uid="{00000000-0005-0000-0000-0000F6010000}"/>
    <cellStyle name="Currency 2 3 10" xfId="454" xr:uid="{00000000-0005-0000-0000-0000F7010000}"/>
    <cellStyle name="Currency 2 3 2" xfId="455" xr:uid="{00000000-0005-0000-0000-0000F8010000}"/>
    <cellStyle name="Currency 2 3 2 2" xfId="456" xr:uid="{00000000-0005-0000-0000-0000F9010000}"/>
    <cellStyle name="Currency 2 3 2 3" xfId="457" xr:uid="{00000000-0005-0000-0000-0000FA010000}"/>
    <cellStyle name="Currency 2 3 2 4" xfId="458" xr:uid="{00000000-0005-0000-0000-0000FB010000}"/>
    <cellStyle name="Currency 2 3 2 5" xfId="459" xr:uid="{00000000-0005-0000-0000-0000FC010000}"/>
    <cellStyle name="Currency 2 3 2 6" xfId="460" xr:uid="{00000000-0005-0000-0000-0000FD010000}"/>
    <cellStyle name="Currency 2 3 2 7" xfId="461" xr:uid="{00000000-0005-0000-0000-0000FE010000}"/>
    <cellStyle name="Currency 2 3 2 8" xfId="462" xr:uid="{00000000-0005-0000-0000-0000FF010000}"/>
    <cellStyle name="Currency 2 3 3" xfId="463" xr:uid="{00000000-0005-0000-0000-000000020000}"/>
    <cellStyle name="Currency 2 3 3 2" xfId="464" xr:uid="{00000000-0005-0000-0000-000001020000}"/>
    <cellStyle name="Currency 2 3 3 3" xfId="465" xr:uid="{00000000-0005-0000-0000-000002020000}"/>
    <cellStyle name="Currency 2 3 3 4" xfId="466" xr:uid="{00000000-0005-0000-0000-000003020000}"/>
    <cellStyle name="Currency 2 3 3 5" xfId="467" xr:uid="{00000000-0005-0000-0000-000004020000}"/>
    <cellStyle name="Currency 2 3 3 6" xfId="468" xr:uid="{00000000-0005-0000-0000-000005020000}"/>
    <cellStyle name="Currency 2 3 3 7" xfId="469" xr:uid="{00000000-0005-0000-0000-000006020000}"/>
    <cellStyle name="Currency 2 3 3 8" xfId="470" xr:uid="{00000000-0005-0000-0000-000007020000}"/>
    <cellStyle name="Currency 2 3 4" xfId="471" xr:uid="{00000000-0005-0000-0000-000008020000}"/>
    <cellStyle name="Currency 2 3 5" xfId="472" xr:uid="{00000000-0005-0000-0000-000009020000}"/>
    <cellStyle name="Currency 2 3 6" xfId="473" xr:uid="{00000000-0005-0000-0000-00000A020000}"/>
    <cellStyle name="Currency 2 3 7" xfId="474" xr:uid="{00000000-0005-0000-0000-00000B020000}"/>
    <cellStyle name="Currency 2 3 8" xfId="475" xr:uid="{00000000-0005-0000-0000-00000C020000}"/>
    <cellStyle name="Currency 2 3 9" xfId="476" xr:uid="{00000000-0005-0000-0000-00000D020000}"/>
    <cellStyle name="Currency 2 4" xfId="477" xr:uid="{00000000-0005-0000-0000-00000E020000}"/>
    <cellStyle name="Currency 2 4 2" xfId="478" xr:uid="{00000000-0005-0000-0000-00000F020000}"/>
    <cellStyle name="Currency 2 4 3" xfId="479" xr:uid="{00000000-0005-0000-0000-000010020000}"/>
    <cellStyle name="Currency 2 4 4" xfId="480" xr:uid="{00000000-0005-0000-0000-000011020000}"/>
    <cellStyle name="Currency 2 4 5" xfId="481" xr:uid="{00000000-0005-0000-0000-000012020000}"/>
    <cellStyle name="Currency 2 4 6" xfId="482" xr:uid="{00000000-0005-0000-0000-000013020000}"/>
    <cellStyle name="Currency 2 4 7" xfId="483" xr:uid="{00000000-0005-0000-0000-000014020000}"/>
    <cellStyle name="Currency 2 4 8" xfId="484" xr:uid="{00000000-0005-0000-0000-000015020000}"/>
    <cellStyle name="Currency 2 5" xfId="485" xr:uid="{00000000-0005-0000-0000-000016020000}"/>
    <cellStyle name="Currency 2 5 2" xfId="486" xr:uid="{00000000-0005-0000-0000-000017020000}"/>
    <cellStyle name="Currency 2 5 3" xfId="487" xr:uid="{00000000-0005-0000-0000-000018020000}"/>
    <cellStyle name="Currency 2 5 4" xfId="488" xr:uid="{00000000-0005-0000-0000-000019020000}"/>
    <cellStyle name="Currency 2 5 5" xfId="489" xr:uid="{00000000-0005-0000-0000-00001A020000}"/>
    <cellStyle name="Currency 2 5 6" xfId="490" xr:uid="{00000000-0005-0000-0000-00001B020000}"/>
    <cellStyle name="Currency 2 5 7" xfId="491" xr:uid="{00000000-0005-0000-0000-00001C020000}"/>
    <cellStyle name="Currency 2 5 8" xfId="492" xr:uid="{00000000-0005-0000-0000-00001D020000}"/>
    <cellStyle name="Currency 2 6" xfId="493" xr:uid="{00000000-0005-0000-0000-00001E020000}"/>
    <cellStyle name="Currency 2 6 2" xfId="494" xr:uid="{00000000-0005-0000-0000-00001F020000}"/>
    <cellStyle name="Currency 2 6 3" xfId="495" xr:uid="{00000000-0005-0000-0000-000020020000}"/>
    <cellStyle name="Currency 2 6 4" xfId="496" xr:uid="{00000000-0005-0000-0000-000021020000}"/>
    <cellStyle name="Currency 2 6 5" xfId="497" xr:uid="{00000000-0005-0000-0000-000022020000}"/>
    <cellStyle name="Currency 2 6 6" xfId="498" xr:uid="{00000000-0005-0000-0000-000023020000}"/>
    <cellStyle name="Currency 2 6 7" xfId="499" xr:uid="{00000000-0005-0000-0000-000024020000}"/>
    <cellStyle name="Currency 2 6 8" xfId="500" xr:uid="{00000000-0005-0000-0000-000025020000}"/>
    <cellStyle name="Currency 2 7" xfId="501" xr:uid="{00000000-0005-0000-0000-000026020000}"/>
    <cellStyle name="Currency 2 7 2" xfId="502" xr:uid="{00000000-0005-0000-0000-000027020000}"/>
    <cellStyle name="Currency 2 7 3" xfId="503" xr:uid="{00000000-0005-0000-0000-000028020000}"/>
    <cellStyle name="Currency 2 7 4" xfId="504" xr:uid="{00000000-0005-0000-0000-000029020000}"/>
    <cellStyle name="Currency 2 7 5" xfId="505" xr:uid="{00000000-0005-0000-0000-00002A020000}"/>
    <cellStyle name="Currency 2 7 6" xfId="506" xr:uid="{00000000-0005-0000-0000-00002B020000}"/>
    <cellStyle name="Currency 2 7 7" xfId="507" xr:uid="{00000000-0005-0000-0000-00002C020000}"/>
    <cellStyle name="Currency 2 7 8" xfId="508" xr:uid="{00000000-0005-0000-0000-00002D020000}"/>
    <cellStyle name="Currency 2 8" xfId="509" xr:uid="{00000000-0005-0000-0000-00002E020000}"/>
    <cellStyle name="Currency 2 8 2" xfId="510" xr:uid="{00000000-0005-0000-0000-00002F020000}"/>
    <cellStyle name="Currency 2 8 3" xfId="511" xr:uid="{00000000-0005-0000-0000-000030020000}"/>
    <cellStyle name="Currency 2 8 4" xfId="512" xr:uid="{00000000-0005-0000-0000-000031020000}"/>
    <cellStyle name="Currency 2 8 5" xfId="513" xr:uid="{00000000-0005-0000-0000-000032020000}"/>
    <cellStyle name="Currency 2 8 6" xfId="514" xr:uid="{00000000-0005-0000-0000-000033020000}"/>
    <cellStyle name="Currency 2 8 7" xfId="515" xr:uid="{00000000-0005-0000-0000-000034020000}"/>
    <cellStyle name="Currency 2 8 8" xfId="516" xr:uid="{00000000-0005-0000-0000-000035020000}"/>
    <cellStyle name="Currency 2 9" xfId="517" xr:uid="{00000000-0005-0000-0000-000036020000}"/>
    <cellStyle name="Currency 2 9 2" xfId="518" xr:uid="{00000000-0005-0000-0000-000037020000}"/>
    <cellStyle name="Currency 2 9 3" xfId="519" xr:uid="{00000000-0005-0000-0000-000038020000}"/>
    <cellStyle name="Currency 2 9 4" xfId="520" xr:uid="{00000000-0005-0000-0000-000039020000}"/>
    <cellStyle name="Currency 2 9 5" xfId="521" xr:uid="{00000000-0005-0000-0000-00003A020000}"/>
    <cellStyle name="Currency 2 9 6" xfId="522" xr:uid="{00000000-0005-0000-0000-00003B020000}"/>
    <cellStyle name="Currency 2 9 7" xfId="523" xr:uid="{00000000-0005-0000-0000-00003C020000}"/>
    <cellStyle name="Currency 2 9 8" xfId="524" xr:uid="{00000000-0005-0000-0000-00003D020000}"/>
    <cellStyle name="Currency 3" xfId="525" xr:uid="{00000000-0005-0000-0000-00003E020000}"/>
    <cellStyle name="Currency 3 10" xfId="526" xr:uid="{00000000-0005-0000-0000-00003F020000}"/>
    <cellStyle name="Currency 3 11" xfId="527" xr:uid="{00000000-0005-0000-0000-000040020000}"/>
    <cellStyle name="Currency 3 12" xfId="528" xr:uid="{00000000-0005-0000-0000-000041020000}"/>
    <cellStyle name="Currency 3 13" xfId="529" xr:uid="{00000000-0005-0000-0000-000042020000}"/>
    <cellStyle name="Currency 3 14" xfId="530" xr:uid="{00000000-0005-0000-0000-000043020000}"/>
    <cellStyle name="Currency 3 2" xfId="531" xr:uid="{00000000-0005-0000-0000-000044020000}"/>
    <cellStyle name="Currency 3 2 2" xfId="532" xr:uid="{00000000-0005-0000-0000-000045020000}"/>
    <cellStyle name="Currency 3 2 3" xfId="533" xr:uid="{00000000-0005-0000-0000-000046020000}"/>
    <cellStyle name="Currency 3 2 4" xfId="534" xr:uid="{00000000-0005-0000-0000-000047020000}"/>
    <cellStyle name="Currency 3 2 5" xfId="535" xr:uid="{00000000-0005-0000-0000-000048020000}"/>
    <cellStyle name="Currency 3 2 6" xfId="536" xr:uid="{00000000-0005-0000-0000-000049020000}"/>
    <cellStyle name="Currency 3 2 7" xfId="537" xr:uid="{00000000-0005-0000-0000-00004A020000}"/>
    <cellStyle name="Currency 3 2 8" xfId="538" xr:uid="{00000000-0005-0000-0000-00004B020000}"/>
    <cellStyle name="Currency 3 2 9" xfId="539" xr:uid="{00000000-0005-0000-0000-00004C020000}"/>
    <cellStyle name="Currency 3 3" xfId="540" xr:uid="{00000000-0005-0000-0000-00004D020000}"/>
    <cellStyle name="Currency 3 3 2" xfId="541" xr:uid="{00000000-0005-0000-0000-00004E020000}"/>
    <cellStyle name="Currency 3 3 3" xfId="542" xr:uid="{00000000-0005-0000-0000-00004F020000}"/>
    <cellStyle name="Currency 3 3 4" xfId="543" xr:uid="{00000000-0005-0000-0000-000050020000}"/>
    <cellStyle name="Currency 3 3 5" xfId="544" xr:uid="{00000000-0005-0000-0000-000051020000}"/>
    <cellStyle name="Currency 3 3 6" xfId="545" xr:uid="{00000000-0005-0000-0000-000052020000}"/>
    <cellStyle name="Currency 3 3 7" xfId="546" xr:uid="{00000000-0005-0000-0000-000053020000}"/>
    <cellStyle name="Currency 3 3 8" xfId="547" xr:uid="{00000000-0005-0000-0000-000054020000}"/>
    <cellStyle name="Currency 3 4" xfId="548" xr:uid="{00000000-0005-0000-0000-000055020000}"/>
    <cellStyle name="Currency 3 4 2" xfId="549" xr:uid="{00000000-0005-0000-0000-000056020000}"/>
    <cellStyle name="Currency 3 4 3" xfId="550" xr:uid="{00000000-0005-0000-0000-000057020000}"/>
    <cellStyle name="Currency 3 4 4" xfId="551" xr:uid="{00000000-0005-0000-0000-000058020000}"/>
    <cellStyle name="Currency 3 4 5" xfId="552" xr:uid="{00000000-0005-0000-0000-000059020000}"/>
    <cellStyle name="Currency 3 4 6" xfId="553" xr:uid="{00000000-0005-0000-0000-00005A020000}"/>
    <cellStyle name="Currency 3 4 7" xfId="554" xr:uid="{00000000-0005-0000-0000-00005B020000}"/>
    <cellStyle name="Currency 3 4 8" xfId="555" xr:uid="{00000000-0005-0000-0000-00005C020000}"/>
    <cellStyle name="Currency 3 5" xfId="556" xr:uid="{00000000-0005-0000-0000-00005D020000}"/>
    <cellStyle name="Currency 3 5 2" xfId="557" xr:uid="{00000000-0005-0000-0000-00005E020000}"/>
    <cellStyle name="Currency 3 5 3" xfId="558" xr:uid="{00000000-0005-0000-0000-00005F020000}"/>
    <cellStyle name="Currency 3 5 4" xfId="559" xr:uid="{00000000-0005-0000-0000-000060020000}"/>
    <cellStyle name="Currency 3 5 5" xfId="560" xr:uid="{00000000-0005-0000-0000-000061020000}"/>
    <cellStyle name="Currency 3 5 6" xfId="561" xr:uid="{00000000-0005-0000-0000-000062020000}"/>
    <cellStyle name="Currency 3 5 7" xfId="562" xr:uid="{00000000-0005-0000-0000-000063020000}"/>
    <cellStyle name="Currency 3 5 8" xfId="563" xr:uid="{00000000-0005-0000-0000-000064020000}"/>
    <cellStyle name="Currency 3 6" xfId="564" xr:uid="{00000000-0005-0000-0000-000065020000}"/>
    <cellStyle name="Currency 3 7" xfId="565" xr:uid="{00000000-0005-0000-0000-000066020000}"/>
    <cellStyle name="Currency 3 8" xfId="566" xr:uid="{00000000-0005-0000-0000-000067020000}"/>
    <cellStyle name="Currency 3 9" xfId="567" xr:uid="{00000000-0005-0000-0000-000068020000}"/>
    <cellStyle name="Currency 4" xfId="568" xr:uid="{00000000-0005-0000-0000-000069020000}"/>
    <cellStyle name="Currency 4 2" xfId="569" xr:uid="{00000000-0005-0000-0000-00006A020000}"/>
    <cellStyle name="Currency 4 3" xfId="570" xr:uid="{00000000-0005-0000-0000-00006B020000}"/>
    <cellStyle name="Currency 4 4" xfId="571" xr:uid="{00000000-0005-0000-0000-00006C020000}"/>
    <cellStyle name="Currency 4 5" xfId="572" xr:uid="{00000000-0005-0000-0000-00006D020000}"/>
    <cellStyle name="Currency 4 6" xfId="573" xr:uid="{00000000-0005-0000-0000-00006E020000}"/>
    <cellStyle name="Currency 4 7" xfId="574" xr:uid="{00000000-0005-0000-0000-00006F020000}"/>
    <cellStyle name="Currency 4 8" xfId="575" xr:uid="{00000000-0005-0000-0000-000070020000}"/>
    <cellStyle name="Currency 5" xfId="576" xr:uid="{00000000-0005-0000-0000-000071020000}"/>
    <cellStyle name="Currency 5 10" xfId="577" xr:uid="{00000000-0005-0000-0000-000072020000}"/>
    <cellStyle name="Currency 5 11" xfId="578" xr:uid="{00000000-0005-0000-0000-000073020000}"/>
    <cellStyle name="Currency 5 12" xfId="579" xr:uid="{00000000-0005-0000-0000-000074020000}"/>
    <cellStyle name="Currency 5 2" xfId="580" xr:uid="{00000000-0005-0000-0000-000075020000}"/>
    <cellStyle name="Currency 5 2 2" xfId="581" xr:uid="{00000000-0005-0000-0000-000076020000}"/>
    <cellStyle name="Currency 5 2 3" xfId="582" xr:uid="{00000000-0005-0000-0000-000077020000}"/>
    <cellStyle name="Currency 5 2 4" xfId="583" xr:uid="{00000000-0005-0000-0000-000078020000}"/>
    <cellStyle name="Currency 5 2 5" xfId="584" xr:uid="{00000000-0005-0000-0000-000079020000}"/>
    <cellStyle name="Currency 5 2 6" xfId="585" xr:uid="{00000000-0005-0000-0000-00007A020000}"/>
    <cellStyle name="Currency 5 2 7" xfId="586" xr:uid="{00000000-0005-0000-0000-00007B020000}"/>
    <cellStyle name="Currency 5 2 8" xfId="587" xr:uid="{00000000-0005-0000-0000-00007C020000}"/>
    <cellStyle name="Currency 5 3" xfId="588" xr:uid="{00000000-0005-0000-0000-00007D020000}"/>
    <cellStyle name="Currency 5 3 2" xfId="589" xr:uid="{00000000-0005-0000-0000-00007E020000}"/>
    <cellStyle name="Currency 5 3 3" xfId="590" xr:uid="{00000000-0005-0000-0000-00007F020000}"/>
    <cellStyle name="Currency 5 3 4" xfId="591" xr:uid="{00000000-0005-0000-0000-000080020000}"/>
    <cellStyle name="Currency 5 3 5" xfId="592" xr:uid="{00000000-0005-0000-0000-000081020000}"/>
    <cellStyle name="Currency 5 3 6" xfId="593" xr:uid="{00000000-0005-0000-0000-000082020000}"/>
    <cellStyle name="Currency 5 3 7" xfId="594" xr:uid="{00000000-0005-0000-0000-000083020000}"/>
    <cellStyle name="Currency 5 3 8" xfId="595" xr:uid="{00000000-0005-0000-0000-000084020000}"/>
    <cellStyle name="Currency 5 4" xfId="596" xr:uid="{00000000-0005-0000-0000-000085020000}"/>
    <cellStyle name="Currency 5 4 2" xfId="597" xr:uid="{00000000-0005-0000-0000-000086020000}"/>
    <cellStyle name="Currency 5 4 3" xfId="598" xr:uid="{00000000-0005-0000-0000-000087020000}"/>
    <cellStyle name="Currency 5 4 4" xfId="599" xr:uid="{00000000-0005-0000-0000-000088020000}"/>
    <cellStyle name="Currency 5 4 5" xfId="600" xr:uid="{00000000-0005-0000-0000-000089020000}"/>
    <cellStyle name="Currency 5 4 6" xfId="601" xr:uid="{00000000-0005-0000-0000-00008A020000}"/>
    <cellStyle name="Currency 5 4 7" xfId="602" xr:uid="{00000000-0005-0000-0000-00008B020000}"/>
    <cellStyle name="Currency 5 4 8" xfId="603" xr:uid="{00000000-0005-0000-0000-00008C020000}"/>
    <cellStyle name="Currency 5 5" xfId="604" xr:uid="{00000000-0005-0000-0000-00008D020000}"/>
    <cellStyle name="Currency 5 5 2" xfId="605" xr:uid="{00000000-0005-0000-0000-00008E020000}"/>
    <cellStyle name="Currency 5 5 3" xfId="606" xr:uid="{00000000-0005-0000-0000-00008F020000}"/>
    <cellStyle name="Currency 5 5 4" xfId="607" xr:uid="{00000000-0005-0000-0000-000090020000}"/>
    <cellStyle name="Currency 5 5 5" xfId="608" xr:uid="{00000000-0005-0000-0000-000091020000}"/>
    <cellStyle name="Currency 5 5 6" xfId="609" xr:uid="{00000000-0005-0000-0000-000092020000}"/>
    <cellStyle name="Currency 5 5 7" xfId="610" xr:uid="{00000000-0005-0000-0000-000093020000}"/>
    <cellStyle name="Currency 5 5 8" xfId="611" xr:uid="{00000000-0005-0000-0000-000094020000}"/>
    <cellStyle name="Currency 5 6" xfId="612" xr:uid="{00000000-0005-0000-0000-000095020000}"/>
    <cellStyle name="Currency 5 7" xfId="613" xr:uid="{00000000-0005-0000-0000-000096020000}"/>
    <cellStyle name="Currency 5 8" xfId="614" xr:uid="{00000000-0005-0000-0000-000097020000}"/>
    <cellStyle name="Currency 5 9" xfId="615" xr:uid="{00000000-0005-0000-0000-000098020000}"/>
    <cellStyle name="Currency 6" xfId="616" xr:uid="{00000000-0005-0000-0000-000099020000}"/>
    <cellStyle name="Currency 6 2" xfId="617" xr:uid="{00000000-0005-0000-0000-00009A020000}"/>
    <cellStyle name="Currency 6 3" xfId="618" xr:uid="{00000000-0005-0000-0000-00009B020000}"/>
    <cellStyle name="Currency 6 4" xfId="619" xr:uid="{00000000-0005-0000-0000-00009C020000}"/>
    <cellStyle name="Currency 6 5" xfId="620" xr:uid="{00000000-0005-0000-0000-00009D020000}"/>
    <cellStyle name="Currency 6 6" xfId="621" xr:uid="{00000000-0005-0000-0000-00009E020000}"/>
    <cellStyle name="Currency 6 7" xfId="622" xr:uid="{00000000-0005-0000-0000-00009F020000}"/>
    <cellStyle name="Currency 6 8" xfId="623" xr:uid="{00000000-0005-0000-0000-0000A0020000}"/>
    <cellStyle name="Currency 7" xfId="624" xr:uid="{00000000-0005-0000-0000-0000A1020000}"/>
    <cellStyle name="Currency 8" xfId="625" xr:uid="{00000000-0005-0000-0000-0000A2020000}"/>
    <cellStyle name="Currency 8 2" xfId="1050" xr:uid="{00000000-0005-0000-0000-0000A3020000}"/>
    <cellStyle name="Currency 9" xfId="1051" xr:uid="{00000000-0005-0000-0000-0000A4020000}"/>
    <cellStyle name="Currency 9 2" xfId="1052" xr:uid="{00000000-0005-0000-0000-0000A5020000}"/>
    <cellStyle name="Data Value" xfId="1110" xr:uid="{00000000-0005-0000-0000-0000A6020000}"/>
    <cellStyle name="Explanatory Text" xfId="996" builtinId="53" customBuiltin="1"/>
    <cellStyle name="Good" xfId="987" builtinId="26" customBuiltin="1"/>
    <cellStyle name="Heading 1" xfId="983" builtinId="16" customBuiltin="1"/>
    <cellStyle name="Heading 1 2" xfId="1107" xr:uid="{00000000-0005-0000-0000-0000AA020000}"/>
    <cellStyle name="Heading 2" xfId="984" builtinId="17" customBuiltin="1"/>
    <cellStyle name="Heading 3" xfId="985" builtinId="18" customBuiltin="1"/>
    <cellStyle name="Heading 4" xfId="986" builtinId="19" customBuiltin="1"/>
    <cellStyle name="Input" xfId="990" builtinId="20" customBuiltin="1"/>
    <cellStyle name="Linked Cell" xfId="993" builtinId="24" customBuiltin="1"/>
    <cellStyle name="Neutral" xfId="989" builtinId="28" customBuiltin="1"/>
    <cellStyle name="Normal" xfId="0" builtinId="0"/>
    <cellStyle name="Normal 10" xfId="626" xr:uid="{00000000-0005-0000-0000-0000B2020000}"/>
    <cellStyle name="Normal 10 2" xfId="627" xr:uid="{00000000-0005-0000-0000-0000B3020000}"/>
    <cellStyle name="Normal 10 2 2" xfId="628" xr:uid="{00000000-0005-0000-0000-0000B4020000}"/>
    <cellStyle name="Normal 10 3" xfId="629" xr:uid="{00000000-0005-0000-0000-0000B5020000}"/>
    <cellStyle name="Normal 10 4" xfId="630" xr:uid="{00000000-0005-0000-0000-0000B6020000}"/>
    <cellStyle name="Normal 11" xfId="631" xr:uid="{00000000-0005-0000-0000-0000B7020000}"/>
    <cellStyle name="Normal 11 2" xfId="632" xr:uid="{00000000-0005-0000-0000-0000B8020000}"/>
    <cellStyle name="Normal 11 2 2" xfId="633" xr:uid="{00000000-0005-0000-0000-0000B9020000}"/>
    <cellStyle name="Normal 11 2 2 2" xfId="634" xr:uid="{00000000-0005-0000-0000-0000BA020000}"/>
    <cellStyle name="Normal 11 2 2 2 2" xfId="635" xr:uid="{00000000-0005-0000-0000-0000BB020000}"/>
    <cellStyle name="Normal 11 2 2 3" xfId="636" xr:uid="{00000000-0005-0000-0000-0000BC020000}"/>
    <cellStyle name="Normal 11 2 3" xfId="637" xr:uid="{00000000-0005-0000-0000-0000BD020000}"/>
    <cellStyle name="Normal 11 2 3 2" xfId="638" xr:uid="{00000000-0005-0000-0000-0000BE020000}"/>
    <cellStyle name="Normal 11 2 3 2 2" xfId="639" xr:uid="{00000000-0005-0000-0000-0000BF020000}"/>
    <cellStyle name="Normal 11 2 3 3" xfId="640" xr:uid="{00000000-0005-0000-0000-0000C0020000}"/>
    <cellStyle name="Normal 11 3" xfId="641" xr:uid="{00000000-0005-0000-0000-0000C1020000}"/>
    <cellStyle name="Normal 11 3 2" xfId="642" xr:uid="{00000000-0005-0000-0000-0000C2020000}"/>
    <cellStyle name="Normal 11 3 2 2" xfId="643" xr:uid="{00000000-0005-0000-0000-0000C3020000}"/>
    <cellStyle name="Normal 11 3 2 2 2" xfId="644" xr:uid="{00000000-0005-0000-0000-0000C4020000}"/>
    <cellStyle name="Normal 11 3 2 3" xfId="645" xr:uid="{00000000-0005-0000-0000-0000C5020000}"/>
    <cellStyle name="Normal 11 4" xfId="646" xr:uid="{00000000-0005-0000-0000-0000C6020000}"/>
    <cellStyle name="Normal 11 5" xfId="647" xr:uid="{00000000-0005-0000-0000-0000C7020000}"/>
    <cellStyle name="Normal 11 6" xfId="648" xr:uid="{00000000-0005-0000-0000-0000C8020000}"/>
    <cellStyle name="Normal 11 7" xfId="649" xr:uid="{00000000-0005-0000-0000-0000C9020000}"/>
    <cellStyle name="Normal 11 8" xfId="650" xr:uid="{00000000-0005-0000-0000-0000CA020000}"/>
    <cellStyle name="Normal 11 9" xfId="651" xr:uid="{00000000-0005-0000-0000-0000CB020000}"/>
    <cellStyle name="Normal 11 9 2" xfId="652" xr:uid="{00000000-0005-0000-0000-0000CC020000}"/>
    <cellStyle name="Normal 11 9 2 2" xfId="653" xr:uid="{00000000-0005-0000-0000-0000CD020000}"/>
    <cellStyle name="Normal 11 9 3" xfId="654" xr:uid="{00000000-0005-0000-0000-0000CE020000}"/>
    <cellStyle name="Normal 12" xfId="655" xr:uid="{00000000-0005-0000-0000-0000CF020000}"/>
    <cellStyle name="Normal 12 2" xfId="656" xr:uid="{00000000-0005-0000-0000-0000D0020000}"/>
    <cellStyle name="Normal 12 2 2" xfId="657" xr:uid="{00000000-0005-0000-0000-0000D1020000}"/>
    <cellStyle name="Normal 12 3" xfId="658" xr:uid="{00000000-0005-0000-0000-0000D2020000}"/>
    <cellStyle name="Normal 12 4" xfId="659" xr:uid="{00000000-0005-0000-0000-0000D3020000}"/>
    <cellStyle name="Normal 13" xfId="660" xr:uid="{00000000-0005-0000-0000-0000D4020000}"/>
    <cellStyle name="Normal 13 2" xfId="661" xr:uid="{00000000-0005-0000-0000-0000D5020000}"/>
    <cellStyle name="Normal 13 2 2" xfId="662" xr:uid="{00000000-0005-0000-0000-0000D6020000}"/>
    <cellStyle name="Normal 13 3" xfId="663" xr:uid="{00000000-0005-0000-0000-0000D7020000}"/>
    <cellStyle name="Normal 13 4" xfId="664" xr:uid="{00000000-0005-0000-0000-0000D8020000}"/>
    <cellStyle name="Normal 14" xfId="665" xr:uid="{00000000-0005-0000-0000-0000D9020000}"/>
    <cellStyle name="Normal 14 2" xfId="666" xr:uid="{00000000-0005-0000-0000-0000DA020000}"/>
    <cellStyle name="Normal 14 2 2" xfId="667" xr:uid="{00000000-0005-0000-0000-0000DB020000}"/>
    <cellStyle name="Normal 14 3" xfId="668" xr:uid="{00000000-0005-0000-0000-0000DC020000}"/>
    <cellStyle name="Normal 14 4" xfId="669" xr:uid="{00000000-0005-0000-0000-0000DD020000}"/>
    <cellStyle name="Normal 15" xfId="670" xr:uid="{00000000-0005-0000-0000-0000DE020000}"/>
    <cellStyle name="Normal 15 2" xfId="671" xr:uid="{00000000-0005-0000-0000-0000DF020000}"/>
    <cellStyle name="Normal 15 3" xfId="1053" xr:uid="{00000000-0005-0000-0000-0000E0020000}"/>
    <cellStyle name="Normal 16" xfId="672" xr:uid="{00000000-0005-0000-0000-0000E1020000}"/>
    <cellStyle name="Normal 16 2" xfId="673" xr:uid="{00000000-0005-0000-0000-0000E2020000}"/>
    <cellStyle name="Normal 16 2 2" xfId="1054" xr:uid="{00000000-0005-0000-0000-0000E3020000}"/>
    <cellStyle name="Normal 16 3" xfId="1055" xr:uid="{00000000-0005-0000-0000-0000E4020000}"/>
    <cellStyle name="Normal 16 4" xfId="1056" xr:uid="{00000000-0005-0000-0000-0000E5020000}"/>
    <cellStyle name="Normal 16 4 2" xfId="1057" xr:uid="{00000000-0005-0000-0000-0000E6020000}"/>
    <cellStyle name="Normal 17" xfId="674" xr:uid="{00000000-0005-0000-0000-0000E7020000}"/>
    <cellStyle name="Normal 18" xfId="1108" xr:uid="{00000000-0005-0000-0000-0000E8020000}"/>
    <cellStyle name="Normal 19" xfId="675" xr:uid="{00000000-0005-0000-0000-0000E9020000}"/>
    <cellStyle name="Normal 19 2" xfId="676" xr:uid="{00000000-0005-0000-0000-0000EA020000}"/>
    <cellStyle name="Normal 2" xfId="5" xr:uid="{00000000-0005-0000-0000-0000EB020000}"/>
    <cellStyle name="Normal 2 10" xfId="1" xr:uid="{00000000-0005-0000-0000-0000EC020000}"/>
    <cellStyle name="Normal 2 10 2" xfId="4" xr:uid="{00000000-0005-0000-0000-0000ED020000}"/>
    <cellStyle name="Normal 2 10 3" xfId="1111" xr:uid="{00000000-0005-0000-0000-0000EE020000}"/>
    <cellStyle name="Normal 2 10 3 2" xfId="1114" xr:uid="{00000000-0005-0000-0000-0000EF020000}"/>
    <cellStyle name="Normal 2 11" xfId="677" xr:uid="{00000000-0005-0000-0000-0000F0020000}"/>
    <cellStyle name="Normal 2 11 2" xfId="678" xr:uid="{00000000-0005-0000-0000-0000F1020000}"/>
    <cellStyle name="Normal 2 12" xfId="679" xr:uid="{00000000-0005-0000-0000-0000F2020000}"/>
    <cellStyle name="Normal 2 12 2" xfId="680" xr:uid="{00000000-0005-0000-0000-0000F3020000}"/>
    <cellStyle name="Normal 2 13" xfId="681" xr:uid="{00000000-0005-0000-0000-0000F4020000}"/>
    <cellStyle name="Normal 2 14" xfId="682" xr:uid="{00000000-0005-0000-0000-0000F5020000}"/>
    <cellStyle name="Normal 2 15" xfId="683" xr:uid="{00000000-0005-0000-0000-0000F6020000}"/>
    <cellStyle name="Normal 2 16" xfId="684" xr:uid="{00000000-0005-0000-0000-0000F7020000}"/>
    <cellStyle name="Normal 2 2" xfId="7" xr:uid="{00000000-0005-0000-0000-0000F8020000}"/>
    <cellStyle name="Normal 2 2 10" xfId="685" xr:uid="{00000000-0005-0000-0000-0000F9020000}"/>
    <cellStyle name="Normal 2 2 11" xfId="686" xr:uid="{00000000-0005-0000-0000-0000FA020000}"/>
    <cellStyle name="Normal 2 2 12" xfId="687" xr:uid="{00000000-0005-0000-0000-0000FB020000}"/>
    <cellStyle name="Normal 2 2 2" xfId="688" xr:uid="{00000000-0005-0000-0000-0000FC020000}"/>
    <cellStyle name="Normal 2 2 2 2" xfId="689" xr:uid="{00000000-0005-0000-0000-0000FD020000}"/>
    <cellStyle name="Normal 2 2 2 3" xfId="690" xr:uid="{00000000-0005-0000-0000-0000FE020000}"/>
    <cellStyle name="Normal 2 2 2 4" xfId="691" xr:uid="{00000000-0005-0000-0000-0000FF020000}"/>
    <cellStyle name="Normal 2 2 2 5" xfId="692" xr:uid="{00000000-0005-0000-0000-000000030000}"/>
    <cellStyle name="Normal 2 2 2 6" xfId="693" xr:uid="{00000000-0005-0000-0000-000001030000}"/>
    <cellStyle name="Normal 2 2 2 7" xfId="694" xr:uid="{00000000-0005-0000-0000-000002030000}"/>
    <cellStyle name="Normal 2 2 2 8" xfId="695" xr:uid="{00000000-0005-0000-0000-000003030000}"/>
    <cellStyle name="Normal 2 2 2 9" xfId="1113" xr:uid="{00000000-0005-0000-0000-000004030000}"/>
    <cellStyle name="Normal 2 2 2 9 2" xfId="1116" xr:uid="{00000000-0005-0000-0000-000005030000}"/>
    <cellStyle name="Normal 2 2 3" xfId="696" xr:uid="{00000000-0005-0000-0000-000006030000}"/>
    <cellStyle name="Normal 2 2 3 2" xfId="697" xr:uid="{00000000-0005-0000-0000-000007030000}"/>
    <cellStyle name="Normal 2 2 3 3" xfId="698" xr:uid="{00000000-0005-0000-0000-000008030000}"/>
    <cellStyle name="Normal 2 2 3 4" xfId="699" xr:uid="{00000000-0005-0000-0000-000009030000}"/>
    <cellStyle name="Normal 2 2 3 5" xfId="700" xr:uid="{00000000-0005-0000-0000-00000A030000}"/>
    <cellStyle name="Normal 2 2 3 6" xfId="701" xr:uid="{00000000-0005-0000-0000-00000B030000}"/>
    <cellStyle name="Normal 2 2 3 7" xfId="702" xr:uid="{00000000-0005-0000-0000-00000C030000}"/>
    <cellStyle name="Normal 2 2 3 8" xfId="703" xr:uid="{00000000-0005-0000-0000-00000D030000}"/>
    <cellStyle name="Normal 2 2 4" xfId="704" xr:uid="{00000000-0005-0000-0000-00000E030000}"/>
    <cellStyle name="Normal 2 2 4 2" xfId="705" xr:uid="{00000000-0005-0000-0000-00000F030000}"/>
    <cellStyle name="Normal 2 2 4 3" xfId="706" xr:uid="{00000000-0005-0000-0000-000010030000}"/>
    <cellStyle name="Normal 2 2 4 4" xfId="707" xr:uid="{00000000-0005-0000-0000-000011030000}"/>
    <cellStyle name="Normal 2 2 4 5" xfId="708" xr:uid="{00000000-0005-0000-0000-000012030000}"/>
    <cellStyle name="Normal 2 2 4 6" xfId="709" xr:uid="{00000000-0005-0000-0000-000013030000}"/>
    <cellStyle name="Normal 2 2 4 7" xfId="710" xr:uid="{00000000-0005-0000-0000-000014030000}"/>
    <cellStyle name="Normal 2 2 4 8" xfId="711" xr:uid="{00000000-0005-0000-0000-000015030000}"/>
    <cellStyle name="Normal 2 2 5" xfId="712" xr:uid="{00000000-0005-0000-0000-000016030000}"/>
    <cellStyle name="Normal 2 2 6" xfId="713" xr:uid="{00000000-0005-0000-0000-000017030000}"/>
    <cellStyle name="Normal 2 2 7" xfId="714" xr:uid="{00000000-0005-0000-0000-000018030000}"/>
    <cellStyle name="Normal 2 2 8" xfId="715" xr:uid="{00000000-0005-0000-0000-000019030000}"/>
    <cellStyle name="Normal 2 2 9" xfId="716" xr:uid="{00000000-0005-0000-0000-00001A030000}"/>
    <cellStyle name="Normal 2 3" xfId="717" xr:uid="{00000000-0005-0000-0000-00001B030000}"/>
    <cellStyle name="Normal 2 3 10" xfId="718" xr:uid="{00000000-0005-0000-0000-00001C030000}"/>
    <cellStyle name="Normal 2 3 2" xfId="719" xr:uid="{00000000-0005-0000-0000-00001D030000}"/>
    <cellStyle name="Normal 2 3 3" xfId="720" xr:uid="{00000000-0005-0000-0000-00001E030000}"/>
    <cellStyle name="Normal 2 3 4" xfId="721" xr:uid="{00000000-0005-0000-0000-00001F030000}"/>
    <cellStyle name="Normal 2 3 5" xfId="722" xr:uid="{00000000-0005-0000-0000-000020030000}"/>
    <cellStyle name="Normal 2 3 6" xfId="723" xr:uid="{00000000-0005-0000-0000-000021030000}"/>
    <cellStyle name="Normal 2 3 7" xfId="724" xr:uid="{00000000-0005-0000-0000-000022030000}"/>
    <cellStyle name="Normal 2 3 8" xfId="725" xr:uid="{00000000-0005-0000-0000-000023030000}"/>
    <cellStyle name="Normal 2 3 9" xfId="726" xr:uid="{00000000-0005-0000-0000-000024030000}"/>
    <cellStyle name="Normal 2 4" xfId="727" xr:uid="{00000000-0005-0000-0000-000025030000}"/>
    <cellStyle name="Normal 2 4 10" xfId="728" xr:uid="{00000000-0005-0000-0000-000026030000}"/>
    <cellStyle name="Normal 2 4 2" xfId="729" xr:uid="{00000000-0005-0000-0000-000027030000}"/>
    <cellStyle name="Normal 2 4 3" xfId="730" xr:uid="{00000000-0005-0000-0000-000028030000}"/>
    <cellStyle name="Normal 2 4 4" xfId="731" xr:uid="{00000000-0005-0000-0000-000029030000}"/>
    <cellStyle name="Normal 2 4 5" xfId="732" xr:uid="{00000000-0005-0000-0000-00002A030000}"/>
    <cellStyle name="Normal 2 4 6" xfId="733" xr:uid="{00000000-0005-0000-0000-00002B030000}"/>
    <cellStyle name="Normal 2 4 7" xfId="734" xr:uid="{00000000-0005-0000-0000-00002C030000}"/>
    <cellStyle name="Normal 2 4 8" xfId="735" xr:uid="{00000000-0005-0000-0000-00002D030000}"/>
    <cellStyle name="Normal 2 4 9" xfId="736" xr:uid="{00000000-0005-0000-0000-00002E030000}"/>
    <cellStyle name="Normal 2 5" xfId="737" xr:uid="{00000000-0005-0000-0000-00002F030000}"/>
    <cellStyle name="Normal 2 5 10" xfId="738" xr:uid="{00000000-0005-0000-0000-000030030000}"/>
    <cellStyle name="Normal 2 5 2" xfId="739" xr:uid="{00000000-0005-0000-0000-000031030000}"/>
    <cellStyle name="Normal 2 5 3" xfId="740" xr:uid="{00000000-0005-0000-0000-000032030000}"/>
    <cellStyle name="Normal 2 5 4" xfId="741" xr:uid="{00000000-0005-0000-0000-000033030000}"/>
    <cellStyle name="Normal 2 5 5" xfId="742" xr:uid="{00000000-0005-0000-0000-000034030000}"/>
    <cellStyle name="Normal 2 5 6" xfId="743" xr:uid="{00000000-0005-0000-0000-000035030000}"/>
    <cellStyle name="Normal 2 5 7" xfId="744" xr:uid="{00000000-0005-0000-0000-000036030000}"/>
    <cellStyle name="Normal 2 5 8" xfId="745" xr:uid="{00000000-0005-0000-0000-000037030000}"/>
    <cellStyle name="Normal 2 5 9" xfId="746" xr:uid="{00000000-0005-0000-0000-000038030000}"/>
    <cellStyle name="Normal 2 6" xfId="747" xr:uid="{00000000-0005-0000-0000-000039030000}"/>
    <cellStyle name="Normal 2 6 10" xfId="748" xr:uid="{00000000-0005-0000-0000-00003A030000}"/>
    <cellStyle name="Normal 2 6 2" xfId="749" xr:uid="{00000000-0005-0000-0000-00003B030000}"/>
    <cellStyle name="Normal 2 6 3" xfId="750" xr:uid="{00000000-0005-0000-0000-00003C030000}"/>
    <cellStyle name="Normal 2 6 4" xfId="751" xr:uid="{00000000-0005-0000-0000-00003D030000}"/>
    <cellStyle name="Normal 2 6 5" xfId="752" xr:uid="{00000000-0005-0000-0000-00003E030000}"/>
    <cellStyle name="Normal 2 6 6" xfId="753" xr:uid="{00000000-0005-0000-0000-00003F030000}"/>
    <cellStyle name="Normal 2 6 7" xfId="754" xr:uid="{00000000-0005-0000-0000-000040030000}"/>
    <cellStyle name="Normal 2 6 8" xfId="755" xr:uid="{00000000-0005-0000-0000-000041030000}"/>
    <cellStyle name="Normal 2 6 9" xfId="756" xr:uid="{00000000-0005-0000-0000-000042030000}"/>
    <cellStyle name="Normal 2 7" xfId="757" xr:uid="{00000000-0005-0000-0000-000043030000}"/>
    <cellStyle name="Normal 2 7 2" xfId="758" xr:uid="{00000000-0005-0000-0000-000044030000}"/>
    <cellStyle name="Normal 2 8" xfId="759" xr:uid="{00000000-0005-0000-0000-000045030000}"/>
    <cellStyle name="Normal 2 8 2" xfId="760" xr:uid="{00000000-0005-0000-0000-000046030000}"/>
    <cellStyle name="Normal 2 9" xfId="761" xr:uid="{00000000-0005-0000-0000-000047030000}"/>
    <cellStyle name="Normal 2 9 2" xfId="762" xr:uid="{00000000-0005-0000-0000-000048030000}"/>
    <cellStyle name="Normal 20" xfId="1112" xr:uid="{00000000-0005-0000-0000-000049030000}"/>
    <cellStyle name="Normal 20 2" xfId="1115" xr:uid="{00000000-0005-0000-0000-00004A030000}"/>
    <cellStyle name="Normal 3" xfId="763" xr:uid="{00000000-0005-0000-0000-00004B030000}"/>
    <cellStyle name="Normal 3 2" xfId="764" xr:uid="{00000000-0005-0000-0000-00004C030000}"/>
    <cellStyle name="Normal 3 2 2" xfId="765" xr:uid="{00000000-0005-0000-0000-00004D030000}"/>
    <cellStyle name="Normal 3 2 3" xfId="766" xr:uid="{00000000-0005-0000-0000-00004E030000}"/>
    <cellStyle name="Normal 3 2 4" xfId="767" xr:uid="{00000000-0005-0000-0000-00004F030000}"/>
    <cellStyle name="Normal 3 2 5" xfId="768" xr:uid="{00000000-0005-0000-0000-000050030000}"/>
    <cellStyle name="Normal 3 2 6" xfId="769" xr:uid="{00000000-0005-0000-0000-000051030000}"/>
    <cellStyle name="Normal 3 2 7" xfId="770" xr:uid="{00000000-0005-0000-0000-000052030000}"/>
    <cellStyle name="Normal 3 2 8" xfId="771" xr:uid="{00000000-0005-0000-0000-000053030000}"/>
    <cellStyle name="Normal 3 3" xfId="772" xr:uid="{00000000-0005-0000-0000-000054030000}"/>
    <cellStyle name="Normal 3 3 2" xfId="773" xr:uid="{00000000-0005-0000-0000-000055030000}"/>
    <cellStyle name="Normal 3 3 3" xfId="774" xr:uid="{00000000-0005-0000-0000-000056030000}"/>
    <cellStyle name="Normal 3 3 4" xfId="775" xr:uid="{00000000-0005-0000-0000-000057030000}"/>
    <cellStyle name="Normal 3 3 5" xfId="776" xr:uid="{00000000-0005-0000-0000-000058030000}"/>
    <cellStyle name="Normal 3 3 6" xfId="777" xr:uid="{00000000-0005-0000-0000-000059030000}"/>
    <cellStyle name="Normal 3 3 7" xfId="778" xr:uid="{00000000-0005-0000-0000-00005A030000}"/>
    <cellStyle name="Normal 3 3 8" xfId="779" xr:uid="{00000000-0005-0000-0000-00005B030000}"/>
    <cellStyle name="Normal 3 4" xfId="780" xr:uid="{00000000-0005-0000-0000-00005C030000}"/>
    <cellStyle name="Normal 3 5" xfId="1058" xr:uid="{00000000-0005-0000-0000-00005D030000}"/>
    <cellStyle name="Normal 3 5 2" xfId="1059" xr:uid="{00000000-0005-0000-0000-00005E030000}"/>
    <cellStyle name="Normal 4" xfId="781" xr:uid="{00000000-0005-0000-0000-00005F030000}"/>
    <cellStyle name="Normal 4 2" xfId="782" xr:uid="{00000000-0005-0000-0000-000060030000}"/>
    <cellStyle name="Normal 4 2 2" xfId="783" xr:uid="{00000000-0005-0000-0000-000061030000}"/>
    <cellStyle name="Normal 4 2 2 2" xfId="784" xr:uid="{00000000-0005-0000-0000-000062030000}"/>
    <cellStyle name="Normal 4 2 2 2 2" xfId="785" xr:uid="{00000000-0005-0000-0000-000063030000}"/>
    <cellStyle name="Normal 4 2 2 2 2 2" xfId="786" xr:uid="{00000000-0005-0000-0000-000064030000}"/>
    <cellStyle name="Normal 4 2 2 2 3" xfId="787" xr:uid="{00000000-0005-0000-0000-000065030000}"/>
    <cellStyle name="Normal 4 2 2 3" xfId="788" xr:uid="{00000000-0005-0000-0000-000066030000}"/>
    <cellStyle name="Normal 4 2 2 3 2" xfId="789" xr:uid="{00000000-0005-0000-0000-000067030000}"/>
    <cellStyle name="Normal 4 2 2 4" xfId="790" xr:uid="{00000000-0005-0000-0000-000068030000}"/>
    <cellStyle name="Normal 4 2 3" xfId="791" xr:uid="{00000000-0005-0000-0000-000069030000}"/>
    <cellStyle name="Normal 4 2 3 2" xfId="792" xr:uid="{00000000-0005-0000-0000-00006A030000}"/>
    <cellStyle name="Normal 4 2 4" xfId="793" xr:uid="{00000000-0005-0000-0000-00006B030000}"/>
    <cellStyle name="Normal 4 2 5" xfId="794" xr:uid="{00000000-0005-0000-0000-00006C030000}"/>
    <cellStyle name="Normal 4 3" xfId="795" xr:uid="{00000000-0005-0000-0000-00006D030000}"/>
    <cellStyle name="Normal 4 3 2" xfId="796" xr:uid="{00000000-0005-0000-0000-00006E030000}"/>
    <cellStyle name="Normal 4 3 2 2" xfId="797" xr:uid="{00000000-0005-0000-0000-00006F030000}"/>
    <cellStyle name="Normal 4 3 2 2 2" xfId="798" xr:uid="{00000000-0005-0000-0000-000070030000}"/>
    <cellStyle name="Normal 4 3 2 3" xfId="799" xr:uid="{00000000-0005-0000-0000-000071030000}"/>
    <cellStyle name="Normal 4 3 3" xfId="800" xr:uid="{00000000-0005-0000-0000-000072030000}"/>
    <cellStyle name="Normal 4 3 3 2" xfId="801" xr:uid="{00000000-0005-0000-0000-000073030000}"/>
    <cellStyle name="Normal 4 3 4" xfId="802" xr:uid="{00000000-0005-0000-0000-000074030000}"/>
    <cellStyle name="Normal 4 3 5" xfId="803" xr:uid="{00000000-0005-0000-0000-000075030000}"/>
    <cellStyle name="Normal 4 4" xfId="3" xr:uid="{00000000-0005-0000-0000-000076030000}"/>
    <cellStyle name="Normal 4 4 2" xfId="804" xr:uid="{00000000-0005-0000-0000-000077030000}"/>
    <cellStyle name="Normal 4 4 2 2" xfId="805" xr:uid="{00000000-0005-0000-0000-000078030000}"/>
    <cellStyle name="Normal 4 4 3" xfId="806" xr:uid="{00000000-0005-0000-0000-000079030000}"/>
    <cellStyle name="Normal 4 4 4" xfId="807" xr:uid="{00000000-0005-0000-0000-00007A030000}"/>
    <cellStyle name="Normal 4 5" xfId="808" xr:uid="{00000000-0005-0000-0000-00007B030000}"/>
    <cellStyle name="Normal 4 5 2" xfId="809" xr:uid="{00000000-0005-0000-0000-00007C030000}"/>
    <cellStyle name="Normal 4 5 2 2" xfId="810" xr:uid="{00000000-0005-0000-0000-00007D030000}"/>
    <cellStyle name="Normal 4 5 3" xfId="811" xr:uid="{00000000-0005-0000-0000-00007E030000}"/>
    <cellStyle name="Normal 4 5 4" xfId="812" xr:uid="{00000000-0005-0000-0000-00007F030000}"/>
    <cellStyle name="Normal 4 6" xfId="813" xr:uid="{00000000-0005-0000-0000-000080030000}"/>
    <cellStyle name="Normal 4 6 2" xfId="814" xr:uid="{00000000-0005-0000-0000-000081030000}"/>
    <cellStyle name="Normal 4 7" xfId="815" xr:uid="{00000000-0005-0000-0000-000082030000}"/>
    <cellStyle name="Normal 4 8" xfId="816" xr:uid="{00000000-0005-0000-0000-000083030000}"/>
    <cellStyle name="Normal 5" xfId="817" xr:uid="{00000000-0005-0000-0000-000084030000}"/>
    <cellStyle name="Normal 5 10" xfId="818" xr:uid="{00000000-0005-0000-0000-000085030000}"/>
    <cellStyle name="Normal 5 10 2" xfId="819" xr:uid="{00000000-0005-0000-0000-000086030000}"/>
    <cellStyle name="Normal 5 10 2 2" xfId="820" xr:uid="{00000000-0005-0000-0000-000087030000}"/>
    <cellStyle name="Normal 5 10 3" xfId="821" xr:uid="{00000000-0005-0000-0000-000088030000}"/>
    <cellStyle name="Normal 5 11" xfId="822" xr:uid="{00000000-0005-0000-0000-000089030000}"/>
    <cellStyle name="Normal 5 11 2" xfId="823" xr:uid="{00000000-0005-0000-0000-00008A030000}"/>
    <cellStyle name="Normal 5 11 2 2" xfId="824" xr:uid="{00000000-0005-0000-0000-00008B030000}"/>
    <cellStyle name="Normal 5 11 3" xfId="825" xr:uid="{00000000-0005-0000-0000-00008C030000}"/>
    <cellStyle name="Normal 5 12" xfId="826" xr:uid="{00000000-0005-0000-0000-00008D030000}"/>
    <cellStyle name="Normal 5 12 2" xfId="827" xr:uid="{00000000-0005-0000-0000-00008E030000}"/>
    <cellStyle name="Normal 5 12 2 2" xfId="828" xr:uid="{00000000-0005-0000-0000-00008F030000}"/>
    <cellStyle name="Normal 5 12 3" xfId="829" xr:uid="{00000000-0005-0000-0000-000090030000}"/>
    <cellStyle name="Normal 5 13" xfId="830" xr:uid="{00000000-0005-0000-0000-000091030000}"/>
    <cellStyle name="Normal 5 13 2" xfId="831" xr:uid="{00000000-0005-0000-0000-000092030000}"/>
    <cellStyle name="Normal 5 14" xfId="832" xr:uid="{00000000-0005-0000-0000-000093030000}"/>
    <cellStyle name="Normal 5 14 2" xfId="1060" xr:uid="{00000000-0005-0000-0000-000094030000}"/>
    <cellStyle name="Normal 5 14 3" xfId="1061" xr:uid="{00000000-0005-0000-0000-000095030000}"/>
    <cellStyle name="Normal 5 14 4" xfId="1062" xr:uid="{00000000-0005-0000-0000-000096030000}"/>
    <cellStyle name="Normal 5 14 5" xfId="1063" xr:uid="{00000000-0005-0000-0000-000097030000}"/>
    <cellStyle name="Normal 5 15" xfId="833" xr:uid="{00000000-0005-0000-0000-000098030000}"/>
    <cellStyle name="Normal 5 2" xfId="834" xr:uid="{00000000-0005-0000-0000-000099030000}"/>
    <cellStyle name="Normal 5 2 2" xfId="835" xr:uid="{00000000-0005-0000-0000-00009A030000}"/>
    <cellStyle name="Normal 5 2 2 2" xfId="836" xr:uid="{00000000-0005-0000-0000-00009B030000}"/>
    <cellStyle name="Normal 5 2 2 2 2" xfId="837" xr:uid="{00000000-0005-0000-0000-00009C030000}"/>
    <cellStyle name="Normal 5 2 2 3" xfId="838" xr:uid="{00000000-0005-0000-0000-00009D030000}"/>
    <cellStyle name="Normal 5 2 2 4" xfId="839" xr:uid="{00000000-0005-0000-0000-00009E030000}"/>
    <cellStyle name="Normal 5 2 3" xfId="840" xr:uid="{00000000-0005-0000-0000-00009F030000}"/>
    <cellStyle name="Normal 5 2 3 2" xfId="841" xr:uid="{00000000-0005-0000-0000-0000A0030000}"/>
    <cellStyle name="Normal 5 2 3 2 2" xfId="842" xr:uid="{00000000-0005-0000-0000-0000A1030000}"/>
    <cellStyle name="Normal 5 2 3 3" xfId="843" xr:uid="{00000000-0005-0000-0000-0000A2030000}"/>
    <cellStyle name="Normal 5 2 4" xfId="844" xr:uid="{00000000-0005-0000-0000-0000A3030000}"/>
    <cellStyle name="Normal 5 2 4 2" xfId="845" xr:uid="{00000000-0005-0000-0000-0000A4030000}"/>
    <cellStyle name="Normal 5 2 4 2 2" xfId="846" xr:uid="{00000000-0005-0000-0000-0000A5030000}"/>
    <cellStyle name="Normal 5 2 4 3" xfId="847" xr:uid="{00000000-0005-0000-0000-0000A6030000}"/>
    <cellStyle name="Normal 5 3" xfId="848" xr:uid="{00000000-0005-0000-0000-0000A7030000}"/>
    <cellStyle name="Normal 5 3 2" xfId="849" xr:uid="{00000000-0005-0000-0000-0000A8030000}"/>
    <cellStyle name="Normal 5 3 2 2" xfId="850" xr:uid="{00000000-0005-0000-0000-0000A9030000}"/>
    <cellStyle name="Normal 5 3 2 2 2" xfId="851" xr:uid="{00000000-0005-0000-0000-0000AA030000}"/>
    <cellStyle name="Normal 5 3 2 3" xfId="852" xr:uid="{00000000-0005-0000-0000-0000AB030000}"/>
    <cellStyle name="Normal 5 3 3" xfId="853" xr:uid="{00000000-0005-0000-0000-0000AC030000}"/>
    <cellStyle name="Normal 5 3 3 2" xfId="854" xr:uid="{00000000-0005-0000-0000-0000AD030000}"/>
    <cellStyle name="Normal 5 3 3 2 2" xfId="855" xr:uid="{00000000-0005-0000-0000-0000AE030000}"/>
    <cellStyle name="Normal 5 3 3 3" xfId="856" xr:uid="{00000000-0005-0000-0000-0000AF030000}"/>
    <cellStyle name="Normal 5 3 4" xfId="857" xr:uid="{00000000-0005-0000-0000-0000B0030000}"/>
    <cellStyle name="Normal 5 3 4 2" xfId="858" xr:uid="{00000000-0005-0000-0000-0000B1030000}"/>
    <cellStyle name="Normal 5 3 4 2 2" xfId="859" xr:uid="{00000000-0005-0000-0000-0000B2030000}"/>
    <cellStyle name="Normal 5 3 4 3" xfId="860" xr:uid="{00000000-0005-0000-0000-0000B3030000}"/>
    <cellStyle name="Normal 5 4" xfId="861" xr:uid="{00000000-0005-0000-0000-0000B4030000}"/>
    <cellStyle name="Normal 5 4 2" xfId="862" xr:uid="{00000000-0005-0000-0000-0000B5030000}"/>
    <cellStyle name="Normal 5 4 2 2" xfId="863" xr:uid="{00000000-0005-0000-0000-0000B6030000}"/>
    <cellStyle name="Normal 5 4 2 2 2" xfId="864" xr:uid="{00000000-0005-0000-0000-0000B7030000}"/>
    <cellStyle name="Normal 5 4 2 3" xfId="865" xr:uid="{00000000-0005-0000-0000-0000B8030000}"/>
    <cellStyle name="Normal 5 5" xfId="866" xr:uid="{00000000-0005-0000-0000-0000B9030000}"/>
    <cellStyle name="Normal 5 6" xfId="867" xr:uid="{00000000-0005-0000-0000-0000BA030000}"/>
    <cellStyle name="Normal 5 7" xfId="868" xr:uid="{00000000-0005-0000-0000-0000BB030000}"/>
    <cellStyle name="Normal 5 8" xfId="869" xr:uid="{00000000-0005-0000-0000-0000BC030000}"/>
    <cellStyle name="Normal 5 9" xfId="870" xr:uid="{00000000-0005-0000-0000-0000BD030000}"/>
    <cellStyle name="Normal 5 9 2" xfId="871" xr:uid="{00000000-0005-0000-0000-0000BE030000}"/>
    <cellStyle name="Normal 5 9 3" xfId="872" xr:uid="{00000000-0005-0000-0000-0000BF030000}"/>
    <cellStyle name="Normal 5 9 3 2" xfId="873" xr:uid="{00000000-0005-0000-0000-0000C0030000}"/>
    <cellStyle name="Normal 5 9 3 2 2" xfId="874" xr:uid="{00000000-0005-0000-0000-0000C1030000}"/>
    <cellStyle name="Normal 5 9 3 3" xfId="875" xr:uid="{00000000-0005-0000-0000-0000C2030000}"/>
    <cellStyle name="Normal 6" xfId="876" xr:uid="{00000000-0005-0000-0000-0000C3030000}"/>
    <cellStyle name="Normal 6 10" xfId="877" xr:uid="{00000000-0005-0000-0000-0000C4030000}"/>
    <cellStyle name="Normal 6 10 2" xfId="878" xr:uid="{00000000-0005-0000-0000-0000C5030000}"/>
    <cellStyle name="Normal 6 10 2 2" xfId="879" xr:uid="{00000000-0005-0000-0000-0000C6030000}"/>
    <cellStyle name="Normal 6 10 3" xfId="880" xr:uid="{00000000-0005-0000-0000-0000C7030000}"/>
    <cellStyle name="Normal 6 2" xfId="881" xr:uid="{00000000-0005-0000-0000-0000C8030000}"/>
    <cellStyle name="Normal 6 3" xfId="882" xr:uid="{00000000-0005-0000-0000-0000C9030000}"/>
    <cellStyle name="Normal 6 4" xfId="883" xr:uid="{00000000-0005-0000-0000-0000CA030000}"/>
    <cellStyle name="Normal 6 5" xfId="884" xr:uid="{00000000-0005-0000-0000-0000CB030000}"/>
    <cellStyle name="Normal 6 6" xfId="885" xr:uid="{00000000-0005-0000-0000-0000CC030000}"/>
    <cellStyle name="Normal 6 7" xfId="886" xr:uid="{00000000-0005-0000-0000-0000CD030000}"/>
    <cellStyle name="Normal 6 8" xfId="887" xr:uid="{00000000-0005-0000-0000-0000CE030000}"/>
    <cellStyle name="Normal 6 9" xfId="888" xr:uid="{00000000-0005-0000-0000-0000CF030000}"/>
    <cellStyle name="Normal 6 9 2" xfId="889" xr:uid="{00000000-0005-0000-0000-0000D0030000}"/>
    <cellStyle name="Normal 6 9 2 2" xfId="890" xr:uid="{00000000-0005-0000-0000-0000D1030000}"/>
    <cellStyle name="Normal 6 9 3" xfId="891" xr:uid="{00000000-0005-0000-0000-0000D2030000}"/>
    <cellStyle name="Normal 7" xfId="892" xr:uid="{00000000-0005-0000-0000-0000D3030000}"/>
    <cellStyle name="Normal 7 10" xfId="893" xr:uid="{00000000-0005-0000-0000-0000D4030000}"/>
    <cellStyle name="Normal 7 10 2" xfId="894" xr:uid="{00000000-0005-0000-0000-0000D5030000}"/>
    <cellStyle name="Normal 7 10 2 2" xfId="895" xr:uid="{00000000-0005-0000-0000-0000D6030000}"/>
    <cellStyle name="Normal 7 10 3" xfId="896" xr:uid="{00000000-0005-0000-0000-0000D7030000}"/>
    <cellStyle name="Normal 7 2" xfId="897" xr:uid="{00000000-0005-0000-0000-0000D8030000}"/>
    <cellStyle name="Normal 7 3" xfId="898" xr:uid="{00000000-0005-0000-0000-0000D9030000}"/>
    <cellStyle name="Normal 7 4" xfId="899" xr:uid="{00000000-0005-0000-0000-0000DA030000}"/>
    <cellStyle name="Normal 7 5" xfId="900" xr:uid="{00000000-0005-0000-0000-0000DB030000}"/>
    <cellStyle name="Normal 7 6" xfId="901" xr:uid="{00000000-0005-0000-0000-0000DC030000}"/>
    <cellStyle name="Normal 7 7" xfId="902" xr:uid="{00000000-0005-0000-0000-0000DD030000}"/>
    <cellStyle name="Normal 7 8" xfId="903" xr:uid="{00000000-0005-0000-0000-0000DE030000}"/>
    <cellStyle name="Normal 7 9" xfId="904" xr:uid="{00000000-0005-0000-0000-0000DF030000}"/>
    <cellStyle name="Normal 7 9 2" xfId="905" xr:uid="{00000000-0005-0000-0000-0000E0030000}"/>
    <cellStyle name="Normal 7 9 2 2" xfId="906" xr:uid="{00000000-0005-0000-0000-0000E1030000}"/>
    <cellStyle name="Normal 7 9 3" xfId="907" xr:uid="{00000000-0005-0000-0000-0000E2030000}"/>
    <cellStyle name="Normal 8" xfId="908" xr:uid="{00000000-0005-0000-0000-0000E3030000}"/>
    <cellStyle name="Normal 8 2" xfId="909" xr:uid="{00000000-0005-0000-0000-0000E4030000}"/>
    <cellStyle name="Normal 8 3" xfId="910" xr:uid="{00000000-0005-0000-0000-0000E5030000}"/>
    <cellStyle name="Normal 8 4" xfId="911" xr:uid="{00000000-0005-0000-0000-0000E6030000}"/>
    <cellStyle name="Normal 8 5" xfId="912" xr:uid="{00000000-0005-0000-0000-0000E7030000}"/>
    <cellStyle name="Normal 8 6" xfId="913" xr:uid="{00000000-0005-0000-0000-0000E8030000}"/>
    <cellStyle name="Normal 8 7" xfId="914" xr:uid="{00000000-0005-0000-0000-0000E9030000}"/>
    <cellStyle name="Normal 8 8" xfId="915" xr:uid="{00000000-0005-0000-0000-0000EA030000}"/>
    <cellStyle name="Normal 8 9" xfId="916" xr:uid="{00000000-0005-0000-0000-0000EB030000}"/>
    <cellStyle name="Normal 8 9 2" xfId="917" xr:uid="{00000000-0005-0000-0000-0000EC030000}"/>
    <cellStyle name="Normal 8 9 2 2" xfId="918" xr:uid="{00000000-0005-0000-0000-0000ED030000}"/>
    <cellStyle name="Normal 8 9 3" xfId="919" xr:uid="{00000000-0005-0000-0000-0000EE030000}"/>
    <cellStyle name="Normal 9" xfId="920" xr:uid="{00000000-0005-0000-0000-0000EF030000}"/>
    <cellStyle name="Normal 9 2" xfId="921" xr:uid="{00000000-0005-0000-0000-0000F0030000}"/>
    <cellStyle name="Normal 9 3" xfId="922" xr:uid="{00000000-0005-0000-0000-0000F1030000}"/>
    <cellStyle name="Normal 9 4" xfId="923" xr:uid="{00000000-0005-0000-0000-0000F2030000}"/>
    <cellStyle name="Normal 9 5" xfId="924" xr:uid="{00000000-0005-0000-0000-0000F3030000}"/>
    <cellStyle name="Normal 9 6" xfId="925" xr:uid="{00000000-0005-0000-0000-0000F4030000}"/>
    <cellStyle name="Normal 9 7" xfId="926" xr:uid="{00000000-0005-0000-0000-0000F5030000}"/>
    <cellStyle name="Normal 9 8" xfId="927" xr:uid="{00000000-0005-0000-0000-0000F6030000}"/>
    <cellStyle name="Normal 9 9" xfId="928" xr:uid="{00000000-0005-0000-0000-0000F7030000}"/>
    <cellStyle name="Normal 9 9 2" xfId="929" xr:uid="{00000000-0005-0000-0000-0000F8030000}"/>
    <cellStyle name="Normal 9 9 2 2" xfId="930" xr:uid="{00000000-0005-0000-0000-0000F9030000}"/>
    <cellStyle name="Normal 9 9 3" xfId="931" xr:uid="{00000000-0005-0000-0000-0000FA030000}"/>
    <cellStyle name="Note 2" xfId="932" xr:uid="{00000000-0005-0000-0000-0000FB030000}"/>
    <cellStyle name="Note 2 2" xfId="933" xr:uid="{00000000-0005-0000-0000-0000FC030000}"/>
    <cellStyle name="Note 2 2 2" xfId="934" xr:uid="{00000000-0005-0000-0000-0000FD030000}"/>
    <cellStyle name="Note 2 2 2 2" xfId="935" xr:uid="{00000000-0005-0000-0000-0000FE030000}"/>
    <cellStyle name="Note 2 2 2 2 2" xfId="1066" xr:uid="{00000000-0005-0000-0000-0000FF030000}"/>
    <cellStyle name="Note 2 2 2 3" xfId="1065" xr:uid="{00000000-0005-0000-0000-000000040000}"/>
    <cellStyle name="Note 2 2 3" xfId="936" xr:uid="{00000000-0005-0000-0000-000001040000}"/>
    <cellStyle name="Note 2 2 3 2" xfId="1067" xr:uid="{00000000-0005-0000-0000-000002040000}"/>
    <cellStyle name="Note 2 2 4" xfId="937" xr:uid="{00000000-0005-0000-0000-000003040000}"/>
    <cellStyle name="Note 2 2 4 2" xfId="1069" xr:uid="{00000000-0005-0000-0000-000004040000}"/>
    <cellStyle name="Note 2 2 4 3" xfId="1068" xr:uid="{00000000-0005-0000-0000-000005040000}"/>
    <cellStyle name="Note 2 2 5" xfId="1064" xr:uid="{00000000-0005-0000-0000-000006040000}"/>
    <cellStyle name="Note 2 3" xfId="938" xr:uid="{00000000-0005-0000-0000-000007040000}"/>
    <cellStyle name="Note 3" xfId="939" xr:uid="{00000000-0005-0000-0000-000008040000}"/>
    <cellStyle name="Note 3 2" xfId="940" xr:uid="{00000000-0005-0000-0000-000009040000}"/>
    <cellStyle name="Note 3 2 2" xfId="941" xr:uid="{00000000-0005-0000-0000-00000A040000}"/>
    <cellStyle name="Note 3 2 2 2" xfId="942" xr:uid="{00000000-0005-0000-0000-00000B040000}"/>
    <cellStyle name="Note 3 2 2 2 2" xfId="1072" xr:uid="{00000000-0005-0000-0000-00000C040000}"/>
    <cellStyle name="Note 3 2 2 3" xfId="1071" xr:uid="{00000000-0005-0000-0000-00000D040000}"/>
    <cellStyle name="Note 3 2 3" xfId="943" xr:uid="{00000000-0005-0000-0000-00000E040000}"/>
    <cellStyle name="Note 3 2 3 2" xfId="1073" xr:uid="{00000000-0005-0000-0000-00000F040000}"/>
    <cellStyle name="Note 3 2 4" xfId="944" xr:uid="{00000000-0005-0000-0000-000010040000}"/>
    <cellStyle name="Note 3 2 4 2" xfId="1075" xr:uid="{00000000-0005-0000-0000-000011040000}"/>
    <cellStyle name="Note 3 2 4 3" xfId="1074" xr:uid="{00000000-0005-0000-0000-000012040000}"/>
    <cellStyle name="Note 3 2 5" xfId="1070" xr:uid="{00000000-0005-0000-0000-000013040000}"/>
    <cellStyle name="Note 3 3" xfId="945" xr:uid="{00000000-0005-0000-0000-000014040000}"/>
    <cellStyle name="Note 4" xfId="946" xr:uid="{00000000-0005-0000-0000-000015040000}"/>
    <cellStyle name="Note 4 2" xfId="947" xr:uid="{00000000-0005-0000-0000-000016040000}"/>
    <cellStyle name="Note 4 2 2" xfId="948" xr:uid="{00000000-0005-0000-0000-000017040000}"/>
    <cellStyle name="Note 4 2 2 2" xfId="949" xr:uid="{00000000-0005-0000-0000-000018040000}"/>
    <cellStyle name="Note 4 2 2 2 2" xfId="1078" xr:uid="{00000000-0005-0000-0000-000019040000}"/>
    <cellStyle name="Note 4 2 2 3" xfId="1077" xr:uid="{00000000-0005-0000-0000-00001A040000}"/>
    <cellStyle name="Note 4 2 3" xfId="950" xr:uid="{00000000-0005-0000-0000-00001B040000}"/>
    <cellStyle name="Note 4 2 3 2" xfId="1079" xr:uid="{00000000-0005-0000-0000-00001C040000}"/>
    <cellStyle name="Note 4 2 4" xfId="951" xr:uid="{00000000-0005-0000-0000-00001D040000}"/>
    <cellStyle name="Note 4 2 4 2" xfId="1081" xr:uid="{00000000-0005-0000-0000-00001E040000}"/>
    <cellStyle name="Note 4 2 4 3" xfId="1080" xr:uid="{00000000-0005-0000-0000-00001F040000}"/>
    <cellStyle name="Note 4 2 5" xfId="1076" xr:uid="{00000000-0005-0000-0000-000020040000}"/>
    <cellStyle name="Note 4 3" xfId="952" xr:uid="{00000000-0005-0000-0000-000021040000}"/>
    <cellStyle name="Note 5" xfId="953" xr:uid="{00000000-0005-0000-0000-000022040000}"/>
    <cellStyle name="Note 5 2" xfId="954" xr:uid="{00000000-0005-0000-0000-000023040000}"/>
    <cellStyle name="Note 5 2 2" xfId="955" xr:uid="{00000000-0005-0000-0000-000024040000}"/>
    <cellStyle name="Note 5 2 2 2" xfId="956" xr:uid="{00000000-0005-0000-0000-000025040000}"/>
    <cellStyle name="Note 5 2 2 2 2" xfId="1084" xr:uid="{00000000-0005-0000-0000-000026040000}"/>
    <cellStyle name="Note 5 2 2 3" xfId="1083" xr:uid="{00000000-0005-0000-0000-000027040000}"/>
    <cellStyle name="Note 5 2 3" xfId="957" xr:uid="{00000000-0005-0000-0000-000028040000}"/>
    <cellStyle name="Note 5 2 3 2" xfId="1085" xr:uid="{00000000-0005-0000-0000-000029040000}"/>
    <cellStyle name="Note 5 2 4" xfId="958" xr:uid="{00000000-0005-0000-0000-00002A040000}"/>
    <cellStyle name="Note 5 2 4 2" xfId="1087" xr:uid="{00000000-0005-0000-0000-00002B040000}"/>
    <cellStyle name="Note 5 2 4 3" xfId="1086" xr:uid="{00000000-0005-0000-0000-00002C040000}"/>
    <cellStyle name="Note 5 2 5" xfId="1082" xr:uid="{00000000-0005-0000-0000-00002D040000}"/>
    <cellStyle name="Note 5 3" xfId="959" xr:uid="{00000000-0005-0000-0000-00002E040000}"/>
    <cellStyle name="Note 6" xfId="960" xr:uid="{00000000-0005-0000-0000-00002F040000}"/>
    <cellStyle name="Note 6 2" xfId="961" xr:uid="{00000000-0005-0000-0000-000030040000}"/>
    <cellStyle name="Note 6 2 2" xfId="962" xr:uid="{00000000-0005-0000-0000-000031040000}"/>
    <cellStyle name="Note 6 2 2 2" xfId="963" xr:uid="{00000000-0005-0000-0000-000032040000}"/>
    <cellStyle name="Note 6 2 2 2 2" xfId="1090" xr:uid="{00000000-0005-0000-0000-000033040000}"/>
    <cellStyle name="Note 6 2 2 3" xfId="1089" xr:uid="{00000000-0005-0000-0000-000034040000}"/>
    <cellStyle name="Note 6 2 3" xfId="964" xr:uid="{00000000-0005-0000-0000-000035040000}"/>
    <cellStyle name="Note 6 2 3 2" xfId="1091" xr:uid="{00000000-0005-0000-0000-000036040000}"/>
    <cellStyle name="Note 6 2 4" xfId="965" xr:uid="{00000000-0005-0000-0000-000037040000}"/>
    <cellStyle name="Note 6 2 4 2" xfId="1093" xr:uid="{00000000-0005-0000-0000-000038040000}"/>
    <cellStyle name="Note 6 2 4 3" xfId="1092" xr:uid="{00000000-0005-0000-0000-000039040000}"/>
    <cellStyle name="Note 6 2 5" xfId="1088" xr:uid="{00000000-0005-0000-0000-00003A040000}"/>
    <cellStyle name="Note 6 3" xfId="966" xr:uid="{00000000-0005-0000-0000-00003B040000}"/>
    <cellStyle name="Note 7" xfId="967" xr:uid="{00000000-0005-0000-0000-00003C040000}"/>
    <cellStyle name="Note 7 2" xfId="968" xr:uid="{00000000-0005-0000-0000-00003D040000}"/>
    <cellStyle name="Note 7 2 2" xfId="969" xr:uid="{00000000-0005-0000-0000-00003E040000}"/>
    <cellStyle name="Note 7 2 2 2" xfId="970" xr:uid="{00000000-0005-0000-0000-00003F040000}"/>
    <cellStyle name="Note 7 2 2 2 2" xfId="1096" xr:uid="{00000000-0005-0000-0000-000040040000}"/>
    <cellStyle name="Note 7 2 2 3" xfId="1095" xr:uid="{00000000-0005-0000-0000-000041040000}"/>
    <cellStyle name="Note 7 2 3" xfId="971" xr:uid="{00000000-0005-0000-0000-000042040000}"/>
    <cellStyle name="Note 7 2 3 2" xfId="1097" xr:uid="{00000000-0005-0000-0000-000043040000}"/>
    <cellStyle name="Note 7 2 4" xfId="972" xr:uid="{00000000-0005-0000-0000-000044040000}"/>
    <cellStyle name="Note 7 2 4 2" xfId="1099" xr:uid="{00000000-0005-0000-0000-000045040000}"/>
    <cellStyle name="Note 7 2 4 3" xfId="1098" xr:uid="{00000000-0005-0000-0000-000046040000}"/>
    <cellStyle name="Note 7 2 5" xfId="1094" xr:uid="{00000000-0005-0000-0000-000047040000}"/>
    <cellStyle name="Note 7 3" xfId="973" xr:uid="{00000000-0005-0000-0000-000048040000}"/>
    <cellStyle name="Note 8" xfId="974" xr:uid="{00000000-0005-0000-0000-000049040000}"/>
    <cellStyle name="Note 8 2" xfId="975" xr:uid="{00000000-0005-0000-0000-00004A040000}"/>
    <cellStyle name="Note 8 2 2" xfId="976" xr:uid="{00000000-0005-0000-0000-00004B040000}"/>
    <cellStyle name="Note 8 2 2 2" xfId="977" xr:uid="{00000000-0005-0000-0000-00004C040000}"/>
    <cellStyle name="Note 8 2 2 2 2" xfId="1102" xr:uid="{00000000-0005-0000-0000-00004D040000}"/>
    <cellStyle name="Note 8 2 2 3" xfId="1101" xr:uid="{00000000-0005-0000-0000-00004E040000}"/>
    <cellStyle name="Note 8 2 3" xfId="978" xr:uid="{00000000-0005-0000-0000-00004F040000}"/>
    <cellStyle name="Note 8 2 3 2" xfId="1103" xr:uid="{00000000-0005-0000-0000-000050040000}"/>
    <cellStyle name="Note 8 2 4" xfId="979" xr:uid="{00000000-0005-0000-0000-000051040000}"/>
    <cellStyle name="Note 8 2 4 2" xfId="1105" xr:uid="{00000000-0005-0000-0000-000052040000}"/>
    <cellStyle name="Note 8 2 4 3" xfId="1104" xr:uid="{00000000-0005-0000-0000-000053040000}"/>
    <cellStyle name="Note 8 2 5" xfId="1100" xr:uid="{00000000-0005-0000-0000-000054040000}"/>
    <cellStyle name="Note 8 3" xfId="980" xr:uid="{00000000-0005-0000-0000-000055040000}"/>
    <cellStyle name="Note 9" xfId="1106" xr:uid="{00000000-0005-0000-0000-000056040000}"/>
    <cellStyle name="Output" xfId="991" builtinId="21" customBuiltin="1"/>
    <cellStyle name="Percent 2" xfId="1022" xr:uid="{00000000-0005-0000-0000-000058040000}"/>
    <cellStyle name="Percent 3" xfId="1023" xr:uid="{00000000-0005-0000-0000-000059040000}"/>
    <cellStyle name="Title" xfId="982" builtinId="15" customBuiltin="1"/>
    <cellStyle name="Total" xfId="997" builtinId="25" customBuiltin="1"/>
    <cellStyle name="Warning Text" xfId="995" builtinId="11" customBuiltin="1"/>
  </cellStyles>
  <dxfs count="3700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0" tint="-0.14999847407452621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5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4" formatCode="0.0"/>
      <fill>
        <patternFill patternType="none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69" formatCode="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00000"/>
        </left>
        <right/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  <protection locked="0" hidden="0"/>
    </dxf>
    <dxf>
      <border>
        <top style="thin">
          <color rgb="FFC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  <protection locked="1" hidden="0"/>
    </dxf>
    <dxf>
      <border diagonalUp="0" diagonalDown="0">
        <left style="medium">
          <color rgb="FFC00000"/>
        </left>
        <right style="medium">
          <color rgb="FFC00000"/>
        </right>
        <top style="medium">
          <color rgb="FFC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numFmt numFmtId="164" formatCode="0.0"/>
      <fill>
        <patternFill patternType="solid">
          <fgColor rgb="FF000000"/>
          <bgColor rgb="FFCCFFFF"/>
        </patternFill>
      </fill>
      <alignment vertical="center" textRotation="0" indent="0" justifyLastLine="0" shrinkToFit="0" readingOrder="0"/>
      <protection locked="1" hidden="0"/>
    </dxf>
    <dxf>
      <border>
        <bottom style="thin">
          <color rgb="FFC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CC"/>
      <color rgb="FF33CCFF"/>
      <color rgb="FF66FF33"/>
      <color rgb="FF66FFFF"/>
      <color rgb="FF66FFCC"/>
      <color rgb="FF00FF99"/>
      <color rgb="FF009900"/>
      <color rgb="FF0066FF"/>
      <color rgb="FFCC66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%20Time%20Entry%20(ocq)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Event%201\Office%20Connector%20Import\OfficeConnectorImport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PR%20AR\Weekly%20Payroll%20Files\6181\6181%20WE%2008%2019%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PR%20AR\Weekly%20Payroll%20Files\1California\California%20WE%2002%2023%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1California/California%20WE%2002%2023%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EVERYONE\PR%20AR\Weekly%20Payroll%20Files\Weekly%20Spreadsheets\2020\WE%2002%2015%2020\Whitney\California%20WE%2002%2015%2020%20Bell%20Cr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Weekly%20Spreadsheets/2020/WE%2009%2012%2020/Whitney/WE%2009%2012%2020%20CA%20GF'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EVERYONE\PR%20AR\Weekly%20Payroll%20Files\Weekly%20Spreadsheets\2020\WE%2002%2015%2020\Whitney\California%20WE%2002%2015%2020%20PG&amp;E%2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Weekly%20Spreadsheets/2020/WE%2007%2018%2020/Whitney/California%20WE%2007%2018%2020%20PG&amp;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PR%20AR\Weekly%20Payroll%20Files\Weekly%20Spreadsheets\2021\WE%2001%2023%2021\Whitney\WE%201%2016%2021%20CA%20GF'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Weekly%20Spreadsheets/2021/WE%2008%2014%2021/Whitney/California%20WE%2008%2014%2021%20PG&amp;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Weekly%20Spreadsheets/2021/WE%2009%2018%2021/Whitney/California%20WE%2009%2018%2021%20PG&amp;E%20-%20Peake%20-%20Correc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AR/Weekly%20Payroll%20Files/Weekly%20Spreadsheets/2021/WE%2004%2010%2021/Whitney/California%20WE%2004%2010%2021%20PG&amp;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C-6\Data\EVERYONE\PR%20AR\Weekly%20Payroll%20Files\1California\PG&amp;E\California%20WE%2010%2019%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Time"/>
      <sheetName val="Sample Values"/>
      <sheetName val="Employees"/>
      <sheetName val="Jobs"/>
      <sheetName val="CostCodes"/>
      <sheetName val="PayIDs"/>
      <sheetName val="ColumnLists"/>
      <sheetName val="Job List"/>
    </sheetNames>
    <sheetDataSet>
      <sheetData sheetId="0">
        <row r="8">
          <cell r="E8" t="b">
            <v>1</v>
          </cell>
        </row>
      </sheetData>
      <sheetData sheetId="1">
        <row r="14">
          <cell r="C14">
            <v>0</v>
          </cell>
        </row>
      </sheetData>
      <sheetData sheetId="2">
        <row r="6">
          <cell r="C6">
            <v>41760</v>
          </cell>
        </row>
        <row r="7">
          <cell r="C7">
            <v>41766</v>
          </cell>
        </row>
        <row r="10">
          <cell r="C10">
            <v>41761</v>
          </cell>
        </row>
        <row r="11">
          <cell r="C11">
            <v>101</v>
          </cell>
        </row>
        <row r="12">
          <cell r="C12" t="str">
            <v>03-001</v>
          </cell>
        </row>
        <row r="13">
          <cell r="C13" t="str">
            <v>1-040</v>
          </cell>
        </row>
        <row r="14">
          <cell r="C14" t="str">
            <v>REG</v>
          </cell>
        </row>
        <row r="15">
          <cell r="C15">
            <v>0.33333333333333331</v>
          </cell>
        </row>
        <row r="16">
          <cell r="C16">
            <v>0.70833333333333337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ache"/>
      <sheetName val="OfficeConnectorImport"/>
    </sheetNames>
    <definedNames>
      <definedName name="TSImport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emplate (8)"/>
      <sheetName val="Certified Codes"/>
      <sheetName val="Employees"/>
      <sheetName val="Job List"/>
      <sheetName val="Job Details"/>
      <sheetName val="Master Template (10)"/>
      <sheetName val="Stewart"/>
      <sheetName val="Irzyk"/>
      <sheetName val="Tenney"/>
      <sheetName val="Edwards"/>
      <sheetName val="Wirth"/>
      <sheetName val="Ogden"/>
      <sheetName val="Valencia"/>
      <sheetName val="Johnson, B"/>
      <sheetName val="Erickson"/>
      <sheetName val="Norcutt"/>
      <sheetName val="Noel"/>
      <sheetName val="Kemper"/>
      <sheetName val="ColumnLists"/>
    </sheetNames>
    <sheetDataSet>
      <sheetData sheetId="0"/>
      <sheetData sheetId="1"/>
      <sheetData sheetId="2">
        <row r="1">
          <cell r="B1" t="str">
            <v>Employees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1037</v>
          </cell>
          <cell r="C4" t="str">
            <v>Abundis; Juan</v>
          </cell>
          <cell r="D4" t="str">
            <v>1C</v>
          </cell>
          <cell r="E4" t="str">
            <v>IBEWOUT</v>
          </cell>
          <cell r="F4" t="str">
            <v>1245</v>
          </cell>
          <cell r="G4" t="str">
            <v>14</v>
          </cell>
          <cell r="H4">
            <v>0</v>
          </cell>
        </row>
        <row r="5">
          <cell r="B5">
            <v>1038</v>
          </cell>
          <cell r="C5" t="str">
            <v>Aguilar; Juan A.</v>
          </cell>
          <cell r="D5" t="str">
            <v>1</v>
          </cell>
          <cell r="E5" t="str">
            <v/>
          </cell>
          <cell r="F5" t="str">
            <v/>
          </cell>
          <cell r="G5" t="str">
            <v/>
          </cell>
          <cell r="H5">
            <v>1</v>
          </cell>
        </row>
        <row r="6">
          <cell r="B6">
            <v>1046</v>
          </cell>
          <cell r="C6" t="str">
            <v>Alcala Jr.; Juan Antonio</v>
          </cell>
          <cell r="D6" t="str">
            <v>1C</v>
          </cell>
          <cell r="E6" t="str">
            <v>IBEWOUT</v>
          </cell>
          <cell r="F6" t="str">
            <v>47</v>
          </cell>
          <cell r="G6" t="str">
            <v>7</v>
          </cell>
          <cell r="H6">
            <v>0</v>
          </cell>
        </row>
        <row r="7">
          <cell r="B7">
            <v>1051</v>
          </cell>
          <cell r="C7" t="str">
            <v>Adams; Robert</v>
          </cell>
          <cell r="D7" t="str">
            <v>1C</v>
          </cell>
          <cell r="E7" t="str">
            <v>IBEWOUT</v>
          </cell>
          <cell r="F7" t="str">
            <v>1319</v>
          </cell>
          <cell r="G7" t="str">
            <v>8</v>
          </cell>
          <cell r="H7">
            <v>0</v>
          </cell>
        </row>
        <row r="8">
          <cell r="B8">
            <v>1053</v>
          </cell>
          <cell r="C8" t="str">
            <v>Adams; Thomas R.</v>
          </cell>
          <cell r="D8" t="str">
            <v>1</v>
          </cell>
          <cell r="E8" t="str">
            <v>IBEWOUT</v>
          </cell>
          <cell r="F8" t="str">
            <v>602R</v>
          </cell>
          <cell r="G8" t="str">
            <v>18</v>
          </cell>
          <cell r="H8">
            <v>0</v>
          </cell>
        </row>
        <row r="9">
          <cell r="B9">
            <v>1056</v>
          </cell>
          <cell r="C9" t="str">
            <v>Ewanchew; John F.</v>
          </cell>
          <cell r="D9" t="str">
            <v>1C</v>
          </cell>
          <cell r="E9" t="str">
            <v>IBEWOUT</v>
          </cell>
          <cell r="F9" t="str">
            <v>396</v>
          </cell>
          <cell r="G9" t="str">
            <v>8</v>
          </cell>
          <cell r="H9">
            <v>0</v>
          </cell>
        </row>
        <row r="10">
          <cell r="B10">
            <v>1061</v>
          </cell>
          <cell r="C10" t="str">
            <v>Alday; Caleb T.</v>
          </cell>
          <cell r="D10" t="str">
            <v>1C</v>
          </cell>
          <cell r="E10" t="str">
            <v>IBEWOUT</v>
          </cell>
          <cell r="F10" t="str">
            <v>1245</v>
          </cell>
          <cell r="G10" t="str">
            <v>8</v>
          </cell>
          <cell r="H10">
            <v>0</v>
          </cell>
        </row>
        <row r="11">
          <cell r="B11">
            <v>1063</v>
          </cell>
          <cell r="C11" t="str">
            <v>Alderete; Martin M.</v>
          </cell>
          <cell r="D11" t="str">
            <v>1C</v>
          </cell>
          <cell r="E11" t="str">
            <v>IBEWOUT</v>
          </cell>
          <cell r="F11" t="str">
            <v>611</v>
          </cell>
          <cell r="G11" t="str">
            <v>16</v>
          </cell>
          <cell r="H11">
            <v>0</v>
          </cell>
        </row>
        <row r="12">
          <cell r="B12">
            <v>1083</v>
          </cell>
          <cell r="C12" t="str">
            <v>Allinger; Ricky Ray</v>
          </cell>
          <cell r="D12" t="str">
            <v>1</v>
          </cell>
          <cell r="E12" t="str">
            <v>IBEWOUT</v>
          </cell>
          <cell r="F12" t="str">
            <v>125</v>
          </cell>
          <cell r="G12" t="str">
            <v>17</v>
          </cell>
          <cell r="H12">
            <v>0</v>
          </cell>
        </row>
        <row r="13">
          <cell r="B13">
            <v>1085</v>
          </cell>
          <cell r="C13" t="str">
            <v>Almendarez; Raymond K</v>
          </cell>
          <cell r="D13" t="str">
            <v>1C</v>
          </cell>
          <cell r="E13" t="str">
            <v>IBEWOUT</v>
          </cell>
          <cell r="F13" t="str">
            <v>1245</v>
          </cell>
          <cell r="G13" t="str">
            <v>8</v>
          </cell>
          <cell r="H13">
            <v>0</v>
          </cell>
        </row>
        <row r="14">
          <cell r="B14">
            <v>1103</v>
          </cell>
          <cell r="C14" t="str">
            <v>Allen; Corey L.</v>
          </cell>
          <cell r="D14" t="str">
            <v>1C</v>
          </cell>
          <cell r="E14" t="str">
            <v>IBEWOUT</v>
          </cell>
          <cell r="F14" t="str">
            <v>1245</v>
          </cell>
          <cell r="G14" t="str">
            <v>7</v>
          </cell>
          <cell r="H14">
            <v>0</v>
          </cell>
        </row>
        <row r="15">
          <cell r="B15">
            <v>1108</v>
          </cell>
          <cell r="C15" t="str">
            <v>Arehart; Joshua D.</v>
          </cell>
          <cell r="D15" t="str">
            <v>1C</v>
          </cell>
          <cell r="E15" t="str">
            <v>IBEWOUT</v>
          </cell>
          <cell r="F15" t="str">
            <v>125</v>
          </cell>
          <cell r="G15" t="str">
            <v>7</v>
          </cell>
          <cell r="H15">
            <v>0</v>
          </cell>
        </row>
        <row r="16">
          <cell r="B16">
            <v>1109</v>
          </cell>
          <cell r="C16" t="str">
            <v>Atayde; Manuel</v>
          </cell>
          <cell r="D16" t="str">
            <v>1C</v>
          </cell>
          <cell r="E16" t="str">
            <v>IBEWOUT</v>
          </cell>
          <cell r="F16" t="str">
            <v>769</v>
          </cell>
          <cell r="G16" t="str">
            <v>22</v>
          </cell>
          <cell r="H16">
            <v>0</v>
          </cell>
        </row>
        <row r="17">
          <cell r="B17">
            <v>1110</v>
          </cell>
          <cell r="C17" t="str">
            <v>Al-Raies; Sam</v>
          </cell>
          <cell r="D17" t="str">
            <v>1C</v>
          </cell>
          <cell r="E17" t="str">
            <v>IBEWOUT</v>
          </cell>
          <cell r="F17" t="str">
            <v>47</v>
          </cell>
          <cell r="G17" t="str">
            <v>60</v>
          </cell>
          <cell r="H17">
            <v>0</v>
          </cell>
        </row>
        <row r="18">
          <cell r="B18">
            <v>1111</v>
          </cell>
          <cell r="C18" t="str">
            <v>Atchison; Jason E.</v>
          </cell>
          <cell r="D18" t="str">
            <v>1C</v>
          </cell>
          <cell r="E18" t="str">
            <v>IBEWOUT</v>
          </cell>
          <cell r="F18" t="str">
            <v>769</v>
          </cell>
          <cell r="G18" t="str">
            <v>8</v>
          </cell>
          <cell r="H18">
            <v>0</v>
          </cell>
        </row>
        <row r="19">
          <cell r="B19">
            <v>1114</v>
          </cell>
          <cell r="C19" t="str">
            <v>Archuleta Jr.; Felix</v>
          </cell>
          <cell r="D19" t="str">
            <v>1C</v>
          </cell>
          <cell r="E19" t="str">
            <v>IBEWOUT</v>
          </cell>
          <cell r="F19" t="str">
            <v>611</v>
          </cell>
          <cell r="G19" t="str">
            <v>10</v>
          </cell>
          <cell r="H19">
            <v>0</v>
          </cell>
        </row>
        <row r="20">
          <cell r="B20">
            <v>1115</v>
          </cell>
          <cell r="C20" t="str">
            <v>Archuleta; Louis A.</v>
          </cell>
          <cell r="D20" t="str">
            <v>1C</v>
          </cell>
          <cell r="E20" t="str">
            <v>IBEWOUT</v>
          </cell>
          <cell r="F20" t="str">
            <v>1245</v>
          </cell>
          <cell r="G20" t="str">
            <v>17</v>
          </cell>
          <cell r="H20">
            <v>0</v>
          </cell>
        </row>
        <row r="21">
          <cell r="B21">
            <v>1130</v>
          </cell>
          <cell r="C21" t="str">
            <v>Allred; Shane M.</v>
          </cell>
          <cell r="D21" t="str">
            <v>1C</v>
          </cell>
          <cell r="E21" t="str">
            <v>IBEWOUT</v>
          </cell>
          <cell r="F21" t="str">
            <v>1245</v>
          </cell>
          <cell r="G21" t="str">
            <v>8</v>
          </cell>
          <cell r="H21">
            <v>0</v>
          </cell>
        </row>
        <row r="22">
          <cell r="B22">
            <v>1180</v>
          </cell>
          <cell r="C22" t="str">
            <v>Atayde; Dimas</v>
          </cell>
          <cell r="D22" t="str">
            <v>1C</v>
          </cell>
          <cell r="E22" t="str">
            <v>IBEWOUT</v>
          </cell>
          <cell r="F22" t="str">
            <v>769</v>
          </cell>
          <cell r="G22" t="str">
            <v>22</v>
          </cell>
          <cell r="H22">
            <v>0</v>
          </cell>
        </row>
        <row r="23">
          <cell r="B23">
            <v>1192</v>
          </cell>
          <cell r="C23" t="str">
            <v>Andersen; David Mitch</v>
          </cell>
          <cell r="D23" t="str">
            <v>1</v>
          </cell>
          <cell r="E23" t="str">
            <v/>
          </cell>
          <cell r="F23" t="str">
            <v/>
          </cell>
          <cell r="G23" t="str">
            <v/>
          </cell>
          <cell r="H23">
            <v>0</v>
          </cell>
        </row>
        <row r="24">
          <cell r="B24">
            <v>1193</v>
          </cell>
          <cell r="C24" t="str">
            <v>Arredondo; Juan V</v>
          </cell>
          <cell r="D24" t="str">
            <v>1C</v>
          </cell>
          <cell r="E24" t="str">
            <v>IBEWOUT</v>
          </cell>
          <cell r="F24" t="str">
            <v>769</v>
          </cell>
          <cell r="G24" t="str">
            <v>8</v>
          </cell>
          <cell r="H24">
            <v>0</v>
          </cell>
        </row>
        <row r="25">
          <cell r="B25">
            <v>1194</v>
          </cell>
          <cell r="C25" t="str">
            <v>Arreola; George</v>
          </cell>
          <cell r="D25" t="str">
            <v>1C</v>
          </cell>
          <cell r="E25" t="str">
            <v>IBEWOUT</v>
          </cell>
          <cell r="F25" t="str">
            <v>47</v>
          </cell>
          <cell r="G25" t="str">
            <v>17</v>
          </cell>
          <cell r="H25">
            <v>0</v>
          </cell>
        </row>
        <row r="26">
          <cell r="B26">
            <v>1202</v>
          </cell>
          <cell r="C26" t="str">
            <v>Anderson; Chad M.</v>
          </cell>
          <cell r="D26" t="str">
            <v>1C</v>
          </cell>
          <cell r="E26" t="str">
            <v/>
          </cell>
          <cell r="F26" t="str">
            <v/>
          </cell>
          <cell r="G26" t="str">
            <v/>
          </cell>
          <cell r="H26">
            <v>1</v>
          </cell>
        </row>
        <row r="27">
          <cell r="B27">
            <v>1203</v>
          </cell>
          <cell r="C27" t="str">
            <v>Anderson; Clyde M.</v>
          </cell>
          <cell r="D27" t="str">
            <v>1</v>
          </cell>
          <cell r="E27" t="str">
            <v/>
          </cell>
          <cell r="F27" t="str">
            <v/>
          </cell>
          <cell r="G27" t="str">
            <v/>
          </cell>
          <cell r="H27">
            <v>1</v>
          </cell>
        </row>
        <row r="28">
          <cell r="B28">
            <v>1222</v>
          </cell>
          <cell r="C28" t="str">
            <v>Angel; Marshall Glenn</v>
          </cell>
          <cell r="D28" t="str">
            <v>1</v>
          </cell>
          <cell r="E28" t="str">
            <v/>
          </cell>
          <cell r="F28" t="str">
            <v/>
          </cell>
          <cell r="G28" t="str">
            <v/>
          </cell>
          <cell r="H28">
            <v>1</v>
          </cell>
        </row>
        <row r="29">
          <cell r="B29">
            <v>1232</v>
          </cell>
          <cell r="C29" t="str">
            <v>Apperson; Todd J</v>
          </cell>
          <cell r="D29" t="str">
            <v>1C</v>
          </cell>
          <cell r="E29" t="str">
            <v>IBEWIN</v>
          </cell>
          <cell r="F29" t="str">
            <v>280</v>
          </cell>
          <cell r="G29" t="str">
            <v>62</v>
          </cell>
          <cell r="H29">
            <v>0</v>
          </cell>
        </row>
        <row r="30">
          <cell r="B30">
            <v>1234</v>
          </cell>
          <cell r="C30" t="str">
            <v>Andrews; Riston B.</v>
          </cell>
          <cell r="D30" t="str">
            <v>1C</v>
          </cell>
          <cell r="E30" t="str">
            <v>IBEWOUT</v>
          </cell>
          <cell r="F30" t="str">
            <v>125</v>
          </cell>
          <cell r="G30" t="str">
            <v>17</v>
          </cell>
          <cell r="H30">
            <v>0</v>
          </cell>
        </row>
        <row r="31">
          <cell r="B31">
            <v>1236</v>
          </cell>
          <cell r="C31" t="str">
            <v>Anderson; James N</v>
          </cell>
          <cell r="D31" t="str">
            <v>1C</v>
          </cell>
          <cell r="E31" t="str">
            <v>IBEWOUT</v>
          </cell>
          <cell r="F31" t="str">
            <v>1245</v>
          </cell>
          <cell r="G31" t="str">
            <v>17</v>
          </cell>
          <cell r="H31">
            <v>0</v>
          </cell>
        </row>
        <row r="32">
          <cell r="B32">
            <v>1238</v>
          </cell>
          <cell r="C32" t="str">
            <v>Anderson; Trenton L.</v>
          </cell>
          <cell r="D32" t="str">
            <v>1C</v>
          </cell>
          <cell r="E32" t="str">
            <v>IBEWOUT</v>
          </cell>
          <cell r="F32" t="str">
            <v>47</v>
          </cell>
          <cell r="G32" t="str">
            <v>8</v>
          </cell>
          <cell r="H32">
            <v>0</v>
          </cell>
        </row>
        <row r="33">
          <cell r="B33">
            <v>1240</v>
          </cell>
          <cell r="C33" t="str">
            <v>Anderson; Max C</v>
          </cell>
          <cell r="D33" t="str">
            <v>1</v>
          </cell>
          <cell r="E33" t="str">
            <v>IBEWOUT</v>
          </cell>
          <cell r="F33" t="str">
            <v>77</v>
          </cell>
          <cell r="G33" t="str">
            <v>8</v>
          </cell>
          <cell r="H33">
            <v>0</v>
          </cell>
        </row>
        <row r="34">
          <cell r="B34">
            <v>1241</v>
          </cell>
          <cell r="C34" t="str">
            <v>Anderson; Michael L.</v>
          </cell>
          <cell r="D34" t="str">
            <v>1C</v>
          </cell>
          <cell r="E34" t="str">
            <v>IBEWOUT</v>
          </cell>
          <cell r="F34" t="str">
            <v>1245</v>
          </cell>
          <cell r="G34" t="str">
            <v>10</v>
          </cell>
          <cell r="H34">
            <v>0</v>
          </cell>
        </row>
        <row r="35">
          <cell r="B35">
            <v>1242</v>
          </cell>
          <cell r="C35" t="str">
            <v>Andrew; Lucas D.</v>
          </cell>
          <cell r="D35" t="str">
            <v>1</v>
          </cell>
          <cell r="E35" t="str">
            <v>IBEWOUT</v>
          </cell>
          <cell r="F35" t="str">
            <v>77</v>
          </cell>
          <cell r="G35" t="str">
            <v>7</v>
          </cell>
          <cell r="H35">
            <v>0</v>
          </cell>
        </row>
        <row r="36">
          <cell r="B36">
            <v>1245</v>
          </cell>
          <cell r="C36" t="str">
            <v>Arnold; Dylan M</v>
          </cell>
          <cell r="D36" t="str">
            <v>1C</v>
          </cell>
          <cell r="E36" t="str">
            <v>IBEWOUT</v>
          </cell>
          <cell r="F36" t="str">
            <v>77</v>
          </cell>
          <cell r="G36" t="str">
            <v>8</v>
          </cell>
          <cell r="H36">
            <v>0</v>
          </cell>
        </row>
        <row r="37">
          <cell r="B37">
            <v>1256</v>
          </cell>
          <cell r="C37" t="str">
            <v>Atencio; Aaron B</v>
          </cell>
          <cell r="D37" t="str">
            <v>1C</v>
          </cell>
          <cell r="E37" t="str">
            <v>IBEWOUT</v>
          </cell>
          <cell r="F37" t="str">
            <v>611</v>
          </cell>
          <cell r="G37" t="str">
            <v>8</v>
          </cell>
          <cell r="H37">
            <v>0</v>
          </cell>
        </row>
        <row r="38">
          <cell r="B38">
            <v>1260</v>
          </cell>
          <cell r="C38" t="str">
            <v>Austin; Berton R.</v>
          </cell>
          <cell r="D38" t="str">
            <v>1C</v>
          </cell>
          <cell r="E38" t="str">
            <v/>
          </cell>
          <cell r="F38" t="str">
            <v/>
          </cell>
          <cell r="G38" t="str">
            <v/>
          </cell>
          <cell r="H38">
            <v>1</v>
          </cell>
        </row>
        <row r="39">
          <cell r="B39">
            <v>1261</v>
          </cell>
          <cell r="C39" t="str">
            <v>Auzston; Russell E</v>
          </cell>
          <cell r="D39" t="str">
            <v>1C</v>
          </cell>
          <cell r="E39" t="str">
            <v>IBEWOUT</v>
          </cell>
          <cell r="F39" t="str">
            <v>47</v>
          </cell>
          <cell r="G39" t="str">
            <v>8</v>
          </cell>
          <cell r="H39">
            <v>0</v>
          </cell>
        </row>
        <row r="40">
          <cell r="B40">
            <v>1270</v>
          </cell>
          <cell r="C40" t="str">
            <v>Ayers; Christopher S</v>
          </cell>
          <cell r="D40" t="str">
            <v>1C</v>
          </cell>
          <cell r="E40" t="str">
            <v>IBEWOUT</v>
          </cell>
          <cell r="F40" t="str">
            <v>769</v>
          </cell>
          <cell r="G40" t="str">
            <v>22</v>
          </cell>
          <cell r="H40">
            <v>0</v>
          </cell>
        </row>
        <row r="41">
          <cell r="B41">
            <v>1275</v>
          </cell>
          <cell r="C41" t="str">
            <v>Avery; Bella</v>
          </cell>
          <cell r="D41" t="str">
            <v>1C</v>
          </cell>
          <cell r="E41" t="str">
            <v/>
          </cell>
          <cell r="F41" t="str">
            <v/>
          </cell>
          <cell r="G41" t="str">
            <v/>
          </cell>
          <cell r="H41">
            <v>0</v>
          </cell>
        </row>
        <row r="42">
          <cell r="B42">
            <v>1283</v>
          </cell>
          <cell r="C42" t="str">
            <v>Avelar Palacios; Moises</v>
          </cell>
          <cell r="D42" t="str">
            <v>1C</v>
          </cell>
          <cell r="E42" t="str">
            <v>IBEWOUT</v>
          </cell>
          <cell r="F42" t="str">
            <v>1245</v>
          </cell>
          <cell r="G42" t="str">
            <v>11</v>
          </cell>
          <cell r="H42">
            <v>0</v>
          </cell>
        </row>
        <row r="43">
          <cell r="B43">
            <v>1285</v>
          </cell>
          <cell r="C43" t="str">
            <v>Awong; Kiekie</v>
          </cell>
          <cell r="D43" t="str">
            <v>1</v>
          </cell>
          <cell r="E43" t="str">
            <v>IBEWOUT</v>
          </cell>
          <cell r="F43" t="str">
            <v>1245</v>
          </cell>
          <cell r="G43" t="str">
            <v>7</v>
          </cell>
          <cell r="H43">
            <v>0</v>
          </cell>
        </row>
        <row r="44">
          <cell r="B44">
            <v>1335</v>
          </cell>
          <cell r="C44" t="str">
            <v>Badalamente; Joseph A</v>
          </cell>
          <cell r="D44" t="str">
            <v>1C</v>
          </cell>
          <cell r="E44" t="str">
            <v>IBEWOUT</v>
          </cell>
          <cell r="F44" t="str">
            <v>1049</v>
          </cell>
          <cell r="G44" t="str">
            <v>15</v>
          </cell>
          <cell r="H44">
            <v>0</v>
          </cell>
        </row>
        <row r="45">
          <cell r="B45">
            <v>1338</v>
          </cell>
          <cell r="C45" t="str">
            <v>Bair; Ronald</v>
          </cell>
          <cell r="D45" t="str">
            <v>1</v>
          </cell>
          <cell r="E45" t="str">
            <v/>
          </cell>
          <cell r="F45" t="str">
            <v/>
          </cell>
          <cell r="G45" t="str">
            <v/>
          </cell>
          <cell r="H45">
            <v>0</v>
          </cell>
        </row>
        <row r="46">
          <cell r="B46">
            <v>1353</v>
          </cell>
          <cell r="C46" t="str">
            <v>Bannister Jr; Kenneth W</v>
          </cell>
          <cell r="D46" t="str">
            <v>1C</v>
          </cell>
          <cell r="E46" t="str">
            <v>IBEWOUT</v>
          </cell>
          <cell r="F46" t="str">
            <v>1245</v>
          </cell>
          <cell r="G46" t="str">
            <v>7</v>
          </cell>
          <cell r="H46">
            <v>0</v>
          </cell>
        </row>
        <row r="47">
          <cell r="B47">
            <v>1356</v>
          </cell>
          <cell r="C47" t="str">
            <v>Baisden; Isaiah D.</v>
          </cell>
          <cell r="D47" t="str">
            <v>1C</v>
          </cell>
          <cell r="E47" t="str">
            <v>IBEWOUT</v>
          </cell>
          <cell r="F47" t="str">
            <v>1049</v>
          </cell>
          <cell r="G47" t="str">
            <v>8</v>
          </cell>
          <cell r="H47">
            <v>0</v>
          </cell>
        </row>
        <row r="48">
          <cell r="B48">
            <v>1357</v>
          </cell>
          <cell r="C48" t="str">
            <v>Baldassano; Jay V</v>
          </cell>
          <cell r="D48" t="str">
            <v>1</v>
          </cell>
          <cell r="E48" t="str">
            <v>IBEWOUT</v>
          </cell>
          <cell r="F48" t="str">
            <v>1319</v>
          </cell>
          <cell r="G48" t="str">
            <v>8</v>
          </cell>
          <cell r="H48">
            <v>0</v>
          </cell>
        </row>
        <row r="49">
          <cell r="B49">
            <v>1358</v>
          </cell>
          <cell r="C49" t="str">
            <v>Baldovino; Ernest Dion</v>
          </cell>
          <cell r="D49" t="str">
            <v>1C</v>
          </cell>
          <cell r="E49" t="str">
            <v>IBEWOUT</v>
          </cell>
          <cell r="F49" t="str">
            <v>1049</v>
          </cell>
          <cell r="G49" t="str">
            <v>8</v>
          </cell>
          <cell r="H49">
            <v>0</v>
          </cell>
        </row>
        <row r="50">
          <cell r="B50">
            <v>1360</v>
          </cell>
          <cell r="C50" t="str">
            <v>Bannon; Richard Lloyd</v>
          </cell>
          <cell r="D50" t="str">
            <v>1</v>
          </cell>
          <cell r="E50" t="str">
            <v>IBEWOUT</v>
          </cell>
          <cell r="F50" t="str">
            <v>77</v>
          </cell>
          <cell r="G50" t="str">
            <v>7</v>
          </cell>
          <cell r="H50">
            <v>0</v>
          </cell>
        </row>
        <row r="51">
          <cell r="B51">
            <v>1361</v>
          </cell>
          <cell r="C51" t="str">
            <v>Bailey; Michael J</v>
          </cell>
          <cell r="D51" t="str">
            <v>1C</v>
          </cell>
          <cell r="E51" t="str">
            <v>IBEWOUT</v>
          </cell>
          <cell r="F51" t="str">
            <v>483</v>
          </cell>
          <cell r="G51" t="str">
            <v>8</v>
          </cell>
          <cell r="H51">
            <v>0</v>
          </cell>
        </row>
        <row r="52">
          <cell r="B52">
            <v>1362</v>
          </cell>
          <cell r="C52" t="str">
            <v>Bade; Andrew Ross</v>
          </cell>
          <cell r="D52" t="str">
            <v>1</v>
          </cell>
          <cell r="E52" t="str">
            <v/>
          </cell>
          <cell r="F52" t="str">
            <v/>
          </cell>
          <cell r="G52" t="str">
            <v/>
          </cell>
          <cell r="H52">
            <v>1</v>
          </cell>
        </row>
        <row r="53">
          <cell r="B53">
            <v>1365</v>
          </cell>
          <cell r="C53" t="str">
            <v>Bagwell; Douglas W.</v>
          </cell>
          <cell r="D53" t="str">
            <v>1</v>
          </cell>
          <cell r="E53" t="str">
            <v>IBEWOUT</v>
          </cell>
          <cell r="F53" t="str">
            <v>611</v>
          </cell>
          <cell r="G53" t="str">
            <v>16</v>
          </cell>
          <cell r="H53">
            <v>0</v>
          </cell>
        </row>
        <row r="54">
          <cell r="B54">
            <v>1369</v>
          </cell>
          <cell r="C54" t="str">
            <v>Bakkie; Christopher R</v>
          </cell>
          <cell r="D54" t="str">
            <v>1C</v>
          </cell>
          <cell r="E54" t="str">
            <v>IBEWOUT</v>
          </cell>
          <cell r="F54" t="str">
            <v>1245</v>
          </cell>
          <cell r="G54" t="str">
            <v>17</v>
          </cell>
          <cell r="H54">
            <v>0</v>
          </cell>
        </row>
        <row r="55">
          <cell r="B55">
            <v>1482</v>
          </cell>
          <cell r="C55" t="str">
            <v>Barcena; Oscar</v>
          </cell>
          <cell r="D55" t="str">
            <v>1C</v>
          </cell>
          <cell r="E55" t="str">
            <v>IBEWOUT</v>
          </cell>
          <cell r="F55" t="str">
            <v>47</v>
          </cell>
          <cell r="G55" t="str">
            <v>17</v>
          </cell>
          <cell r="H55">
            <v>0</v>
          </cell>
        </row>
        <row r="56">
          <cell r="B56">
            <v>1485</v>
          </cell>
          <cell r="C56" t="str">
            <v>Barker; Kyle D.</v>
          </cell>
          <cell r="D56" t="str">
            <v>1C</v>
          </cell>
          <cell r="E56" t="str">
            <v>IBEWOUT</v>
          </cell>
          <cell r="F56" t="str">
            <v>77</v>
          </cell>
          <cell r="G56" t="str">
            <v>12</v>
          </cell>
          <cell r="H56">
            <v>0</v>
          </cell>
        </row>
        <row r="57">
          <cell r="B57">
            <v>1490</v>
          </cell>
          <cell r="C57" t="str">
            <v>Barlow; Gary L</v>
          </cell>
          <cell r="D57" t="str">
            <v>1C</v>
          </cell>
          <cell r="E57" t="str">
            <v>IBEWOUT</v>
          </cell>
          <cell r="F57" t="str">
            <v>47</v>
          </cell>
          <cell r="G57" t="str">
            <v>17</v>
          </cell>
          <cell r="H57">
            <v>0</v>
          </cell>
        </row>
        <row r="58">
          <cell r="B58">
            <v>1491</v>
          </cell>
          <cell r="C58" t="str">
            <v>Barnard; Matthew W.</v>
          </cell>
          <cell r="D58" t="str">
            <v>1C</v>
          </cell>
          <cell r="E58" t="str">
            <v>IBEWOUT</v>
          </cell>
          <cell r="F58" t="str">
            <v>769</v>
          </cell>
          <cell r="G58" t="str">
            <v>8</v>
          </cell>
          <cell r="H58">
            <v>0</v>
          </cell>
        </row>
        <row r="59">
          <cell r="B59">
            <v>1506</v>
          </cell>
          <cell r="C59" t="str">
            <v>Barnes; Rodney</v>
          </cell>
          <cell r="D59" t="str">
            <v>1C</v>
          </cell>
          <cell r="E59" t="str">
            <v>IBEWOUT</v>
          </cell>
          <cell r="F59" t="str">
            <v>47</v>
          </cell>
          <cell r="G59" t="str">
            <v>8</v>
          </cell>
          <cell r="H59">
            <v>0</v>
          </cell>
        </row>
        <row r="60">
          <cell r="B60">
            <v>1527</v>
          </cell>
          <cell r="C60" t="str">
            <v>Bash; Troy S.</v>
          </cell>
          <cell r="D60" t="str">
            <v>1C</v>
          </cell>
          <cell r="E60" t="str">
            <v>IBEWOUT</v>
          </cell>
          <cell r="F60" t="str">
            <v>769</v>
          </cell>
          <cell r="G60" t="str">
            <v>14</v>
          </cell>
          <cell r="H60">
            <v>0</v>
          </cell>
        </row>
        <row r="61">
          <cell r="B61">
            <v>1530</v>
          </cell>
          <cell r="C61" t="str">
            <v>Basham; Geoffery K</v>
          </cell>
          <cell r="D61" t="str">
            <v>1</v>
          </cell>
          <cell r="E61" t="str">
            <v>IBEWOUT</v>
          </cell>
          <cell r="F61" t="str">
            <v>602R</v>
          </cell>
          <cell r="G61" t="str">
            <v>18</v>
          </cell>
          <cell r="H61">
            <v>0</v>
          </cell>
        </row>
        <row r="62">
          <cell r="B62">
            <v>1532</v>
          </cell>
          <cell r="C62" t="str">
            <v>Battise; Nikolas T</v>
          </cell>
          <cell r="D62" t="str">
            <v>1C</v>
          </cell>
          <cell r="E62" t="str">
            <v>IBEWOUT</v>
          </cell>
          <cell r="F62" t="str">
            <v>47</v>
          </cell>
          <cell r="G62" t="str">
            <v>8</v>
          </cell>
          <cell r="H62">
            <v>0</v>
          </cell>
        </row>
        <row r="63">
          <cell r="B63">
            <v>1556</v>
          </cell>
          <cell r="C63" t="str">
            <v>Bednar; Shannon Michael</v>
          </cell>
          <cell r="D63" t="str">
            <v>1C</v>
          </cell>
          <cell r="E63" t="str">
            <v>IBEWOUT</v>
          </cell>
          <cell r="F63" t="str">
            <v>1245</v>
          </cell>
          <cell r="G63" t="str">
            <v>8</v>
          </cell>
          <cell r="H63">
            <v>0</v>
          </cell>
        </row>
        <row r="64">
          <cell r="B64">
            <v>1565</v>
          </cell>
          <cell r="C64" t="str">
            <v>Begaye; Donald</v>
          </cell>
          <cell r="D64" t="str">
            <v>1C</v>
          </cell>
          <cell r="E64" t="str">
            <v>IBEWOUT</v>
          </cell>
          <cell r="F64" t="str">
            <v>769</v>
          </cell>
          <cell r="G64" t="str">
            <v>8</v>
          </cell>
          <cell r="H64">
            <v>0</v>
          </cell>
        </row>
        <row r="65">
          <cell r="B65">
            <v>1572</v>
          </cell>
          <cell r="C65" t="str">
            <v>Belcher; Jeffrey James</v>
          </cell>
          <cell r="D65" t="str">
            <v>1C</v>
          </cell>
          <cell r="E65" t="str">
            <v>IBEWOUT</v>
          </cell>
          <cell r="F65" t="str">
            <v>47</v>
          </cell>
          <cell r="G65" t="str">
            <v>8</v>
          </cell>
          <cell r="H65">
            <v>0</v>
          </cell>
        </row>
        <row r="66">
          <cell r="B66">
            <v>1574</v>
          </cell>
          <cell r="C66" t="str">
            <v>Beach; Dale D.</v>
          </cell>
          <cell r="D66" t="str">
            <v>1</v>
          </cell>
          <cell r="E66" t="str">
            <v>IBEWOUT</v>
          </cell>
          <cell r="F66" t="str">
            <v>77</v>
          </cell>
          <cell r="G66" t="str">
            <v>7</v>
          </cell>
          <cell r="H66">
            <v>0</v>
          </cell>
        </row>
        <row r="67">
          <cell r="B67">
            <v>1578</v>
          </cell>
          <cell r="C67" t="str">
            <v>Bell; Chester John</v>
          </cell>
          <cell r="D67" t="str">
            <v>1</v>
          </cell>
          <cell r="E67" t="str">
            <v>IBEWOUT</v>
          </cell>
          <cell r="F67" t="str">
            <v>1245</v>
          </cell>
          <cell r="G67" t="str">
            <v>1</v>
          </cell>
          <cell r="H67">
            <v>0</v>
          </cell>
        </row>
        <row r="68">
          <cell r="B68">
            <v>1580</v>
          </cell>
          <cell r="C68" t="str">
            <v>Bell; Edward Douglas</v>
          </cell>
          <cell r="D68" t="str">
            <v>1C</v>
          </cell>
          <cell r="E68" t="str">
            <v>IBEWOUT</v>
          </cell>
          <cell r="F68" t="str">
            <v>1245</v>
          </cell>
          <cell r="G68" t="str">
            <v>8</v>
          </cell>
          <cell r="H68">
            <v>0</v>
          </cell>
        </row>
        <row r="69">
          <cell r="B69">
            <v>1581</v>
          </cell>
          <cell r="C69" t="str">
            <v>Bedoy; Cody J</v>
          </cell>
          <cell r="D69" t="str">
            <v>1C</v>
          </cell>
          <cell r="E69" t="str">
            <v>IBEWOUT</v>
          </cell>
          <cell r="F69" t="str">
            <v>1245</v>
          </cell>
          <cell r="G69" t="str">
            <v>8</v>
          </cell>
          <cell r="H69">
            <v>0</v>
          </cell>
        </row>
        <row r="70">
          <cell r="B70">
            <v>1604</v>
          </cell>
          <cell r="C70" t="str">
            <v>Bojt; James E</v>
          </cell>
          <cell r="D70" t="str">
            <v>1C</v>
          </cell>
          <cell r="E70" t="str">
            <v>IBEWOUT</v>
          </cell>
          <cell r="F70" t="str">
            <v>126</v>
          </cell>
          <cell r="G70" t="str">
            <v>7S</v>
          </cell>
          <cell r="H70">
            <v>0</v>
          </cell>
        </row>
        <row r="71">
          <cell r="B71">
            <v>1606</v>
          </cell>
          <cell r="C71" t="str">
            <v>Bock; Nathan Philip</v>
          </cell>
          <cell r="D71" t="str">
            <v>1C</v>
          </cell>
          <cell r="E71" t="str">
            <v>IBEWOUT</v>
          </cell>
          <cell r="F71" t="str">
            <v>77</v>
          </cell>
          <cell r="G71" t="str">
            <v>8</v>
          </cell>
          <cell r="H71">
            <v>0</v>
          </cell>
        </row>
        <row r="72">
          <cell r="B72">
            <v>1608</v>
          </cell>
          <cell r="C72" t="str">
            <v>Boisvert; Harry A</v>
          </cell>
          <cell r="D72" t="str">
            <v>1</v>
          </cell>
          <cell r="E72" t="str">
            <v>IBEWOUT</v>
          </cell>
          <cell r="F72" t="str">
            <v>47</v>
          </cell>
          <cell r="G72" t="str">
            <v>14</v>
          </cell>
          <cell r="H72">
            <v>0</v>
          </cell>
        </row>
        <row r="73">
          <cell r="B73">
            <v>1610</v>
          </cell>
          <cell r="C73" t="str">
            <v>Belsterling; David J</v>
          </cell>
          <cell r="D73" t="str">
            <v>1C</v>
          </cell>
          <cell r="E73" t="str">
            <v>IBEWOUT</v>
          </cell>
          <cell r="F73" t="str">
            <v>126</v>
          </cell>
          <cell r="G73" t="str">
            <v>13</v>
          </cell>
          <cell r="H73">
            <v>0</v>
          </cell>
        </row>
        <row r="74">
          <cell r="B74">
            <v>1620</v>
          </cell>
          <cell r="C74" t="str">
            <v>Berg; Bryan W.</v>
          </cell>
          <cell r="D74" t="str">
            <v>1C</v>
          </cell>
          <cell r="E74" t="str">
            <v>IBEWOUT</v>
          </cell>
          <cell r="F74" t="str">
            <v>602R</v>
          </cell>
          <cell r="G74" t="str">
            <v>7</v>
          </cell>
          <cell r="H74">
            <v>0</v>
          </cell>
        </row>
        <row r="75">
          <cell r="B75">
            <v>1647</v>
          </cell>
          <cell r="C75" t="str">
            <v>Baxter; Olliver</v>
          </cell>
          <cell r="D75" t="str">
            <v>1C</v>
          </cell>
          <cell r="E75" t="str">
            <v/>
          </cell>
          <cell r="F75" t="str">
            <v/>
          </cell>
          <cell r="G75" t="str">
            <v/>
          </cell>
          <cell r="H75">
            <v>0</v>
          </cell>
        </row>
        <row r="76">
          <cell r="B76">
            <v>1650</v>
          </cell>
          <cell r="C76" t="str">
            <v>Bayless; Keegan Dale</v>
          </cell>
          <cell r="D76" t="str">
            <v>1C</v>
          </cell>
          <cell r="E76" t="str">
            <v>IBEWOUT</v>
          </cell>
          <cell r="F76" t="str">
            <v>769</v>
          </cell>
          <cell r="G76" t="str">
            <v>22</v>
          </cell>
          <cell r="H76">
            <v>0</v>
          </cell>
        </row>
        <row r="77">
          <cell r="B77">
            <v>1720</v>
          </cell>
          <cell r="C77" t="str">
            <v>Berry; Andrew C.</v>
          </cell>
          <cell r="D77" t="str">
            <v>1</v>
          </cell>
          <cell r="E77" t="str">
            <v>IBEWOUT</v>
          </cell>
          <cell r="F77" t="str">
            <v>125</v>
          </cell>
          <cell r="G77" t="str">
            <v>8</v>
          </cell>
          <cell r="H77">
            <v>0</v>
          </cell>
        </row>
        <row r="78">
          <cell r="B78">
            <v>1738</v>
          </cell>
          <cell r="C78" t="str">
            <v>Bereta Jr; Larry L</v>
          </cell>
          <cell r="D78" t="str">
            <v>1C</v>
          </cell>
          <cell r="E78" t="str">
            <v>IBEWOUT</v>
          </cell>
          <cell r="F78" t="str">
            <v>47</v>
          </cell>
          <cell r="G78" t="str">
            <v>8</v>
          </cell>
          <cell r="H78">
            <v>0</v>
          </cell>
        </row>
        <row r="79">
          <cell r="B79">
            <v>1739</v>
          </cell>
          <cell r="C79" t="str">
            <v>Berti; Richard John</v>
          </cell>
          <cell r="D79" t="str">
            <v>1</v>
          </cell>
          <cell r="E79" t="str">
            <v>IBEWOUT</v>
          </cell>
          <cell r="F79" t="str">
            <v>1319</v>
          </cell>
          <cell r="G79" t="str">
            <v>18</v>
          </cell>
          <cell r="H79">
            <v>0</v>
          </cell>
        </row>
        <row r="80">
          <cell r="B80">
            <v>1762</v>
          </cell>
          <cell r="C80" t="str">
            <v>Bielski; Filip A</v>
          </cell>
          <cell r="D80" t="str">
            <v>1</v>
          </cell>
          <cell r="E80" t="str">
            <v>IBEWOUT</v>
          </cell>
          <cell r="F80" t="str">
            <v>769</v>
          </cell>
          <cell r="G80" t="str">
            <v>9</v>
          </cell>
          <cell r="H80">
            <v>0</v>
          </cell>
        </row>
        <row r="81">
          <cell r="B81">
            <v>1769</v>
          </cell>
          <cell r="C81" t="str">
            <v>Bindel; Bruce A.</v>
          </cell>
          <cell r="D81" t="str">
            <v>1</v>
          </cell>
          <cell r="E81" t="str">
            <v>IBEWOUT</v>
          </cell>
          <cell r="F81" t="str">
            <v>1245</v>
          </cell>
          <cell r="G81" t="str">
            <v>17</v>
          </cell>
          <cell r="H81">
            <v>0</v>
          </cell>
        </row>
        <row r="82">
          <cell r="B82">
            <v>1774</v>
          </cell>
          <cell r="C82" t="str">
            <v>Bishop; Clark Bryant</v>
          </cell>
          <cell r="D82" t="str">
            <v>1C</v>
          </cell>
          <cell r="E82" t="str">
            <v>IBEWOUT</v>
          </cell>
          <cell r="F82" t="str">
            <v>1245</v>
          </cell>
          <cell r="G82" t="str">
            <v>8</v>
          </cell>
          <cell r="H82">
            <v>0</v>
          </cell>
        </row>
        <row r="83">
          <cell r="B83">
            <v>1778</v>
          </cell>
          <cell r="C83" t="str">
            <v>Bishop; Toby J.</v>
          </cell>
          <cell r="D83" t="str">
            <v>1C</v>
          </cell>
          <cell r="E83" t="str">
            <v>IBEWOUT</v>
          </cell>
          <cell r="F83" t="str">
            <v>396</v>
          </cell>
          <cell r="G83" t="str">
            <v>8</v>
          </cell>
          <cell r="H83">
            <v>0</v>
          </cell>
        </row>
        <row r="84">
          <cell r="B84">
            <v>1780</v>
          </cell>
          <cell r="C84" t="str">
            <v>Bischoff; Robert S</v>
          </cell>
          <cell r="D84" t="str">
            <v>1C</v>
          </cell>
          <cell r="E84" t="str">
            <v>IBEWOUT</v>
          </cell>
          <cell r="F84" t="str">
            <v>1319</v>
          </cell>
          <cell r="G84" t="str">
            <v>8</v>
          </cell>
          <cell r="H84">
            <v>0</v>
          </cell>
        </row>
        <row r="85">
          <cell r="B85">
            <v>1830</v>
          </cell>
          <cell r="C85" t="str">
            <v>Black; Jonathan Michael</v>
          </cell>
          <cell r="D85" t="str">
            <v>1</v>
          </cell>
          <cell r="E85" t="str">
            <v>IBEWOUT</v>
          </cell>
          <cell r="F85" t="str">
            <v>125</v>
          </cell>
          <cell r="G85" t="str">
            <v>8</v>
          </cell>
          <cell r="H85">
            <v>0</v>
          </cell>
        </row>
        <row r="86">
          <cell r="B86">
            <v>1831</v>
          </cell>
          <cell r="C86" t="str">
            <v>Black; Haven</v>
          </cell>
          <cell r="D86" t="str">
            <v>1C</v>
          </cell>
          <cell r="E86" t="str">
            <v>IBEWOUT</v>
          </cell>
          <cell r="F86" t="str">
            <v>47</v>
          </cell>
          <cell r="G86" t="str">
            <v>17</v>
          </cell>
          <cell r="H86">
            <v>0</v>
          </cell>
        </row>
        <row r="87">
          <cell r="B87">
            <v>1835</v>
          </cell>
          <cell r="C87" t="str">
            <v>Blacksheep; Darrell A.</v>
          </cell>
          <cell r="D87" t="str">
            <v>1C</v>
          </cell>
          <cell r="E87" t="str">
            <v>IBEWOUT</v>
          </cell>
          <cell r="F87" t="str">
            <v>769</v>
          </cell>
          <cell r="G87" t="str">
            <v>8</v>
          </cell>
          <cell r="H87">
            <v>0</v>
          </cell>
        </row>
        <row r="88">
          <cell r="B88">
            <v>1839</v>
          </cell>
          <cell r="C88" t="str">
            <v>Blagg; Michael L.</v>
          </cell>
          <cell r="D88" t="str">
            <v>1C</v>
          </cell>
          <cell r="E88" t="str">
            <v>IBEWOUT</v>
          </cell>
          <cell r="F88" t="str">
            <v>602R</v>
          </cell>
          <cell r="G88" t="str">
            <v>8</v>
          </cell>
          <cell r="H88">
            <v>0</v>
          </cell>
        </row>
        <row r="89">
          <cell r="B89">
            <v>1846</v>
          </cell>
          <cell r="C89" t="str">
            <v>Blalock; Michael R</v>
          </cell>
          <cell r="D89" t="str">
            <v>1C</v>
          </cell>
          <cell r="E89" t="str">
            <v>IBEWOUT</v>
          </cell>
          <cell r="F89" t="str">
            <v>611</v>
          </cell>
          <cell r="G89" t="str">
            <v>11</v>
          </cell>
          <cell r="H89">
            <v>0</v>
          </cell>
        </row>
        <row r="90">
          <cell r="B90">
            <v>1847</v>
          </cell>
          <cell r="C90" t="str">
            <v>Blanco; Alfonso J</v>
          </cell>
          <cell r="D90" t="str">
            <v>1</v>
          </cell>
          <cell r="E90" t="str">
            <v>IBEWOUT</v>
          </cell>
          <cell r="F90" t="str">
            <v>1319</v>
          </cell>
          <cell r="G90" t="str">
            <v>15</v>
          </cell>
          <cell r="H90">
            <v>0</v>
          </cell>
        </row>
        <row r="91">
          <cell r="B91">
            <v>1849</v>
          </cell>
          <cell r="C91" t="str">
            <v>Blakely Jr.; Steven William</v>
          </cell>
          <cell r="D91" t="str">
            <v>1C</v>
          </cell>
          <cell r="E91" t="str">
            <v>IBEWOUT</v>
          </cell>
          <cell r="F91" t="str">
            <v>769</v>
          </cell>
          <cell r="G91" t="str">
            <v>22</v>
          </cell>
          <cell r="H91">
            <v>0</v>
          </cell>
        </row>
        <row r="92">
          <cell r="B92">
            <v>1850</v>
          </cell>
          <cell r="C92" t="str">
            <v>Blake; Britton R.</v>
          </cell>
          <cell r="D92" t="str">
            <v>1C</v>
          </cell>
          <cell r="E92" t="str">
            <v>IBEWOUT</v>
          </cell>
          <cell r="F92" t="str">
            <v>1319</v>
          </cell>
          <cell r="G92" t="str">
            <v>8</v>
          </cell>
          <cell r="H92">
            <v>0</v>
          </cell>
        </row>
        <row r="93">
          <cell r="B93">
            <v>1851</v>
          </cell>
          <cell r="C93" t="str">
            <v>Blakely; Taunia M</v>
          </cell>
          <cell r="D93" t="str">
            <v>1C</v>
          </cell>
          <cell r="E93" t="str">
            <v>IBEWIN</v>
          </cell>
          <cell r="F93" t="str">
            <v>280</v>
          </cell>
          <cell r="G93" t="str">
            <v>61</v>
          </cell>
          <cell r="H93">
            <v>0</v>
          </cell>
        </row>
        <row r="94">
          <cell r="B94">
            <v>1854</v>
          </cell>
          <cell r="C94" t="str">
            <v>Blauer Jr; David M</v>
          </cell>
          <cell r="D94" t="str">
            <v>1</v>
          </cell>
          <cell r="E94" t="str">
            <v>IBEWOUT</v>
          </cell>
          <cell r="F94" t="str">
            <v>1319</v>
          </cell>
          <cell r="G94" t="str">
            <v>18</v>
          </cell>
          <cell r="H94">
            <v>0</v>
          </cell>
        </row>
        <row r="95">
          <cell r="B95">
            <v>1860</v>
          </cell>
          <cell r="C95" t="str">
            <v>Bligh; Brandon R</v>
          </cell>
          <cell r="D95" t="str">
            <v>1C</v>
          </cell>
          <cell r="E95" t="str">
            <v>IBEWOUT</v>
          </cell>
          <cell r="F95" t="str">
            <v>47</v>
          </cell>
          <cell r="G95" t="str">
            <v>8</v>
          </cell>
          <cell r="H95">
            <v>0</v>
          </cell>
        </row>
        <row r="96">
          <cell r="B96">
            <v>1940</v>
          </cell>
          <cell r="C96" t="str">
            <v>Bond; Bob M.</v>
          </cell>
          <cell r="D96" t="str">
            <v>1</v>
          </cell>
          <cell r="E96" t="str">
            <v>IBEWOUT</v>
          </cell>
          <cell r="F96" t="str">
            <v>77</v>
          </cell>
          <cell r="G96" t="str">
            <v>7</v>
          </cell>
          <cell r="H96">
            <v>0</v>
          </cell>
        </row>
        <row r="97">
          <cell r="B97">
            <v>1970</v>
          </cell>
          <cell r="C97" t="str">
            <v>Booton; Michael G</v>
          </cell>
          <cell r="D97" t="str">
            <v>1C</v>
          </cell>
          <cell r="E97" t="str">
            <v>IBEWOUT</v>
          </cell>
          <cell r="F97" t="str">
            <v>1245</v>
          </cell>
          <cell r="G97" t="str">
            <v>13</v>
          </cell>
          <cell r="H97">
            <v>0</v>
          </cell>
        </row>
        <row r="98">
          <cell r="B98">
            <v>1980</v>
          </cell>
          <cell r="C98" t="str">
            <v>Borboa; Jose C.</v>
          </cell>
          <cell r="D98" t="str">
            <v>1C</v>
          </cell>
          <cell r="E98" t="str">
            <v>IBEWOUT</v>
          </cell>
          <cell r="F98" t="str">
            <v>769</v>
          </cell>
          <cell r="G98" t="str">
            <v>20</v>
          </cell>
          <cell r="H98">
            <v>0</v>
          </cell>
        </row>
        <row r="99">
          <cell r="B99">
            <v>2068</v>
          </cell>
          <cell r="C99" t="str">
            <v>Bauder; Craig Richard</v>
          </cell>
          <cell r="D99" t="str">
            <v>1</v>
          </cell>
          <cell r="E99" t="str">
            <v/>
          </cell>
          <cell r="F99" t="str">
            <v/>
          </cell>
          <cell r="G99" t="str">
            <v/>
          </cell>
          <cell r="H99">
            <v>1</v>
          </cell>
        </row>
        <row r="100">
          <cell r="B100">
            <v>2114</v>
          </cell>
          <cell r="C100" t="str">
            <v>Bowie; William B</v>
          </cell>
          <cell r="D100" t="str">
            <v>1C</v>
          </cell>
          <cell r="E100" t="str">
            <v>IBEWOUT</v>
          </cell>
          <cell r="F100" t="str">
            <v>1049</v>
          </cell>
          <cell r="G100" t="str">
            <v>8</v>
          </cell>
          <cell r="H100">
            <v>0</v>
          </cell>
        </row>
        <row r="101">
          <cell r="B101">
            <v>2118</v>
          </cell>
          <cell r="C101" t="str">
            <v>Bautista; Hector N.</v>
          </cell>
          <cell r="D101" t="str">
            <v>1C</v>
          </cell>
          <cell r="E101" t="str">
            <v>IBEWOUT</v>
          </cell>
          <cell r="F101" t="str">
            <v>396</v>
          </cell>
          <cell r="G101" t="str">
            <v>8</v>
          </cell>
          <cell r="H101">
            <v>0</v>
          </cell>
        </row>
        <row r="102">
          <cell r="B102">
            <v>2128</v>
          </cell>
          <cell r="C102" t="str">
            <v>Braaten; Jason W</v>
          </cell>
          <cell r="D102" t="str">
            <v>1C</v>
          </cell>
          <cell r="E102" t="str">
            <v>IBEWOUT</v>
          </cell>
          <cell r="F102" t="str">
            <v>1245</v>
          </cell>
          <cell r="G102" t="str">
            <v>8</v>
          </cell>
          <cell r="H102">
            <v>0</v>
          </cell>
        </row>
        <row r="103">
          <cell r="B103">
            <v>2129</v>
          </cell>
          <cell r="C103" t="str">
            <v>Bradford; Richard</v>
          </cell>
          <cell r="D103" t="str">
            <v>1C</v>
          </cell>
          <cell r="E103" t="str">
            <v>IBEWOUT</v>
          </cell>
          <cell r="F103" t="str">
            <v>602R</v>
          </cell>
          <cell r="G103" t="str">
            <v>7</v>
          </cell>
          <cell r="H103">
            <v>0</v>
          </cell>
        </row>
        <row r="104">
          <cell r="B104">
            <v>2134</v>
          </cell>
          <cell r="C104" t="str">
            <v>Bragado; Jere K</v>
          </cell>
          <cell r="D104" t="str">
            <v>1</v>
          </cell>
          <cell r="E104" t="str">
            <v/>
          </cell>
          <cell r="F104" t="str">
            <v/>
          </cell>
          <cell r="G104" t="str">
            <v/>
          </cell>
          <cell r="H104">
            <v>1</v>
          </cell>
        </row>
        <row r="105">
          <cell r="B105">
            <v>2136</v>
          </cell>
          <cell r="C105" t="str">
            <v>Boyd Jr.; Philip R.</v>
          </cell>
          <cell r="D105" t="str">
            <v>1C</v>
          </cell>
          <cell r="E105" t="str">
            <v>IBEWOUT</v>
          </cell>
          <cell r="F105" t="str">
            <v>1245</v>
          </cell>
          <cell r="G105" t="str">
            <v>8</v>
          </cell>
          <cell r="H105">
            <v>0</v>
          </cell>
        </row>
        <row r="106">
          <cell r="B106">
            <v>2141</v>
          </cell>
          <cell r="C106" t="str">
            <v>Boyle; Kevin T.</v>
          </cell>
          <cell r="D106" t="str">
            <v>1C</v>
          </cell>
          <cell r="E106" t="str">
            <v>IBEWOUT</v>
          </cell>
          <cell r="F106" t="str">
            <v>125</v>
          </cell>
          <cell r="G106" t="str">
            <v>12</v>
          </cell>
          <cell r="H106">
            <v>0</v>
          </cell>
        </row>
        <row r="107">
          <cell r="B107">
            <v>2175</v>
          </cell>
          <cell r="C107" t="str">
            <v>Breeden; Brandon L.</v>
          </cell>
          <cell r="D107" t="str">
            <v>1</v>
          </cell>
          <cell r="E107" t="str">
            <v>IBEWOUT</v>
          </cell>
          <cell r="F107" t="str">
            <v>1245</v>
          </cell>
          <cell r="G107" t="str">
            <v>7</v>
          </cell>
          <cell r="H107">
            <v>0</v>
          </cell>
        </row>
        <row r="108">
          <cell r="B108">
            <v>2177</v>
          </cell>
          <cell r="C108" t="str">
            <v>Brester; Sam D.</v>
          </cell>
          <cell r="D108" t="str">
            <v>1</v>
          </cell>
          <cell r="E108" t="str">
            <v>IBEWOUT</v>
          </cell>
          <cell r="F108" t="str">
            <v>47</v>
          </cell>
          <cell r="G108" t="str">
            <v>7</v>
          </cell>
          <cell r="H108">
            <v>0</v>
          </cell>
        </row>
        <row r="109">
          <cell r="B109">
            <v>2181</v>
          </cell>
          <cell r="C109" t="str">
            <v>Breitenfeldt; Thomas R</v>
          </cell>
          <cell r="D109" t="str">
            <v>1</v>
          </cell>
          <cell r="E109" t="str">
            <v>IBEWOUT</v>
          </cell>
          <cell r="F109" t="str">
            <v>1319</v>
          </cell>
          <cell r="G109" t="str">
            <v>33</v>
          </cell>
          <cell r="H109">
            <v>0</v>
          </cell>
        </row>
        <row r="110">
          <cell r="B110">
            <v>2188</v>
          </cell>
          <cell r="C110" t="str">
            <v>Brennan; Michael D.</v>
          </cell>
          <cell r="D110" t="str">
            <v>1</v>
          </cell>
          <cell r="E110" t="str">
            <v>IBEWOUT</v>
          </cell>
          <cell r="F110" t="str">
            <v>611</v>
          </cell>
          <cell r="G110" t="str">
            <v>8</v>
          </cell>
          <cell r="H110">
            <v>0</v>
          </cell>
        </row>
        <row r="111">
          <cell r="B111">
            <v>2210</v>
          </cell>
          <cell r="C111" t="str">
            <v>Brogdon; Case O</v>
          </cell>
          <cell r="D111" t="str">
            <v>1C</v>
          </cell>
          <cell r="E111" t="str">
            <v>IBEWOUT</v>
          </cell>
          <cell r="F111" t="str">
            <v>611</v>
          </cell>
          <cell r="G111" t="str">
            <v>11</v>
          </cell>
          <cell r="H111">
            <v>0</v>
          </cell>
        </row>
        <row r="112">
          <cell r="B112">
            <v>2213</v>
          </cell>
          <cell r="C112" t="str">
            <v>Bronson; Jeffrey Wayne</v>
          </cell>
          <cell r="D112" t="str">
            <v>1</v>
          </cell>
          <cell r="E112" t="str">
            <v>IBEWOUT</v>
          </cell>
          <cell r="F112" t="str">
            <v>1245</v>
          </cell>
          <cell r="G112" t="str">
            <v>1</v>
          </cell>
          <cell r="H112">
            <v>1</v>
          </cell>
        </row>
        <row r="113">
          <cell r="B113">
            <v>2221</v>
          </cell>
          <cell r="C113" t="str">
            <v>Brown; Zebulun M</v>
          </cell>
          <cell r="D113" t="str">
            <v>1</v>
          </cell>
          <cell r="E113" t="str">
            <v>IBEWOUT</v>
          </cell>
          <cell r="F113" t="str">
            <v>278</v>
          </cell>
          <cell r="G113" t="str">
            <v>16</v>
          </cell>
          <cell r="H113">
            <v>0</v>
          </cell>
        </row>
        <row r="114">
          <cell r="B114">
            <v>2243</v>
          </cell>
          <cell r="C114" t="str">
            <v>Brown; Kevin C.</v>
          </cell>
          <cell r="D114" t="str">
            <v>1C</v>
          </cell>
          <cell r="E114" t="str">
            <v>IBEWOUT</v>
          </cell>
          <cell r="F114" t="str">
            <v>1245</v>
          </cell>
          <cell r="G114" t="str">
            <v>7</v>
          </cell>
          <cell r="H114">
            <v>0</v>
          </cell>
        </row>
        <row r="115">
          <cell r="B115">
            <v>2265</v>
          </cell>
          <cell r="C115" t="str">
            <v>Brothers; John W</v>
          </cell>
          <cell r="D115" t="str">
            <v>1</v>
          </cell>
          <cell r="E115" t="str">
            <v/>
          </cell>
          <cell r="F115" t="str">
            <v/>
          </cell>
          <cell r="G115" t="str">
            <v/>
          </cell>
          <cell r="H115">
            <v>0</v>
          </cell>
        </row>
        <row r="116">
          <cell r="B116">
            <v>2360</v>
          </cell>
          <cell r="C116" t="str">
            <v>Bunnell; Gregory L</v>
          </cell>
          <cell r="D116" t="str">
            <v>1C</v>
          </cell>
          <cell r="E116" t="str">
            <v>IBEWOUT</v>
          </cell>
          <cell r="F116" t="str">
            <v>1245</v>
          </cell>
          <cell r="G116" t="str">
            <v>8</v>
          </cell>
          <cell r="H116">
            <v>0</v>
          </cell>
        </row>
        <row r="117">
          <cell r="B117">
            <v>2366</v>
          </cell>
          <cell r="C117" t="str">
            <v>Burchett; Justin D.</v>
          </cell>
          <cell r="D117" t="str">
            <v>1C</v>
          </cell>
          <cell r="E117" t="str">
            <v>IBEWOUT</v>
          </cell>
          <cell r="F117" t="str">
            <v>769</v>
          </cell>
          <cell r="G117" t="str">
            <v>15</v>
          </cell>
          <cell r="H117">
            <v>0</v>
          </cell>
        </row>
        <row r="118">
          <cell r="B118">
            <v>2380</v>
          </cell>
          <cell r="C118" t="str">
            <v>Bush; Jeffrey W.</v>
          </cell>
          <cell r="D118" t="str">
            <v>1C</v>
          </cell>
          <cell r="E118" t="str">
            <v>IBEWOUT</v>
          </cell>
          <cell r="F118" t="str">
            <v>769</v>
          </cell>
          <cell r="G118" t="str">
            <v>16</v>
          </cell>
          <cell r="H118">
            <v>0</v>
          </cell>
        </row>
        <row r="119">
          <cell r="B119">
            <v>2388</v>
          </cell>
          <cell r="C119" t="str">
            <v>Buswell; Gannon B.</v>
          </cell>
          <cell r="D119" t="str">
            <v>1</v>
          </cell>
          <cell r="E119" t="str">
            <v/>
          </cell>
          <cell r="F119" t="str">
            <v/>
          </cell>
          <cell r="G119" t="str">
            <v/>
          </cell>
          <cell r="H119">
            <v>1</v>
          </cell>
        </row>
        <row r="120">
          <cell r="B120">
            <v>2420</v>
          </cell>
          <cell r="C120" t="str">
            <v>Butcher; Kody A.</v>
          </cell>
          <cell r="D120" t="str">
            <v>1C</v>
          </cell>
          <cell r="E120" t="str">
            <v>IBEWOUT</v>
          </cell>
          <cell r="F120" t="str">
            <v>1319</v>
          </cell>
          <cell r="G120" t="str">
            <v>12</v>
          </cell>
          <cell r="H120">
            <v>0</v>
          </cell>
        </row>
        <row r="121">
          <cell r="B121">
            <v>2421</v>
          </cell>
          <cell r="C121" t="str">
            <v>Byrd; Christopher A</v>
          </cell>
          <cell r="D121" t="str">
            <v>1C</v>
          </cell>
          <cell r="E121" t="str">
            <v>IBEWOUT</v>
          </cell>
          <cell r="F121" t="str">
            <v>47</v>
          </cell>
          <cell r="G121" t="str">
            <v>8</v>
          </cell>
          <cell r="H121">
            <v>0</v>
          </cell>
        </row>
        <row r="122">
          <cell r="B122">
            <v>2555</v>
          </cell>
          <cell r="C122" t="str">
            <v>Cain; Jonathan B</v>
          </cell>
          <cell r="D122" t="str">
            <v>1C</v>
          </cell>
          <cell r="E122" t="str">
            <v>IBEWOUT</v>
          </cell>
          <cell r="F122" t="str">
            <v>1245</v>
          </cell>
          <cell r="G122" t="str">
            <v>8</v>
          </cell>
          <cell r="H122">
            <v>0</v>
          </cell>
        </row>
        <row r="123">
          <cell r="B123">
            <v>2556</v>
          </cell>
          <cell r="C123" t="str">
            <v>Calhoun; Anthony R</v>
          </cell>
          <cell r="D123" t="str">
            <v>1C</v>
          </cell>
          <cell r="E123" t="str">
            <v>IBEWOUT</v>
          </cell>
          <cell r="F123" t="str">
            <v>1245</v>
          </cell>
          <cell r="G123" t="str">
            <v>8</v>
          </cell>
          <cell r="H123">
            <v>0</v>
          </cell>
        </row>
        <row r="124">
          <cell r="B124">
            <v>2557</v>
          </cell>
          <cell r="C124" t="str">
            <v>Caldwell; Shawn D.</v>
          </cell>
          <cell r="D124" t="str">
            <v>1</v>
          </cell>
          <cell r="E124" t="str">
            <v/>
          </cell>
          <cell r="F124" t="str">
            <v/>
          </cell>
          <cell r="G124" t="str">
            <v/>
          </cell>
          <cell r="H124">
            <v>1</v>
          </cell>
        </row>
        <row r="125">
          <cell r="B125">
            <v>2558</v>
          </cell>
          <cell r="C125" t="str">
            <v>Calvillo; Ramon C</v>
          </cell>
          <cell r="D125" t="str">
            <v>1C</v>
          </cell>
          <cell r="E125" t="str">
            <v>IBEWOUT</v>
          </cell>
          <cell r="F125" t="str">
            <v>47</v>
          </cell>
          <cell r="G125" t="str">
            <v>17</v>
          </cell>
          <cell r="H125">
            <v>0</v>
          </cell>
        </row>
        <row r="126">
          <cell r="B126">
            <v>2572</v>
          </cell>
          <cell r="C126" t="str">
            <v>Carbajal Jr.; Robert E</v>
          </cell>
          <cell r="D126" t="str">
            <v>1C</v>
          </cell>
          <cell r="E126" t="str">
            <v>IBEWOUT</v>
          </cell>
          <cell r="F126" t="str">
            <v>47</v>
          </cell>
          <cell r="G126" t="str">
            <v>8</v>
          </cell>
          <cell r="H126">
            <v>0</v>
          </cell>
        </row>
        <row r="127">
          <cell r="B127">
            <v>2573</v>
          </cell>
          <cell r="C127" t="str">
            <v>Cardenas; Eric J</v>
          </cell>
          <cell r="D127" t="str">
            <v>1</v>
          </cell>
          <cell r="E127" t="str">
            <v>IBEWOUT</v>
          </cell>
          <cell r="F127" t="str">
            <v>77</v>
          </cell>
          <cell r="G127" t="str">
            <v>9</v>
          </cell>
          <cell r="H127">
            <v>0</v>
          </cell>
        </row>
        <row r="128">
          <cell r="B128">
            <v>2575</v>
          </cell>
          <cell r="C128" t="str">
            <v>Carlon; Ramy M.</v>
          </cell>
          <cell r="D128" t="str">
            <v>1C</v>
          </cell>
          <cell r="E128" t="str">
            <v>IBEWOUT</v>
          </cell>
          <cell r="F128" t="str">
            <v>769</v>
          </cell>
          <cell r="G128" t="str">
            <v>20</v>
          </cell>
          <cell r="H128">
            <v>0</v>
          </cell>
        </row>
        <row r="129">
          <cell r="B129">
            <v>2584</v>
          </cell>
          <cell r="C129" t="str">
            <v>Campas; Abdullah J.</v>
          </cell>
          <cell r="D129" t="str">
            <v>1C</v>
          </cell>
          <cell r="E129" t="str">
            <v>IBEWOUT</v>
          </cell>
          <cell r="F129" t="str">
            <v>769</v>
          </cell>
          <cell r="G129" t="str">
            <v>13</v>
          </cell>
          <cell r="H129">
            <v>0</v>
          </cell>
        </row>
        <row r="130">
          <cell r="B130">
            <v>2597</v>
          </cell>
          <cell r="C130" t="str">
            <v>Campos; Hector A.</v>
          </cell>
          <cell r="D130" t="str">
            <v>1C</v>
          </cell>
          <cell r="E130" t="str">
            <v>IBEWOUT</v>
          </cell>
          <cell r="F130" t="str">
            <v>769</v>
          </cell>
          <cell r="G130" t="str">
            <v>16</v>
          </cell>
          <cell r="H130">
            <v>0</v>
          </cell>
        </row>
        <row r="131">
          <cell r="B131">
            <v>2619</v>
          </cell>
          <cell r="C131" t="str">
            <v>Carpenter; Jason Edward</v>
          </cell>
          <cell r="D131" t="str">
            <v>1</v>
          </cell>
          <cell r="E131" t="str">
            <v/>
          </cell>
          <cell r="F131" t="str">
            <v/>
          </cell>
          <cell r="G131" t="str">
            <v/>
          </cell>
          <cell r="H131">
            <v>0</v>
          </cell>
        </row>
        <row r="132">
          <cell r="B132">
            <v>2623</v>
          </cell>
          <cell r="C132" t="str">
            <v>Carrillo; Kylie Dianne</v>
          </cell>
          <cell r="D132" t="str">
            <v>1C</v>
          </cell>
          <cell r="E132" t="str">
            <v/>
          </cell>
          <cell r="F132" t="str">
            <v/>
          </cell>
          <cell r="G132" t="str">
            <v/>
          </cell>
          <cell r="H132">
            <v>0</v>
          </cell>
        </row>
        <row r="133">
          <cell r="B133">
            <v>2626</v>
          </cell>
          <cell r="C133" t="str">
            <v>Carstensen; Joshua J</v>
          </cell>
          <cell r="D133" t="str">
            <v>1C</v>
          </cell>
          <cell r="E133" t="str">
            <v>IBEWOUT</v>
          </cell>
          <cell r="F133" t="str">
            <v>769</v>
          </cell>
          <cell r="G133" t="str">
            <v>9</v>
          </cell>
          <cell r="H133">
            <v>0</v>
          </cell>
        </row>
        <row r="134">
          <cell r="B134">
            <v>2627</v>
          </cell>
          <cell r="C134" t="str">
            <v>Carter; Andrew R.</v>
          </cell>
          <cell r="D134" t="str">
            <v>1C</v>
          </cell>
          <cell r="E134" t="str">
            <v/>
          </cell>
          <cell r="F134" t="str">
            <v/>
          </cell>
          <cell r="G134" t="str">
            <v/>
          </cell>
          <cell r="H134">
            <v>0</v>
          </cell>
        </row>
        <row r="135">
          <cell r="B135">
            <v>2631</v>
          </cell>
          <cell r="C135" t="str">
            <v>Carter; Richard Ashley</v>
          </cell>
          <cell r="D135" t="str">
            <v>1</v>
          </cell>
          <cell r="E135" t="str">
            <v/>
          </cell>
          <cell r="F135" t="str">
            <v/>
          </cell>
          <cell r="G135" t="str">
            <v/>
          </cell>
          <cell r="H135">
            <v>0</v>
          </cell>
        </row>
        <row r="136">
          <cell r="B136">
            <v>2634</v>
          </cell>
          <cell r="C136" t="str">
            <v>Case; Kory V</v>
          </cell>
          <cell r="D136" t="str">
            <v>1C</v>
          </cell>
          <cell r="E136" t="str">
            <v>IBEWOUT</v>
          </cell>
          <cell r="F136" t="str">
            <v>1245</v>
          </cell>
          <cell r="G136" t="str">
            <v>7</v>
          </cell>
          <cell r="H136">
            <v>0</v>
          </cell>
        </row>
        <row r="137">
          <cell r="B137">
            <v>2637</v>
          </cell>
          <cell r="C137" t="str">
            <v>Casey; Justin B</v>
          </cell>
          <cell r="D137" t="str">
            <v>1C</v>
          </cell>
          <cell r="E137" t="str">
            <v>IBEWOUT</v>
          </cell>
          <cell r="F137" t="str">
            <v>1245</v>
          </cell>
          <cell r="G137" t="str">
            <v>12</v>
          </cell>
          <cell r="H137">
            <v>0</v>
          </cell>
        </row>
        <row r="138">
          <cell r="B138">
            <v>2638</v>
          </cell>
          <cell r="C138" t="str">
            <v>Cashman; William Brady</v>
          </cell>
          <cell r="D138" t="str">
            <v>1</v>
          </cell>
          <cell r="E138" t="str">
            <v/>
          </cell>
          <cell r="F138" t="str">
            <v/>
          </cell>
          <cell r="G138" t="str">
            <v/>
          </cell>
          <cell r="H138">
            <v>0</v>
          </cell>
        </row>
        <row r="139">
          <cell r="B139">
            <v>2641</v>
          </cell>
          <cell r="C139" t="str">
            <v>Caves; Dustan L</v>
          </cell>
          <cell r="D139" t="str">
            <v>1C</v>
          </cell>
          <cell r="E139" t="str">
            <v>IBEWOUT</v>
          </cell>
          <cell r="F139" t="str">
            <v>602R</v>
          </cell>
          <cell r="G139" t="str">
            <v>8</v>
          </cell>
          <cell r="H139">
            <v>0</v>
          </cell>
        </row>
        <row r="140">
          <cell r="B140">
            <v>2642</v>
          </cell>
          <cell r="C140" t="str">
            <v>Cavin; Brandon Michael</v>
          </cell>
          <cell r="D140" t="str">
            <v>1C</v>
          </cell>
          <cell r="E140" t="str">
            <v/>
          </cell>
          <cell r="F140" t="str">
            <v/>
          </cell>
          <cell r="G140" t="str">
            <v/>
          </cell>
          <cell r="H140">
            <v>0</v>
          </cell>
        </row>
        <row r="141">
          <cell r="B141">
            <v>2643</v>
          </cell>
          <cell r="C141" t="str">
            <v>Cedillo; Ceasar A</v>
          </cell>
          <cell r="D141" t="str">
            <v>1C</v>
          </cell>
          <cell r="E141" t="str">
            <v>IBEWOUT</v>
          </cell>
          <cell r="F141" t="str">
            <v>47</v>
          </cell>
          <cell r="G141" t="str">
            <v>15</v>
          </cell>
          <cell r="H141">
            <v>0</v>
          </cell>
        </row>
        <row r="142">
          <cell r="B142">
            <v>2646</v>
          </cell>
          <cell r="C142" t="str">
            <v>Castillo; Rudy Remigio</v>
          </cell>
          <cell r="D142" t="str">
            <v>1C</v>
          </cell>
          <cell r="E142" t="str">
            <v>IBEWOUT</v>
          </cell>
          <cell r="F142" t="str">
            <v>47</v>
          </cell>
          <cell r="G142" t="str">
            <v>8</v>
          </cell>
          <cell r="H142">
            <v>0</v>
          </cell>
        </row>
        <row r="143">
          <cell r="B143">
            <v>2658</v>
          </cell>
          <cell r="C143" t="str">
            <v>Casey; Austin J</v>
          </cell>
          <cell r="D143" t="str">
            <v>1C</v>
          </cell>
          <cell r="E143" t="str">
            <v/>
          </cell>
          <cell r="F143" t="str">
            <v/>
          </cell>
          <cell r="G143" t="str">
            <v/>
          </cell>
          <cell r="H143">
            <v>1</v>
          </cell>
        </row>
        <row r="144">
          <cell r="B144">
            <v>2662</v>
          </cell>
          <cell r="C144" t="str">
            <v>Castle; Nicholas C.</v>
          </cell>
          <cell r="D144" t="str">
            <v>1C</v>
          </cell>
          <cell r="E144" t="str">
            <v>IBEWOUT</v>
          </cell>
          <cell r="F144" t="str">
            <v>47</v>
          </cell>
          <cell r="G144" t="str">
            <v>8</v>
          </cell>
          <cell r="H144">
            <v>0</v>
          </cell>
        </row>
        <row r="145">
          <cell r="B145">
            <v>2707</v>
          </cell>
          <cell r="C145" t="str">
            <v>Champion; Rusty D.</v>
          </cell>
          <cell r="D145" t="str">
            <v>1C</v>
          </cell>
          <cell r="E145" t="str">
            <v>IBEWOUT</v>
          </cell>
          <cell r="F145" t="str">
            <v>47</v>
          </cell>
          <cell r="G145" t="str">
            <v>17</v>
          </cell>
          <cell r="H145">
            <v>0</v>
          </cell>
        </row>
        <row r="146">
          <cell r="B146">
            <v>2715</v>
          </cell>
          <cell r="C146" t="str">
            <v>Cheatham; Daryl T.</v>
          </cell>
          <cell r="D146" t="str">
            <v>1C</v>
          </cell>
          <cell r="E146" t="str">
            <v>IBEWOUT</v>
          </cell>
          <cell r="F146" t="str">
            <v>47</v>
          </cell>
          <cell r="G146" t="str">
            <v>8</v>
          </cell>
          <cell r="H146">
            <v>0</v>
          </cell>
        </row>
        <row r="147">
          <cell r="B147">
            <v>2717</v>
          </cell>
          <cell r="C147" t="str">
            <v>Chew III; Fred L</v>
          </cell>
          <cell r="D147" t="str">
            <v>1</v>
          </cell>
          <cell r="E147" t="str">
            <v>IBEWOUT</v>
          </cell>
          <cell r="F147" t="str">
            <v>1319</v>
          </cell>
          <cell r="G147" t="str">
            <v>8</v>
          </cell>
          <cell r="H147">
            <v>0</v>
          </cell>
        </row>
        <row r="148">
          <cell r="B148">
            <v>2718</v>
          </cell>
          <cell r="C148" t="str">
            <v>Chew; Seth D</v>
          </cell>
          <cell r="D148" t="str">
            <v>1C</v>
          </cell>
          <cell r="E148" t="str">
            <v>IBEWOUT</v>
          </cell>
          <cell r="F148" t="str">
            <v>1245</v>
          </cell>
          <cell r="G148" t="str">
            <v>8</v>
          </cell>
          <cell r="H148">
            <v>0</v>
          </cell>
        </row>
        <row r="149">
          <cell r="B149">
            <v>2722</v>
          </cell>
          <cell r="C149" t="str">
            <v>Chennault; Jacob</v>
          </cell>
          <cell r="D149" t="str">
            <v>1C</v>
          </cell>
          <cell r="E149" t="str">
            <v>IBEWOUT</v>
          </cell>
          <cell r="F149" t="str">
            <v>1245</v>
          </cell>
          <cell r="G149" t="str">
            <v>8</v>
          </cell>
          <cell r="H149">
            <v>0</v>
          </cell>
        </row>
        <row r="150">
          <cell r="B150">
            <v>2724</v>
          </cell>
          <cell r="C150" t="str">
            <v>Choron; Romuald Laurent</v>
          </cell>
          <cell r="D150" t="str">
            <v>1</v>
          </cell>
          <cell r="E150" t="str">
            <v>IBEWOUT</v>
          </cell>
          <cell r="F150" t="str">
            <v>1245</v>
          </cell>
          <cell r="G150" t="str">
            <v>8</v>
          </cell>
          <cell r="H150">
            <v>0</v>
          </cell>
        </row>
        <row r="151">
          <cell r="B151">
            <v>2726</v>
          </cell>
          <cell r="C151" t="str">
            <v>Ciddio; Perez L</v>
          </cell>
          <cell r="D151" t="str">
            <v>1C</v>
          </cell>
          <cell r="E151" t="str">
            <v>IBEWOUT</v>
          </cell>
          <cell r="F151" t="str">
            <v>611</v>
          </cell>
          <cell r="G151" t="str">
            <v>8</v>
          </cell>
          <cell r="H151">
            <v>0</v>
          </cell>
        </row>
        <row r="152">
          <cell r="B152">
            <v>2750</v>
          </cell>
          <cell r="C152" t="str">
            <v>Clark; Bradley W</v>
          </cell>
          <cell r="D152" t="str">
            <v>1C</v>
          </cell>
          <cell r="E152" t="str">
            <v>IBEWOUT</v>
          </cell>
          <cell r="F152" t="str">
            <v>125</v>
          </cell>
          <cell r="G152" t="str">
            <v>8</v>
          </cell>
          <cell r="H152">
            <v>0</v>
          </cell>
        </row>
        <row r="153">
          <cell r="B153">
            <v>2753</v>
          </cell>
          <cell r="C153" t="str">
            <v>Clardy; Ryan R</v>
          </cell>
          <cell r="D153" t="str">
            <v>1C</v>
          </cell>
          <cell r="E153" t="str">
            <v>IBEWOUT</v>
          </cell>
          <cell r="F153" t="str">
            <v>602R</v>
          </cell>
          <cell r="G153" t="str">
            <v>8</v>
          </cell>
          <cell r="H153">
            <v>0</v>
          </cell>
        </row>
        <row r="154">
          <cell r="B154">
            <v>2756</v>
          </cell>
          <cell r="C154" t="str">
            <v>Clarno; Nicholas A</v>
          </cell>
          <cell r="D154" t="str">
            <v>1</v>
          </cell>
          <cell r="E154" t="str">
            <v/>
          </cell>
          <cell r="F154" t="str">
            <v/>
          </cell>
          <cell r="G154" t="str">
            <v/>
          </cell>
          <cell r="H154">
            <v>0</v>
          </cell>
        </row>
        <row r="155">
          <cell r="B155">
            <v>2790</v>
          </cell>
          <cell r="C155" t="str">
            <v>Clawson; Robert R.</v>
          </cell>
          <cell r="D155" t="str">
            <v>1C</v>
          </cell>
          <cell r="E155" t="str">
            <v>IBEWOUT</v>
          </cell>
          <cell r="F155" t="str">
            <v>1245</v>
          </cell>
          <cell r="G155" t="str">
            <v>8</v>
          </cell>
          <cell r="H155">
            <v>0</v>
          </cell>
        </row>
        <row r="156">
          <cell r="B156">
            <v>2802</v>
          </cell>
          <cell r="C156" t="str">
            <v>Clements; Joshua J.</v>
          </cell>
          <cell r="D156" t="str">
            <v>1C</v>
          </cell>
          <cell r="E156" t="str">
            <v>IBEWOUT</v>
          </cell>
          <cell r="F156" t="str">
            <v>77</v>
          </cell>
          <cell r="G156" t="str">
            <v>7</v>
          </cell>
          <cell r="H156">
            <v>0</v>
          </cell>
        </row>
        <row r="157">
          <cell r="B157">
            <v>2803</v>
          </cell>
          <cell r="C157" t="str">
            <v>Chandler; Allen L</v>
          </cell>
          <cell r="D157" t="str">
            <v>1C</v>
          </cell>
          <cell r="E157" t="str">
            <v>IBEWOUT</v>
          </cell>
          <cell r="F157" t="str">
            <v>77</v>
          </cell>
          <cell r="G157" t="str">
            <v>17</v>
          </cell>
          <cell r="H157">
            <v>0</v>
          </cell>
        </row>
        <row r="158">
          <cell r="B158">
            <v>2805</v>
          </cell>
          <cell r="C158" t="str">
            <v>Chavez; Eugene G</v>
          </cell>
          <cell r="D158" t="str">
            <v>1C</v>
          </cell>
          <cell r="E158" t="str">
            <v>IBEWOUT</v>
          </cell>
          <cell r="F158" t="str">
            <v>611</v>
          </cell>
          <cell r="G158" t="str">
            <v>17</v>
          </cell>
          <cell r="H158">
            <v>0</v>
          </cell>
        </row>
        <row r="159">
          <cell r="B159">
            <v>2807</v>
          </cell>
          <cell r="C159" t="str">
            <v>Chavez Herrara; Jared</v>
          </cell>
          <cell r="D159" t="str">
            <v>1C</v>
          </cell>
          <cell r="E159" t="str">
            <v/>
          </cell>
          <cell r="F159" t="str">
            <v/>
          </cell>
          <cell r="G159" t="str">
            <v/>
          </cell>
          <cell r="H159">
            <v>0</v>
          </cell>
        </row>
        <row r="160">
          <cell r="B160">
            <v>2816</v>
          </cell>
          <cell r="C160" t="str">
            <v>Christopherson; Isaac Jo</v>
          </cell>
          <cell r="D160" t="str">
            <v>1</v>
          </cell>
          <cell r="E160" t="str">
            <v>IBEWOUT</v>
          </cell>
          <cell r="F160" t="str">
            <v>47</v>
          </cell>
          <cell r="G160" t="str">
            <v>1</v>
          </cell>
          <cell r="H160">
            <v>0</v>
          </cell>
        </row>
        <row r="161">
          <cell r="B161">
            <v>2817</v>
          </cell>
          <cell r="C161" t="str">
            <v>Christie; John Vincent</v>
          </cell>
          <cell r="D161" t="str">
            <v>1C</v>
          </cell>
          <cell r="E161" t="str">
            <v>IBEWOUT</v>
          </cell>
          <cell r="F161" t="str">
            <v>769</v>
          </cell>
          <cell r="G161" t="str">
            <v>8</v>
          </cell>
          <cell r="H161">
            <v>0</v>
          </cell>
        </row>
        <row r="162">
          <cell r="B162">
            <v>2818</v>
          </cell>
          <cell r="C162" t="str">
            <v>Chase; Preston J</v>
          </cell>
          <cell r="D162" t="str">
            <v>1</v>
          </cell>
          <cell r="E162" t="str">
            <v/>
          </cell>
          <cell r="F162" t="str">
            <v/>
          </cell>
          <cell r="G162" t="str">
            <v/>
          </cell>
          <cell r="H162">
            <v>1</v>
          </cell>
        </row>
        <row r="163">
          <cell r="B163">
            <v>2819</v>
          </cell>
          <cell r="C163" t="str">
            <v>Chapman; Joshua M</v>
          </cell>
          <cell r="D163" t="str">
            <v>1</v>
          </cell>
          <cell r="E163" t="str">
            <v/>
          </cell>
          <cell r="F163" t="str">
            <v/>
          </cell>
          <cell r="G163" t="str">
            <v/>
          </cell>
          <cell r="H163">
            <v>0</v>
          </cell>
        </row>
        <row r="164">
          <cell r="B164">
            <v>2820</v>
          </cell>
          <cell r="C164" t="str">
            <v>Chapman; Matthew Currin</v>
          </cell>
          <cell r="D164" t="str">
            <v>1</v>
          </cell>
          <cell r="E164" t="str">
            <v>IBEWOUT</v>
          </cell>
          <cell r="F164" t="str">
            <v>126</v>
          </cell>
          <cell r="G164" t="str">
            <v>1</v>
          </cell>
          <cell r="H164">
            <v>1</v>
          </cell>
        </row>
        <row r="165">
          <cell r="B165">
            <v>2821</v>
          </cell>
          <cell r="C165" t="str">
            <v>Chapman; Lee J</v>
          </cell>
          <cell r="D165" t="str">
            <v>1</v>
          </cell>
          <cell r="E165" t="str">
            <v>IBEWOUT</v>
          </cell>
          <cell r="F165" t="str">
            <v>1319</v>
          </cell>
          <cell r="G165" t="str">
            <v>16</v>
          </cell>
          <cell r="H165">
            <v>0</v>
          </cell>
        </row>
        <row r="166">
          <cell r="B166">
            <v>2834</v>
          </cell>
          <cell r="C166" t="str">
            <v>Clause; Jason James</v>
          </cell>
          <cell r="D166" t="str">
            <v>1C</v>
          </cell>
          <cell r="E166" t="str">
            <v>IBEWOUT</v>
          </cell>
          <cell r="F166" t="str">
            <v>1245</v>
          </cell>
          <cell r="G166" t="str">
            <v>8</v>
          </cell>
          <cell r="H166">
            <v>0</v>
          </cell>
        </row>
        <row r="167">
          <cell r="B167">
            <v>2872</v>
          </cell>
          <cell r="C167" t="str">
            <v>Conder-Askwith; Sierra Michelle</v>
          </cell>
          <cell r="D167" t="str">
            <v>1</v>
          </cell>
          <cell r="E167" t="str">
            <v/>
          </cell>
          <cell r="F167" t="str">
            <v/>
          </cell>
          <cell r="G167" t="str">
            <v/>
          </cell>
          <cell r="H167">
            <v>1</v>
          </cell>
        </row>
        <row r="168">
          <cell r="B168">
            <v>2881</v>
          </cell>
          <cell r="C168" t="str">
            <v>Conner; Michael Joseph</v>
          </cell>
          <cell r="D168" t="str">
            <v>1C</v>
          </cell>
          <cell r="E168" t="str">
            <v>IBEWOUT</v>
          </cell>
          <cell r="F168" t="str">
            <v>47</v>
          </cell>
          <cell r="G168" t="str">
            <v>16</v>
          </cell>
          <cell r="H168">
            <v>0</v>
          </cell>
        </row>
        <row r="169">
          <cell r="B169">
            <v>2885</v>
          </cell>
          <cell r="C169" t="str">
            <v>Coleman; David L</v>
          </cell>
          <cell r="D169" t="str">
            <v>1C</v>
          </cell>
          <cell r="E169" t="str">
            <v>IBEWOUT</v>
          </cell>
          <cell r="F169" t="str">
            <v>1245</v>
          </cell>
          <cell r="G169" t="str">
            <v>7</v>
          </cell>
          <cell r="H169">
            <v>0</v>
          </cell>
        </row>
        <row r="170">
          <cell r="B170">
            <v>2886</v>
          </cell>
          <cell r="C170" t="str">
            <v>Coleman; David Scott</v>
          </cell>
          <cell r="D170" t="str">
            <v>1C</v>
          </cell>
          <cell r="E170" t="str">
            <v>IBEWOUT</v>
          </cell>
          <cell r="F170" t="str">
            <v>769</v>
          </cell>
          <cell r="G170" t="str">
            <v>16</v>
          </cell>
          <cell r="H170">
            <v>0</v>
          </cell>
        </row>
        <row r="171">
          <cell r="B171">
            <v>2889</v>
          </cell>
          <cell r="C171" t="str">
            <v>Condoll; Brenton K.</v>
          </cell>
          <cell r="D171" t="str">
            <v>1C</v>
          </cell>
          <cell r="E171" t="str">
            <v>IBEWOUT</v>
          </cell>
          <cell r="F171" t="str">
            <v>769</v>
          </cell>
          <cell r="G171" t="str">
            <v>8</v>
          </cell>
          <cell r="H171">
            <v>0</v>
          </cell>
        </row>
        <row r="172">
          <cell r="B172">
            <v>2890</v>
          </cell>
          <cell r="C172" t="str">
            <v>Connor; Phillip A.</v>
          </cell>
          <cell r="D172" t="str">
            <v>1</v>
          </cell>
          <cell r="E172" t="str">
            <v/>
          </cell>
          <cell r="F172" t="str">
            <v/>
          </cell>
          <cell r="G172" t="str">
            <v/>
          </cell>
          <cell r="H172">
            <v>1</v>
          </cell>
        </row>
        <row r="173">
          <cell r="B173">
            <v>2893</v>
          </cell>
          <cell r="C173" t="str">
            <v>Churchman; Garyn M</v>
          </cell>
          <cell r="D173" t="str">
            <v>1C</v>
          </cell>
          <cell r="E173" t="str">
            <v>IBEWOUT</v>
          </cell>
          <cell r="F173" t="str">
            <v>77</v>
          </cell>
          <cell r="G173" t="str">
            <v>14</v>
          </cell>
          <cell r="H173">
            <v>0</v>
          </cell>
        </row>
        <row r="174">
          <cell r="B174">
            <v>2897</v>
          </cell>
          <cell r="C174" t="str">
            <v>Conrad; Pamela A</v>
          </cell>
          <cell r="D174" t="str">
            <v>1C</v>
          </cell>
          <cell r="E174" t="str">
            <v>IBEWOUT</v>
          </cell>
          <cell r="F174" t="str">
            <v>769</v>
          </cell>
          <cell r="G174" t="str">
            <v>7</v>
          </cell>
          <cell r="H174">
            <v>0</v>
          </cell>
        </row>
        <row r="175">
          <cell r="B175">
            <v>2899</v>
          </cell>
          <cell r="C175" t="str">
            <v>Conrad; Thomas H</v>
          </cell>
          <cell r="D175" t="str">
            <v>1C</v>
          </cell>
          <cell r="E175" t="str">
            <v>IBEWOUT</v>
          </cell>
          <cell r="F175" t="str">
            <v>769</v>
          </cell>
          <cell r="G175" t="str">
            <v>7</v>
          </cell>
          <cell r="H175">
            <v>0</v>
          </cell>
        </row>
        <row r="176">
          <cell r="B176">
            <v>2902</v>
          </cell>
          <cell r="C176" t="str">
            <v>Colvin; Brian M</v>
          </cell>
          <cell r="D176" t="str">
            <v>1C</v>
          </cell>
          <cell r="E176" t="str">
            <v>IBEWOUT</v>
          </cell>
          <cell r="F176" t="str">
            <v>1245</v>
          </cell>
          <cell r="G176" t="str">
            <v>8</v>
          </cell>
          <cell r="H176">
            <v>0</v>
          </cell>
        </row>
        <row r="177">
          <cell r="B177">
            <v>2903</v>
          </cell>
          <cell r="C177" t="str">
            <v>Conde; Carleton John</v>
          </cell>
          <cell r="D177" t="str">
            <v>1C</v>
          </cell>
          <cell r="E177" t="str">
            <v>IBEWOUT</v>
          </cell>
          <cell r="F177" t="str">
            <v>769</v>
          </cell>
          <cell r="G177" t="str">
            <v>22</v>
          </cell>
          <cell r="H177">
            <v>0</v>
          </cell>
        </row>
        <row r="178">
          <cell r="B178">
            <v>2904</v>
          </cell>
          <cell r="C178" t="str">
            <v>Cole Jr.; William C.</v>
          </cell>
          <cell r="D178" t="str">
            <v>1C</v>
          </cell>
          <cell r="E178" t="str">
            <v/>
          </cell>
          <cell r="F178" t="str">
            <v/>
          </cell>
          <cell r="G178" t="str">
            <v/>
          </cell>
          <cell r="H178">
            <v>0</v>
          </cell>
        </row>
        <row r="179">
          <cell r="B179">
            <v>2905</v>
          </cell>
          <cell r="C179" t="str">
            <v>Cocotis; Shayne G.</v>
          </cell>
          <cell r="D179" t="str">
            <v>1C</v>
          </cell>
          <cell r="E179" t="str">
            <v>IBEWOUT</v>
          </cell>
          <cell r="F179" t="str">
            <v>1245</v>
          </cell>
          <cell r="G179" t="str">
            <v>14</v>
          </cell>
          <cell r="H179">
            <v>0</v>
          </cell>
        </row>
        <row r="180">
          <cell r="B180">
            <v>2972</v>
          </cell>
          <cell r="C180" t="str">
            <v>Cook; Robert E</v>
          </cell>
          <cell r="D180" t="str">
            <v>1</v>
          </cell>
          <cell r="E180" t="str">
            <v>IBEWOUT</v>
          </cell>
          <cell r="F180" t="str">
            <v>126</v>
          </cell>
          <cell r="G180" t="str">
            <v>8</v>
          </cell>
          <cell r="H180">
            <v>0</v>
          </cell>
        </row>
        <row r="181">
          <cell r="B181">
            <v>2975</v>
          </cell>
          <cell r="C181" t="str">
            <v>Coolbaugh; Brandon S.</v>
          </cell>
          <cell r="D181" t="str">
            <v>1C</v>
          </cell>
          <cell r="E181" t="str">
            <v>IBEWOUT</v>
          </cell>
          <cell r="F181" t="str">
            <v>1319</v>
          </cell>
          <cell r="G181" t="str">
            <v>12</v>
          </cell>
          <cell r="H181">
            <v>0</v>
          </cell>
        </row>
        <row r="182">
          <cell r="B182">
            <v>2976</v>
          </cell>
          <cell r="C182" t="str">
            <v>Cooley; James C.</v>
          </cell>
          <cell r="D182" t="str">
            <v>1</v>
          </cell>
          <cell r="E182" t="str">
            <v>IBEWOUT</v>
          </cell>
          <cell r="F182" t="str">
            <v>1245</v>
          </cell>
          <cell r="G182" t="str">
            <v>1</v>
          </cell>
          <cell r="H182">
            <v>1</v>
          </cell>
        </row>
        <row r="183">
          <cell r="B183">
            <v>3000</v>
          </cell>
          <cell r="C183" t="str">
            <v>Cooper; Gerald W.</v>
          </cell>
          <cell r="D183" t="str">
            <v>1</v>
          </cell>
          <cell r="E183" t="str">
            <v>IBEWOUT</v>
          </cell>
          <cell r="F183" t="str">
            <v>77</v>
          </cell>
          <cell r="G183" t="str">
            <v>7</v>
          </cell>
          <cell r="H183">
            <v>0</v>
          </cell>
        </row>
        <row r="184">
          <cell r="B184">
            <v>3002</v>
          </cell>
          <cell r="C184" t="str">
            <v>Cooper; Russell L</v>
          </cell>
          <cell r="D184" t="str">
            <v>1</v>
          </cell>
          <cell r="E184" t="str">
            <v/>
          </cell>
          <cell r="F184" t="str">
            <v/>
          </cell>
          <cell r="G184" t="str">
            <v/>
          </cell>
          <cell r="H184">
            <v>1</v>
          </cell>
        </row>
        <row r="185">
          <cell r="B185">
            <v>3020</v>
          </cell>
          <cell r="C185" t="str">
            <v>Corbin; Aaron</v>
          </cell>
          <cell r="D185" t="str">
            <v>1C</v>
          </cell>
          <cell r="E185" t="str">
            <v>IBEWOUT</v>
          </cell>
          <cell r="F185" t="str">
            <v>1245</v>
          </cell>
          <cell r="G185" t="str">
            <v>8</v>
          </cell>
          <cell r="H185">
            <v>0</v>
          </cell>
        </row>
        <row r="186">
          <cell r="B186">
            <v>3028</v>
          </cell>
          <cell r="C186" t="str">
            <v>Cornett; Michael J</v>
          </cell>
          <cell r="D186" t="str">
            <v>1C</v>
          </cell>
          <cell r="E186" t="str">
            <v>IBEWOUT</v>
          </cell>
          <cell r="F186" t="str">
            <v>47</v>
          </cell>
          <cell r="G186" t="str">
            <v>17</v>
          </cell>
          <cell r="H186">
            <v>0</v>
          </cell>
        </row>
        <row r="187">
          <cell r="B187">
            <v>3031</v>
          </cell>
          <cell r="C187" t="str">
            <v>Coreas; Omegur A</v>
          </cell>
          <cell r="D187" t="str">
            <v>1</v>
          </cell>
          <cell r="E187" t="str">
            <v>IBEWOUT</v>
          </cell>
          <cell r="F187" t="str">
            <v>1245</v>
          </cell>
          <cell r="G187" t="str">
            <v>8</v>
          </cell>
          <cell r="H187">
            <v>0</v>
          </cell>
        </row>
        <row r="188">
          <cell r="B188">
            <v>3034</v>
          </cell>
          <cell r="C188" t="str">
            <v>Corsetti; Michael A</v>
          </cell>
          <cell r="D188" t="str">
            <v>1C</v>
          </cell>
          <cell r="E188" t="str">
            <v>IBEWOUT</v>
          </cell>
          <cell r="F188" t="str">
            <v>126</v>
          </cell>
          <cell r="G188" t="str">
            <v>33</v>
          </cell>
          <cell r="H188">
            <v>0</v>
          </cell>
        </row>
        <row r="189">
          <cell r="B189">
            <v>3045</v>
          </cell>
          <cell r="C189" t="str">
            <v>Covey; Lawrence Peter</v>
          </cell>
          <cell r="D189" t="str">
            <v>1C</v>
          </cell>
          <cell r="E189" t="str">
            <v>IBEWOUT</v>
          </cell>
          <cell r="F189" t="str">
            <v>1245</v>
          </cell>
          <cell r="G189" t="str">
            <v>1</v>
          </cell>
          <cell r="H189">
            <v>0</v>
          </cell>
        </row>
        <row r="190">
          <cell r="B190">
            <v>3048</v>
          </cell>
          <cell r="C190" t="str">
            <v>Cousland; Peter D.</v>
          </cell>
          <cell r="D190" t="str">
            <v>1C</v>
          </cell>
          <cell r="E190" t="str">
            <v>IBEWOUT</v>
          </cell>
          <cell r="F190" t="str">
            <v>1245</v>
          </cell>
          <cell r="G190" t="str">
            <v>8</v>
          </cell>
          <cell r="H190">
            <v>0</v>
          </cell>
        </row>
        <row r="191">
          <cell r="B191">
            <v>3049</v>
          </cell>
          <cell r="C191" t="str">
            <v>Coury; Andrew A</v>
          </cell>
          <cell r="D191" t="str">
            <v>1C</v>
          </cell>
          <cell r="E191" t="str">
            <v>IBEWOUT</v>
          </cell>
          <cell r="F191" t="str">
            <v>1245</v>
          </cell>
          <cell r="G191" t="str">
            <v>8</v>
          </cell>
          <cell r="H191">
            <v>0</v>
          </cell>
        </row>
        <row r="192">
          <cell r="B192">
            <v>3051</v>
          </cell>
          <cell r="C192" t="str">
            <v>Cortez; David Esteban</v>
          </cell>
          <cell r="D192" t="str">
            <v>1</v>
          </cell>
          <cell r="E192" t="str">
            <v>IBEWOUT</v>
          </cell>
          <cell r="F192" t="str">
            <v>77</v>
          </cell>
          <cell r="G192" t="str">
            <v>7</v>
          </cell>
          <cell r="H192">
            <v>0</v>
          </cell>
        </row>
        <row r="193">
          <cell r="B193">
            <v>3062</v>
          </cell>
          <cell r="C193" t="str">
            <v>Cox; Jody F.</v>
          </cell>
          <cell r="D193" t="str">
            <v>1</v>
          </cell>
          <cell r="E193" t="str">
            <v>IBEWOUT</v>
          </cell>
          <cell r="F193" t="str">
            <v>47</v>
          </cell>
          <cell r="G193" t="str">
            <v>7</v>
          </cell>
          <cell r="H193">
            <v>0</v>
          </cell>
        </row>
        <row r="194">
          <cell r="B194">
            <v>3064</v>
          </cell>
          <cell r="C194" t="str">
            <v>Cottelit; Christopher J.</v>
          </cell>
          <cell r="D194" t="str">
            <v>1C</v>
          </cell>
          <cell r="E194" t="str">
            <v>IBEWOUT</v>
          </cell>
          <cell r="F194" t="str">
            <v>47</v>
          </cell>
          <cell r="G194" t="str">
            <v>7</v>
          </cell>
          <cell r="H194">
            <v>0</v>
          </cell>
        </row>
        <row r="195">
          <cell r="B195">
            <v>3067</v>
          </cell>
          <cell r="C195" t="str">
            <v>Cozart; Barry K</v>
          </cell>
          <cell r="D195" t="str">
            <v>1</v>
          </cell>
          <cell r="E195" t="str">
            <v/>
          </cell>
          <cell r="F195" t="str">
            <v/>
          </cell>
          <cell r="G195" t="str">
            <v/>
          </cell>
          <cell r="H195">
            <v>1</v>
          </cell>
        </row>
        <row r="196">
          <cell r="B196">
            <v>3068</v>
          </cell>
          <cell r="C196" t="str">
            <v>Crabtree; Leroy J</v>
          </cell>
          <cell r="D196" t="str">
            <v>1C</v>
          </cell>
          <cell r="E196" t="str">
            <v/>
          </cell>
          <cell r="F196" t="str">
            <v/>
          </cell>
          <cell r="G196" t="str">
            <v/>
          </cell>
          <cell r="H196">
            <v>0</v>
          </cell>
        </row>
        <row r="197">
          <cell r="B197">
            <v>3078</v>
          </cell>
          <cell r="C197" t="str">
            <v>Cresap; Daniel R</v>
          </cell>
          <cell r="D197" t="str">
            <v>1</v>
          </cell>
          <cell r="E197" t="str">
            <v>IBEWOUT</v>
          </cell>
          <cell r="F197" t="str">
            <v>1319</v>
          </cell>
          <cell r="G197" t="str">
            <v>7</v>
          </cell>
          <cell r="H197">
            <v>0</v>
          </cell>
        </row>
        <row r="198">
          <cell r="B198">
            <v>3079</v>
          </cell>
          <cell r="C198" t="str">
            <v>Creighton; Mark Jeffrey</v>
          </cell>
          <cell r="D198" t="str">
            <v>1C</v>
          </cell>
          <cell r="E198" t="str">
            <v>IBEWOUT</v>
          </cell>
          <cell r="F198" t="str">
            <v>125</v>
          </cell>
          <cell r="G198" t="str">
            <v>33</v>
          </cell>
          <cell r="H198">
            <v>0</v>
          </cell>
        </row>
        <row r="199">
          <cell r="B199">
            <v>3082</v>
          </cell>
          <cell r="C199" t="str">
            <v>Cross; Mitchel Dee</v>
          </cell>
          <cell r="D199" t="str">
            <v>1C</v>
          </cell>
          <cell r="E199" t="str">
            <v>IBEWOUT</v>
          </cell>
          <cell r="F199" t="str">
            <v>769</v>
          </cell>
          <cell r="G199" t="str">
            <v>7</v>
          </cell>
          <cell r="H199">
            <v>0</v>
          </cell>
        </row>
        <row r="200">
          <cell r="B200">
            <v>3084</v>
          </cell>
          <cell r="C200" t="str">
            <v>Crowder; Joseph Dennis</v>
          </cell>
          <cell r="D200" t="str">
            <v>1C</v>
          </cell>
          <cell r="E200" t="str">
            <v>IBEWOUT</v>
          </cell>
          <cell r="F200" t="str">
            <v>47</v>
          </cell>
          <cell r="G200" t="str">
            <v>16</v>
          </cell>
          <cell r="H200">
            <v>0</v>
          </cell>
        </row>
        <row r="201">
          <cell r="B201">
            <v>3095</v>
          </cell>
          <cell r="C201" t="str">
            <v>Crites; Eric J</v>
          </cell>
          <cell r="D201" t="str">
            <v>1C</v>
          </cell>
          <cell r="E201" t="str">
            <v>IBEWOUT</v>
          </cell>
          <cell r="F201" t="str">
            <v>1245</v>
          </cell>
          <cell r="G201" t="str">
            <v>60</v>
          </cell>
          <cell r="H201">
            <v>0</v>
          </cell>
        </row>
        <row r="202">
          <cell r="B202">
            <v>3113</v>
          </cell>
          <cell r="C202" t="str">
            <v>Curry; Patrick Michael</v>
          </cell>
          <cell r="D202" t="str">
            <v>1C</v>
          </cell>
          <cell r="E202" t="str">
            <v>IBEWOUT</v>
          </cell>
          <cell r="F202" t="str">
            <v>77</v>
          </cell>
          <cell r="G202" t="str">
            <v>8</v>
          </cell>
          <cell r="H202">
            <v>0</v>
          </cell>
        </row>
        <row r="203">
          <cell r="B203">
            <v>3118</v>
          </cell>
          <cell r="C203" t="str">
            <v>Crupper; David Daniel</v>
          </cell>
          <cell r="D203" t="str">
            <v>1C</v>
          </cell>
          <cell r="E203" t="str">
            <v/>
          </cell>
          <cell r="F203" t="str">
            <v/>
          </cell>
          <cell r="G203" t="str">
            <v/>
          </cell>
          <cell r="H203">
            <v>0</v>
          </cell>
        </row>
        <row r="204">
          <cell r="B204">
            <v>3124</v>
          </cell>
          <cell r="C204" t="str">
            <v>Currie; Dean Anthony</v>
          </cell>
          <cell r="D204" t="str">
            <v>1</v>
          </cell>
          <cell r="E204" t="str">
            <v>IBEWOUT</v>
          </cell>
          <cell r="F204" t="str">
            <v>77</v>
          </cell>
          <cell r="G204" t="str">
            <v>8</v>
          </cell>
          <cell r="H204">
            <v>0</v>
          </cell>
        </row>
        <row r="205">
          <cell r="B205">
            <v>3125</v>
          </cell>
          <cell r="C205" t="str">
            <v>Crouch; Daniel Jennings</v>
          </cell>
          <cell r="D205" t="str">
            <v>1C</v>
          </cell>
          <cell r="E205" t="str">
            <v>IBEWOUT</v>
          </cell>
          <cell r="F205" t="str">
            <v>47</v>
          </cell>
          <cell r="G205" t="str">
            <v>8</v>
          </cell>
          <cell r="H205">
            <v>0</v>
          </cell>
        </row>
        <row r="206">
          <cell r="B206">
            <v>3127</v>
          </cell>
          <cell r="C206" t="str">
            <v>Cummings; Mark R</v>
          </cell>
          <cell r="D206" t="str">
            <v>1</v>
          </cell>
          <cell r="E206" t="str">
            <v/>
          </cell>
          <cell r="F206" t="str">
            <v/>
          </cell>
          <cell r="G206" t="str">
            <v/>
          </cell>
          <cell r="H206">
            <v>0</v>
          </cell>
        </row>
        <row r="207">
          <cell r="B207">
            <v>3140</v>
          </cell>
          <cell r="C207" t="str">
            <v>Crosby; Paul S.</v>
          </cell>
          <cell r="D207" t="str">
            <v>1C</v>
          </cell>
          <cell r="E207" t="str">
            <v>IBEWOUT</v>
          </cell>
          <cell r="F207" t="str">
            <v>769</v>
          </cell>
          <cell r="G207" t="str">
            <v>16</v>
          </cell>
          <cell r="H207">
            <v>0</v>
          </cell>
        </row>
        <row r="208">
          <cell r="B208">
            <v>3301</v>
          </cell>
          <cell r="C208" t="str">
            <v>Daggett; Travis S.</v>
          </cell>
          <cell r="D208" t="str">
            <v>1C</v>
          </cell>
          <cell r="E208" t="str">
            <v/>
          </cell>
          <cell r="F208" t="str">
            <v/>
          </cell>
          <cell r="G208" t="str">
            <v/>
          </cell>
          <cell r="H208">
            <v>1</v>
          </cell>
        </row>
        <row r="209">
          <cell r="B209">
            <v>3310</v>
          </cell>
          <cell r="C209" t="str">
            <v>Dalman; Jerrod W</v>
          </cell>
          <cell r="D209" t="str">
            <v>1</v>
          </cell>
          <cell r="E209" t="str">
            <v>IBEWOUT</v>
          </cell>
          <cell r="F209" t="str">
            <v>602R</v>
          </cell>
          <cell r="G209" t="str">
            <v>8</v>
          </cell>
          <cell r="H209">
            <v>0</v>
          </cell>
        </row>
        <row r="210">
          <cell r="B210">
            <v>3317</v>
          </cell>
          <cell r="C210" t="str">
            <v>Daniels; Dustin J.</v>
          </cell>
          <cell r="D210" t="str">
            <v>1C</v>
          </cell>
          <cell r="E210" t="str">
            <v>IBEWOUT</v>
          </cell>
          <cell r="F210" t="str">
            <v>77</v>
          </cell>
          <cell r="G210" t="str">
            <v>8</v>
          </cell>
          <cell r="H210">
            <v>0</v>
          </cell>
        </row>
        <row r="211">
          <cell r="B211">
            <v>3318</v>
          </cell>
          <cell r="C211" t="str">
            <v>Danielson; Ryan G.</v>
          </cell>
          <cell r="D211" t="str">
            <v>1C</v>
          </cell>
          <cell r="E211" t="str">
            <v>IBEWOUT</v>
          </cell>
          <cell r="F211" t="str">
            <v>769</v>
          </cell>
          <cell r="G211" t="str">
            <v>8</v>
          </cell>
          <cell r="H211">
            <v>0</v>
          </cell>
        </row>
        <row r="212">
          <cell r="B212">
            <v>3320</v>
          </cell>
          <cell r="C212" t="str">
            <v>Danner; Joshua S</v>
          </cell>
          <cell r="D212" t="str">
            <v>1C</v>
          </cell>
          <cell r="E212" t="str">
            <v>IBEWOUT</v>
          </cell>
          <cell r="F212" t="str">
            <v>126</v>
          </cell>
          <cell r="G212" t="str">
            <v>16</v>
          </cell>
          <cell r="H212">
            <v>0</v>
          </cell>
        </row>
        <row r="213">
          <cell r="B213">
            <v>3322</v>
          </cell>
          <cell r="C213" t="str">
            <v>Daugs; Matthew J</v>
          </cell>
          <cell r="D213" t="str">
            <v>1C</v>
          </cell>
          <cell r="E213" t="str">
            <v>IBEWOUT</v>
          </cell>
          <cell r="F213" t="str">
            <v>1245</v>
          </cell>
          <cell r="G213" t="str">
            <v>8</v>
          </cell>
          <cell r="H213">
            <v>0</v>
          </cell>
        </row>
        <row r="214">
          <cell r="B214">
            <v>3324</v>
          </cell>
          <cell r="C214" t="str">
            <v>Daugherty; Jerry Lee</v>
          </cell>
          <cell r="D214" t="str">
            <v>1C</v>
          </cell>
          <cell r="E214" t="str">
            <v>IBEWOUT</v>
          </cell>
          <cell r="F214" t="str">
            <v>1245</v>
          </cell>
          <cell r="G214" t="str">
            <v>8</v>
          </cell>
          <cell r="H214">
            <v>0</v>
          </cell>
        </row>
        <row r="215">
          <cell r="B215">
            <v>3342</v>
          </cell>
          <cell r="C215" t="str">
            <v>Davis; Jayson A</v>
          </cell>
          <cell r="D215" t="str">
            <v>1C</v>
          </cell>
          <cell r="E215" t="str">
            <v>IBEWOUT</v>
          </cell>
          <cell r="F215" t="str">
            <v>126</v>
          </cell>
          <cell r="G215" t="str">
            <v>8</v>
          </cell>
          <cell r="H215">
            <v>0</v>
          </cell>
        </row>
        <row r="216">
          <cell r="B216">
            <v>3367</v>
          </cell>
          <cell r="C216" t="str">
            <v>De La Torre; Filimon V</v>
          </cell>
          <cell r="D216" t="str">
            <v>1C</v>
          </cell>
          <cell r="E216" t="str">
            <v>IBEWOUT</v>
          </cell>
          <cell r="F216" t="str">
            <v>47</v>
          </cell>
          <cell r="G216" t="str">
            <v>17</v>
          </cell>
          <cell r="H216">
            <v>0</v>
          </cell>
        </row>
        <row r="217">
          <cell r="B217">
            <v>3368</v>
          </cell>
          <cell r="C217" t="str">
            <v>Dees; Bradley A</v>
          </cell>
          <cell r="D217" t="str">
            <v>1C</v>
          </cell>
          <cell r="E217" t="str">
            <v>IBEWOUT</v>
          </cell>
          <cell r="F217" t="str">
            <v>1245</v>
          </cell>
          <cell r="G217" t="str">
            <v>8</v>
          </cell>
          <cell r="H217">
            <v>0</v>
          </cell>
        </row>
        <row r="218">
          <cell r="B218">
            <v>3370</v>
          </cell>
          <cell r="C218" t="str">
            <v>Dees; Spencer D</v>
          </cell>
          <cell r="D218" t="str">
            <v>1</v>
          </cell>
          <cell r="E218" t="str">
            <v>IBEWOUT</v>
          </cell>
          <cell r="F218" t="str">
            <v>1319</v>
          </cell>
          <cell r="G218" t="str">
            <v>8</v>
          </cell>
          <cell r="H218">
            <v>0</v>
          </cell>
        </row>
        <row r="219">
          <cell r="B219">
            <v>3375</v>
          </cell>
          <cell r="C219" t="str">
            <v>Demeter III; Richard W</v>
          </cell>
          <cell r="D219" t="str">
            <v>1C</v>
          </cell>
          <cell r="E219" t="str">
            <v/>
          </cell>
          <cell r="F219" t="str">
            <v/>
          </cell>
          <cell r="G219" t="str">
            <v/>
          </cell>
          <cell r="H219">
            <v>0</v>
          </cell>
        </row>
        <row r="220">
          <cell r="B220">
            <v>3376</v>
          </cell>
          <cell r="C220" t="str">
            <v>Demeter; Richard W</v>
          </cell>
          <cell r="D220" t="str">
            <v>1</v>
          </cell>
          <cell r="E220" t="str">
            <v>IBEWOUT</v>
          </cell>
          <cell r="F220" t="str">
            <v>1319</v>
          </cell>
          <cell r="G220" t="str">
            <v>7</v>
          </cell>
          <cell r="H220">
            <v>0</v>
          </cell>
        </row>
        <row r="221">
          <cell r="B221">
            <v>3377</v>
          </cell>
          <cell r="C221" t="str">
            <v>Deal; Nathan W.</v>
          </cell>
          <cell r="D221" t="str">
            <v>1C</v>
          </cell>
          <cell r="E221" t="str">
            <v>IBEWOUT</v>
          </cell>
          <cell r="F221" t="str">
            <v>125</v>
          </cell>
          <cell r="G221" t="str">
            <v>12</v>
          </cell>
          <cell r="H221">
            <v>0</v>
          </cell>
        </row>
        <row r="222">
          <cell r="B222">
            <v>3379</v>
          </cell>
          <cell r="C222" t="str">
            <v>Demerath; Eric G</v>
          </cell>
          <cell r="D222" t="str">
            <v>1C</v>
          </cell>
          <cell r="E222" t="str">
            <v>IBEWOUT</v>
          </cell>
          <cell r="F222" t="str">
            <v>47</v>
          </cell>
          <cell r="G222" t="str">
            <v>8</v>
          </cell>
          <cell r="H222">
            <v>0</v>
          </cell>
        </row>
        <row r="223">
          <cell r="B223">
            <v>3383</v>
          </cell>
          <cell r="C223" t="str">
            <v>Delong; Joseph Henry</v>
          </cell>
          <cell r="D223" t="str">
            <v>1</v>
          </cell>
          <cell r="E223" t="str">
            <v/>
          </cell>
          <cell r="F223" t="str">
            <v/>
          </cell>
          <cell r="G223" t="str">
            <v/>
          </cell>
          <cell r="H223">
            <v>0</v>
          </cell>
        </row>
        <row r="224">
          <cell r="B224">
            <v>3386</v>
          </cell>
          <cell r="C224" t="str">
            <v>Denestan; Hector</v>
          </cell>
          <cell r="D224" t="str">
            <v>1C</v>
          </cell>
          <cell r="E224" t="str">
            <v>IBEWOUT</v>
          </cell>
          <cell r="F224" t="str">
            <v>602R</v>
          </cell>
          <cell r="G224" t="str">
            <v>8</v>
          </cell>
          <cell r="H224">
            <v>0</v>
          </cell>
        </row>
        <row r="225">
          <cell r="B225">
            <v>3388</v>
          </cell>
          <cell r="C225" t="str">
            <v>Del Pizzo; Scott</v>
          </cell>
          <cell r="D225" t="str">
            <v>1</v>
          </cell>
          <cell r="E225" t="str">
            <v>IBEWOUT</v>
          </cell>
          <cell r="F225" t="str">
            <v>77</v>
          </cell>
          <cell r="G225" t="str">
            <v>7</v>
          </cell>
          <cell r="H225">
            <v>0</v>
          </cell>
        </row>
        <row r="226">
          <cell r="B226">
            <v>3389</v>
          </cell>
          <cell r="C226" t="str">
            <v>Deluna; Ricardo</v>
          </cell>
          <cell r="D226" t="str">
            <v>1</v>
          </cell>
          <cell r="E226" t="str">
            <v/>
          </cell>
          <cell r="F226" t="str">
            <v/>
          </cell>
          <cell r="G226" t="str">
            <v/>
          </cell>
          <cell r="H226">
            <v>0</v>
          </cell>
        </row>
        <row r="227">
          <cell r="B227">
            <v>3407</v>
          </cell>
          <cell r="C227" t="str">
            <v>Devine; Chad Emery</v>
          </cell>
          <cell r="D227" t="str">
            <v>1</v>
          </cell>
          <cell r="E227" t="str">
            <v>IBEWOUT</v>
          </cell>
          <cell r="F227" t="str">
            <v>77</v>
          </cell>
          <cell r="G227" t="str">
            <v>1</v>
          </cell>
          <cell r="H227">
            <v>1</v>
          </cell>
        </row>
        <row r="228">
          <cell r="B228">
            <v>3413</v>
          </cell>
          <cell r="C228" t="str">
            <v>Denk; Dean L.</v>
          </cell>
          <cell r="D228" t="str">
            <v>1C</v>
          </cell>
          <cell r="E228" t="str">
            <v>IBEWOUT</v>
          </cell>
          <cell r="F228" t="str">
            <v>769</v>
          </cell>
          <cell r="G228" t="str">
            <v>8</v>
          </cell>
          <cell r="H228">
            <v>0</v>
          </cell>
        </row>
        <row r="229">
          <cell r="B229">
            <v>3417</v>
          </cell>
          <cell r="C229" t="str">
            <v>Domenick; James A</v>
          </cell>
          <cell r="D229" t="str">
            <v>1C</v>
          </cell>
          <cell r="E229" t="str">
            <v>IBEWOUT</v>
          </cell>
          <cell r="F229" t="str">
            <v>396</v>
          </cell>
          <cell r="G229" t="str">
            <v>18</v>
          </cell>
          <cell r="H229">
            <v>0</v>
          </cell>
        </row>
        <row r="230">
          <cell r="B230">
            <v>3425</v>
          </cell>
          <cell r="C230" t="str">
            <v>Dyer; Hailey M</v>
          </cell>
          <cell r="D230" t="str">
            <v>1</v>
          </cell>
          <cell r="E230" t="str">
            <v/>
          </cell>
          <cell r="F230" t="str">
            <v/>
          </cell>
          <cell r="G230" t="str">
            <v/>
          </cell>
          <cell r="H230">
            <v>1</v>
          </cell>
        </row>
        <row r="231">
          <cell r="B231">
            <v>3435</v>
          </cell>
          <cell r="C231" t="str">
            <v>Diaz; Robert H.</v>
          </cell>
          <cell r="D231" t="str">
            <v>1C</v>
          </cell>
          <cell r="E231" t="str">
            <v>IBEWOUT</v>
          </cell>
          <cell r="F231" t="str">
            <v>47</v>
          </cell>
          <cell r="G231" t="str">
            <v>16</v>
          </cell>
          <cell r="H231">
            <v>0</v>
          </cell>
        </row>
        <row r="232">
          <cell r="B232">
            <v>3438</v>
          </cell>
          <cell r="C232" t="str">
            <v>Andrade Diaz; Jose Rolando</v>
          </cell>
          <cell r="D232" t="str">
            <v>1C</v>
          </cell>
          <cell r="E232" t="str">
            <v>IBEWOUT</v>
          </cell>
          <cell r="F232" t="str">
            <v>1245</v>
          </cell>
          <cell r="G232" t="str">
            <v>70</v>
          </cell>
          <cell r="H232">
            <v>0</v>
          </cell>
        </row>
        <row r="233">
          <cell r="B233">
            <v>3439</v>
          </cell>
          <cell r="C233" t="str">
            <v>Diaz; Albert J.</v>
          </cell>
          <cell r="D233" t="str">
            <v>1C</v>
          </cell>
          <cell r="E233" t="str">
            <v>IBEWOUT</v>
          </cell>
          <cell r="F233" t="str">
            <v>769</v>
          </cell>
          <cell r="G233" t="str">
            <v>13</v>
          </cell>
          <cell r="H233">
            <v>0</v>
          </cell>
        </row>
        <row r="234">
          <cell r="B234">
            <v>3465</v>
          </cell>
          <cell r="C234" t="str">
            <v>Dineen; Timothy J.</v>
          </cell>
          <cell r="D234" t="str">
            <v>1C</v>
          </cell>
          <cell r="E234" t="str">
            <v>IBEWOUT</v>
          </cell>
          <cell r="F234" t="str">
            <v>1319</v>
          </cell>
          <cell r="G234" t="str">
            <v>8</v>
          </cell>
          <cell r="H234">
            <v>0</v>
          </cell>
        </row>
        <row r="235">
          <cell r="B235">
            <v>3470</v>
          </cell>
          <cell r="C235" t="str">
            <v>Dixon; Dustin M.</v>
          </cell>
          <cell r="D235" t="str">
            <v>1C</v>
          </cell>
          <cell r="E235" t="str">
            <v>IBEWOUT</v>
          </cell>
          <cell r="F235" t="str">
            <v>1245</v>
          </cell>
          <cell r="G235" t="str">
            <v>8</v>
          </cell>
          <cell r="H235">
            <v>0</v>
          </cell>
        </row>
        <row r="236">
          <cell r="B236">
            <v>3532</v>
          </cell>
          <cell r="C236" t="str">
            <v>Dodd; Richard L</v>
          </cell>
          <cell r="D236" t="str">
            <v>1C</v>
          </cell>
          <cell r="E236" t="str">
            <v>IBEWOUT</v>
          </cell>
          <cell r="F236" t="str">
            <v>77</v>
          </cell>
          <cell r="G236" t="str">
            <v>60</v>
          </cell>
          <cell r="H236">
            <v>0</v>
          </cell>
        </row>
        <row r="237">
          <cell r="B237">
            <v>3537</v>
          </cell>
          <cell r="C237" t="str">
            <v>Dotson; David Lee</v>
          </cell>
          <cell r="D237" t="str">
            <v>1C</v>
          </cell>
          <cell r="E237" t="str">
            <v/>
          </cell>
          <cell r="F237" t="str">
            <v/>
          </cell>
          <cell r="G237" t="str">
            <v/>
          </cell>
          <cell r="H237">
            <v>0</v>
          </cell>
        </row>
        <row r="238">
          <cell r="B238">
            <v>3548</v>
          </cell>
          <cell r="C238" t="str">
            <v>Douglas; Wyatt J</v>
          </cell>
          <cell r="D238" t="str">
            <v>1C</v>
          </cell>
          <cell r="E238" t="str">
            <v/>
          </cell>
          <cell r="F238" t="str">
            <v/>
          </cell>
          <cell r="G238" t="str">
            <v/>
          </cell>
          <cell r="H238">
            <v>1</v>
          </cell>
        </row>
        <row r="239">
          <cell r="B239">
            <v>3549</v>
          </cell>
          <cell r="C239" t="str">
            <v>Early; Darren M</v>
          </cell>
          <cell r="D239" t="str">
            <v>1C</v>
          </cell>
          <cell r="E239" t="str">
            <v/>
          </cell>
          <cell r="F239" t="str">
            <v/>
          </cell>
          <cell r="G239" t="str">
            <v/>
          </cell>
          <cell r="H239">
            <v>0</v>
          </cell>
        </row>
        <row r="240">
          <cell r="B240">
            <v>3550</v>
          </cell>
          <cell r="C240" t="str">
            <v>Giles; Martinez A.</v>
          </cell>
          <cell r="D240" t="str">
            <v>1C</v>
          </cell>
          <cell r="E240" t="str">
            <v>IBEWOUT</v>
          </cell>
          <cell r="F240" t="str">
            <v>1245</v>
          </cell>
          <cell r="G240" t="str">
            <v>8</v>
          </cell>
          <cell r="H240">
            <v>0</v>
          </cell>
        </row>
        <row r="241">
          <cell r="B241">
            <v>3585</v>
          </cell>
          <cell r="C241" t="str">
            <v>Dudley; Eric L</v>
          </cell>
          <cell r="D241" t="str">
            <v>1C</v>
          </cell>
          <cell r="E241" t="str">
            <v>IBEWOUT</v>
          </cell>
          <cell r="F241" t="str">
            <v>125</v>
          </cell>
          <cell r="G241" t="str">
            <v>16</v>
          </cell>
          <cell r="H241">
            <v>0</v>
          </cell>
        </row>
        <row r="242">
          <cell r="B242">
            <v>3588</v>
          </cell>
          <cell r="C242" t="str">
            <v>Duffer; Taylor L</v>
          </cell>
          <cell r="D242" t="str">
            <v>1C</v>
          </cell>
          <cell r="E242" t="str">
            <v>IBEWOUT</v>
          </cell>
          <cell r="F242" t="str">
            <v>769</v>
          </cell>
          <cell r="G242" t="str">
            <v>8</v>
          </cell>
          <cell r="H242">
            <v>0</v>
          </cell>
        </row>
        <row r="243">
          <cell r="B243">
            <v>3594</v>
          </cell>
          <cell r="C243" t="str">
            <v>Duncan; Jerry</v>
          </cell>
          <cell r="D243" t="str">
            <v>1C</v>
          </cell>
          <cell r="E243" t="str">
            <v>IBEWOUT</v>
          </cell>
          <cell r="F243" t="str">
            <v>126</v>
          </cell>
          <cell r="G243" t="str">
            <v>8</v>
          </cell>
          <cell r="H243">
            <v>0</v>
          </cell>
        </row>
        <row r="244">
          <cell r="B244">
            <v>3595</v>
          </cell>
          <cell r="C244" t="str">
            <v>Dungan; Joshua</v>
          </cell>
          <cell r="D244" t="str">
            <v>1C</v>
          </cell>
          <cell r="E244" t="str">
            <v>IBEWOUT</v>
          </cell>
          <cell r="F244" t="str">
            <v>1245</v>
          </cell>
          <cell r="G244" t="str">
            <v>8</v>
          </cell>
          <cell r="H244">
            <v>0</v>
          </cell>
        </row>
        <row r="245">
          <cell r="B245">
            <v>3604</v>
          </cell>
          <cell r="C245" t="str">
            <v>Dove; Noah C.</v>
          </cell>
          <cell r="D245" t="str">
            <v>1</v>
          </cell>
          <cell r="E245" t="str">
            <v>IBEWOUT</v>
          </cell>
          <cell r="F245" t="str">
            <v>77</v>
          </cell>
          <cell r="G245" t="str">
            <v>8</v>
          </cell>
          <cell r="H245">
            <v>0</v>
          </cell>
        </row>
        <row r="246">
          <cell r="B246">
            <v>3610</v>
          </cell>
          <cell r="C246" t="str">
            <v>Driver; Kenneth R</v>
          </cell>
          <cell r="D246" t="str">
            <v>1C</v>
          </cell>
          <cell r="E246" t="str">
            <v>IBEWOUT</v>
          </cell>
          <cell r="F246" t="str">
            <v>1245</v>
          </cell>
          <cell r="G246" t="str">
            <v>17</v>
          </cell>
          <cell r="H246">
            <v>0</v>
          </cell>
        </row>
        <row r="247">
          <cell r="B247">
            <v>3617</v>
          </cell>
          <cell r="C247" t="str">
            <v>Durbano; David L</v>
          </cell>
          <cell r="D247" t="str">
            <v>1</v>
          </cell>
          <cell r="E247" t="str">
            <v/>
          </cell>
          <cell r="F247" t="str">
            <v/>
          </cell>
          <cell r="G247" t="str">
            <v/>
          </cell>
          <cell r="H247">
            <v>1</v>
          </cell>
        </row>
        <row r="248">
          <cell r="B248">
            <v>3618</v>
          </cell>
          <cell r="C248" t="str">
            <v>Doan; Christopher P</v>
          </cell>
          <cell r="D248" t="str">
            <v>1C</v>
          </cell>
          <cell r="E248" t="str">
            <v>IBEWOUT</v>
          </cell>
          <cell r="F248" t="str">
            <v>126</v>
          </cell>
          <cell r="G248" t="str">
            <v>33</v>
          </cell>
          <cell r="H248">
            <v>0</v>
          </cell>
        </row>
        <row r="249">
          <cell r="B249">
            <v>3622</v>
          </cell>
          <cell r="C249" t="str">
            <v>Eberhart; Bradley D</v>
          </cell>
          <cell r="D249" t="str">
            <v>1C</v>
          </cell>
          <cell r="E249" t="str">
            <v>IBEWOUT</v>
          </cell>
          <cell r="F249" t="str">
            <v>77</v>
          </cell>
          <cell r="G249" t="str">
            <v>16</v>
          </cell>
          <cell r="H249">
            <v>0</v>
          </cell>
        </row>
        <row r="250">
          <cell r="B250">
            <v>3623</v>
          </cell>
          <cell r="C250" t="str">
            <v>Eckstein; Blake Robert</v>
          </cell>
          <cell r="D250" t="str">
            <v>1C</v>
          </cell>
          <cell r="E250" t="str">
            <v>IBEWOUT</v>
          </cell>
          <cell r="F250" t="str">
            <v>1245</v>
          </cell>
          <cell r="G250" t="str">
            <v>7</v>
          </cell>
          <cell r="H250">
            <v>0</v>
          </cell>
        </row>
        <row r="251">
          <cell r="B251">
            <v>3625</v>
          </cell>
          <cell r="C251" t="str">
            <v>Edwards; Cole</v>
          </cell>
          <cell r="D251" t="str">
            <v>1C</v>
          </cell>
          <cell r="E251" t="str">
            <v>IBEWOUT</v>
          </cell>
          <cell r="F251" t="str">
            <v>1245</v>
          </cell>
          <cell r="G251" t="str">
            <v>14</v>
          </cell>
          <cell r="H251">
            <v>0</v>
          </cell>
        </row>
        <row r="252">
          <cell r="B252">
            <v>3653</v>
          </cell>
          <cell r="C252" t="str">
            <v>Elliott; Michael Dale</v>
          </cell>
          <cell r="D252" t="str">
            <v>1</v>
          </cell>
          <cell r="E252" t="str">
            <v>IBEWOUT</v>
          </cell>
          <cell r="F252" t="str">
            <v>602R</v>
          </cell>
          <cell r="G252" t="str">
            <v>8</v>
          </cell>
          <cell r="H252">
            <v>0</v>
          </cell>
        </row>
        <row r="253">
          <cell r="B253">
            <v>3764</v>
          </cell>
          <cell r="C253" t="str">
            <v>Eleen; Dawn M.</v>
          </cell>
          <cell r="D253" t="str">
            <v>1</v>
          </cell>
          <cell r="E253" t="str">
            <v/>
          </cell>
          <cell r="F253" t="str">
            <v/>
          </cell>
          <cell r="G253" t="str">
            <v/>
          </cell>
          <cell r="H253">
            <v>0</v>
          </cell>
        </row>
        <row r="254">
          <cell r="B254">
            <v>3766</v>
          </cell>
          <cell r="C254" t="str">
            <v>Eliasen; Edwin H</v>
          </cell>
          <cell r="D254" t="str">
            <v>1</v>
          </cell>
          <cell r="E254" t="str">
            <v>IBEWOUT</v>
          </cell>
          <cell r="F254" t="str">
            <v>602R</v>
          </cell>
          <cell r="G254" t="str">
            <v>7</v>
          </cell>
          <cell r="H254">
            <v>0</v>
          </cell>
        </row>
        <row r="255">
          <cell r="B255">
            <v>3780</v>
          </cell>
          <cell r="C255" t="str">
            <v>Enders; Rodney J.</v>
          </cell>
          <cell r="D255" t="str">
            <v>1</v>
          </cell>
          <cell r="E255" t="str">
            <v/>
          </cell>
          <cell r="F255" t="str">
            <v/>
          </cell>
          <cell r="G255" t="str">
            <v/>
          </cell>
          <cell r="H255">
            <v>0</v>
          </cell>
        </row>
        <row r="256">
          <cell r="B256">
            <v>3781</v>
          </cell>
          <cell r="C256" t="str">
            <v>English II; Alfred Charles</v>
          </cell>
          <cell r="D256" t="str">
            <v>1</v>
          </cell>
          <cell r="E256" t="str">
            <v/>
          </cell>
          <cell r="F256" t="str">
            <v/>
          </cell>
          <cell r="G256" t="str">
            <v/>
          </cell>
          <cell r="H256">
            <v>1</v>
          </cell>
        </row>
        <row r="257">
          <cell r="B257">
            <v>3785</v>
          </cell>
          <cell r="C257" t="str">
            <v>English; Richard R</v>
          </cell>
          <cell r="D257" t="str">
            <v>1</v>
          </cell>
          <cell r="E257" t="str">
            <v/>
          </cell>
          <cell r="F257" t="str">
            <v/>
          </cell>
          <cell r="G257" t="str">
            <v/>
          </cell>
          <cell r="H257">
            <v>0</v>
          </cell>
        </row>
        <row r="258">
          <cell r="B258">
            <v>3937</v>
          </cell>
          <cell r="C258" t="str">
            <v>Erwin; Luke Anthony</v>
          </cell>
          <cell r="D258" t="str">
            <v>1</v>
          </cell>
          <cell r="E258" t="str">
            <v>IBEWOUT</v>
          </cell>
          <cell r="F258" t="str">
            <v>125</v>
          </cell>
          <cell r="G258" t="str">
            <v>7</v>
          </cell>
          <cell r="H258">
            <v>0</v>
          </cell>
        </row>
        <row r="259">
          <cell r="B259">
            <v>3942</v>
          </cell>
          <cell r="C259" t="str">
            <v>Erickson; Clancy W</v>
          </cell>
          <cell r="D259" t="str">
            <v>1</v>
          </cell>
          <cell r="E259" t="str">
            <v>IBEWOUT</v>
          </cell>
          <cell r="F259" t="str">
            <v>1245</v>
          </cell>
          <cell r="G259" t="str">
            <v>8</v>
          </cell>
          <cell r="H259">
            <v>0</v>
          </cell>
        </row>
        <row r="260">
          <cell r="B260">
            <v>3944</v>
          </cell>
          <cell r="C260" t="str">
            <v>Erickson; Mitchell</v>
          </cell>
          <cell r="D260" t="str">
            <v>1C</v>
          </cell>
          <cell r="E260" t="str">
            <v>IBEWOUT</v>
          </cell>
          <cell r="F260" t="str">
            <v>77</v>
          </cell>
          <cell r="G260" t="str">
            <v>17</v>
          </cell>
          <cell r="H260">
            <v>0</v>
          </cell>
        </row>
        <row r="261">
          <cell r="B261">
            <v>3990</v>
          </cell>
          <cell r="C261" t="str">
            <v>Esparza; Joel S.</v>
          </cell>
          <cell r="D261" t="str">
            <v>1C</v>
          </cell>
          <cell r="E261" t="str">
            <v>IBEWOUT</v>
          </cell>
          <cell r="F261" t="str">
            <v>396</v>
          </cell>
          <cell r="G261" t="str">
            <v>8</v>
          </cell>
          <cell r="H261">
            <v>0</v>
          </cell>
        </row>
        <row r="262">
          <cell r="B262">
            <v>4005</v>
          </cell>
          <cell r="C262" t="str">
            <v>Espinoza; Joseph A.</v>
          </cell>
          <cell r="D262" t="str">
            <v>1C</v>
          </cell>
          <cell r="E262" t="str">
            <v>IBEWOUT</v>
          </cell>
          <cell r="F262" t="str">
            <v>47</v>
          </cell>
          <cell r="G262" t="str">
            <v>8</v>
          </cell>
          <cell r="H262">
            <v>0</v>
          </cell>
        </row>
        <row r="263">
          <cell r="B263">
            <v>4052</v>
          </cell>
          <cell r="C263" t="str">
            <v>Farmer; Kolby Romeyn</v>
          </cell>
          <cell r="D263" t="str">
            <v>1C</v>
          </cell>
          <cell r="E263" t="str">
            <v>IBEWOUT</v>
          </cell>
          <cell r="F263" t="str">
            <v>769</v>
          </cell>
          <cell r="G263" t="str">
            <v>8</v>
          </cell>
          <cell r="H263">
            <v>0</v>
          </cell>
        </row>
        <row r="264">
          <cell r="B264">
            <v>4061</v>
          </cell>
          <cell r="C264" t="str">
            <v>Farris; Christopher J</v>
          </cell>
          <cell r="D264" t="str">
            <v>1C</v>
          </cell>
          <cell r="E264" t="str">
            <v>IBEWOUT</v>
          </cell>
          <cell r="F264" t="str">
            <v>1245</v>
          </cell>
          <cell r="G264" t="str">
            <v>7</v>
          </cell>
          <cell r="H264">
            <v>0</v>
          </cell>
        </row>
        <row r="265">
          <cell r="B265">
            <v>4067</v>
          </cell>
          <cell r="C265" t="str">
            <v>Fazio; Joseph A.</v>
          </cell>
          <cell r="D265" t="str">
            <v>1C</v>
          </cell>
          <cell r="E265" t="str">
            <v/>
          </cell>
          <cell r="F265" t="str">
            <v/>
          </cell>
          <cell r="G265" t="str">
            <v/>
          </cell>
          <cell r="H265">
            <v>0</v>
          </cell>
        </row>
        <row r="266">
          <cell r="B266">
            <v>4072</v>
          </cell>
          <cell r="C266" t="str">
            <v>Felts; Dallas Z.</v>
          </cell>
          <cell r="D266" t="str">
            <v>1C</v>
          </cell>
          <cell r="E266" t="str">
            <v>IBEWOUT</v>
          </cell>
          <cell r="F266" t="str">
            <v>47</v>
          </cell>
          <cell r="G266" t="str">
            <v>8</v>
          </cell>
          <cell r="H266">
            <v>0</v>
          </cell>
        </row>
        <row r="267">
          <cell r="B267">
            <v>4075</v>
          </cell>
          <cell r="C267" t="str">
            <v>Ferrara; Jeffrey C.</v>
          </cell>
          <cell r="D267" t="str">
            <v>1C</v>
          </cell>
          <cell r="E267" t="str">
            <v>IBEWOUT</v>
          </cell>
          <cell r="F267" t="str">
            <v>47</v>
          </cell>
          <cell r="G267" t="str">
            <v>17</v>
          </cell>
          <cell r="H267">
            <v>0</v>
          </cell>
        </row>
        <row r="268">
          <cell r="B268">
            <v>4076</v>
          </cell>
          <cell r="C268" t="str">
            <v>Ferrari; Michael T</v>
          </cell>
          <cell r="D268" t="str">
            <v>1C</v>
          </cell>
          <cell r="E268" t="str">
            <v>IBEWOUT</v>
          </cell>
          <cell r="F268" t="str">
            <v>769</v>
          </cell>
          <cell r="G268" t="str">
            <v>10</v>
          </cell>
          <cell r="H268">
            <v>0</v>
          </cell>
        </row>
        <row r="269">
          <cell r="B269">
            <v>4079</v>
          </cell>
          <cell r="C269" t="str">
            <v>Fergus; Jeffrey</v>
          </cell>
          <cell r="D269" t="str">
            <v>1C</v>
          </cell>
          <cell r="E269" t="str">
            <v>IBEWOUT</v>
          </cell>
          <cell r="F269" t="str">
            <v>47</v>
          </cell>
          <cell r="G269" t="str">
            <v>60</v>
          </cell>
          <cell r="H269">
            <v>0</v>
          </cell>
        </row>
        <row r="270">
          <cell r="B270">
            <v>4083</v>
          </cell>
          <cell r="C270" t="str">
            <v>Fesler; Michele V.</v>
          </cell>
          <cell r="D270" t="str">
            <v>1</v>
          </cell>
          <cell r="E270" t="str">
            <v/>
          </cell>
          <cell r="F270" t="str">
            <v/>
          </cell>
          <cell r="G270" t="str">
            <v/>
          </cell>
          <cell r="H270">
            <v>0</v>
          </cell>
        </row>
        <row r="271">
          <cell r="B271">
            <v>4098</v>
          </cell>
          <cell r="C271" t="str">
            <v>Fitzgerald; Thomas L.</v>
          </cell>
          <cell r="D271" t="str">
            <v>1</v>
          </cell>
          <cell r="E271" t="str">
            <v>IBEWOUT</v>
          </cell>
          <cell r="F271" t="str">
            <v>77</v>
          </cell>
          <cell r="G271" t="str">
            <v>1</v>
          </cell>
          <cell r="H271">
            <v>0</v>
          </cell>
        </row>
        <row r="272">
          <cell r="B272">
            <v>4103</v>
          </cell>
          <cell r="C272" t="str">
            <v>Fitzpatrick; John Michael</v>
          </cell>
          <cell r="D272" t="str">
            <v>1C</v>
          </cell>
          <cell r="E272" t="str">
            <v>IBEWOUT</v>
          </cell>
          <cell r="F272" t="str">
            <v>1245</v>
          </cell>
          <cell r="G272" t="str">
            <v>7</v>
          </cell>
          <cell r="H272">
            <v>0</v>
          </cell>
        </row>
        <row r="273">
          <cell r="B273">
            <v>4107</v>
          </cell>
          <cell r="C273" t="str">
            <v>Fisher; Lucas M.</v>
          </cell>
          <cell r="D273" t="str">
            <v>1</v>
          </cell>
          <cell r="E273" t="str">
            <v>IBEWOUT</v>
          </cell>
          <cell r="F273" t="str">
            <v>77</v>
          </cell>
          <cell r="G273" t="str">
            <v>8</v>
          </cell>
          <cell r="H273">
            <v>0</v>
          </cell>
        </row>
        <row r="274">
          <cell r="B274">
            <v>4110</v>
          </cell>
          <cell r="C274" t="str">
            <v>Flanagan; Christopher M</v>
          </cell>
          <cell r="D274" t="str">
            <v>1C</v>
          </cell>
          <cell r="E274" t="str">
            <v>IBEWOUT</v>
          </cell>
          <cell r="F274" t="str">
            <v>47</v>
          </cell>
          <cell r="G274" t="str">
            <v>17</v>
          </cell>
          <cell r="H274">
            <v>0</v>
          </cell>
        </row>
        <row r="275">
          <cell r="B275">
            <v>4115</v>
          </cell>
          <cell r="C275" t="str">
            <v>Flores; Raul D</v>
          </cell>
          <cell r="D275" t="str">
            <v>1</v>
          </cell>
          <cell r="E275" t="str">
            <v>IBEWOUT</v>
          </cell>
          <cell r="F275" t="str">
            <v>1245</v>
          </cell>
          <cell r="G275" t="str">
            <v>7</v>
          </cell>
          <cell r="H275">
            <v>0</v>
          </cell>
        </row>
        <row r="276">
          <cell r="B276">
            <v>4122</v>
          </cell>
          <cell r="C276" t="str">
            <v>Fierro; Anthony</v>
          </cell>
          <cell r="D276" t="str">
            <v>1</v>
          </cell>
          <cell r="E276" t="str">
            <v>IBEWOUT</v>
          </cell>
          <cell r="F276" t="str">
            <v>1245</v>
          </cell>
          <cell r="G276" t="str">
            <v>8</v>
          </cell>
          <cell r="H276">
            <v>0</v>
          </cell>
        </row>
        <row r="277">
          <cell r="B277">
            <v>4129</v>
          </cell>
          <cell r="C277" t="str">
            <v>Flynn; Daniel T.</v>
          </cell>
          <cell r="D277" t="str">
            <v>1</v>
          </cell>
          <cell r="E277" t="str">
            <v>IBEWOUT</v>
          </cell>
          <cell r="F277" t="str">
            <v>1319</v>
          </cell>
          <cell r="G277" t="str">
            <v>8</v>
          </cell>
          <cell r="H277">
            <v>0</v>
          </cell>
        </row>
        <row r="278">
          <cell r="B278">
            <v>4135</v>
          </cell>
          <cell r="C278" t="str">
            <v>Fernandez; Jose A.</v>
          </cell>
          <cell r="D278" t="str">
            <v>1C</v>
          </cell>
          <cell r="E278" t="str">
            <v>IBEWOUT</v>
          </cell>
          <cell r="F278" t="str">
            <v>47</v>
          </cell>
          <cell r="G278" t="str">
            <v>8</v>
          </cell>
          <cell r="H278">
            <v>0</v>
          </cell>
        </row>
        <row r="279">
          <cell r="B279">
            <v>4141</v>
          </cell>
          <cell r="C279" t="str">
            <v>Fitzpatrick; Ryan C.</v>
          </cell>
          <cell r="D279" t="str">
            <v>1C</v>
          </cell>
          <cell r="E279" t="str">
            <v>IBEWOUT</v>
          </cell>
          <cell r="F279" t="str">
            <v>77</v>
          </cell>
          <cell r="G279" t="str">
            <v>10</v>
          </cell>
          <cell r="H279">
            <v>0</v>
          </cell>
        </row>
        <row r="280">
          <cell r="B280">
            <v>4153</v>
          </cell>
          <cell r="C280" t="str">
            <v>Foreman; Shane M</v>
          </cell>
          <cell r="D280" t="str">
            <v>1C</v>
          </cell>
          <cell r="E280" t="str">
            <v>IBEWOUT</v>
          </cell>
          <cell r="F280" t="str">
            <v>769</v>
          </cell>
          <cell r="G280" t="str">
            <v>9</v>
          </cell>
          <cell r="H280">
            <v>0</v>
          </cell>
        </row>
        <row r="281">
          <cell r="B281">
            <v>4155</v>
          </cell>
          <cell r="C281" t="str">
            <v>Fondon; John W</v>
          </cell>
          <cell r="D281" t="str">
            <v>1C</v>
          </cell>
          <cell r="E281" t="str">
            <v>IBEWOUT</v>
          </cell>
          <cell r="F281" t="str">
            <v>1245</v>
          </cell>
          <cell r="G281" t="str">
            <v>8</v>
          </cell>
          <cell r="H281">
            <v>0</v>
          </cell>
        </row>
        <row r="282">
          <cell r="B282">
            <v>4158</v>
          </cell>
          <cell r="C282" t="str">
            <v>Forester; Gilbert R</v>
          </cell>
          <cell r="D282" t="str">
            <v>1</v>
          </cell>
          <cell r="E282" t="str">
            <v>IBEWOUT</v>
          </cell>
          <cell r="F282" t="str">
            <v>602R</v>
          </cell>
          <cell r="G282" t="str">
            <v>33</v>
          </cell>
          <cell r="H282">
            <v>0</v>
          </cell>
        </row>
        <row r="283">
          <cell r="B283">
            <v>4179</v>
          </cell>
          <cell r="C283" t="str">
            <v>Foster; Kyle A.</v>
          </cell>
          <cell r="D283" t="str">
            <v>1C</v>
          </cell>
          <cell r="E283" t="str">
            <v>IBEWOUT</v>
          </cell>
          <cell r="F283" t="str">
            <v>1245</v>
          </cell>
          <cell r="G283" t="str">
            <v>17</v>
          </cell>
          <cell r="H283">
            <v>0</v>
          </cell>
        </row>
        <row r="284">
          <cell r="B284">
            <v>4194</v>
          </cell>
          <cell r="C284" t="str">
            <v>Francis; Adam J</v>
          </cell>
          <cell r="D284" t="str">
            <v>1C</v>
          </cell>
          <cell r="E284" t="str">
            <v>IBEWOUT</v>
          </cell>
          <cell r="F284" t="str">
            <v>47</v>
          </cell>
          <cell r="G284" t="str">
            <v>7</v>
          </cell>
          <cell r="H284">
            <v>0</v>
          </cell>
        </row>
        <row r="285">
          <cell r="B285">
            <v>4196</v>
          </cell>
          <cell r="C285" t="str">
            <v>Francis; Jonathan P</v>
          </cell>
          <cell r="D285" t="str">
            <v>1</v>
          </cell>
          <cell r="E285" t="str">
            <v/>
          </cell>
          <cell r="F285" t="str">
            <v/>
          </cell>
          <cell r="G285" t="str">
            <v/>
          </cell>
          <cell r="H285">
            <v>1</v>
          </cell>
        </row>
        <row r="286">
          <cell r="B286">
            <v>4232</v>
          </cell>
          <cell r="C286" t="str">
            <v>Frederiksen; Shawn A.</v>
          </cell>
          <cell r="D286" t="str">
            <v>1C</v>
          </cell>
          <cell r="E286" t="str">
            <v>IBEWOUT</v>
          </cell>
          <cell r="F286" t="str">
            <v>396</v>
          </cell>
          <cell r="G286" t="str">
            <v>8</v>
          </cell>
          <cell r="H286">
            <v>0</v>
          </cell>
        </row>
        <row r="287">
          <cell r="B287">
            <v>4239</v>
          </cell>
          <cell r="C287" t="str">
            <v>Frazee; Darren R</v>
          </cell>
          <cell r="D287" t="str">
            <v>1C</v>
          </cell>
          <cell r="E287" t="str">
            <v>IBEWOUT</v>
          </cell>
          <cell r="F287" t="str">
            <v>602R</v>
          </cell>
          <cell r="G287" t="str">
            <v>33</v>
          </cell>
          <cell r="H287">
            <v>0</v>
          </cell>
        </row>
        <row r="288">
          <cell r="B288">
            <v>4240</v>
          </cell>
          <cell r="C288" t="str">
            <v>Frazier; Brad L.</v>
          </cell>
          <cell r="D288" t="str">
            <v>1C</v>
          </cell>
          <cell r="E288" t="str">
            <v>IBEWOUT</v>
          </cell>
          <cell r="F288" t="str">
            <v>77</v>
          </cell>
          <cell r="G288" t="str">
            <v>1</v>
          </cell>
          <cell r="H288">
            <v>1</v>
          </cell>
        </row>
        <row r="289">
          <cell r="B289">
            <v>4248</v>
          </cell>
          <cell r="C289" t="str">
            <v>Frei; Jeffrey B</v>
          </cell>
          <cell r="D289" t="str">
            <v>1C</v>
          </cell>
          <cell r="E289" t="str">
            <v>IBEWOUT</v>
          </cell>
          <cell r="F289" t="str">
            <v>1319</v>
          </cell>
          <cell r="G289" t="str">
            <v>8</v>
          </cell>
          <cell r="H289">
            <v>0</v>
          </cell>
        </row>
        <row r="290">
          <cell r="B290">
            <v>4249</v>
          </cell>
          <cell r="C290" t="str">
            <v>Hudson; Freeman L.</v>
          </cell>
          <cell r="D290" t="str">
            <v>1C</v>
          </cell>
          <cell r="E290" t="str">
            <v>IBEWOUT</v>
          </cell>
          <cell r="F290" t="str">
            <v>47</v>
          </cell>
          <cell r="G290" t="str">
            <v>8</v>
          </cell>
          <cell r="H290">
            <v>0</v>
          </cell>
        </row>
        <row r="291">
          <cell r="B291">
            <v>4250</v>
          </cell>
          <cell r="C291" t="str">
            <v>French; Steve K</v>
          </cell>
          <cell r="D291" t="str">
            <v>1</v>
          </cell>
          <cell r="E291" t="str">
            <v>IBEWOUT</v>
          </cell>
          <cell r="F291" t="str">
            <v>125</v>
          </cell>
          <cell r="G291" t="str">
            <v>1</v>
          </cell>
          <cell r="H291">
            <v>0</v>
          </cell>
        </row>
        <row r="292">
          <cell r="B292">
            <v>4270</v>
          </cell>
          <cell r="C292" t="str">
            <v>Fuge; Daniel S</v>
          </cell>
          <cell r="D292" t="str">
            <v>1</v>
          </cell>
          <cell r="E292" t="str">
            <v/>
          </cell>
          <cell r="F292" t="str">
            <v/>
          </cell>
          <cell r="G292" t="str">
            <v/>
          </cell>
          <cell r="H292">
            <v>0</v>
          </cell>
        </row>
        <row r="293">
          <cell r="B293">
            <v>4285</v>
          </cell>
          <cell r="C293" t="str">
            <v>Funez; Marcial</v>
          </cell>
          <cell r="D293" t="str">
            <v>1C</v>
          </cell>
          <cell r="E293" t="str">
            <v>IBEWOUT</v>
          </cell>
          <cell r="F293" t="str">
            <v>769</v>
          </cell>
          <cell r="G293" t="str">
            <v>22</v>
          </cell>
          <cell r="H293">
            <v>0</v>
          </cell>
        </row>
        <row r="294">
          <cell r="B294">
            <v>4330</v>
          </cell>
          <cell r="C294" t="str">
            <v>Gameng; Marlon G.</v>
          </cell>
          <cell r="D294" t="str">
            <v>1C</v>
          </cell>
          <cell r="E294" t="str">
            <v>IBEWOUT</v>
          </cell>
          <cell r="F294" t="str">
            <v>47</v>
          </cell>
          <cell r="G294" t="str">
            <v>60</v>
          </cell>
          <cell r="H294">
            <v>0</v>
          </cell>
        </row>
        <row r="295">
          <cell r="B295">
            <v>4332</v>
          </cell>
          <cell r="C295" t="str">
            <v>Galindo; Tommy</v>
          </cell>
          <cell r="D295" t="str">
            <v>1</v>
          </cell>
          <cell r="E295" t="str">
            <v>IBEWOUT</v>
          </cell>
          <cell r="F295" t="str">
            <v>1049</v>
          </cell>
          <cell r="G295" t="str">
            <v>7</v>
          </cell>
          <cell r="H295">
            <v>0</v>
          </cell>
        </row>
        <row r="296">
          <cell r="B296">
            <v>4341</v>
          </cell>
          <cell r="C296" t="str">
            <v>Fyfe; Dusty John</v>
          </cell>
          <cell r="D296" t="str">
            <v>1</v>
          </cell>
          <cell r="E296" t="str">
            <v>IBEWOUT</v>
          </cell>
          <cell r="F296" t="str">
            <v>602R</v>
          </cell>
          <cell r="G296" t="str">
            <v>7</v>
          </cell>
          <cell r="H296">
            <v>0</v>
          </cell>
        </row>
        <row r="297">
          <cell r="B297">
            <v>4345</v>
          </cell>
          <cell r="C297" t="str">
            <v>Frolov; Gleb</v>
          </cell>
          <cell r="D297" t="str">
            <v>1C</v>
          </cell>
          <cell r="E297" t="str">
            <v>IBEWOUT</v>
          </cell>
          <cell r="F297" t="str">
            <v>47</v>
          </cell>
          <cell r="G297" t="str">
            <v>8</v>
          </cell>
          <cell r="H297">
            <v>0</v>
          </cell>
        </row>
        <row r="298">
          <cell r="B298">
            <v>4348</v>
          </cell>
          <cell r="C298" t="str">
            <v>Fuhs; Kirt R.</v>
          </cell>
          <cell r="D298" t="str">
            <v>1</v>
          </cell>
          <cell r="E298" t="str">
            <v/>
          </cell>
          <cell r="F298" t="str">
            <v/>
          </cell>
          <cell r="G298" t="str">
            <v/>
          </cell>
          <cell r="H298">
            <v>0</v>
          </cell>
        </row>
        <row r="299">
          <cell r="B299">
            <v>4350</v>
          </cell>
          <cell r="C299" t="str">
            <v>Full; Laramie M</v>
          </cell>
          <cell r="D299" t="str">
            <v>1C</v>
          </cell>
          <cell r="E299" t="str">
            <v>IBEWOUT</v>
          </cell>
          <cell r="F299" t="str">
            <v>47</v>
          </cell>
          <cell r="G299" t="str">
            <v>8</v>
          </cell>
          <cell r="H299">
            <v>0</v>
          </cell>
        </row>
        <row r="300">
          <cell r="B300">
            <v>4357</v>
          </cell>
          <cell r="C300" t="str">
            <v>Gage; Matthew Loren</v>
          </cell>
          <cell r="D300" t="str">
            <v>1C</v>
          </cell>
          <cell r="E300" t="str">
            <v>IBEWOUT</v>
          </cell>
          <cell r="F300" t="str">
            <v>125</v>
          </cell>
          <cell r="G300" t="str">
            <v>8</v>
          </cell>
          <cell r="H300">
            <v>0</v>
          </cell>
        </row>
        <row r="301">
          <cell r="B301">
            <v>4358</v>
          </cell>
          <cell r="C301" t="str">
            <v>Gadsby; Terrence P</v>
          </cell>
          <cell r="D301" t="str">
            <v>1C</v>
          </cell>
          <cell r="E301" t="str">
            <v>IBEWOUT</v>
          </cell>
          <cell r="F301" t="str">
            <v>126</v>
          </cell>
          <cell r="G301" t="str">
            <v>10</v>
          </cell>
          <cell r="H301">
            <v>0</v>
          </cell>
        </row>
        <row r="302">
          <cell r="B302">
            <v>4359</v>
          </cell>
          <cell r="C302" t="str">
            <v>Gannon; Jon B.</v>
          </cell>
          <cell r="D302" t="str">
            <v>1</v>
          </cell>
          <cell r="E302" t="str">
            <v>IBEWOUT</v>
          </cell>
          <cell r="F302" t="str">
            <v>77</v>
          </cell>
          <cell r="G302" t="str">
            <v>1</v>
          </cell>
          <cell r="H302">
            <v>0</v>
          </cell>
        </row>
        <row r="303">
          <cell r="B303">
            <v>4370</v>
          </cell>
          <cell r="C303" t="str">
            <v>Gardner; Michael Lynn</v>
          </cell>
          <cell r="D303" t="str">
            <v>1C</v>
          </cell>
          <cell r="E303" t="str">
            <v>IBEWOUT</v>
          </cell>
          <cell r="F303" t="str">
            <v>125</v>
          </cell>
          <cell r="G303" t="str">
            <v>33</v>
          </cell>
          <cell r="H303">
            <v>0</v>
          </cell>
        </row>
        <row r="304">
          <cell r="B304">
            <v>4371</v>
          </cell>
          <cell r="C304" t="str">
            <v>Garcia; Nathan M.</v>
          </cell>
          <cell r="D304" t="str">
            <v>1C</v>
          </cell>
          <cell r="E304" t="str">
            <v>IBEWOUT</v>
          </cell>
          <cell r="F304" t="str">
            <v>611</v>
          </cell>
          <cell r="G304" t="str">
            <v>17</v>
          </cell>
          <cell r="H304">
            <v>0</v>
          </cell>
        </row>
        <row r="305">
          <cell r="B305">
            <v>4373</v>
          </cell>
          <cell r="C305" t="str">
            <v>Gardner; Mitchell T.</v>
          </cell>
          <cell r="D305" t="str">
            <v>1C</v>
          </cell>
          <cell r="E305" t="str">
            <v>IBEWOUT</v>
          </cell>
          <cell r="F305" t="str">
            <v>1245</v>
          </cell>
          <cell r="G305" t="str">
            <v>8</v>
          </cell>
          <cell r="H305">
            <v>0</v>
          </cell>
        </row>
        <row r="306">
          <cell r="B306">
            <v>4375</v>
          </cell>
          <cell r="C306" t="str">
            <v>Gardner; Jacob W.</v>
          </cell>
          <cell r="D306" t="str">
            <v>1</v>
          </cell>
          <cell r="E306" t="str">
            <v>IBEWOUT</v>
          </cell>
          <cell r="F306" t="str">
            <v>602R</v>
          </cell>
          <cell r="G306" t="str">
            <v>8</v>
          </cell>
          <cell r="H306">
            <v>0</v>
          </cell>
        </row>
        <row r="307">
          <cell r="B307">
            <v>4381</v>
          </cell>
          <cell r="C307" t="str">
            <v>Garcia; David D.</v>
          </cell>
          <cell r="D307" t="str">
            <v>1C</v>
          </cell>
          <cell r="E307" t="str">
            <v>IBEWOUT</v>
          </cell>
          <cell r="F307" t="str">
            <v>769</v>
          </cell>
          <cell r="G307" t="str">
            <v>8</v>
          </cell>
          <cell r="H307">
            <v>0</v>
          </cell>
        </row>
        <row r="308">
          <cell r="B308">
            <v>4390</v>
          </cell>
          <cell r="C308" t="str">
            <v>Gallaher; Adam C</v>
          </cell>
          <cell r="D308" t="str">
            <v>1C</v>
          </cell>
          <cell r="E308" t="str">
            <v>IBEWOUT</v>
          </cell>
          <cell r="F308" t="str">
            <v>126</v>
          </cell>
          <cell r="G308" t="str">
            <v>8</v>
          </cell>
          <cell r="H308">
            <v>0</v>
          </cell>
        </row>
        <row r="309">
          <cell r="B309">
            <v>4392</v>
          </cell>
          <cell r="C309" t="str">
            <v>Garcia; Albert A</v>
          </cell>
          <cell r="D309" t="str">
            <v>1C</v>
          </cell>
          <cell r="E309" t="str">
            <v>IBEWOUT</v>
          </cell>
          <cell r="F309" t="str">
            <v>47</v>
          </cell>
          <cell r="G309" t="str">
            <v>17</v>
          </cell>
          <cell r="H309">
            <v>0</v>
          </cell>
        </row>
        <row r="310">
          <cell r="B310">
            <v>4394</v>
          </cell>
          <cell r="C310" t="str">
            <v>Garcia; Kris</v>
          </cell>
          <cell r="D310" t="str">
            <v>1C</v>
          </cell>
          <cell r="E310" t="str">
            <v>IBEWOUT</v>
          </cell>
          <cell r="F310" t="str">
            <v>611</v>
          </cell>
          <cell r="G310" t="str">
            <v>10</v>
          </cell>
          <cell r="H310">
            <v>0</v>
          </cell>
        </row>
        <row r="311">
          <cell r="B311">
            <v>4398</v>
          </cell>
          <cell r="C311" t="str">
            <v>Garcia; Hafid</v>
          </cell>
          <cell r="D311" t="str">
            <v>1C</v>
          </cell>
          <cell r="E311" t="str">
            <v>IBEWOUT</v>
          </cell>
          <cell r="F311" t="str">
            <v>1245</v>
          </cell>
          <cell r="G311" t="str">
            <v>8</v>
          </cell>
          <cell r="H311">
            <v>0</v>
          </cell>
        </row>
        <row r="312">
          <cell r="B312">
            <v>4402</v>
          </cell>
          <cell r="C312" t="str">
            <v>Garcia; Israel J</v>
          </cell>
          <cell r="D312" t="str">
            <v>1C</v>
          </cell>
          <cell r="E312" t="str">
            <v>IBEWOUT</v>
          </cell>
          <cell r="F312" t="str">
            <v>611</v>
          </cell>
          <cell r="G312" t="str">
            <v>13</v>
          </cell>
          <cell r="H312">
            <v>0</v>
          </cell>
        </row>
        <row r="313">
          <cell r="B313">
            <v>4405</v>
          </cell>
          <cell r="C313" t="str">
            <v>Gatlin; Brian R</v>
          </cell>
          <cell r="D313" t="str">
            <v>1C</v>
          </cell>
          <cell r="E313" t="str">
            <v>IBEWOUT</v>
          </cell>
          <cell r="F313" t="str">
            <v>125</v>
          </cell>
          <cell r="G313" t="str">
            <v>15</v>
          </cell>
          <cell r="H313">
            <v>0</v>
          </cell>
        </row>
        <row r="314">
          <cell r="B314">
            <v>4420</v>
          </cell>
          <cell r="C314" t="str">
            <v>Garcia; Leonel V.</v>
          </cell>
          <cell r="D314" t="str">
            <v>1C</v>
          </cell>
          <cell r="E314" t="str">
            <v>IBEWOUT</v>
          </cell>
          <cell r="F314" t="str">
            <v>769</v>
          </cell>
          <cell r="G314" t="str">
            <v>8</v>
          </cell>
          <cell r="H314">
            <v>0</v>
          </cell>
        </row>
        <row r="315">
          <cell r="B315">
            <v>4431</v>
          </cell>
          <cell r="C315" t="str">
            <v>Gebhart; Tanner A</v>
          </cell>
          <cell r="D315" t="str">
            <v>1C</v>
          </cell>
          <cell r="E315" t="str">
            <v>IBEWOUT</v>
          </cell>
          <cell r="F315" t="str">
            <v>602R</v>
          </cell>
          <cell r="G315" t="str">
            <v>8</v>
          </cell>
          <cell r="H315">
            <v>0</v>
          </cell>
        </row>
        <row r="316">
          <cell r="B316">
            <v>4440</v>
          </cell>
          <cell r="C316" t="str">
            <v>Gerber Jr; Christian</v>
          </cell>
          <cell r="D316" t="str">
            <v>1C</v>
          </cell>
          <cell r="E316" t="str">
            <v>IBEWOUT</v>
          </cell>
          <cell r="F316" t="str">
            <v>126</v>
          </cell>
          <cell r="G316" t="str">
            <v>14</v>
          </cell>
          <cell r="H316">
            <v>0</v>
          </cell>
        </row>
        <row r="317">
          <cell r="B317">
            <v>4441</v>
          </cell>
          <cell r="C317" t="str">
            <v>Germany; Micah K</v>
          </cell>
          <cell r="D317" t="str">
            <v>1C</v>
          </cell>
          <cell r="E317" t="str">
            <v>IBEWOUT</v>
          </cell>
          <cell r="F317" t="str">
            <v>1245</v>
          </cell>
          <cell r="G317" t="str">
            <v>16</v>
          </cell>
          <cell r="H317">
            <v>0</v>
          </cell>
        </row>
        <row r="318">
          <cell r="B318">
            <v>4442</v>
          </cell>
          <cell r="C318" t="str">
            <v>Germany; Sammy R</v>
          </cell>
          <cell r="D318" t="str">
            <v>1</v>
          </cell>
          <cell r="E318" t="str">
            <v>IBEWOUT</v>
          </cell>
          <cell r="F318" t="str">
            <v>1245</v>
          </cell>
          <cell r="G318" t="str">
            <v>7</v>
          </cell>
          <cell r="H318">
            <v>0</v>
          </cell>
        </row>
        <row r="319">
          <cell r="B319">
            <v>4443</v>
          </cell>
          <cell r="C319" t="str">
            <v>Gertsch; Dennis W</v>
          </cell>
          <cell r="D319" t="str">
            <v>1</v>
          </cell>
          <cell r="E319" t="str">
            <v>IBEWIN</v>
          </cell>
          <cell r="F319" t="str">
            <v>280</v>
          </cell>
          <cell r="G319" t="str">
            <v>61</v>
          </cell>
          <cell r="H319">
            <v>0</v>
          </cell>
        </row>
        <row r="320">
          <cell r="B320">
            <v>4526</v>
          </cell>
          <cell r="C320" t="str">
            <v>Godeke; Joel</v>
          </cell>
          <cell r="D320" t="str">
            <v>1C</v>
          </cell>
          <cell r="E320" t="str">
            <v>IBEWOUT</v>
          </cell>
          <cell r="F320" t="str">
            <v>47</v>
          </cell>
          <cell r="G320" t="str">
            <v>60</v>
          </cell>
          <cell r="H320">
            <v>0</v>
          </cell>
        </row>
        <row r="321">
          <cell r="B321">
            <v>4530</v>
          </cell>
          <cell r="C321" t="str">
            <v>Godick; Dolph D.</v>
          </cell>
          <cell r="D321" t="str">
            <v>1C</v>
          </cell>
          <cell r="E321" t="str">
            <v>IBEWOUT</v>
          </cell>
          <cell r="F321" t="str">
            <v>769</v>
          </cell>
          <cell r="G321" t="str">
            <v>16</v>
          </cell>
          <cell r="H321">
            <v>0</v>
          </cell>
        </row>
        <row r="322">
          <cell r="B322">
            <v>4535</v>
          </cell>
          <cell r="C322" t="str">
            <v>Goodrich; Thadeus J.</v>
          </cell>
          <cell r="D322" t="str">
            <v>1C</v>
          </cell>
          <cell r="E322" t="str">
            <v>IBEWOUT</v>
          </cell>
          <cell r="F322" t="str">
            <v>77</v>
          </cell>
          <cell r="G322" t="str">
            <v>17</v>
          </cell>
          <cell r="H322">
            <v>0</v>
          </cell>
        </row>
        <row r="323">
          <cell r="B323">
            <v>4542</v>
          </cell>
          <cell r="C323" t="str">
            <v>Gordon; Robert S</v>
          </cell>
          <cell r="D323" t="str">
            <v>1C</v>
          </cell>
          <cell r="E323" t="str">
            <v>IBEWOUT</v>
          </cell>
          <cell r="F323" t="str">
            <v>1245</v>
          </cell>
          <cell r="G323" t="str">
            <v>17</v>
          </cell>
          <cell r="H323">
            <v>0</v>
          </cell>
        </row>
        <row r="324">
          <cell r="B324">
            <v>4556</v>
          </cell>
          <cell r="C324" t="str">
            <v>Gonzales; Isaiah C.</v>
          </cell>
          <cell r="D324" t="str">
            <v>1C</v>
          </cell>
          <cell r="E324" t="str">
            <v>IBEWOUT</v>
          </cell>
          <cell r="F324" t="str">
            <v>769</v>
          </cell>
          <cell r="G324" t="str">
            <v>14</v>
          </cell>
          <cell r="H324">
            <v>0</v>
          </cell>
        </row>
        <row r="325">
          <cell r="B325">
            <v>4557</v>
          </cell>
          <cell r="C325" t="str">
            <v>Gordon; Austin K</v>
          </cell>
          <cell r="D325" t="str">
            <v>1C</v>
          </cell>
          <cell r="E325" t="str">
            <v/>
          </cell>
          <cell r="F325" t="str">
            <v/>
          </cell>
          <cell r="G325" t="str">
            <v/>
          </cell>
          <cell r="H325">
            <v>0</v>
          </cell>
        </row>
        <row r="326">
          <cell r="B326">
            <v>4558</v>
          </cell>
          <cell r="C326" t="str">
            <v>Gordon; Cody Richard</v>
          </cell>
          <cell r="D326" t="str">
            <v>1C</v>
          </cell>
          <cell r="E326" t="str">
            <v>IBEWOUT</v>
          </cell>
          <cell r="F326" t="str">
            <v>1245</v>
          </cell>
          <cell r="G326" t="str">
            <v>8</v>
          </cell>
          <cell r="H326">
            <v>0</v>
          </cell>
        </row>
        <row r="327">
          <cell r="B327">
            <v>4563</v>
          </cell>
          <cell r="C327" t="str">
            <v>Gordon; Seth</v>
          </cell>
          <cell r="D327" t="str">
            <v>1C</v>
          </cell>
          <cell r="E327" t="str">
            <v/>
          </cell>
          <cell r="F327" t="str">
            <v/>
          </cell>
          <cell r="G327" t="str">
            <v/>
          </cell>
          <cell r="H327">
            <v>1</v>
          </cell>
        </row>
        <row r="328">
          <cell r="B328">
            <v>4564</v>
          </cell>
          <cell r="C328" t="str">
            <v>Gomez; Angel S.</v>
          </cell>
          <cell r="D328" t="str">
            <v>1C</v>
          </cell>
          <cell r="E328" t="str">
            <v>IBEWOUT</v>
          </cell>
          <cell r="F328" t="str">
            <v>1319</v>
          </cell>
          <cell r="G328" t="str">
            <v>20</v>
          </cell>
          <cell r="H328">
            <v>0</v>
          </cell>
        </row>
        <row r="329">
          <cell r="B329">
            <v>4567</v>
          </cell>
          <cell r="C329" t="str">
            <v>Gonzales; Francisco</v>
          </cell>
          <cell r="D329" t="str">
            <v>1C</v>
          </cell>
          <cell r="E329" t="str">
            <v>IBEWOUT</v>
          </cell>
          <cell r="F329" t="str">
            <v>769</v>
          </cell>
          <cell r="G329" t="str">
            <v>22</v>
          </cell>
          <cell r="H329">
            <v>0</v>
          </cell>
        </row>
        <row r="330">
          <cell r="B330">
            <v>4630</v>
          </cell>
          <cell r="C330" t="str">
            <v>Gibby; Geoffrey S.</v>
          </cell>
          <cell r="D330" t="str">
            <v>1C</v>
          </cell>
          <cell r="E330" t="str">
            <v>IBEWOUT</v>
          </cell>
          <cell r="F330" t="str">
            <v>47</v>
          </cell>
          <cell r="G330" t="str">
            <v>8</v>
          </cell>
          <cell r="H330">
            <v>0</v>
          </cell>
        </row>
        <row r="331">
          <cell r="B331">
            <v>4640</v>
          </cell>
          <cell r="C331" t="str">
            <v>Gilman Jr.; David G.</v>
          </cell>
          <cell r="D331" t="str">
            <v>1C</v>
          </cell>
          <cell r="E331" t="str">
            <v>IBEWOUT</v>
          </cell>
          <cell r="F331" t="str">
            <v>611</v>
          </cell>
          <cell r="G331" t="str">
            <v>8</v>
          </cell>
          <cell r="H331">
            <v>0</v>
          </cell>
        </row>
        <row r="332">
          <cell r="B332">
            <v>4645</v>
          </cell>
          <cell r="C332" t="str">
            <v>Gilkison; Glen W.</v>
          </cell>
          <cell r="D332" t="str">
            <v>1</v>
          </cell>
          <cell r="E332" t="str">
            <v/>
          </cell>
          <cell r="F332" t="str">
            <v/>
          </cell>
          <cell r="G332" t="str">
            <v/>
          </cell>
          <cell r="H332">
            <v>1</v>
          </cell>
        </row>
        <row r="333">
          <cell r="B333">
            <v>4673</v>
          </cell>
          <cell r="C333" t="str">
            <v>Gibbs; Bruce Everett</v>
          </cell>
          <cell r="D333" t="str">
            <v>1C</v>
          </cell>
          <cell r="E333" t="str">
            <v>IBEWOUT</v>
          </cell>
          <cell r="F333" t="str">
            <v>396</v>
          </cell>
          <cell r="G333" t="str">
            <v>33</v>
          </cell>
          <cell r="H333">
            <v>0</v>
          </cell>
        </row>
        <row r="334">
          <cell r="B334">
            <v>4674</v>
          </cell>
          <cell r="C334" t="str">
            <v>George; Benjamin A</v>
          </cell>
          <cell r="D334" t="str">
            <v>1</v>
          </cell>
          <cell r="E334" t="str">
            <v/>
          </cell>
          <cell r="F334" t="str">
            <v/>
          </cell>
          <cell r="G334" t="str">
            <v/>
          </cell>
          <cell r="H334">
            <v>0</v>
          </cell>
        </row>
        <row r="335">
          <cell r="B335">
            <v>4675</v>
          </cell>
          <cell r="C335" t="str">
            <v>George; Marcus</v>
          </cell>
          <cell r="D335" t="str">
            <v>1C</v>
          </cell>
          <cell r="E335" t="str">
            <v>IBEWOUT</v>
          </cell>
          <cell r="F335" t="str">
            <v>769</v>
          </cell>
          <cell r="G335" t="str">
            <v>22</v>
          </cell>
          <cell r="H335">
            <v>0</v>
          </cell>
        </row>
        <row r="336">
          <cell r="B336">
            <v>4693</v>
          </cell>
          <cell r="C336" t="str">
            <v>Gitkos Jr; Anthony F</v>
          </cell>
          <cell r="D336" t="str">
            <v>1</v>
          </cell>
          <cell r="E336" t="str">
            <v>IBEWOUT</v>
          </cell>
          <cell r="F336" t="str">
            <v>1319</v>
          </cell>
          <cell r="G336" t="str">
            <v>8</v>
          </cell>
          <cell r="H336">
            <v>0</v>
          </cell>
        </row>
        <row r="337">
          <cell r="B337">
            <v>4694</v>
          </cell>
          <cell r="C337" t="str">
            <v>Gitts; Gary W</v>
          </cell>
          <cell r="D337" t="str">
            <v>1</v>
          </cell>
          <cell r="E337" t="str">
            <v/>
          </cell>
          <cell r="F337" t="str">
            <v/>
          </cell>
          <cell r="G337" t="str">
            <v/>
          </cell>
          <cell r="H337">
            <v>0</v>
          </cell>
        </row>
        <row r="338">
          <cell r="B338">
            <v>4698</v>
          </cell>
          <cell r="C338" t="str">
            <v>Giguere; Jacob Robert</v>
          </cell>
          <cell r="D338" t="str">
            <v>1</v>
          </cell>
          <cell r="E338" t="str">
            <v>IBEWOUT</v>
          </cell>
          <cell r="F338" t="str">
            <v>77</v>
          </cell>
          <cell r="G338" t="str">
            <v>7</v>
          </cell>
          <cell r="H338">
            <v>0</v>
          </cell>
        </row>
        <row r="339">
          <cell r="B339">
            <v>4709</v>
          </cell>
          <cell r="C339" t="str">
            <v>Glasser; James T</v>
          </cell>
          <cell r="D339" t="str">
            <v>1C</v>
          </cell>
          <cell r="E339" t="str">
            <v>IBEWOUT</v>
          </cell>
          <cell r="F339" t="str">
            <v>47</v>
          </cell>
          <cell r="G339" t="str">
            <v>16</v>
          </cell>
          <cell r="H339">
            <v>0</v>
          </cell>
        </row>
        <row r="340">
          <cell r="B340">
            <v>4718</v>
          </cell>
          <cell r="C340" t="str">
            <v>Gravos; Jason D.</v>
          </cell>
          <cell r="D340" t="str">
            <v>1C</v>
          </cell>
          <cell r="E340" t="str">
            <v>IBEWOUT</v>
          </cell>
          <cell r="F340" t="str">
            <v>77</v>
          </cell>
          <cell r="G340" t="str">
            <v>8</v>
          </cell>
          <cell r="H340">
            <v>0</v>
          </cell>
        </row>
        <row r="341">
          <cell r="B341">
            <v>4721</v>
          </cell>
          <cell r="C341" t="str">
            <v>Graham; Zachary T</v>
          </cell>
          <cell r="D341" t="str">
            <v>1C</v>
          </cell>
          <cell r="E341" t="str">
            <v>IBEWOUT</v>
          </cell>
          <cell r="F341" t="str">
            <v>47</v>
          </cell>
          <cell r="G341" t="str">
            <v>8</v>
          </cell>
          <cell r="H341">
            <v>0</v>
          </cell>
        </row>
        <row r="342">
          <cell r="B342">
            <v>4722</v>
          </cell>
          <cell r="C342" t="str">
            <v>Graham; Wesley D</v>
          </cell>
          <cell r="D342" t="str">
            <v>1C</v>
          </cell>
          <cell r="E342" t="str">
            <v>IBEWOUT</v>
          </cell>
          <cell r="F342" t="str">
            <v>1245</v>
          </cell>
          <cell r="G342" t="str">
            <v>1</v>
          </cell>
          <cell r="H342">
            <v>0</v>
          </cell>
        </row>
        <row r="343">
          <cell r="B343">
            <v>4723</v>
          </cell>
          <cell r="C343" t="str">
            <v>Graebel; Pascal Ferling</v>
          </cell>
          <cell r="D343" t="str">
            <v>1C</v>
          </cell>
          <cell r="E343" t="str">
            <v>IBEWOUT</v>
          </cell>
          <cell r="F343" t="str">
            <v>1245</v>
          </cell>
          <cell r="G343" t="str">
            <v>8</v>
          </cell>
          <cell r="H343">
            <v>0</v>
          </cell>
        </row>
        <row r="344">
          <cell r="B344">
            <v>4724</v>
          </cell>
          <cell r="C344" t="str">
            <v>Grantham; Joshua O</v>
          </cell>
          <cell r="D344" t="str">
            <v>1C</v>
          </cell>
          <cell r="E344" t="str">
            <v>IBEWOUT</v>
          </cell>
          <cell r="F344" t="str">
            <v>1245</v>
          </cell>
          <cell r="G344" t="str">
            <v>8</v>
          </cell>
          <cell r="H344">
            <v>0</v>
          </cell>
        </row>
        <row r="345">
          <cell r="B345">
            <v>4725</v>
          </cell>
          <cell r="C345" t="str">
            <v>Grantham; Benjamin</v>
          </cell>
          <cell r="D345" t="str">
            <v>1C</v>
          </cell>
          <cell r="E345" t="str">
            <v>IBEWOUT</v>
          </cell>
          <cell r="F345" t="str">
            <v>1245</v>
          </cell>
          <cell r="G345" t="str">
            <v>8</v>
          </cell>
          <cell r="H345">
            <v>0</v>
          </cell>
        </row>
        <row r="346">
          <cell r="B346">
            <v>4746</v>
          </cell>
          <cell r="C346" t="str">
            <v>Green; Michael R</v>
          </cell>
          <cell r="D346" t="str">
            <v>1</v>
          </cell>
          <cell r="E346" t="str">
            <v>IBEWOUT</v>
          </cell>
          <cell r="F346" t="str">
            <v>77</v>
          </cell>
          <cell r="G346" t="str">
            <v>13</v>
          </cell>
          <cell r="H346">
            <v>0</v>
          </cell>
        </row>
        <row r="347">
          <cell r="B347">
            <v>4749</v>
          </cell>
          <cell r="C347" t="str">
            <v>Green; Jacob E.</v>
          </cell>
          <cell r="D347" t="str">
            <v>1C</v>
          </cell>
          <cell r="E347" t="str">
            <v>IBEWOUT</v>
          </cell>
          <cell r="F347" t="str">
            <v>1245</v>
          </cell>
          <cell r="G347" t="str">
            <v>8</v>
          </cell>
          <cell r="H347">
            <v>0</v>
          </cell>
        </row>
        <row r="348">
          <cell r="B348">
            <v>4751</v>
          </cell>
          <cell r="C348" t="str">
            <v>Gutierrez; Edgar</v>
          </cell>
          <cell r="D348" t="str">
            <v>1C</v>
          </cell>
          <cell r="E348" t="str">
            <v>IBEWOUT</v>
          </cell>
          <cell r="F348" t="str">
            <v>47</v>
          </cell>
          <cell r="G348" t="str">
            <v>17</v>
          </cell>
          <cell r="H348">
            <v>0</v>
          </cell>
        </row>
        <row r="349">
          <cell r="B349">
            <v>4752</v>
          </cell>
          <cell r="C349" t="str">
            <v>Gutierrez; Fernando N</v>
          </cell>
          <cell r="D349" t="str">
            <v>1C</v>
          </cell>
          <cell r="E349" t="str">
            <v>IBEWOUT</v>
          </cell>
          <cell r="F349" t="str">
            <v>1245</v>
          </cell>
          <cell r="G349" t="str">
            <v>8</v>
          </cell>
          <cell r="H349">
            <v>0</v>
          </cell>
        </row>
        <row r="350">
          <cell r="B350">
            <v>4754</v>
          </cell>
          <cell r="C350" t="str">
            <v>Greer; Rebecca J.</v>
          </cell>
          <cell r="D350" t="str">
            <v>1C</v>
          </cell>
          <cell r="E350" t="str">
            <v/>
          </cell>
          <cell r="F350" t="str">
            <v/>
          </cell>
          <cell r="G350" t="str">
            <v/>
          </cell>
          <cell r="H350">
            <v>1</v>
          </cell>
        </row>
        <row r="351">
          <cell r="B351">
            <v>4764</v>
          </cell>
          <cell r="C351" t="str">
            <v>Greer; Arnold Joseph Jay</v>
          </cell>
          <cell r="D351" t="str">
            <v>1C</v>
          </cell>
          <cell r="E351" t="str">
            <v>IBEWOUT</v>
          </cell>
          <cell r="F351" t="str">
            <v>1245</v>
          </cell>
          <cell r="G351" t="str">
            <v>8</v>
          </cell>
          <cell r="H351">
            <v>0</v>
          </cell>
        </row>
        <row r="352">
          <cell r="B352">
            <v>4785</v>
          </cell>
          <cell r="C352" t="str">
            <v>Gross; Michael B</v>
          </cell>
          <cell r="D352" t="str">
            <v>1C</v>
          </cell>
          <cell r="E352" t="str">
            <v>IBEWOUT</v>
          </cell>
          <cell r="F352" t="str">
            <v>602R</v>
          </cell>
          <cell r="G352" t="str">
            <v>8</v>
          </cell>
          <cell r="H352">
            <v>0</v>
          </cell>
        </row>
        <row r="353">
          <cell r="B353">
            <v>4788</v>
          </cell>
          <cell r="C353" t="str">
            <v>Grover; Michael Paul</v>
          </cell>
          <cell r="D353" t="str">
            <v>1</v>
          </cell>
          <cell r="E353" t="str">
            <v/>
          </cell>
          <cell r="F353" t="str">
            <v/>
          </cell>
          <cell r="G353" t="str">
            <v/>
          </cell>
          <cell r="H353">
            <v>0</v>
          </cell>
        </row>
        <row r="354">
          <cell r="B354">
            <v>4807</v>
          </cell>
          <cell r="C354" t="str">
            <v>Gummig; Zechariah A</v>
          </cell>
          <cell r="D354" t="str">
            <v>1C</v>
          </cell>
          <cell r="E354" t="str">
            <v>IBEWOUT</v>
          </cell>
          <cell r="F354" t="str">
            <v>47</v>
          </cell>
          <cell r="G354" t="str">
            <v>8</v>
          </cell>
          <cell r="H354">
            <v>0</v>
          </cell>
        </row>
        <row r="355">
          <cell r="B355">
            <v>4817</v>
          </cell>
          <cell r="C355" t="str">
            <v>Grunst; Gary C.</v>
          </cell>
          <cell r="D355" t="str">
            <v>1</v>
          </cell>
          <cell r="E355" t="str">
            <v/>
          </cell>
          <cell r="F355" t="str">
            <v/>
          </cell>
          <cell r="G355" t="str">
            <v/>
          </cell>
          <cell r="H355">
            <v>1</v>
          </cell>
        </row>
        <row r="356">
          <cell r="B356">
            <v>4821</v>
          </cell>
          <cell r="C356" t="str">
            <v>Gunn; Larry O</v>
          </cell>
          <cell r="D356" t="str">
            <v>1C</v>
          </cell>
          <cell r="E356" t="str">
            <v/>
          </cell>
          <cell r="F356" t="str">
            <v/>
          </cell>
          <cell r="G356" t="str">
            <v/>
          </cell>
          <cell r="H356">
            <v>1</v>
          </cell>
        </row>
        <row r="357">
          <cell r="B357">
            <v>4829</v>
          </cell>
          <cell r="C357" t="str">
            <v>Haase; Eric N</v>
          </cell>
          <cell r="D357" t="str">
            <v>1C</v>
          </cell>
          <cell r="E357" t="str">
            <v>IBEWOUT</v>
          </cell>
          <cell r="F357" t="str">
            <v>125</v>
          </cell>
          <cell r="G357" t="str">
            <v>16</v>
          </cell>
          <cell r="H357">
            <v>0</v>
          </cell>
        </row>
        <row r="358">
          <cell r="B358">
            <v>4830</v>
          </cell>
          <cell r="C358" t="str">
            <v>Guevara; Ruben</v>
          </cell>
          <cell r="D358" t="str">
            <v>1C</v>
          </cell>
          <cell r="E358" t="str">
            <v>IBEWOUT</v>
          </cell>
          <cell r="F358" t="str">
            <v>47</v>
          </cell>
          <cell r="G358" t="str">
            <v>8</v>
          </cell>
          <cell r="H358">
            <v>0</v>
          </cell>
        </row>
        <row r="359">
          <cell r="B359">
            <v>4831</v>
          </cell>
          <cell r="C359" t="str">
            <v>Guy; Kevin C</v>
          </cell>
          <cell r="D359" t="str">
            <v>1</v>
          </cell>
          <cell r="E359" t="str">
            <v>IBEWOUT</v>
          </cell>
          <cell r="F359" t="str">
            <v>1245</v>
          </cell>
          <cell r="G359" t="str">
            <v>10</v>
          </cell>
          <cell r="H359">
            <v>0</v>
          </cell>
        </row>
        <row r="360">
          <cell r="B360">
            <v>4832</v>
          </cell>
          <cell r="C360" t="str">
            <v>Guffey; Jess B</v>
          </cell>
          <cell r="D360" t="str">
            <v>1C</v>
          </cell>
          <cell r="E360" t="str">
            <v>IBEWOUT</v>
          </cell>
          <cell r="F360" t="str">
            <v>47</v>
          </cell>
          <cell r="G360" t="str">
            <v>15</v>
          </cell>
          <cell r="H360">
            <v>0</v>
          </cell>
        </row>
        <row r="361">
          <cell r="B361">
            <v>4876</v>
          </cell>
          <cell r="C361" t="str">
            <v>Hall; Peter Joe</v>
          </cell>
          <cell r="D361" t="str">
            <v>1</v>
          </cell>
          <cell r="E361" t="str">
            <v/>
          </cell>
          <cell r="F361" t="str">
            <v/>
          </cell>
          <cell r="G361" t="str">
            <v/>
          </cell>
          <cell r="H361">
            <v>1</v>
          </cell>
        </row>
        <row r="362">
          <cell r="B362">
            <v>4882</v>
          </cell>
          <cell r="C362" t="str">
            <v>Hankins; Austin Allan</v>
          </cell>
          <cell r="D362" t="str">
            <v>1C</v>
          </cell>
          <cell r="E362" t="str">
            <v>IBEWOUT</v>
          </cell>
          <cell r="F362" t="str">
            <v>769</v>
          </cell>
          <cell r="G362" t="str">
            <v>22</v>
          </cell>
          <cell r="H362">
            <v>0</v>
          </cell>
        </row>
        <row r="363">
          <cell r="B363">
            <v>4895</v>
          </cell>
          <cell r="C363" t="str">
            <v>Harding; Grant l</v>
          </cell>
          <cell r="D363" t="str">
            <v>1C</v>
          </cell>
          <cell r="E363" t="str">
            <v>IBEWOUT</v>
          </cell>
          <cell r="F363" t="str">
            <v>47</v>
          </cell>
          <cell r="G363" t="str">
            <v>8</v>
          </cell>
          <cell r="H363">
            <v>0</v>
          </cell>
        </row>
        <row r="364">
          <cell r="B364">
            <v>4898</v>
          </cell>
          <cell r="C364" t="str">
            <v>Hall; Levi R</v>
          </cell>
          <cell r="D364" t="str">
            <v>1C</v>
          </cell>
          <cell r="E364" t="str">
            <v>IBEWOUT</v>
          </cell>
          <cell r="F364" t="str">
            <v>125</v>
          </cell>
          <cell r="G364" t="str">
            <v>13</v>
          </cell>
          <cell r="H364">
            <v>0</v>
          </cell>
        </row>
        <row r="365">
          <cell r="B365">
            <v>4899</v>
          </cell>
          <cell r="C365" t="str">
            <v>Hamelin; Kenneth L</v>
          </cell>
          <cell r="D365" t="str">
            <v>1</v>
          </cell>
          <cell r="E365" t="str">
            <v>IBEWOUT</v>
          </cell>
          <cell r="F365" t="str">
            <v>77</v>
          </cell>
          <cell r="G365" t="str">
            <v>7</v>
          </cell>
          <cell r="H365">
            <v>0</v>
          </cell>
        </row>
        <row r="366">
          <cell r="B366">
            <v>4901</v>
          </cell>
          <cell r="C366" t="str">
            <v>Hall; Erik S</v>
          </cell>
          <cell r="D366" t="str">
            <v>1</v>
          </cell>
          <cell r="E366" t="str">
            <v>IBEWOUT</v>
          </cell>
          <cell r="F366" t="str">
            <v>1245</v>
          </cell>
          <cell r="G366" t="str">
            <v>8</v>
          </cell>
          <cell r="H366">
            <v>0</v>
          </cell>
        </row>
        <row r="367">
          <cell r="B367">
            <v>4905</v>
          </cell>
          <cell r="C367" t="str">
            <v>Hancock; James A</v>
          </cell>
          <cell r="D367" t="str">
            <v>1C</v>
          </cell>
          <cell r="E367" t="str">
            <v>IBEWOUT</v>
          </cell>
          <cell r="F367" t="str">
            <v>125</v>
          </cell>
          <cell r="G367" t="str">
            <v>8</v>
          </cell>
          <cell r="H367">
            <v>0</v>
          </cell>
        </row>
        <row r="368">
          <cell r="B368">
            <v>4930</v>
          </cell>
          <cell r="C368" t="str">
            <v>Hathaway; Phillip J</v>
          </cell>
          <cell r="D368" t="str">
            <v>1C</v>
          </cell>
          <cell r="E368" t="str">
            <v>IBEWOUT</v>
          </cell>
          <cell r="F368" t="str">
            <v>769</v>
          </cell>
          <cell r="G368" t="str">
            <v>8</v>
          </cell>
          <cell r="H368">
            <v>0</v>
          </cell>
        </row>
        <row r="369">
          <cell r="B369">
            <v>4950</v>
          </cell>
          <cell r="C369" t="str">
            <v>Hawkins; Shawn C.</v>
          </cell>
          <cell r="D369" t="str">
            <v>1C</v>
          </cell>
          <cell r="E369" t="str">
            <v>IBEWOUT</v>
          </cell>
          <cell r="F369" t="str">
            <v>47</v>
          </cell>
          <cell r="G369" t="str">
            <v>8</v>
          </cell>
          <cell r="H369">
            <v>0</v>
          </cell>
        </row>
        <row r="370">
          <cell r="B370">
            <v>4963</v>
          </cell>
          <cell r="C370" t="str">
            <v>Hairell; Ronald W</v>
          </cell>
          <cell r="D370" t="str">
            <v>1C</v>
          </cell>
          <cell r="E370" t="str">
            <v>IBEWOUT</v>
          </cell>
          <cell r="F370" t="str">
            <v>1245</v>
          </cell>
          <cell r="G370" t="str">
            <v>17</v>
          </cell>
          <cell r="H370">
            <v>0</v>
          </cell>
        </row>
        <row r="371">
          <cell r="B371">
            <v>4967</v>
          </cell>
          <cell r="C371" t="str">
            <v>Hansen; David L</v>
          </cell>
          <cell r="D371" t="str">
            <v>1C</v>
          </cell>
          <cell r="E371" t="str">
            <v>IBEWOUT</v>
          </cell>
          <cell r="F371" t="str">
            <v>47</v>
          </cell>
          <cell r="G371" t="str">
            <v>17</v>
          </cell>
          <cell r="H371">
            <v>0</v>
          </cell>
        </row>
        <row r="372">
          <cell r="B372">
            <v>4969</v>
          </cell>
          <cell r="C372" t="str">
            <v>Hartman; Matthew J.</v>
          </cell>
          <cell r="D372" t="str">
            <v>1C</v>
          </cell>
          <cell r="E372" t="str">
            <v>IBEWOUT</v>
          </cell>
          <cell r="F372" t="str">
            <v>125</v>
          </cell>
          <cell r="G372" t="str">
            <v>13</v>
          </cell>
          <cell r="H372">
            <v>0</v>
          </cell>
        </row>
        <row r="373">
          <cell r="B373">
            <v>4972</v>
          </cell>
          <cell r="C373" t="str">
            <v>Hayman; Cody A</v>
          </cell>
          <cell r="D373" t="str">
            <v>1C</v>
          </cell>
          <cell r="E373" t="str">
            <v>IBEWOUT</v>
          </cell>
          <cell r="F373" t="str">
            <v>1319</v>
          </cell>
          <cell r="G373" t="str">
            <v>17</v>
          </cell>
          <cell r="H373">
            <v>0</v>
          </cell>
        </row>
        <row r="374">
          <cell r="B374">
            <v>4973</v>
          </cell>
          <cell r="C374" t="str">
            <v>Harroun; Steven C</v>
          </cell>
          <cell r="D374" t="str">
            <v>1C</v>
          </cell>
          <cell r="E374" t="str">
            <v>IBEWOUT</v>
          </cell>
          <cell r="F374" t="str">
            <v>611</v>
          </cell>
          <cell r="G374" t="str">
            <v>13</v>
          </cell>
          <cell r="H374">
            <v>0</v>
          </cell>
        </row>
        <row r="375">
          <cell r="B375">
            <v>4974</v>
          </cell>
          <cell r="C375" t="str">
            <v>Hartley; Walter M</v>
          </cell>
          <cell r="D375" t="str">
            <v>1</v>
          </cell>
          <cell r="E375" t="str">
            <v>IBEWOUT</v>
          </cell>
          <cell r="F375" t="str">
            <v>1245</v>
          </cell>
          <cell r="G375" t="str">
            <v>7</v>
          </cell>
          <cell r="H375">
            <v>0</v>
          </cell>
        </row>
        <row r="376">
          <cell r="B376">
            <v>4979</v>
          </cell>
          <cell r="C376" t="str">
            <v>Hathcock; Steven Heath</v>
          </cell>
          <cell r="D376" t="str">
            <v>1C</v>
          </cell>
          <cell r="E376" t="str">
            <v>IBEWOUT</v>
          </cell>
          <cell r="F376" t="str">
            <v>769</v>
          </cell>
          <cell r="G376" t="str">
            <v>7</v>
          </cell>
          <cell r="H376">
            <v>0</v>
          </cell>
        </row>
        <row r="377">
          <cell r="B377">
            <v>4981</v>
          </cell>
          <cell r="C377" t="str">
            <v>Hivner; Nicholas S</v>
          </cell>
          <cell r="D377" t="str">
            <v>1C</v>
          </cell>
          <cell r="E377" t="str">
            <v>IBEWOUT</v>
          </cell>
          <cell r="F377" t="str">
            <v>126</v>
          </cell>
          <cell r="G377" t="str">
            <v>15</v>
          </cell>
          <cell r="H377">
            <v>0</v>
          </cell>
        </row>
        <row r="378">
          <cell r="B378">
            <v>4989</v>
          </cell>
          <cell r="C378" t="str">
            <v>Hankins; Clifford Lee</v>
          </cell>
          <cell r="D378" t="str">
            <v>1C</v>
          </cell>
          <cell r="E378" t="str">
            <v>IBEWOUT</v>
          </cell>
          <cell r="F378" t="str">
            <v>769</v>
          </cell>
          <cell r="G378" t="str">
            <v>8</v>
          </cell>
          <cell r="H378">
            <v>0</v>
          </cell>
        </row>
        <row r="379">
          <cell r="B379">
            <v>4990</v>
          </cell>
          <cell r="C379" t="str">
            <v>Hinch; Casto Steve</v>
          </cell>
          <cell r="D379" t="str">
            <v>1C</v>
          </cell>
          <cell r="E379" t="str">
            <v>IBEWOUT</v>
          </cell>
          <cell r="F379" t="str">
            <v>1245</v>
          </cell>
          <cell r="G379" t="str">
            <v>7</v>
          </cell>
          <cell r="H379">
            <v>0</v>
          </cell>
        </row>
        <row r="380">
          <cell r="B380">
            <v>4991</v>
          </cell>
          <cell r="C380" t="str">
            <v>Hinkley; Edward J</v>
          </cell>
          <cell r="D380" t="str">
            <v>1</v>
          </cell>
          <cell r="E380" t="str">
            <v>IBEWOUT</v>
          </cell>
          <cell r="F380" t="str">
            <v>1245</v>
          </cell>
          <cell r="G380" t="str">
            <v>9</v>
          </cell>
          <cell r="H380">
            <v>0</v>
          </cell>
        </row>
        <row r="381">
          <cell r="B381">
            <v>4992</v>
          </cell>
          <cell r="C381" t="str">
            <v>Harkins; Lonnie P</v>
          </cell>
          <cell r="D381" t="str">
            <v>1</v>
          </cell>
          <cell r="E381" t="str">
            <v>IBEWOUT</v>
          </cell>
          <cell r="F381" t="str">
            <v>1319</v>
          </cell>
          <cell r="G381" t="str">
            <v>1</v>
          </cell>
          <cell r="H381">
            <v>0</v>
          </cell>
        </row>
        <row r="382">
          <cell r="B382">
            <v>4993</v>
          </cell>
          <cell r="C382" t="str">
            <v>Harkins; Michael J</v>
          </cell>
          <cell r="D382" t="str">
            <v>1C</v>
          </cell>
          <cell r="E382" t="str">
            <v>IBEWOUT</v>
          </cell>
          <cell r="F382" t="str">
            <v>1319</v>
          </cell>
          <cell r="G382" t="str">
            <v>16</v>
          </cell>
          <cell r="H382">
            <v>0</v>
          </cell>
        </row>
        <row r="383">
          <cell r="B383">
            <v>4995</v>
          </cell>
          <cell r="C383" t="str">
            <v>Hinch; Anthony T.</v>
          </cell>
          <cell r="D383" t="str">
            <v>1C</v>
          </cell>
          <cell r="E383" t="str">
            <v>IBEWOUT</v>
          </cell>
          <cell r="F383" t="str">
            <v>1245</v>
          </cell>
          <cell r="G383" t="str">
            <v>8</v>
          </cell>
          <cell r="H383">
            <v>0</v>
          </cell>
        </row>
        <row r="384">
          <cell r="B384">
            <v>4998</v>
          </cell>
          <cell r="C384" t="str">
            <v>Geiser; Robert A</v>
          </cell>
          <cell r="D384" t="str">
            <v>1C</v>
          </cell>
          <cell r="E384" t="str">
            <v>IBEWOUT</v>
          </cell>
          <cell r="F384" t="str">
            <v>602R</v>
          </cell>
          <cell r="G384" t="str">
            <v>8</v>
          </cell>
          <cell r="H384">
            <v>0</v>
          </cell>
        </row>
        <row r="385">
          <cell r="B385">
            <v>4999</v>
          </cell>
          <cell r="C385" t="str">
            <v>Geyer; Tyler W</v>
          </cell>
          <cell r="D385" t="str">
            <v>1</v>
          </cell>
          <cell r="E385" t="str">
            <v>IBEWOUT</v>
          </cell>
          <cell r="F385" t="str">
            <v>602R</v>
          </cell>
          <cell r="G385" t="str">
            <v>8</v>
          </cell>
          <cell r="H385">
            <v>0</v>
          </cell>
        </row>
        <row r="386">
          <cell r="B386">
            <v>5013</v>
          </cell>
          <cell r="C386" t="str">
            <v>Harrah; Robert Fred</v>
          </cell>
          <cell r="D386" t="str">
            <v>1C</v>
          </cell>
          <cell r="E386" t="str">
            <v/>
          </cell>
          <cell r="F386" t="str">
            <v/>
          </cell>
          <cell r="G386" t="str">
            <v/>
          </cell>
          <cell r="H386">
            <v>1</v>
          </cell>
        </row>
        <row r="387">
          <cell r="B387">
            <v>5014</v>
          </cell>
          <cell r="C387" t="str">
            <v>Harrington; Lukas R</v>
          </cell>
          <cell r="D387" t="str">
            <v>1</v>
          </cell>
          <cell r="E387" t="str">
            <v>IBEWOUT</v>
          </cell>
          <cell r="F387" t="str">
            <v>602R</v>
          </cell>
          <cell r="G387" t="str">
            <v>18</v>
          </cell>
          <cell r="H387">
            <v>0</v>
          </cell>
        </row>
        <row r="388">
          <cell r="B388">
            <v>5015</v>
          </cell>
          <cell r="C388" t="str">
            <v>Haar; Ryan J</v>
          </cell>
          <cell r="D388" t="str">
            <v>1C</v>
          </cell>
          <cell r="E388" t="str">
            <v>IBEWOUT</v>
          </cell>
          <cell r="F388" t="str">
            <v>47</v>
          </cell>
          <cell r="G388" t="str">
            <v>8</v>
          </cell>
          <cell r="H388">
            <v>0</v>
          </cell>
        </row>
        <row r="389">
          <cell r="B389">
            <v>5040</v>
          </cell>
          <cell r="C389" t="str">
            <v>Hauff; James FL</v>
          </cell>
          <cell r="D389" t="str">
            <v>1C</v>
          </cell>
          <cell r="E389" t="str">
            <v>IBEWOUT</v>
          </cell>
          <cell r="F389" t="str">
            <v>602R</v>
          </cell>
          <cell r="G389" t="str">
            <v>8</v>
          </cell>
          <cell r="H389">
            <v>0</v>
          </cell>
        </row>
        <row r="390">
          <cell r="B390">
            <v>5056</v>
          </cell>
          <cell r="C390" t="str">
            <v>Hatchett; Terry V</v>
          </cell>
          <cell r="D390" t="str">
            <v>1C</v>
          </cell>
          <cell r="E390" t="str">
            <v>IBEWOUT</v>
          </cell>
          <cell r="F390" t="str">
            <v>769</v>
          </cell>
          <cell r="G390" t="str">
            <v>8</v>
          </cell>
          <cell r="H390">
            <v>0</v>
          </cell>
        </row>
        <row r="391">
          <cell r="B391">
            <v>5062</v>
          </cell>
          <cell r="C391" t="str">
            <v>Held; Andrew M</v>
          </cell>
          <cell r="D391" t="str">
            <v>1</v>
          </cell>
          <cell r="E391" t="str">
            <v/>
          </cell>
          <cell r="F391" t="str">
            <v/>
          </cell>
          <cell r="G391" t="str">
            <v/>
          </cell>
          <cell r="H391">
            <v>0</v>
          </cell>
        </row>
        <row r="392">
          <cell r="B392">
            <v>5070</v>
          </cell>
          <cell r="C392" t="str">
            <v>Henderson; James R</v>
          </cell>
          <cell r="D392" t="str">
            <v>1</v>
          </cell>
          <cell r="E392" t="str">
            <v>IBEWOUT</v>
          </cell>
          <cell r="F392" t="str">
            <v>77</v>
          </cell>
          <cell r="G392" t="str">
            <v>7</v>
          </cell>
          <cell r="H392">
            <v>0</v>
          </cell>
        </row>
        <row r="393">
          <cell r="B393">
            <v>5071</v>
          </cell>
          <cell r="C393" t="str">
            <v>Henderson; Steven M.</v>
          </cell>
          <cell r="D393" t="str">
            <v>1C</v>
          </cell>
          <cell r="E393" t="str">
            <v>IBEWOUT</v>
          </cell>
          <cell r="F393" t="str">
            <v>1245</v>
          </cell>
          <cell r="G393" t="str">
            <v>8</v>
          </cell>
          <cell r="H393">
            <v>0</v>
          </cell>
        </row>
        <row r="394">
          <cell r="B394">
            <v>5091</v>
          </cell>
          <cell r="C394" t="str">
            <v>Hendrickson; Scott D</v>
          </cell>
          <cell r="D394" t="str">
            <v>1</v>
          </cell>
          <cell r="E394" t="str">
            <v>IBEWOUT</v>
          </cell>
          <cell r="F394" t="str">
            <v>77</v>
          </cell>
          <cell r="G394" t="str">
            <v>7</v>
          </cell>
          <cell r="H394">
            <v>0</v>
          </cell>
        </row>
        <row r="395">
          <cell r="B395">
            <v>5095</v>
          </cell>
          <cell r="C395" t="str">
            <v>Henry; James T</v>
          </cell>
          <cell r="D395" t="str">
            <v>1</v>
          </cell>
          <cell r="E395" t="str">
            <v>IBEWOUT</v>
          </cell>
          <cell r="F395" t="str">
            <v>602R</v>
          </cell>
          <cell r="G395" t="str">
            <v>7</v>
          </cell>
          <cell r="H395">
            <v>0</v>
          </cell>
        </row>
        <row r="396">
          <cell r="B396">
            <v>5098</v>
          </cell>
          <cell r="C396" t="str">
            <v>Hartman; George W.</v>
          </cell>
          <cell r="D396" t="str">
            <v>1C</v>
          </cell>
          <cell r="E396" t="str">
            <v>IBEWOUT</v>
          </cell>
          <cell r="F396" t="str">
            <v>769</v>
          </cell>
          <cell r="G396" t="str">
            <v>12</v>
          </cell>
          <cell r="H396">
            <v>0</v>
          </cell>
        </row>
        <row r="397">
          <cell r="B397">
            <v>5100</v>
          </cell>
          <cell r="C397" t="str">
            <v>Hegdahl; Andres J</v>
          </cell>
          <cell r="D397" t="str">
            <v>1C</v>
          </cell>
          <cell r="E397" t="str">
            <v>IBEWOUT</v>
          </cell>
          <cell r="F397" t="str">
            <v>125</v>
          </cell>
          <cell r="G397" t="str">
            <v>16</v>
          </cell>
          <cell r="H397">
            <v>0</v>
          </cell>
        </row>
        <row r="398">
          <cell r="B398">
            <v>5102</v>
          </cell>
          <cell r="C398" t="str">
            <v>Heil; Allen A.</v>
          </cell>
          <cell r="D398" t="str">
            <v>1C</v>
          </cell>
          <cell r="E398" t="str">
            <v>IBEWOUT</v>
          </cell>
          <cell r="F398" t="str">
            <v>1245</v>
          </cell>
          <cell r="G398" t="str">
            <v>8</v>
          </cell>
          <cell r="H398">
            <v>0</v>
          </cell>
        </row>
        <row r="399">
          <cell r="B399">
            <v>5105</v>
          </cell>
          <cell r="C399" t="str">
            <v>Healy; Justin M.</v>
          </cell>
          <cell r="D399" t="str">
            <v>1C</v>
          </cell>
          <cell r="E399" t="str">
            <v>IBEWOUT</v>
          </cell>
          <cell r="F399" t="str">
            <v>47</v>
          </cell>
          <cell r="G399" t="str">
            <v>8</v>
          </cell>
          <cell r="H399">
            <v>0</v>
          </cell>
        </row>
        <row r="400">
          <cell r="B400">
            <v>5119</v>
          </cell>
          <cell r="C400" t="str">
            <v>Herron; Gregory W.</v>
          </cell>
          <cell r="D400" t="str">
            <v>1C</v>
          </cell>
          <cell r="E400" t="str">
            <v>IBEWOUT</v>
          </cell>
          <cell r="F400" t="str">
            <v>1319</v>
          </cell>
          <cell r="G400" t="str">
            <v>33</v>
          </cell>
          <cell r="H400">
            <v>0</v>
          </cell>
        </row>
        <row r="401">
          <cell r="B401">
            <v>5120</v>
          </cell>
          <cell r="C401" t="str">
            <v>Hernandez; Aaron F</v>
          </cell>
          <cell r="D401" t="str">
            <v>1</v>
          </cell>
          <cell r="E401" t="str">
            <v>IBEWOUT</v>
          </cell>
          <cell r="F401" t="str">
            <v>611</v>
          </cell>
          <cell r="G401" t="str">
            <v>13</v>
          </cell>
          <cell r="H401">
            <v>0</v>
          </cell>
        </row>
        <row r="402">
          <cell r="B402">
            <v>5124</v>
          </cell>
          <cell r="C402" t="str">
            <v>Hernandez Orozco; David</v>
          </cell>
          <cell r="D402" t="str">
            <v>1</v>
          </cell>
          <cell r="E402" t="str">
            <v/>
          </cell>
          <cell r="F402" t="str">
            <v/>
          </cell>
          <cell r="G402" t="str">
            <v/>
          </cell>
          <cell r="H402">
            <v>0</v>
          </cell>
        </row>
        <row r="403">
          <cell r="B403">
            <v>5125</v>
          </cell>
          <cell r="C403" t="str">
            <v>Hernandez; Ramiro</v>
          </cell>
          <cell r="D403" t="str">
            <v>1C</v>
          </cell>
          <cell r="E403" t="str">
            <v/>
          </cell>
          <cell r="F403" t="str">
            <v/>
          </cell>
          <cell r="G403" t="str">
            <v/>
          </cell>
          <cell r="H403">
            <v>0</v>
          </cell>
        </row>
        <row r="404">
          <cell r="B404">
            <v>5127</v>
          </cell>
          <cell r="C404" t="str">
            <v>Hester; John Calvin</v>
          </cell>
          <cell r="D404" t="str">
            <v>1C</v>
          </cell>
          <cell r="E404" t="str">
            <v>IBEWOUT</v>
          </cell>
          <cell r="F404" t="str">
            <v>396</v>
          </cell>
          <cell r="G404" t="str">
            <v>8</v>
          </cell>
          <cell r="H404">
            <v>0</v>
          </cell>
        </row>
        <row r="405">
          <cell r="B405">
            <v>5128</v>
          </cell>
          <cell r="C405" t="str">
            <v>Hernandez; Ignacio L</v>
          </cell>
          <cell r="D405" t="str">
            <v>1</v>
          </cell>
          <cell r="E405" t="str">
            <v>IBEWOUT</v>
          </cell>
          <cell r="F405" t="str">
            <v>1245</v>
          </cell>
          <cell r="G405" t="str">
            <v>8</v>
          </cell>
          <cell r="H405">
            <v>0</v>
          </cell>
        </row>
        <row r="406">
          <cell r="B406">
            <v>5140</v>
          </cell>
          <cell r="C406" t="str">
            <v>Hidalgo; Francisco R.</v>
          </cell>
          <cell r="D406" t="str">
            <v>1C</v>
          </cell>
          <cell r="E406" t="str">
            <v>IBEWOUT</v>
          </cell>
          <cell r="F406" t="str">
            <v>47</v>
          </cell>
          <cell r="G406" t="str">
            <v>8</v>
          </cell>
          <cell r="H406">
            <v>0</v>
          </cell>
        </row>
        <row r="407">
          <cell r="B407">
            <v>5164</v>
          </cell>
          <cell r="C407" t="str">
            <v>Hilburn; Samuel J</v>
          </cell>
          <cell r="D407" t="str">
            <v>1</v>
          </cell>
          <cell r="E407" t="str">
            <v>IBEWOUT</v>
          </cell>
          <cell r="F407" t="str">
            <v>602R</v>
          </cell>
          <cell r="G407" t="str">
            <v>8</v>
          </cell>
          <cell r="H407">
            <v>0</v>
          </cell>
        </row>
        <row r="408">
          <cell r="B408">
            <v>5166</v>
          </cell>
          <cell r="C408" t="str">
            <v>Hildebrand; Scott Alan</v>
          </cell>
          <cell r="D408" t="str">
            <v>1</v>
          </cell>
          <cell r="E408" t="str">
            <v>IBEWOUT</v>
          </cell>
          <cell r="F408" t="str">
            <v>77</v>
          </cell>
          <cell r="G408" t="str">
            <v>7</v>
          </cell>
          <cell r="H408">
            <v>0</v>
          </cell>
        </row>
        <row r="409">
          <cell r="B409">
            <v>5168</v>
          </cell>
          <cell r="C409" t="str">
            <v>Hills; Jeremy S.</v>
          </cell>
          <cell r="D409" t="str">
            <v>1</v>
          </cell>
          <cell r="E409" t="str">
            <v>IBEWOUT</v>
          </cell>
          <cell r="F409" t="str">
            <v>77</v>
          </cell>
          <cell r="G409" t="str">
            <v>8</v>
          </cell>
          <cell r="H409">
            <v>0</v>
          </cell>
        </row>
        <row r="410">
          <cell r="B410">
            <v>5175</v>
          </cell>
          <cell r="C410" t="str">
            <v>Hess; Jared A.</v>
          </cell>
          <cell r="D410" t="str">
            <v>1C</v>
          </cell>
          <cell r="E410" t="str">
            <v>IBEWOUT</v>
          </cell>
          <cell r="F410" t="str">
            <v>1245</v>
          </cell>
          <cell r="G410" t="str">
            <v>8</v>
          </cell>
          <cell r="H410">
            <v>0</v>
          </cell>
        </row>
        <row r="411">
          <cell r="B411">
            <v>5176</v>
          </cell>
          <cell r="C411" t="str">
            <v>Hicks; Andrew D</v>
          </cell>
          <cell r="D411" t="str">
            <v>1C</v>
          </cell>
          <cell r="E411" t="str">
            <v>IBEWOUT</v>
          </cell>
          <cell r="F411" t="str">
            <v>77</v>
          </cell>
          <cell r="G411" t="str">
            <v>8</v>
          </cell>
          <cell r="H411">
            <v>0</v>
          </cell>
        </row>
        <row r="412">
          <cell r="B412">
            <v>5179</v>
          </cell>
          <cell r="C412" t="str">
            <v>Hicks; Rush N</v>
          </cell>
          <cell r="D412" t="str">
            <v>1C</v>
          </cell>
          <cell r="E412" t="str">
            <v>IBEWOUT</v>
          </cell>
          <cell r="F412" t="str">
            <v>47</v>
          </cell>
          <cell r="G412" t="str">
            <v>8</v>
          </cell>
          <cell r="H412">
            <v>0</v>
          </cell>
        </row>
        <row r="413">
          <cell r="B413">
            <v>5180</v>
          </cell>
          <cell r="C413" t="str">
            <v>Hess; Jeromy J.</v>
          </cell>
          <cell r="D413" t="str">
            <v>1</v>
          </cell>
          <cell r="E413" t="str">
            <v>IBEWOUT</v>
          </cell>
          <cell r="F413" t="str">
            <v>77</v>
          </cell>
          <cell r="G413" t="str">
            <v>8</v>
          </cell>
          <cell r="H413">
            <v>0</v>
          </cell>
        </row>
        <row r="414">
          <cell r="B414">
            <v>5181</v>
          </cell>
          <cell r="C414" t="str">
            <v>Hoy; Turner A</v>
          </cell>
          <cell r="D414" t="str">
            <v>1C</v>
          </cell>
          <cell r="E414" t="str">
            <v>IBEWOUT</v>
          </cell>
          <cell r="F414" t="str">
            <v>769</v>
          </cell>
          <cell r="G414" t="str">
            <v>8</v>
          </cell>
          <cell r="H414">
            <v>0</v>
          </cell>
        </row>
        <row r="415">
          <cell r="B415">
            <v>5182</v>
          </cell>
          <cell r="C415" t="str">
            <v>Hill; Joshua K</v>
          </cell>
          <cell r="D415" t="str">
            <v>1C</v>
          </cell>
          <cell r="E415" t="str">
            <v>IBEWOUT</v>
          </cell>
          <cell r="F415" t="str">
            <v>1245</v>
          </cell>
          <cell r="G415" t="str">
            <v>8</v>
          </cell>
          <cell r="H415">
            <v>0</v>
          </cell>
        </row>
        <row r="416">
          <cell r="B416">
            <v>5183</v>
          </cell>
          <cell r="C416" t="str">
            <v>Hill; Anthony D</v>
          </cell>
          <cell r="D416" t="str">
            <v>1C</v>
          </cell>
          <cell r="E416" t="str">
            <v>IBEWOUT</v>
          </cell>
          <cell r="F416" t="str">
            <v>1245</v>
          </cell>
          <cell r="G416" t="str">
            <v>8</v>
          </cell>
          <cell r="H416">
            <v>0</v>
          </cell>
        </row>
        <row r="417">
          <cell r="B417">
            <v>5184</v>
          </cell>
          <cell r="C417" t="str">
            <v>Hill; Jamie C</v>
          </cell>
          <cell r="D417" t="str">
            <v>1</v>
          </cell>
          <cell r="E417" t="str">
            <v>IBEWOUT</v>
          </cell>
          <cell r="F417" t="str">
            <v>1319</v>
          </cell>
          <cell r="G417" t="str">
            <v>8</v>
          </cell>
          <cell r="H417">
            <v>0</v>
          </cell>
        </row>
        <row r="418">
          <cell r="B418">
            <v>5301</v>
          </cell>
          <cell r="C418" t="str">
            <v>Hopkins; Joseph E</v>
          </cell>
          <cell r="D418" t="str">
            <v>1C</v>
          </cell>
          <cell r="E418" t="str">
            <v>IBEWOUT</v>
          </cell>
          <cell r="F418" t="str">
            <v>602R</v>
          </cell>
          <cell r="G418" t="str">
            <v>8</v>
          </cell>
          <cell r="H418">
            <v>0</v>
          </cell>
        </row>
        <row r="419">
          <cell r="B419">
            <v>5319</v>
          </cell>
          <cell r="C419" t="str">
            <v>Holbrook; Jeremiah M</v>
          </cell>
          <cell r="D419" t="str">
            <v>1C</v>
          </cell>
          <cell r="E419" t="str">
            <v>IBEWOUT</v>
          </cell>
          <cell r="F419" t="str">
            <v>1245</v>
          </cell>
          <cell r="G419" t="str">
            <v>8</v>
          </cell>
          <cell r="H419">
            <v>0</v>
          </cell>
        </row>
        <row r="420">
          <cell r="B420">
            <v>5331</v>
          </cell>
          <cell r="C420" t="str">
            <v>Hoefler; Trevor B</v>
          </cell>
          <cell r="D420" t="str">
            <v>1C</v>
          </cell>
          <cell r="E420" t="str">
            <v>IBEWOUT</v>
          </cell>
          <cell r="F420" t="str">
            <v>77</v>
          </cell>
          <cell r="G420" t="str">
            <v>13</v>
          </cell>
          <cell r="H420">
            <v>0</v>
          </cell>
        </row>
        <row r="421">
          <cell r="B421">
            <v>5332</v>
          </cell>
          <cell r="C421" t="str">
            <v>Hogue III; Johnny K</v>
          </cell>
          <cell r="D421" t="str">
            <v>1C</v>
          </cell>
          <cell r="E421" t="str">
            <v>IBEWOUT</v>
          </cell>
          <cell r="F421" t="str">
            <v>126</v>
          </cell>
          <cell r="G421" t="str">
            <v>15</v>
          </cell>
          <cell r="H421">
            <v>0</v>
          </cell>
        </row>
        <row r="422">
          <cell r="B422">
            <v>5334</v>
          </cell>
          <cell r="C422" t="str">
            <v>Hoffman; Kurt N</v>
          </cell>
          <cell r="D422" t="str">
            <v>1</v>
          </cell>
          <cell r="E422" t="str">
            <v>IBEWOUT</v>
          </cell>
          <cell r="F422" t="str">
            <v>769</v>
          </cell>
          <cell r="G422" t="str">
            <v>8</v>
          </cell>
          <cell r="H422">
            <v>0</v>
          </cell>
        </row>
        <row r="423">
          <cell r="B423">
            <v>5341</v>
          </cell>
          <cell r="C423" t="str">
            <v>Holterhoff; Larry A</v>
          </cell>
          <cell r="D423" t="str">
            <v>1</v>
          </cell>
          <cell r="E423" t="str">
            <v>IBEWOUT</v>
          </cell>
          <cell r="F423" t="str">
            <v>77</v>
          </cell>
          <cell r="G423" t="str">
            <v>7</v>
          </cell>
          <cell r="H423">
            <v>0</v>
          </cell>
        </row>
        <row r="424">
          <cell r="B424">
            <v>5345</v>
          </cell>
          <cell r="C424" t="str">
            <v>Holland Jr; Terrell S</v>
          </cell>
          <cell r="D424" t="str">
            <v>1C</v>
          </cell>
          <cell r="E424" t="str">
            <v>IBEWOUT</v>
          </cell>
          <cell r="F424" t="str">
            <v>1245</v>
          </cell>
          <cell r="G424" t="str">
            <v>8</v>
          </cell>
          <cell r="H424">
            <v>0</v>
          </cell>
        </row>
        <row r="425">
          <cell r="B425">
            <v>5357</v>
          </cell>
          <cell r="C425" t="str">
            <v>Honorato; Armando</v>
          </cell>
          <cell r="D425" t="str">
            <v>1C</v>
          </cell>
          <cell r="E425" t="str">
            <v>IBEWOUT</v>
          </cell>
          <cell r="F425" t="str">
            <v>47</v>
          </cell>
          <cell r="G425" t="str">
            <v>17</v>
          </cell>
          <cell r="H425">
            <v>0</v>
          </cell>
        </row>
        <row r="426">
          <cell r="B426">
            <v>5380</v>
          </cell>
          <cell r="C426" t="str">
            <v>Horlacher; Jared Lee</v>
          </cell>
          <cell r="D426" t="str">
            <v>1C</v>
          </cell>
          <cell r="E426" t="str">
            <v>IBEWOUT</v>
          </cell>
          <cell r="F426" t="str">
            <v>77</v>
          </cell>
          <cell r="G426" t="str">
            <v>8</v>
          </cell>
          <cell r="H426">
            <v>0</v>
          </cell>
        </row>
        <row r="427">
          <cell r="B427">
            <v>5446</v>
          </cell>
          <cell r="C427" t="str">
            <v>Hornbeck; Dennis Andrew</v>
          </cell>
          <cell r="D427" t="str">
            <v>1C</v>
          </cell>
          <cell r="E427" t="str">
            <v>IBEWOUT</v>
          </cell>
          <cell r="F427" t="str">
            <v>1245</v>
          </cell>
          <cell r="G427" t="str">
            <v>7</v>
          </cell>
          <cell r="H427">
            <v>0</v>
          </cell>
        </row>
        <row r="428">
          <cell r="B428">
            <v>5449</v>
          </cell>
          <cell r="C428" t="str">
            <v>Hostetler; Travis L</v>
          </cell>
          <cell r="D428" t="str">
            <v>1C</v>
          </cell>
          <cell r="E428" t="str">
            <v>IBEWOUT</v>
          </cell>
          <cell r="F428" t="str">
            <v>126</v>
          </cell>
          <cell r="G428" t="str">
            <v>33</v>
          </cell>
          <cell r="H428">
            <v>0</v>
          </cell>
        </row>
        <row r="429">
          <cell r="B429">
            <v>5456</v>
          </cell>
          <cell r="C429" t="str">
            <v>Houser; Jacob J</v>
          </cell>
          <cell r="D429" t="str">
            <v>1</v>
          </cell>
          <cell r="E429" t="str">
            <v/>
          </cell>
          <cell r="F429" t="str">
            <v/>
          </cell>
          <cell r="G429" t="str">
            <v/>
          </cell>
          <cell r="H429">
            <v>0</v>
          </cell>
        </row>
        <row r="430">
          <cell r="B430">
            <v>5457</v>
          </cell>
          <cell r="C430" t="str">
            <v>House; Travis S</v>
          </cell>
          <cell r="D430" t="str">
            <v>1C</v>
          </cell>
          <cell r="E430" t="str">
            <v>IBEWOUT</v>
          </cell>
          <cell r="F430" t="str">
            <v>125</v>
          </cell>
          <cell r="G430" t="str">
            <v>13</v>
          </cell>
          <cell r="H430">
            <v>0</v>
          </cell>
        </row>
        <row r="431">
          <cell r="B431">
            <v>5458</v>
          </cell>
          <cell r="C431" t="str">
            <v>House; Christopher M</v>
          </cell>
          <cell r="D431" t="str">
            <v>1</v>
          </cell>
          <cell r="E431" t="str">
            <v>IBEWOUT</v>
          </cell>
          <cell r="F431" t="str">
            <v>1245</v>
          </cell>
          <cell r="G431" t="str">
            <v>8</v>
          </cell>
          <cell r="H431">
            <v>0</v>
          </cell>
        </row>
        <row r="432">
          <cell r="B432">
            <v>5580</v>
          </cell>
          <cell r="C432" t="str">
            <v>Howell Jr.; Thomas W.</v>
          </cell>
          <cell r="D432" t="str">
            <v>1</v>
          </cell>
          <cell r="E432" t="str">
            <v>IBEWOUT</v>
          </cell>
          <cell r="F432" t="str">
            <v>77</v>
          </cell>
          <cell r="G432" t="str">
            <v>1</v>
          </cell>
          <cell r="H432">
            <v>0</v>
          </cell>
        </row>
        <row r="433">
          <cell r="B433">
            <v>5620</v>
          </cell>
          <cell r="C433" t="str">
            <v>Hubbard; Jason C.</v>
          </cell>
          <cell r="D433" t="str">
            <v>1C</v>
          </cell>
          <cell r="E433" t="str">
            <v>IBEWOUT</v>
          </cell>
          <cell r="F433" t="str">
            <v>1245</v>
          </cell>
          <cell r="G433" t="str">
            <v>8</v>
          </cell>
          <cell r="H433">
            <v>0</v>
          </cell>
        </row>
        <row r="434">
          <cell r="B434">
            <v>5621</v>
          </cell>
          <cell r="C434" t="str">
            <v>Hubbard; Marcus W</v>
          </cell>
          <cell r="D434" t="str">
            <v>1C</v>
          </cell>
          <cell r="E434" t="str">
            <v>IBEWOUT</v>
          </cell>
          <cell r="F434" t="str">
            <v>47</v>
          </cell>
          <cell r="G434" t="str">
            <v>17</v>
          </cell>
          <cell r="H434">
            <v>0</v>
          </cell>
        </row>
        <row r="435">
          <cell r="B435">
            <v>5625</v>
          </cell>
          <cell r="C435" t="str">
            <v>Hunt; Terry L.</v>
          </cell>
          <cell r="D435" t="str">
            <v>1C</v>
          </cell>
          <cell r="E435" t="str">
            <v>IBEWOUT</v>
          </cell>
          <cell r="F435" t="str">
            <v>47</v>
          </cell>
          <cell r="G435" t="str">
            <v>8</v>
          </cell>
          <cell r="H435">
            <v>0</v>
          </cell>
        </row>
        <row r="436">
          <cell r="B436">
            <v>5630</v>
          </cell>
          <cell r="C436" t="str">
            <v>Huravitch; Duane L.</v>
          </cell>
          <cell r="D436" t="str">
            <v>1C</v>
          </cell>
          <cell r="E436" t="str">
            <v>IBEWOUT</v>
          </cell>
          <cell r="F436" t="str">
            <v>47</v>
          </cell>
          <cell r="G436" t="str">
            <v>8</v>
          </cell>
          <cell r="H436">
            <v>0</v>
          </cell>
        </row>
        <row r="437">
          <cell r="B437">
            <v>5643</v>
          </cell>
          <cell r="C437" t="str">
            <v>Humlick; Adam J</v>
          </cell>
          <cell r="D437" t="str">
            <v>1C</v>
          </cell>
          <cell r="E437" t="str">
            <v>IBEWOUT</v>
          </cell>
          <cell r="F437" t="str">
            <v>1245</v>
          </cell>
          <cell r="G437" t="str">
            <v>16</v>
          </cell>
          <cell r="H437">
            <v>0</v>
          </cell>
        </row>
        <row r="438">
          <cell r="B438">
            <v>5647</v>
          </cell>
          <cell r="C438" t="str">
            <v>Hubbard; Bryce Keaton</v>
          </cell>
          <cell r="D438" t="str">
            <v>1C</v>
          </cell>
          <cell r="E438" t="str">
            <v>IBEWOUT</v>
          </cell>
          <cell r="F438" t="str">
            <v>769</v>
          </cell>
          <cell r="G438" t="str">
            <v>8</v>
          </cell>
          <cell r="H438">
            <v>0</v>
          </cell>
        </row>
        <row r="439">
          <cell r="B439">
            <v>5655</v>
          </cell>
          <cell r="C439" t="str">
            <v>Hughes; Christopher John</v>
          </cell>
          <cell r="D439" t="str">
            <v>1</v>
          </cell>
          <cell r="E439" t="str">
            <v>IBEWOUT</v>
          </cell>
          <cell r="F439" t="str">
            <v>77</v>
          </cell>
          <cell r="G439" t="str">
            <v>1</v>
          </cell>
          <cell r="H439">
            <v>0</v>
          </cell>
        </row>
        <row r="440">
          <cell r="B440">
            <v>5667</v>
          </cell>
          <cell r="C440" t="str">
            <v>Hudson; Terry Wayne</v>
          </cell>
          <cell r="D440" t="str">
            <v>1C</v>
          </cell>
          <cell r="E440" t="str">
            <v>IBEWOUT</v>
          </cell>
          <cell r="F440" t="str">
            <v>125</v>
          </cell>
          <cell r="G440" t="str">
            <v>16</v>
          </cell>
          <cell r="H440">
            <v>0</v>
          </cell>
        </row>
        <row r="441">
          <cell r="B441">
            <v>5668</v>
          </cell>
          <cell r="C441" t="str">
            <v>Huling; James Everett</v>
          </cell>
          <cell r="D441" t="str">
            <v>1C</v>
          </cell>
          <cell r="E441" t="str">
            <v>IBEWOUT</v>
          </cell>
          <cell r="F441" t="str">
            <v>77</v>
          </cell>
          <cell r="G441" t="str">
            <v>8</v>
          </cell>
          <cell r="H441">
            <v>0</v>
          </cell>
        </row>
        <row r="442">
          <cell r="B442">
            <v>5673</v>
          </cell>
          <cell r="C442" t="str">
            <v>Hutson; David J</v>
          </cell>
          <cell r="D442" t="str">
            <v>1C</v>
          </cell>
          <cell r="E442" t="str">
            <v>IBEWOUT</v>
          </cell>
          <cell r="F442" t="str">
            <v>77</v>
          </cell>
          <cell r="G442" t="str">
            <v>8</v>
          </cell>
          <cell r="H442">
            <v>0</v>
          </cell>
        </row>
        <row r="443">
          <cell r="B443">
            <v>5677</v>
          </cell>
          <cell r="C443" t="str">
            <v>Hutchens; Joseph Scott</v>
          </cell>
          <cell r="D443" t="str">
            <v>1</v>
          </cell>
          <cell r="E443" t="str">
            <v/>
          </cell>
          <cell r="F443" t="str">
            <v/>
          </cell>
          <cell r="G443" t="str">
            <v/>
          </cell>
          <cell r="H443">
            <v>0</v>
          </cell>
        </row>
        <row r="444">
          <cell r="B444">
            <v>5710</v>
          </cell>
          <cell r="C444" t="str">
            <v>Irzyk; Austin J</v>
          </cell>
          <cell r="D444" t="str">
            <v>1</v>
          </cell>
          <cell r="E444" t="str">
            <v>IBEWOUT</v>
          </cell>
          <cell r="F444" t="str">
            <v>1245</v>
          </cell>
          <cell r="G444" t="str">
            <v>8</v>
          </cell>
          <cell r="H444">
            <v>0</v>
          </cell>
        </row>
        <row r="445">
          <cell r="B445">
            <v>5712</v>
          </cell>
          <cell r="C445" t="str">
            <v>Istanbouly; Edmond</v>
          </cell>
          <cell r="D445" t="str">
            <v>1C</v>
          </cell>
          <cell r="E445" t="str">
            <v>IBEWOUT</v>
          </cell>
          <cell r="F445" t="str">
            <v>47</v>
          </cell>
          <cell r="G445" t="str">
            <v>60</v>
          </cell>
          <cell r="H445">
            <v>0</v>
          </cell>
        </row>
        <row r="446">
          <cell r="B446">
            <v>5713</v>
          </cell>
          <cell r="C446" t="str">
            <v>Isitt; Kyle W</v>
          </cell>
          <cell r="D446" t="str">
            <v>1</v>
          </cell>
          <cell r="E446" t="str">
            <v>IBEWOUT</v>
          </cell>
          <cell r="F446" t="str">
            <v>77</v>
          </cell>
          <cell r="G446" t="str">
            <v>14</v>
          </cell>
          <cell r="H446">
            <v>0</v>
          </cell>
        </row>
        <row r="447">
          <cell r="B447">
            <v>5714</v>
          </cell>
          <cell r="C447" t="str">
            <v>Isley; Brennan M</v>
          </cell>
          <cell r="D447" t="str">
            <v>1C</v>
          </cell>
          <cell r="E447" t="str">
            <v>IBEWOUT</v>
          </cell>
          <cell r="F447" t="str">
            <v>77</v>
          </cell>
          <cell r="G447" t="str">
            <v>8</v>
          </cell>
          <cell r="H447">
            <v>0</v>
          </cell>
        </row>
        <row r="448">
          <cell r="B448">
            <v>5721</v>
          </cell>
          <cell r="C448" t="str">
            <v>Ingram; Ryan M</v>
          </cell>
          <cell r="D448" t="str">
            <v>1C</v>
          </cell>
          <cell r="E448" t="str">
            <v>IBEWOUT</v>
          </cell>
          <cell r="F448" t="str">
            <v>1245</v>
          </cell>
          <cell r="G448" t="str">
            <v>8</v>
          </cell>
          <cell r="H448">
            <v>0</v>
          </cell>
        </row>
        <row r="449">
          <cell r="B449">
            <v>5725</v>
          </cell>
          <cell r="C449" t="str">
            <v>Jenkins; Chase B</v>
          </cell>
          <cell r="D449" t="str">
            <v>1C</v>
          </cell>
          <cell r="E449" t="str">
            <v>IBEWOUT</v>
          </cell>
          <cell r="F449" t="str">
            <v>1245</v>
          </cell>
          <cell r="G449" t="str">
            <v>11</v>
          </cell>
          <cell r="H449">
            <v>0</v>
          </cell>
        </row>
        <row r="450">
          <cell r="B450">
            <v>5726</v>
          </cell>
          <cell r="C450" t="str">
            <v>Jenkins; Daytri</v>
          </cell>
          <cell r="D450" t="str">
            <v>1</v>
          </cell>
          <cell r="E450" t="str">
            <v>IBEWOUT</v>
          </cell>
          <cell r="F450" t="str">
            <v>47</v>
          </cell>
          <cell r="G450" t="str">
            <v>8</v>
          </cell>
          <cell r="H450">
            <v>0</v>
          </cell>
        </row>
        <row r="451">
          <cell r="B451">
            <v>5727</v>
          </cell>
          <cell r="C451" t="str">
            <v>Jansen; Jon A.</v>
          </cell>
          <cell r="D451" t="str">
            <v>1C</v>
          </cell>
          <cell r="E451" t="str">
            <v>IBEWOUT</v>
          </cell>
          <cell r="F451" t="str">
            <v>47</v>
          </cell>
          <cell r="G451" t="str">
            <v>8</v>
          </cell>
          <cell r="H451">
            <v>0</v>
          </cell>
        </row>
        <row r="452">
          <cell r="B452">
            <v>5735</v>
          </cell>
          <cell r="C452" t="str">
            <v>James; Joseph Ryan</v>
          </cell>
          <cell r="D452" t="str">
            <v>1C</v>
          </cell>
          <cell r="E452" t="str">
            <v>IBEWOUT</v>
          </cell>
          <cell r="F452" t="str">
            <v>769</v>
          </cell>
          <cell r="G452" t="str">
            <v>16</v>
          </cell>
          <cell r="H452">
            <v>0</v>
          </cell>
        </row>
        <row r="453">
          <cell r="B453">
            <v>5737</v>
          </cell>
          <cell r="C453" t="str">
            <v>Jacobs; Joseph J</v>
          </cell>
          <cell r="D453" t="str">
            <v>1</v>
          </cell>
          <cell r="E453" t="str">
            <v/>
          </cell>
          <cell r="F453" t="str">
            <v/>
          </cell>
          <cell r="G453" t="str">
            <v/>
          </cell>
          <cell r="H453">
            <v>0</v>
          </cell>
        </row>
        <row r="454">
          <cell r="B454">
            <v>5742</v>
          </cell>
          <cell r="C454" t="str">
            <v>Jackson; Joseph W</v>
          </cell>
          <cell r="D454" t="str">
            <v>1</v>
          </cell>
          <cell r="E454" t="str">
            <v>IBEWOUT</v>
          </cell>
          <cell r="F454" t="str">
            <v>1245</v>
          </cell>
          <cell r="G454" t="str">
            <v>8</v>
          </cell>
          <cell r="H454">
            <v>0</v>
          </cell>
        </row>
        <row r="455">
          <cell r="B455">
            <v>5749</v>
          </cell>
          <cell r="C455" t="str">
            <v>Jackson; William K</v>
          </cell>
          <cell r="D455" t="str">
            <v>1</v>
          </cell>
          <cell r="E455" t="str">
            <v>IBEWOUT</v>
          </cell>
          <cell r="F455" t="str">
            <v>77</v>
          </cell>
          <cell r="G455" t="str">
            <v>8</v>
          </cell>
          <cell r="H455">
            <v>0</v>
          </cell>
        </row>
        <row r="456">
          <cell r="B456">
            <v>5770</v>
          </cell>
          <cell r="C456" t="str">
            <v>Jewell; Michael W.</v>
          </cell>
          <cell r="D456" t="str">
            <v>1C</v>
          </cell>
          <cell r="E456" t="str">
            <v>IBEWOUT</v>
          </cell>
          <cell r="F456" t="str">
            <v>1245</v>
          </cell>
          <cell r="G456" t="str">
            <v>60</v>
          </cell>
          <cell r="H456">
            <v>0</v>
          </cell>
        </row>
        <row r="457">
          <cell r="B457">
            <v>5771</v>
          </cell>
          <cell r="C457" t="str">
            <v>Jennings; Drayton D</v>
          </cell>
          <cell r="D457" t="str">
            <v>1</v>
          </cell>
          <cell r="E457" t="str">
            <v/>
          </cell>
          <cell r="F457" t="str">
            <v/>
          </cell>
          <cell r="G457" t="str">
            <v/>
          </cell>
          <cell r="H457">
            <v>0</v>
          </cell>
        </row>
        <row r="458">
          <cell r="B458">
            <v>5775</v>
          </cell>
          <cell r="C458" t="str">
            <v>Jinks;  Joseph D</v>
          </cell>
          <cell r="D458" t="str">
            <v>1</v>
          </cell>
          <cell r="E458" t="str">
            <v>IBEWOUT</v>
          </cell>
          <cell r="F458" t="str">
            <v>769</v>
          </cell>
          <cell r="G458" t="str">
            <v>33</v>
          </cell>
          <cell r="H458">
            <v>0</v>
          </cell>
        </row>
        <row r="459">
          <cell r="B459">
            <v>5813</v>
          </cell>
          <cell r="C459" t="str">
            <v>Johnson; Jay M</v>
          </cell>
          <cell r="D459" t="str">
            <v>1</v>
          </cell>
          <cell r="E459" t="str">
            <v>IBEWOUT</v>
          </cell>
          <cell r="F459" t="str">
            <v>77</v>
          </cell>
          <cell r="G459" t="str">
            <v>17</v>
          </cell>
          <cell r="H459">
            <v>0</v>
          </cell>
        </row>
        <row r="460">
          <cell r="B460">
            <v>5814</v>
          </cell>
          <cell r="C460" t="str">
            <v>Johnson; Caleb T</v>
          </cell>
          <cell r="D460" t="str">
            <v>1C</v>
          </cell>
          <cell r="E460" t="str">
            <v>IBEWOUT</v>
          </cell>
          <cell r="F460" t="str">
            <v>47</v>
          </cell>
          <cell r="G460" t="str">
            <v>17</v>
          </cell>
          <cell r="H460">
            <v>0</v>
          </cell>
        </row>
        <row r="461">
          <cell r="B461">
            <v>5815</v>
          </cell>
          <cell r="C461" t="str">
            <v>Johnson; Robert V</v>
          </cell>
          <cell r="D461" t="str">
            <v>1C</v>
          </cell>
          <cell r="E461" t="str">
            <v>IBEWOUT</v>
          </cell>
          <cell r="F461" t="str">
            <v>769</v>
          </cell>
          <cell r="G461" t="str">
            <v>11</v>
          </cell>
          <cell r="H461">
            <v>0</v>
          </cell>
        </row>
        <row r="462">
          <cell r="B462">
            <v>5818</v>
          </cell>
          <cell r="C462" t="str">
            <v>Jones; Theodore Nicklas</v>
          </cell>
          <cell r="D462" t="str">
            <v>1C</v>
          </cell>
          <cell r="E462" t="str">
            <v>IBEWOUT</v>
          </cell>
          <cell r="F462" t="str">
            <v>611</v>
          </cell>
          <cell r="G462" t="str">
            <v>8</v>
          </cell>
          <cell r="H462">
            <v>0</v>
          </cell>
        </row>
        <row r="463">
          <cell r="B463">
            <v>5822</v>
          </cell>
          <cell r="C463" t="str">
            <v>Johnson; Brian Edmund</v>
          </cell>
          <cell r="D463" t="str">
            <v>1</v>
          </cell>
          <cell r="E463" t="str">
            <v>IBEWOUT</v>
          </cell>
          <cell r="F463" t="str">
            <v>1245</v>
          </cell>
          <cell r="G463" t="str">
            <v>7</v>
          </cell>
          <cell r="H463">
            <v>0</v>
          </cell>
        </row>
        <row r="464">
          <cell r="B464">
            <v>5823</v>
          </cell>
          <cell r="C464" t="str">
            <v>Johnson; Cameron R</v>
          </cell>
          <cell r="D464" t="str">
            <v>1</v>
          </cell>
          <cell r="E464" t="str">
            <v>IBEWOUT</v>
          </cell>
          <cell r="F464" t="str">
            <v>602R</v>
          </cell>
          <cell r="G464" t="str">
            <v>8</v>
          </cell>
          <cell r="H464">
            <v>0</v>
          </cell>
        </row>
        <row r="465">
          <cell r="B465">
            <v>5825</v>
          </cell>
          <cell r="C465" t="str">
            <v>Johnson; Dean R</v>
          </cell>
          <cell r="D465" t="str">
            <v>1C</v>
          </cell>
          <cell r="E465" t="str">
            <v>IBEWOUT</v>
          </cell>
          <cell r="F465" t="str">
            <v>1049</v>
          </cell>
          <cell r="G465" t="str">
            <v>8</v>
          </cell>
          <cell r="H465">
            <v>0</v>
          </cell>
        </row>
        <row r="466">
          <cell r="B466">
            <v>5833</v>
          </cell>
          <cell r="C466" t="str">
            <v>Johnson; Jon Wayne</v>
          </cell>
          <cell r="D466" t="str">
            <v>1C</v>
          </cell>
          <cell r="E466" t="str">
            <v>IBEWOUT</v>
          </cell>
          <cell r="F466" t="str">
            <v>602R</v>
          </cell>
          <cell r="G466" t="str">
            <v>1</v>
          </cell>
          <cell r="H466">
            <v>0</v>
          </cell>
        </row>
        <row r="467">
          <cell r="B467">
            <v>5834</v>
          </cell>
          <cell r="C467" t="str">
            <v>Johnson; Justin R</v>
          </cell>
          <cell r="D467" t="str">
            <v>1C</v>
          </cell>
          <cell r="E467" t="str">
            <v>IBEWOUT</v>
          </cell>
          <cell r="F467" t="str">
            <v>47</v>
          </cell>
          <cell r="G467" t="str">
            <v>8</v>
          </cell>
          <cell r="H467">
            <v>0</v>
          </cell>
        </row>
        <row r="468">
          <cell r="B468">
            <v>5840</v>
          </cell>
          <cell r="C468" t="str">
            <v>Johnson; Thomas D.</v>
          </cell>
          <cell r="D468" t="str">
            <v>1C</v>
          </cell>
          <cell r="E468" t="str">
            <v>IBEWOUT</v>
          </cell>
          <cell r="F468" t="str">
            <v>47</v>
          </cell>
          <cell r="G468" t="str">
            <v>8</v>
          </cell>
          <cell r="H468">
            <v>0</v>
          </cell>
        </row>
        <row r="469">
          <cell r="B469">
            <v>5844</v>
          </cell>
          <cell r="C469" t="str">
            <v>Johnson; Cliff Daniel</v>
          </cell>
          <cell r="D469" t="str">
            <v>1C</v>
          </cell>
          <cell r="E469" t="str">
            <v>IBEWOUT</v>
          </cell>
          <cell r="F469" t="str">
            <v>77</v>
          </cell>
          <cell r="G469" t="str">
            <v>7</v>
          </cell>
          <cell r="H469">
            <v>0</v>
          </cell>
        </row>
        <row r="470">
          <cell r="B470">
            <v>5846</v>
          </cell>
          <cell r="C470" t="str">
            <v>Jauregui; Jaime</v>
          </cell>
          <cell r="D470" t="str">
            <v>1</v>
          </cell>
          <cell r="E470" t="str">
            <v/>
          </cell>
          <cell r="F470" t="str">
            <v/>
          </cell>
          <cell r="G470" t="str">
            <v/>
          </cell>
          <cell r="H470">
            <v>1</v>
          </cell>
        </row>
        <row r="471">
          <cell r="B471">
            <v>5849</v>
          </cell>
          <cell r="C471" t="str">
            <v>Jones; Carol Lou</v>
          </cell>
          <cell r="D471" t="str">
            <v>1C</v>
          </cell>
          <cell r="E471" t="str">
            <v>IBEWOUT</v>
          </cell>
          <cell r="F471" t="str">
            <v>47</v>
          </cell>
          <cell r="G471" t="str">
            <v>17</v>
          </cell>
          <cell r="H471">
            <v>0</v>
          </cell>
        </row>
        <row r="472">
          <cell r="B472">
            <v>5850</v>
          </cell>
          <cell r="C472" t="str">
            <v>Jones; Michael M</v>
          </cell>
          <cell r="D472" t="str">
            <v>1C</v>
          </cell>
          <cell r="E472" t="str">
            <v>IBEWOUT</v>
          </cell>
          <cell r="F472" t="str">
            <v>1245</v>
          </cell>
          <cell r="G472" t="str">
            <v>12</v>
          </cell>
          <cell r="H472">
            <v>0</v>
          </cell>
        </row>
        <row r="473">
          <cell r="B473">
            <v>5856</v>
          </cell>
          <cell r="C473" t="str">
            <v>Jones; Jered P</v>
          </cell>
          <cell r="D473" t="str">
            <v>1C</v>
          </cell>
          <cell r="E473" t="str">
            <v/>
          </cell>
          <cell r="F473" t="str">
            <v/>
          </cell>
          <cell r="G473" t="str">
            <v/>
          </cell>
          <cell r="H473">
            <v>1</v>
          </cell>
        </row>
        <row r="474">
          <cell r="B474">
            <v>5861</v>
          </cell>
          <cell r="C474" t="str">
            <v>Jimenez II; Samuel E.</v>
          </cell>
          <cell r="D474" t="str">
            <v>1C</v>
          </cell>
          <cell r="E474" t="str">
            <v>IBEWOUT</v>
          </cell>
          <cell r="F474" t="str">
            <v>769</v>
          </cell>
          <cell r="G474" t="str">
            <v>17</v>
          </cell>
          <cell r="H474">
            <v>0</v>
          </cell>
        </row>
        <row r="475">
          <cell r="B475">
            <v>5862</v>
          </cell>
          <cell r="C475" t="str">
            <v>Johnson; Taylor S.</v>
          </cell>
          <cell r="D475" t="str">
            <v>1C</v>
          </cell>
          <cell r="E475" t="str">
            <v>IBEWOUT</v>
          </cell>
          <cell r="F475" t="str">
            <v>77</v>
          </cell>
          <cell r="G475" t="str">
            <v>17</v>
          </cell>
          <cell r="H475">
            <v>0</v>
          </cell>
        </row>
        <row r="476">
          <cell r="B476">
            <v>5863</v>
          </cell>
          <cell r="C476" t="str">
            <v>Jimenez; Salvador</v>
          </cell>
          <cell r="D476" t="str">
            <v>1C</v>
          </cell>
          <cell r="E476" t="str">
            <v>IBEWOUT</v>
          </cell>
          <cell r="F476" t="str">
            <v>769</v>
          </cell>
          <cell r="G476" t="str">
            <v>13</v>
          </cell>
          <cell r="H476">
            <v>0</v>
          </cell>
        </row>
        <row r="477">
          <cell r="B477">
            <v>5865</v>
          </cell>
          <cell r="C477" t="str">
            <v>Johnson; Edward J</v>
          </cell>
          <cell r="D477" t="str">
            <v>1C</v>
          </cell>
          <cell r="E477" t="str">
            <v>IBEWOUT</v>
          </cell>
          <cell r="F477" t="str">
            <v>769</v>
          </cell>
          <cell r="G477" t="str">
            <v>16</v>
          </cell>
          <cell r="H477">
            <v>0</v>
          </cell>
        </row>
        <row r="478">
          <cell r="B478">
            <v>5868</v>
          </cell>
          <cell r="C478" t="str">
            <v>Johnson; Hunter A</v>
          </cell>
          <cell r="D478" t="str">
            <v>1C</v>
          </cell>
          <cell r="E478" t="str">
            <v/>
          </cell>
          <cell r="F478" t="str">
            <v/>
          </cell>
          <cell r="G478" t="str">
            <v/>
          </cell>
          <cell r="H478">
            <v>0</v>
          </cell>
        </row>
        <row r="479">
          <cell r="B479">
            <v>5870</v>
          </cell>
          <cell r="C479" t="str">
            <v>Johnson; Heath E.</v>
          </cell>
          <cell r="D479" t="str">
            <v>1C</v>
          </cell>
          <cell r="E479" t="str">
            <v>IBEWOUT</v>
          </cell>
          <cell r="F479" t="str">
            <v>769</v>
          </cell>
          <cell r="G479" t="str">
            <v>15</v>
          </cell>
          <cell r="H479">
            <v>0</v>
          </cell>
        </row>
        <row r="480">
          <cell r="B480">
            <v>5876</v>
          </cell>
          <cell r="C480" t="str">
            <v>Johnston; Bryan T.</v>
          </cell>
          <cell r="D480" t="str">
            <v>1</v>
          </cell>
          <cell r="E480" t="str">
            <v>IBEWOUT</v>
          </cell>
          <cell r="F480" t="str">
            <v>602R</v>
          </cell>
          <cell r="G480" t="str">
            <v>8</v>
          </cell>
          <cell r="H480">
            <v>0</v>
          </cell>
        </row>
        <row r="481">
          <cell r="B481">
            <v>5910</v>
          </cell>
          <cell r="C481" t="str">
            <v>Jones; James</v>
          </cell>
          <cell r="D481" t="str">
            <v>1C</v>
          </cell>
          <cell r="E481" t="str">
            <v>IBEWOUT</v>
          </cell>
          <cell r="F481" t="str">
            <v>396</v>
          </cell>
          <cell r="G481" t="str">
            <v>21</v>
          </cell>
          <cell r="H481">
            <v>0</v>
          </cell>
        </row>
        <row r="482">
          <cell r="B482">
            <v>5920</v>
          </cell>
          <cell r="C482" t="str">
            <v>Justice; Kaleb K.</v>
          </cell>
          <cell r="D482" t="str">
            <v>1C</v>
          </cell>
          <cell r="E482" t="str">
            <v>IBEWOUT</v>
          </cell>
          <cell r="F482" t="str">
            <v>1245</v>
          </cell>
          <cell r="G482" t="str">
            <v>8</v>
          </cell>
          <cell r="H482">
            <v>0</v>
          </cell>
        </row>
        <row r="483">
          <cell r="B483">
            <v>5924</v>
          </cell>
          <cell r="C483" t="str">
            <v>Jonte; Kleet K</v>
          </cell>
          <cell r="D483" t="str">
            <v>1C</v>
          </cell>
          <cell r="E483" t="str">
            <v>IBEWOUT</v>
          </cell>
          <cell r="F483" t="str">
            <v>1245</v>
          </cell>
          <cell r="G483" t="str">
            <v>8</v>
          </cell>
          <cell r="H483">
            <v>0</v>
          </cell>
        </row>
        <row r="484">
          <cell r="B484">
            <v>5925</v>
          </cell>
          <cell r="C484" t="str">
            <v>Joy; Shane S</v>
          </cell>
          <cell r="D484" t="str">
            <v>1C</v>
          </cell>
          <cell r="E484" t="str">
            <v>IBEWOUT</v>
          </cell>
          <cell r="F484" t="str">
            <v>125</v>
          </cell>
          <cell r="G484" t="str">
            <v>17</v>
          </cell>
          <cell r="H484">
            <v>0</v>
          </cell>
        </row>
        <row r="485">
          <cell r="B485">
            <v>5926</v>
          </cell>
          <cell r="C485" t="str">
            <v>Jones; Andrew</v>
          </cell>
          <cell r="D485" t="str">
            <v>1C</v>
          </cell>
          <cell r="E485" t="str">
            <v>IBEWOUT</v>
          </cell>
          <cell r="F485" t="str">
            <v>611</v>
          </cell>
          <cell r="G485" t="str">
            <v>16</v>
          </cell>
          <cell r="H485">
            <v>0</v>
          </cell>
        </row>
        <row r="486">
          <cell r="B486">
            <v>5928</v>
          </cell>
          <cell r="C486" t="str">
            <v>Jones; Acil B.</v>
          </cell>
          <cell r="D486" t="str">
            <v>1C</v>
          </cell>
          <cell r="E486" t="str">
            <v>IBEWOUT</v>
          </cell>
          <cell r="F486" t="str">
            <v>769</v>
          </cell>
          <cell r="G486" t="str">
            <v>8</v>
          </cell>
          <cell r="H486">
            <v>0</v>
          </cell>
        </row>
        <row r="487">
          <cell r="B487">
            <v>5929</v>
          </cell>
          <cell r="C487" t="str">
            <v>Judd; Brian R.</v>
          </cell>
          <cell r="D487" t="str">
            <v>1C</v>
          </cell>
          <cell r="E487" t="str">
            <v>IBEWOUT</v>
          </cell>
          <cell r="F487" t="str">
            <v>1245</v>
          </cell>
          <cell r="G487" t="str">
            <v>8</v>
          </cell>
          <cell r="H487">
            <v>0</v>
          </cell>
        </row>
        <row r="488">
          <cell r="B488">
            <v>5930</v>
          </cell>
          <cell r="C488" t="str">
            <v>Joshi; Ajay B</v>
          </cell>
          <cell r="D488" t="str">
            <v>1</v>
          </cell>
          <cell r="E488" t="str">
            <v/>
          </cell>
          <cell r="F488" t="str">
            <v/>
          </cell>
          <cell r="G488" t="str">
            <v/>
          </cell>
          <cell r="H488">
            <v>0</v>
          </cell>
        </row>
        <row r="489">
          <cell r="B489">
            <v>5931</v>
          </cell>
          <cell r="C489" t="str">
            <v>Juarez; Carlos G.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17</v>
          </cell>
          <cell r="H489">
            <v>0</v>
          </cell>
        </row>
        <row r="490">
          <cell r="B490">
            <v>5932</v>
          </cell>
          <cell r="C490" t="str">
            <v>Juarez Duran; Angelo De</v>
          </cell>
          <cell r="D490" t="str">
            <v>1C</v>
          </cell>
          <cell r="E490" t="str">
            <v/>
          </cell>
          <cell r="F490" t="str">
            <v/>
          </cell>
          <cell r="G490" t="str">
            <v/>
          </cell>
          <cell r="H490">
            <v>0</v>
          </cell>
        </row>
        <row r="491">
          <cell r="B491">
            <v>5933</v>
          </cell>
          <cell r="C491" t="str">
            <v>Jordan; Jason W.</v>
          </cell>
          <cell r="D491" t="str">
            <v>1C</v>
          </cell>
          <cell r="E491" t="str">
            <v>IBEWOUT</v>
          </cell>
          <cell r="F491" t="str">
            <v>1245</v>
          </cell>
          <cell r="G491" t="str">
            <v>7</v>
          </cell>
          <cell r="H491">
            <v>0</v>
          </cell>
        </row>
        <row r="492">
          <cell r="B492">
            <v>5934</v>
          </cell>
          <cell r="C492" t="str">
            <v>Juenke; David P</v>
          </cell>
          <cell r="D492" t="str">
            <v>1C</v>
          </cell>
          <cell r="E492" t="str">
            <v>IBEWOUT</v>
          </cell>
          <cell r="F492" t="str">
            <v>1245</v>
          </cell>
          <cell r="G492" t="str">
            <v>8</v>
          </cell>
          <cell r="H492">
            <v>0</v>
          </cell>
        </row>
        <row r="493">
          <cell r="B493">
            <v>5937</v>
          </cell>
          <cell r="C493" t="str">
            <v>Justice; Luke</v>
          </cell>
          <cell r="D493" t="str">
            <v>1C</v>
          </cell>
          <cell r="E493" t="str">
            <v>IBEWOUT</v>
          </cell>
          <cell r="F493" t="str">
            <v>1245</v>
          </cell>
          <cell r="G493" t="str">
            <v>8</v>
          </cell>
          <cell r="H493">
            <v>0</v>
          </cell>
        </row>
        <row r="494">
          <cell r="B494">
            <v>5942</v>
          </cell>
          <cell r="C494" t="str">
            <v>Johnson; Adam L.</v>
          </cell>
          <cell r="D494" t="str">
            <v>1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5945</v>
          </cell>
          <cell r="C495" t="str">
            <v>Johnson; Aaron R.</v>
          </cell>
          <cell r="D495" t="str">
            <v>1C</v>
          </cell>
          <cell r="E495" t="str">
            <v>IBEWOUT</v>
          </cell>
          <cell r="F495" t="str">
            <v>611</v>
          </cell>
          <cell r="G495" t="str">
            <v>8</v>
          </cell>
          <cell r="H495">
            <v>0</v>
          </cell>
        </row>
        <row r="496">
          <cell r="B496">
            <v>5948</v>
          </cell>
          <cell r="C496" t="str">
            <v>Kaestner; Cole R</v>
          </cell>
          <cell r="D496" t="str">
            <v>1C</v>
          </cell>
          <cell r="E496" t="str">
            <v>IBEWOUT</v>
          </cell>
          <cell r="F496" t="str">
            <v>611</v>
          </cell>
          <cell r="G496" t="str">
            <v>8</v>
          </cell>
          <cell r="H496">
            <v>0</v>
          </cell>
        </row>
        <row r="497">
          <cell r="B497">
            <v>5951</v>
          </cell>
          <cell r="C497" t="str">
            <v>Kent; Adam J.</v>
          </cell>
          <cell r="D497" t="str">
            <v>1C</v>
          </cell>
          <cell r="E497" t="str">
            <v>IBEWOUT</v>
          </cell>
          <cell r="F497" t="str">
            <v>125</v>
          </cell>
          <cell r="G497" t="str">
            <v>8</v>
          </cell>
          <cell r="H497">
            <v>0</v>
          </cell>
        </row>
        <row r="498">
          <cell r="B498">
            <v>5954</v>
          </cell>
          <cell r="C498" t="str">
            <v>Kash; Korey C.</v>
          </cell>
          <cell r="D498" t="str">
            <v>1C</v>
          </cell>
          <cell r="E498" t="str">
            <v>IBEWOUT</v>
          </cell>
          <cell r="F498" t="str">
            <v>769</v>
          </cell>
          <cell r="G498" t="str">
            <v>20</v>
          </cell>
          <cell r="H498">
            <v>0</v>
          </cell>
        </row>
        <row r="499">
          <cell r="B499">
            <v>5957</v>
          </cell>
          <cell r="C499" t="str">
            <v>Kane; Rick A</v>
          </cell>
          <cell r="D499" t="str">
            <v>1C</v>
          </cell>
          <cell r="E499" t="str">
            <v>IBEWOUT</v>
          </cell>
          <cell r="F499" t="str">
            <v>1245</v>
          </cell>
          <cell r="G499" t="str">
            <v>8</v>
          </cell>
          <cell r="H499">
            <v>0</v>
          </cell>
        </row>
        <row r="500">
          <cell r="B500">
            <v>5958</v>
          </cell>
          <cell r="C500" t="str">
            <v>Kamrar; William D</v>
          </cell>
          <cell r="D500" t="str">
            <v>1C</v>
          </cell>
          <cell r="E500" t="str">
            <v>IBEWOUT</v>
          </cell>
          <cell r="F500" t="str">
            <v>769</v>
          </cell>
          <cell r="G500" t="str">
            <v>7</v>
          </cell>
          <cell r="H500">
            <v>0</v>
          </cell>
        </row>
        <row r="501">
          <cell r="B501">
            <v>5959</v>
          </cell>
          <cell r="C501" t="str">
            <v>Kautzman; Eugene Joseph</v>
          </cell>
          <cell r="D501" t="str">
            <v>1C</v>
          </cell>
          <cell r="E501" t="str">
            <v/>
          </cell>
          <cell r="F501" t="str">
            <v/>
          </cell>
          <cell r="G501" t="str">
            <v/>
          </cell>
          <cell r="H501">
            <v>0</v>
          </cell>
        </row>
        <row r="502">
          <cell r="B502">
            <v>5960</v>
          </cell>
          <cell r="C502" t="str">
            <v>Kaufer; Chester</v>
          </cell>
          <cell r="D502" t="str">
            <v>1</v>
          </cell>
          <cell r="E502" t="str">
            <v>IBEWOUT</v>
          </cell>
          <cell r="F502" t="str">
            <v>1319</v>
          </cell>
          <cell r="G502" t="str">
            <v>7S</v>
          </cell>
          <cell r="H502">
            <v>0</v>
          </cell>
        </row>
        <row r="503">
          <cell r="B503">
            <v>5963</v>
          </cell>
          <cell r="C503" t="str">
            <v>Kendall; Benjamin C</v>
          </cell>
          <cell r="D503" t="str">
            <v>1C</v>
          </cell>
          <cell r="E503" t="str">
            <v>IBEWOUT</v>
          </cell>
          <cell r="F503" t="str">
            <v>769</v>
          </cell>
          <cell r="G503" t="str">
            <v>8</v>
          </cell>
          <cell r="H503">
            <v>0</v>
          </cell>
        </row>
        <row r="504">
          <cell r="B504">
            <v>5965</v>
          </cell>
          <cell r="C504" t="str">
            <v>Keene; Brandon J</v>
          </cell>
          <cell r="D504" t="str">
            <v>1C</v>
          </cell>
          <cell r="E504" t="str">
            <v>IBEWOUT</v>
          </cell>
          <cell r="F504" t="str">
            <v>77</v>
          </cell>
          <cell r="G504" t="str">
            <v>8</v>
          </cell>
          <cell r="H504">
            <v>0</v>
          </cell>
        </row>
        <row r="505">
          <cell r="B505">
            <v>5967</v>
          </cell>
          <cell r="C505" t="str">
            <v>Kegley; Michael J</v>
          </cell>
          <cell r="D505" t="str">
            <v>1C</v>
          </cell>
          <cell r="E505" t="str">
            <v>IBEWOUT</v>
          </cell>
          <cell r="F505" t="str">
            <v>1245</v>
          </cell>
          <cell r="G505" t="str">
            <v>8</v>
          </cell>
          <cell r="H505">
            <v>0</v>
          </cell>
        </row>
        <row r="506">
          <cell r="B506">
            <v>5974</v>
          </cell>
          <cell r="C506" t="str">
            <v>Kerber; Christopher R.</v>
          </cell>
          <cell r="D506" t="str">
            <v>1</v>
          </cell>
          <cell r="E506" t="str">
            <v>IBEWOUT</v>
          </cell>
          <cell r="F506" t="str">
            <v>769</v>
          </cell>
          <cell r="G506" t="str">
            <v>1</v>
          </cell>
          <cell r="H506">
            <v>1</v>
          </cell>
        </row>
        <row r="507">
          <cell r="B507">
            <v>5976</v>
          </cell>
          <cell r="C507" t="str">
            <v>Kenia; Michael D</v>
          </cell>
          <cell r="D507" t="str">
            <v>1</v>
          </cell>
          <cell r="E507" t="str">
            <v>IBEWOUT</v>
          </cell>
          <cell r="F507" t="str">
            <v>1319</v>
          </cell>
          <cell r="G507" t="str">
            <v>8</v>
          </cell>
          <cell r="H507">
            <v>0</v>
          </cell>
        </row>
        <row r="508">
          <cell r="B508">
            <v>5995</v>
          </cell>
          <cell r="C508" t="str">
            <v>Kessel; William Joseph</v>
          </cell>
          <cell r="D508" t="str">
            <v>1</v>
          </cell>
          <cell r="E508" t="str">
            <v/>
          </cell>
          <cell r="F508" t="str">
            <v/>
          </cell>
          <cell r="G508" t="str">
            <v/>
          </cell>
          <cell r="H508">
            <v>1</v>
          </cell>
        </row>
        <row r="509">
          <cell r="B509">
            <v>5996</v>
          </cell>
          <cell r="C509" t="str">
            <v>Keune; Trevor M.</v>
          </cell>
          <cell r="D509" t="str">
            <v>1C</v>
          </cell>
          <cell r="E509" t="str">
            <v>IBEWOUT</v>
          </cell>
          <cell r="F509" t="str">
            <v>47</v>
          </cell>
          <cell r="G509" t="str">
            <v>8</v>
          </cell>
          <cell r="H509">
            <v>0</v>
          </cell>
        </row>
        <row r="510">
          <cell r="B510">
            <v>5997</v>
          </cell>
          <cell r="C510" t="str">
            <v>Kessinger; Kyle S</v>
          </cell>
          <cell r="D510" t="str">
            <v>1C</v>
          </cell>
          <cell r="E510" t="str">
            <v>IBEWOUT</v>
          </cell>
          <cell r="F510" t="str">
            <v>77</v>
          </cell>
          <cell r="G510" t="str">
            <v>14</v>
          </cell>
          <cell r="H510">
            <v>0</v>
          </cell>
        </row>
        <row r="511">
          <cell r="B511">
            <v>6002</v>
          </cell>
          <cell r="C511" t="str">
            <v>Kemper; Zachary T</v>
          </cell>
          <cell r="D511" t="str">
            <v>1</v>
          </cell>
          <cell r="E511" t="str">
            <v>IBEWOUT</v>
          </cell>
          <cell r="F511" t="str">
            <v>1245</v>
          </cell>
          <cell r="G511" t="str">
            <v>8</v>
          </cell>
          <cell r="H511">
            <v>0</v>
          </cell>
        </row>
        <row r="512">
          <cell r="B512">
            <v>6003</v>
          </cell>
          <cell r="C512" t="str">
            <v>Kelly; Raymond D.</v>
          </cell>
          <cell r="D512" t="str">
            <v>1</v>
          </cell>
          <cell r="E512" t="str">
            <v>IBEWOUT</v>
          </cell>
          <cell r="F512" t="str">
            <v>602R</v>
          </cell>
          <cell r="G512" t="str">
            <v>8</v>
          </cell>
          <cell r="H512">
            <v>0</v>
          </cell>
        </row>
        <row r="513">
          <cell r="B513">
            <v>6072</v>
          </cell>
          <cell r="C513" t="str">
            <v>Kitchens; Christopher L</v>
          </cell>
          <cell r="D513" t="str">
            <v>1C</v>
          </cell>
          <cell r="E513" t="str">
            <v>IBEWOUT</v>
          </cell>
          <cell r="F513" t="str">
            <v>1319</v>
          </cell>
          <cell r="G513" t="str">
            <v>8</v>
          </cell>
          <cell r="H513">
            <v>0</v>
          </cell>
        </row>
        <row r="514">
          <cell r="B514">
            <v>6075</v>
          </cell>
          <cell r="C514" t="str">
            <v>Kleinert; John W.</v>
          </cell>
          <cell r="D514" t="str">
            <v>1</v>
          </cell>
          <cell r="E514" t="str">
            <v>IBEWOUT</v>
          </cell>
          <cell r="F514" t="str">
            <v>1319</v>
          </cell>
          <cell r="G514" t="str">
            <v>16</v>
          </cell>
          <cell r="H514">
            <v>0</v>
          </cell>
        </row>
        <row r="515">
          <cell r="B515">
            <v>6090</v>
          </cell>
          <cell r="C515" t="str">
            <v>King; Kyle M.</v>
          </cell>
          <cell r="D515" t="str">
            <v>1C</v>
          </cell>
          <cell r="E515" t="str">
            <v>IBEWOUT</v>
          </cell>
          <cell r="F515" t="str">
            <v>1319</v>
          </cell>
          <cell r="G515" t="str">
            <v>11</v>
          </cell>
          <cell r="H515">
            <v>0</v>
          </cell>
        </row>
        <row r="516">
          <cell r="B516">
            <v>6101</v>
          </cell>
          <cell r="C516" t="str">
            <v>Kemp; Michael B.</v>
          </cell>
          <cell r="D516" t="str">
            <v>1C</v>
          </cell>
          <cell r="E516" t="str">
            <v>IBEWOUT</v>
          </cell>
          <cell r="F516" t="str">
            <v>47</v>
          </cell>
          <cell r="G516" t="str">
            <v>8</v>
          </cell>
          <cell r="H516">
            <v>0</v>
          </cell>
        </row>
        <row r="517">
          <cell r="B517">
            <v>6108</v>
          </cell>
          <cell r="C517" t="str">
            <v>Kelsch; Nathan B.</v>
          </cell>
          <cell r="D517" t="str">
            <v>1C</v>
          </cell>
          <cell r="E517" t="str">
            <v>IBEWOUT</v>
          </cell>
          <cell r="F517" t="str">
            <v>47</v>
          </cell>
          <cell r="G517" t="str">
            <v>70</v>
          </cell>
          <cell r="H517">
            <v>0</v>
          </cell>
        </row>
        <row r="518">
          <cell r="B518">
            <v>6111</v>
          </cell>
          <cell r="C518" t="str">
            <v>Kline; David A</v>
          </cell>
          <cell r="D518" t="str">
            <v>1</v>
          </cell>
          <cell r="E518" t="str">
            <v>IBEWOUT</v>
          </cell>
          <cell r="F518" t="str">
            <v>77</v>
          </cell>
          <cell r="G518" t="str">
            <v>13</v>
          </cell>
          <cell r="H518">
            <v>0</v>
          </cell>
        </row>
        <row r="519">
          <cell r="B519">
            <v>6112</v>
          </cell>
          <cell r="C519" t="str">
            <v>Kirk; Robert E</v>
          </cell>
          <cell r="D519" t="str">
            <v>1C</v>
          </cell>
          <cell r="E519" t="str">
            <v>IBEWOUT</v>
          </cell>
          <cell r="F519" t="str">
            <v>1245</v>
          </cell>
          <cell r="G519" t="str">
            <v>8</v>
          </cell>
          <cell r="H519">
            <v>0</v>
          </cell>
        </row>
        <row r="520">
          <cell r="B520">
            <v>6114</v>
          </cell>
          <cell r="C520" t="str">
            <v>King; Gale L</v>
          </cell>
          <cell r="D520" t="str">
            <v>1C</v>
          </cell>
          <cell r="E520" t="str">
            <v>IBEWOUT</v>
          </cell>
          <cell r="F520" t="str">
            <v>602R</v>
          </cell>
          <cell r="G520" t="str">
            <v>33</v>
          </cell>
          <cell r="H520">
            <v>0</v>
          </cell>
        </row>
        <row r="521">
          <cell r="B521">
            <v>6116</v>
          </cell>
          <cell r="C521" t="str">
            <v>Kimbrough; Frank A.</v>
          </cell>
          <cell r="D521" t="str">
            <v>1C</v>
          </cell>
          <cell r="E521" t="str">
            <v>IBEWOUT</v>
          </cell>
          <cell r="F521" t="str">
            <v>47</v>
          </cell>
          <cell r="G521" t="str">
            <v>17</v>
          </cell>
          <cell r="H521">
            <v>0</v>
          </cell>
        </row>
        <row r="522">
          <cell r="B522">
            <v>6117</v>
          </cell>
          <cell r="C522" t="str">
            <v>Kimmel; Daryl M.</v>
          </cell>
          <cell r="D522" t="str">
            <v>1C</v>
          </cell>
          <cell r="E522" t="str">
            <v>IBEWOUT</v>
          </cell>
          <cell r="F522" t="str">
            <v>77</v>
          </cell>
          <cell r="G522" t="str">
            <v>8</v>
          </cell>
          <cell r="H522">
            <v>0</v>
          </cell>
        </row>
        <row r="523">
          <cell r="B523">
            <v>6118</v>
          </cell>
          <cell r="C523" t="str">
            <v>Kimberly; Michael D</v>
          </cell>
          <cell r="D523" t="str">
            <v>1C</v>
          </cell>
          <cell r="E523" t="str">
            <v/>
          </cell>
          <cell r="F523" t="str">
            <v/>
          </cell>
          <cell r="G523" t="str">
            <v/>
          </cell>
          <cell r="H523">
            <v>0</v>
          </cell>
        </row>
        <row r="524">
          <cell r="B524">
            <v>6125</v>
          </cell>
          <cell r="C524" t="str">
            <v>King; Tyler S</v>
          </cell>
          <cell r="D524" t="str">
            <v>1</v>
          </cell>
          <cell r="E524" t="str">
            <v>IBEWOUT</v>
          </cell>
          <cell r="F524" t="str">
            <v>77</v>
          </cell>
          <cell r="G524" t="str">
            <v>8</v>
          </cell>
          <cell r="H524">
            <v>0</v>
          </cell>
        </row>
        <row r="525">
          <cell r="B525">
            <v>6129</v>
          </cell>
          <cell r="C525" t="str">
            <v>King; Mathew Edward</v>
          </cell>
          <cell r="D525" t="str">
            <v>1C</v>
          </cell>
          <cell r="E525" t="str">
            <v>IBEWOUT</v>
          </cell>
          <cell r="F525" t="str">
            <v>1245</v>
          </cell>
          <cell r="G525" t="str">
            <v>11</v>
          </cell>
          <cell r="H525">
            <v>0</v>
          </cell>
        </row>
        <row r="526">
          <cell r="B526">
            <v>6132</v>
          </cell>
          <cell r="C526" t="str">
            <v>Kingdon; Colton R</v>
          </cell>
          <cell r="D526" t="str">
            <v>1</v>
          </cell>
          <cell r="E526" t="str">
            <v>IBEWOUT</v>
          </cell>
          <cell r="F526" t="str">
            <v>1245</v>
          </cell>
          <cell r="G526" t="str">
            <v>12</v>
          </cell>
          <cell r="H526">
            <v>0</v>
          </cell>
        </row>
        <row r="527">
          <cell r="B527">
            <v>6151</v>
          </cell>
          <cell r="C527" t="str">
            <v>Knapp; Carl William</v>
          </cell>
          <cell r="D527" t="str">
            <v>1</v>
          </cell>
          <cell r="E527" t="str">
            <v>IBEWOUT</v>
          </cell>
          <cell r="F527" t="str">
            <v>1245</v>
          </cell>
          <cell r="G527" t="str">
            <v>16</v>
          </cell>
          <cell r="H527">
            <v>0</v>
          </cell>
        </row>
        <row r="528">
          <cell r="B528">
            <v>6152</v>
          </cell>
          <cell r="C528" t="str">
            <v>Knifong; Joseph A</v>
          </cell>
          <cell r="D528" t="str">
            <v>1C</v>
          </cell>
          <cell r="E528" t="str">
            <v>IBEWOUT</v>
          </cell>
          <cell r="F528" t="str">
            <v>77</v>
          </cell>
          <cell r="G528" t="str">
            <v>8</v>
          </cell>
          <cell r="H528">
            <v>0</v>
          </cell>
        </row>
        <row r="529">
          <cell r="B529">
            <v>6155</v>
          </cell>
          <cell r="C529" t="str">
            <v>Knoll; Thomas E</v>
          </cell>
          <cell r="D529" t="str">
            <v>1</v>
          </cell>
          <cell r="E529" t="str">
            <v>IBEWOUT</v>
          </cell>
          <cell r="F529" t="str">
            <v>77</v>
          </cell>
          <cell r="G529" t="str">
            <v>8</v>
          </cell>
          <cell r="H529">
            <v>0</v>
          </cell>
        </row>
        <row r="530">
          <cell r="B530">
            <v>6159</v>
          </cell>
          <cell r="C530" t="str">
            <v>Kohtz; Kyle G</v>
          </cell>
          <cell r="D530" t="str">
            <v>1C</v>
          </cell>
          <cell r="E530" t="str">
            <v>IBEWOUT</v>
          </cell>
          <cell r="F530" t="str">
            <v>47</v>
          </cell>
          <cell r="G530" t="str">
            <v>8</v>
          </cell>
          <cell r="H530">
            <v>0</v>
          </cell>
        </row>
        <row r="531">
          <cell r="B531">
            <v>6165</v>
          </cell>
          <cell r="C531" t="str">
            <v>Kolvek; Michael A</v>
          </cell>
          <cell r="D531" t="str">
            <v>1C</v>
          </cell>
          <cell r="E531" t="str">
            <v>IBEWOUT</v>
          </cell>
          <cell r="F531" t="str">
            <v>126</v>
          </cell>
          <cell r="G531" t="str">
            <v>8</v>
          </cell>
          <cell r="H531">
            <v>0</v>
          </cell>
        </row>
        <row r="532">
          <cell r="B532">
            <v>6170</v>
          </cell>
          <cell r="C532" t="str">
            <v>Koehn; Jacob A</v>
          </cell>
          <cell r="D532" t="str">
            <v>1C</v>
          </cell>
          <cell r="E532" t="str">
            <v>IBEWOUT</v>
          </cell>
          <cell r="F532" t="str">
            <v>47</v>
          </cell>
          <cell r="G532" t="str">
            <v>8</v>
          </cell>
          <cell r="H532">
            <v>0</v>
          </cell>
        </row>
        <row r="533">
          <cell r="B533">
            <v>6202</v>
          </cell>
          <cell r="C533" t="str">
            <v>Kokrine; Sage D</v>
          </cell>
          <cell r="D533" t="str">
            <v>1C</v>
          </cell>
          <cell r="E533" t="str">
            <v>IBEWOUT</v>
          </cell>
          <cell r="F533" t="str">
            <v>125</v>
          </cell>
          <cell r="G533" t="str">
            <v>8</v>
          </cell>
          <cell r="H533">
            <v>0</v>
          </cell>
        </row>
        <row r="534">
          <cell r="B534">
            <v>6203</v>
          </cell>
          <cell r="C534" t="str">
            <v>Konchar; Nicholas A.</v>
          </cell>
          <cell r="D534" t="str">
            <v>1C</v>
          </cell>
          <cell r="E534" t="str">
            <v>IBEWOUT</v>
          </cell>
          <cell r="F534" t="str">
            <v>1245</v>
          </cell>
          <cell r="G534" t="str">
            <v>8</v>
          </cell>
          <cell r="H534">
            <v>0</v>
          </cell>
        </row>
        <row r="535">
          <cell r="B535">
            <v>6205</v>
          </cell>
          <cell r="C535" t="str">
            <v>Korpi; Matthew A.</v>
          </cell>
          <cell r="D535" t="str">
            <v>1C</v>
          </cell>
          <cell r="E535" t="str">
            <v>IBEWOUT</v>
          </cell>
          <cell r="F535" t="str">
            <v>1245</v>
          </cell>
          <cell r="G535" t="str">
            <v>8</v>
          </cell>
          <cell r="H535">
            <v>0</v>
          </cell>
        </row>
        <row r="536">
          <cell r="B536">
            <v>6206</v>
          </cell>
          <cell r="C536" t="str">
            <v>Konopaski; Kevin</v>
          </cell>
          <cell r="D536" t="str">
            <v>1C</v>
          </cell>
          <cell r="E536" t="str">
            <v>IBEWOUT</v>
          </cell>
          <cell r="F536" t="str">
            <v>77</v>
          </cell>
          <cell r="G536" t="str">
            <v>9</v>
          </cell>
          <cell r="H536">
            <v>0</v>
          </cell>
        </row>
        <row r="537">
          <cell r="B537">
            <v>6207</v>
          </cell>
          <cell r="C537" t="str">
            <v>Kraft; Jerry L.</v>
          </cell>
          <cell r="D537" t="str">
            <v>1</v>
          </cell>
          <cell r="E537" t="str">
            <v/>
          </cell>
          <cell r="F537" t="str">
            <v/>
          </cell>
          <cell r="G537" t="str">
            <v/>
          </cell>
          <cell r="H537">
            <v>0</v>
          </cell>
        </row>
        <row r="538">
          <cell r="B538">
            <v>6209</v>
          </cell>
          <cell r="C538" t="str">
            <v>Krassa; Keith W.</v>
          </cell>
          <cell r="D538" t="str">
            <v>1</v>
          </cell>
          <cell r="E538" t="str">
            <v>IBEWOUT</v>
          </cell>
          <cell r="F538" t="str">
            <v>769</v>
          </cell>
          <cell r="G538" t="str">
            <v>33</v>
          </cell>
          <cell r="H538">
            <v>0</v>
          </cell>
        </row>
        <row r="539">
          <cell r="B539">
            <v>6210</v>
          </cell>
          <cell r="C539" t="str">
            <v>Kranzusch; Ray F</v>
          </cell>
          <cell r="D539" t="str">
            <v>1C</v>
          </cell>
          <cell r="E539" t="str">
            <v>IBEWOUT</v>
          </cell>
          <cell r="F539" t="str">
            <v>77</v>
          </cell>
          <cell r="G539" t="str">
            <v>13</v>
          </cell>
          <cell r="H539">
            <v>0</v>
          </cell>
        </row>
        <row r="540">
          <cell r="B540">
            <v>6211</v>
          </cell>
          <cell r="C540" t="str">
            <v>Konkright; Kyle E</v>
          </cell>
          <cell r="D540" t="str">
            <v>1C</v>
          </cell>
          <cell r="E540" t="str">
            <v>IBEWOUT</v>
          </cell>
          <cell r="F540" t="str">
            <v>1245</v>
          </cell>
          <cell r="G540" t="str">
            <v>8</v>
          </cell>
          <cell r="H540">
            <v>0</v>
          </cell>
        </row>
        <row r="541">
          <cell r="B541">
            <v>6213</v>
          </cell>
          <cell r="C541" t="str">
            <v>Klinger; Timothy J.</v>
          </cell>
          <cell r="D541" t="str">
            <v>1C</v>
          </cell>
          <cell r="E541" t="str">
            <v>IBEWOUT</v>
          </cell>
          <cell r="F541" t="str">
            <v>396</v>
          </cell>
          <cell r="G541" t="str">
            <v>18</v>
          </cell>
          <cell r="H541">
            <v>0</v>
          </cell>
        </row>
        <row r="542">
          <cell r="B542">
            <v>6214</v>
          </cell>
          <cell r="C542" t="str">
            <v>Kingsbury; Andrew J.</v>
          </cell>
          <cell r="D542" t="str">
            <v>1C</v>
          </cell>
          <cell r="E542" t="str">
            <v>IBEWOUT</v>
          </cell>
          <cell r="F542" t="str">
            <v>1319</v>
          </cell>
          <cell r="G542" t="str">
            <v>8</v>
          </cell>
          <cell r="H542">
            <v>0</v>
          </cell>
        </row>
        <row r="543">
          <cell r="B543">
            <v>6215</v>
          </cell>
          <cell r="C543" t="str">
            <v>Kwake; Stanley J.</v>
          </cell>
          <cell r="D543" t="str">
            <v>1C</v>
          </cell>
          <cell r="E543" t="str">
            <v/>
          </cell>
          <cell r="F543" t="str">
            <v/>
          </cell>
          <cell r="G543" t="str">
            <v/>
          </cell>
          <cell r="H543">
            <v>0</v>
          </cell>
        </row>
        <row r="544">
          <cell r="B544">
            <v>6220</v>
          </cell>
          <cell r="C544" t="str">
            <v>Koutnik; Ryan L.</v>
          </cell>
          <cell r="D544" t="str">
            <v>1C</v>
          </cell>
          <cell r="E544" t="str">
            <v>IBEWOUT</v>
          </cell>
          <cell r="F544" t="str">
            <v>125</v>
          </cell>
          <cell r="G544" t="str">
            <v>8</v>
          </cell>
          <cell r="H544">
            <v>0</v>
          </cell>
        </row>
        <row r="545">
          <cell r="B545">
            <v>6222</v>
          </cell>
          <cell r="C545" t="str">
            <v>Kimball; Frank H.</v>
          </cell>
          <cell r="D545" t="str">
            <v>1C</v>
          </cell>
          <cell r="E545" t="str">
            <v>IBEWOUT</v>
          </cell>
          <cell r="F545" t="str">
            <v>396</v>
          </cell>
          <cell r="G545" t="str">
            <v>21</v>
          </cell>
          <cell r="H545">
            <v>0</v>
          </cell>
        </row>
        <row r="546">
          <cell r="B546">
            <v>6229</v>
          </cell>
          <cell r="C546" t="str">
            <v>Labbe; Jaime H</v>
          </cell>
          <cell r="D546" t="str">
            <v>1C</v>
          </cell>
          <cell r="E546" t="str">
            <v>IBEWOUT</v>
          </cell>
          <cell r="F546" t="str">
            <v>47</v>
          </cell>
          <cell r="G546" t="str">
            <v>8</v>
          </cell>
          <cell r="H546">
            <v>0</v>
          </cell>
        </row>
        <row r="547">
          <cell r="B547">
            <v>6236</v>
          </cell>
          <cell r="C547" t="str">
            <v>Lay Jr; Richard D</v>
          </cell>
          <cell r="D547" t="str">
            <v>1</v>
          </cell>
          <cell r="E547" t="str">
            <v>IBEWIN</v>
          </cell>
          <cell r="F547" t="str">
            <v>280</v>
          </cell>
          <cell r="G547" t="str">
            <v>61</v>
          </cell>
          <cell r="H547">
            <v>0</v>
          </cell>
        </row>
        <row r="548">
          <cell r="B548">
            <v>6238</v>
          </cell>
          <cell r="C548" t="str">
            <v>La Fuente; Timothy</v>
          </cell>
          <cell r="D548" t="str">
            <v>1C</v>
          </cell>
          <cell r="E548" t="str">
            <v>IBEWOUT</v>
          </cell>
          <cell r="F548" t="str">
            <v>1245</v>
          </cell>
          <cell r="G548" t="str">
            <v>8</v>
          </cell>
          <cell r="H548">
            <v>0</v>
          </cell>
        </row>
        <row r="549">
          <cell r="B549">
            <v>6239</v>
          </cell>
          <cell r="C549" t="str">
            <v>Lacy; Russell J.</v>
          </cell>
          <cell r="D549" t="str">
            <v>1</v>
          </cell>
          <cell r="E549" t="str">
            <v>IBEWOUT</v>
          </cell>
          <cell r="F549" t="str">
            <v>611</v>
          </cell>
          <cell r="G549" t="str">
            <v>1</v>
          </cell>
          <cell r="H549">
            <v>0</v>
          </cell>
        </row>
        <row r="550">
          <cell r="B550">
            <v>6241</v>
          </cell>
          <cell r="C550" t="str">
            <v>Ladd; Gordon R.</v>
          </cell>
          <cell r="D550" t="str">
            <v>1</v>
          </cell>
          <cell r="E550" t="str">
            <v/>
          </cell>
          <cell r="F550" t="str">
            <v/>
          </cell>
          <cell r="G550" t="str">
            <v/>
          </cell>
          <cell r="H550">
            <v>0</v>
          </cell>
        </row>
        <row r="551">
          <cell r="B551">
            <v>6257</v>
          </cell>
          <cell r="C551" t="str">
            <v>Landers; Jacie A</v>
          </cell>
          <cell r="D551" t="str">
            <v>1C</v>
          </cell>
          <cell r="E551" t="str">
            <v/>
          </cell>
          <cell r="F551" t="str">
            <v/>
          </cell>
          <cell r="G551" t="str">
            <v/>
          </cell>
          <cell r="H551">
            <v>0</v>
          </cell>
        </row>
        <row r="552">
          <cell r="B552">
            <v>6270</v>
          </cell>
          <cell r="C552" t="str">
            <v>Landon; Lance A</v>
          </cell>
          <cell r="D552" t="str">
            <v>1C</v>
          </cell>
          <cell r="E552" t="str">
            <v>IBEWOUT</v>
          </cell>
          <cell r="F552" t="str">
            <v>1245</v>
          </cell>
          <cell r="G552" t="str">
            <v>8</v>
          </cell>
          <cell r="H552">
            <v>0</v>
          </cell>
        </row>
        <row r="553">
          <cell r="B553">
            <v>6273</v>
          </cell>
          <cell r="C553" t="str">
            <v>Langston Jr.; James Keith</v>
          </cell>
          <cell r="D553" t="str">
            <v>1</v>
          </cell>
          <cell r="E553" t="str">
            <v>IBEWOUT</v>
          </cell>
          <cell r="F553" t="str">
            <v>769</v>
          </cell>
          <cell r="G553" t="str">
            <v>21</v>
          </cell>
          <cell r="H553">
            <v>0</v>
          </cell>
        </row>
        <row r="554">
          <cell r="B554">
            <v>6284</v>
          </cell>
          <cell r="C554" t="str">
            <v>Lantau; Kenneth A.</v>
          </cell>
          <cell r="D554" t="str">
            <v>1</v>
          </cell>
          <cell r="E554" t="str">
            <v>IBEWOUT</v>
          </cell>
          <cell r="F554" t="str">
            <v>77</v>
          </cell>
          <cell r="G554" t="str">
            <v>7</v>
          </cell>
          <cell r="H554">
            <v>0</v>
          </cell>
        </row>
        <row r="555">
          <cell r="B555">
            <v>6295</v>
          </cell>
          <cell r="C555" t="str">
            <v>Larkin; William B.</v>
          </cell>
          <cell r="D555" t="str">
            <v>1</v>
          </cell>
          <cell r="E555" t="str">
            <v>IBEWOUT</v>
          </cell>
          <cell r="F555" t="str">
            <v>77</v>
          </cell>
          <cell r="G555" t="str">
            <v>9</v>
          </cell>
          <cell r="H555">
            <v>0</v>
          </cell>
        </row>
        <row r="556">
          <cell r="B556">
            <v>6297</v>
          </cell>
          <cell r="C556" t="str">
            <v>Larsen; Devin Brett</v>
          </cell>
          <cell r="D556" t="str">
            <v>1</v>
          </cell>
          <cell r="E556" t="str">
            <v>IBEWOUT</v>
          </cell>
          <cell r="F556" t="str">
            <v>77</v>
          </cell>
          <cell r="G556" t="str">
            <v>7</v>
          </cell>
          <cell r="H556">
            <v>0</v>
          </cell>
        </row>
        <row r="557">
          <cell r="B557">
            <v>6298</v>
          </cell>
          <cell r="C557" t="str">
            <v>Larsen; Jason P.</v>
          </cell>
          <cell r="D557" t="str">
            <v>1C</v>
          </cell>
          <cell r="E557" t="str">
            <v>IBEWOUT</v>
          </cell>
          <cell r="F557" t="str">
            <v>77</v>
          </cell>
          <cell r="G557" t="str">
            <v>8</v>
          </cell>
          <cell r="H557">
            <v>0</v>
          </cell>
        </row>
        <row r="558">
          <cell r="B558">
            <v>6300</v>
          </cell>
          <cell r="C558" t="str">
            <v>McCaul-Larson; Tyler L</v>
          </cell>
          <cell r="D558" t="str">
            <v>1C</v>
          </cell>
          <cell r="E558" t="str">
            <v>IBEWOUT</v>
          </cell>
          <cell r="F558" t="str">
            <v>1245</v>
          </cell>
          <cell r="G558" t="str">
            <v>8</v>
          </cell>
          <cell r="H558">
            <v>0</v>
          </cell>
        </row>
        <row r="559">
          <cell r="B559">
            <v>6314</v>
          </cell>
          <cell r="C559" t="str">
            <v>Laskowsky; Mark A</v>
          </cell>
          <cell r="D559" t="str">
            <v>1C</v>
          </cell>
          <cell r="E559" t="str">
            <v>IBEWOUT</v>
          </cell>
          <cell r="F559" t="str">
            <v>126</v>
          </cell>
          <cell r="G559" t="str">
            <v>8</v>
          </cell>
          <cell r="H559">
            <v>0</v>
          </cell>
        </row>
        <row r="560">
          <cell r="B560">
            <v>6319</v>
          </cell>
          <cell r="C560" t="str">
            <v>Lawson; Jeremiah C</v>
          </cell>
          <cell r="D560" t="str">
            <v>1</v>
          </cell>
          <cell r="E560" t="str">
            <v>IBEWOUT</v>
          </cell>
          <cell r="F560" t="str">
            <v>77</v>
          </cell>
          <cell r="G560" t="str">
            <v>8</v>
          </cell>
          <cell r="H560">
            <v>0</v>
          </cell>
        </row>
        <row r="561">
          <cell r="B561">
            <v>6320</v>
          </cell>
          <cell r="C561" t="str">
            <v>Laughlin; Marty J</v>
          </cell>
          <cell r="D561" t="str">
            <v>1</v>
          </cell>
          <cell r="E561" t="str">
            <v>IBEWOUT</v>
          </cell>
          <cell r="F561" t="str">
            <v>47</v>
          </cell>
          <cell r="G561" t="str">
            <v>8</v>
          </cell>
          <cell r="H561">
            <v>0</v>
          </cell>
        </row>
        <row r="562">
          <cell r="B562">
            <v>6329</v>
          </cell>
          <cell r="C562" t="str">
            <v>Lee; Laurence Cooper</v>
          </cell>
          <cell r="D562" t="str">
            <v>1C</v>
          </cell>
          <cell r="E562" t="str">
            <v>IBEWOUT</v>
          </cell>
          <cell r="F562" t="str">
            <v>77</v>
          </cell>
          <cell r="G562" t="str">
            <v>8</v>
          </cell>
          <cell r="H562">
            <v>0</v>
          </cell>
        </row>
        <row r="563">
          <cell r="B563">
            <v>6474</v>
          </cell>
          <cell r="C563" t="str">
            <v>LeCaire; Nicholas V.</v>
          </cell>
          <cell r="D563" t="str">
            <v>1</v>
          </cell>
          <cell r="E563" t="str">
            <v>IBEWOUT</v>
          </cell>
          <cell r="F563" t="str">
            <v>77</v>
          </cell>
          <cell r="G563" t="str">
            <v>7</v>
          </cell>
          <cell r="H563">
            <v>0</v>
          </cell>
        </row>
        <row r="564">
          <cell r="B564">
            <v>6476</v>
          </cell>
          <cell r="C564" t="str">
            <v>Leon Ramirez; Jose</v>
          </cell>
          <cell r="D564" t="str">
            <v>1C</v>
          </cell>
          <cell r="E564" t="str">
            <v>IBEWOUT</v>
          </cell>
          <cell r="F564" t="str">
            <v>47</v>
          </cell>
          <cell r="G564" t="str">
            <v>7</v>
          </cell>
          <cell r="H564">
            <v>0</v>
          </cell>
        </row>
        <row r="565">
          <cell r="B565">
            <v>6477</v>
          </cell>
          <cell r="C565" t="str">
            <v>Leon Ramirez; Cesar</v>
          </cell>
          <cell r="D565" t="str">
            <v>1C</v>
          </cell>
          <cell r="E565" t="str">
            <v>IBEWOUT</v>
          </cell>
          <cell r="F565" t="str">
            <v>47</v>
          </cell>
          <cell r="G565" t="str">
            <v>8</v>
          </cell>
          <cell r="H565">
            <v>0</v>
          </cell>
        </row>
        <row r="566">
          <cell r="B566">
            <v>6478</v>
          </cell>
          <cell r="C566" t="str">
            <v>Leon; Mario J</v>
          </cell>
          <cell r="D566" t="str">
            <v>1C</v>
          </cell>
          <cell r="E566" t="str">
            <v>IBEWOUT</v>
          </cell>
          <cell r="F566" t="str">
            <v>1245</v>
          </cell>
          <cell r="G566" t="str">
            <v>12</v>
          </cell>
          <cell r="H566">
            <v>0</v>
          </cell>
        </row>
        <row r="567">
          <cell r="B567">
            <v>6479</v>
          </cell>
          <cell r="C567" t="str">
            <v>Leiv; Kendell Jonathan</v>
          </cell>
          <cell r="D567" t="str">
            <v>1C</v>
          </cell>
          <cell r="E567" t="str">
            <v/>
          </cell>
          <cell r="F567" t="str">
            <v/>
          </cell>
          <cell r="G567" t="str">
            <v/>
          </cell>
          <cell r="H567">
            <v>0</v>
          </cell>
        </row>
        <row r="568">
          <cell r="B568">
            <v>6482</v>
          </cell>
          <cell r="C568" t="str">
            <v>Ledoux; Walter W</v>
          </cell>
          <cell r="D568" t="str">
            <v>1C</v>
          </cell>
          <cell r="E568" t="str">
            <v>IBEWOUT</v>
          </cell>
          <cell r="F568" t="str">
            <v>1245</v>
          </cell>
          <cell r="G568" t="str">
            <v>8</v>
          </cell>
          <cell r="H568">
            <v>0</v>
          </cell>
        </row>
        <row r="569">
          <cell r="B569">
            <v>6484</v>
          </cell>
          <cell r="C569" t="str">
            <v>Lederer; Dennis J</v>
          </cell>
          <cell r="D569" t="str">
            <v>1</v>
          </cell>
          <cell r="E569" t="str">
            <v/>
          </cell>
          <cell r="F569" t="str">
            <v/>
          </cell>
          <cell r="G569" t="str">
            <v/>
          </cell>
          <cell r="H569">
            <v>0</v>
          </cell>
        </row>
        <row r="570">
          <cell r="B570">
            <v>6485</v>
          </cell>
          <cell r="C570" t="str">
            <v>Lege; Kevin J</v>
          </cell>
          <cell r="D570" t="str">
            <v>1C</v>
          </cell>
          <cell r="E570" t="str">
            <v>IBEWOUT</v>
          </cell>
          <cell r="F570" t="str">
            <v>1245</v>
          </cell>
          <cell r="G570" t="str">
            <v>8</v>
          </cell>
          <cell r="H570">
            <v>0</v>
          </cell>
        </row>
        <row r="571">
          <cell r="B571">
            <v>6487</v>
          </cell>
          <cell r="C571" t="str">
            <v>Lemus; Edward</v>
          </cell>
          <cell r="D571" t="str">
            <v>1C</v>
          </cell>
          <cell r="E571" t="str">
            <v>IBEWOUT</v>
          </cell>
          <cell r="F571" t="str">
            <v>47</v>
          </cell>
          <cell r="G571" t="str">
            <v>17</v>
          </cell>
          <cell r="H571">
            <v>0</v>
          </cell>
        </row>
        <row r="572">
          <cell r="B572">
            <v>6497</v>
          </cell>
          <cell r="C572" t="str">
            <v>Leineke; Theodore A.</v>
          </cell>
          <cell r="D572" t="str">
            <v>1</v>
          </cell>
          <cell r="E572" t="str">
            <v/>
          </cell>
          <cell r="F572" t="str">
            <v/>
          </cell>
          <cell r="G572" t="str">
            <v/>
          </cell>
          <cell r="H572">
            <v>0</v>
          </cell>
        </row>
        <row r="573">
          <cell r="B573">
            <v>6499</v>
          </cell>
          <cell r="C573" t="str">
            <v>Lenoir Jr.; Leo M.</v>
          </cell>
          <cell r="D573" t="str">
            <v>1</v>
          </cell>
          <cell r="E573" t="str">
            <v>IBEWOUT</v>
          </cell>
          <cell r="F573" t="str">
            <v>602R</v>
          </cell>
          <cell r="G573" t="str">
            <v>7</v>
          </cell>
          <cell r="H573">
            <v>0</v>
          </cell>
        </row>
        <row r="574">
          <cell r="B574">
            <v>6520</v>
          </cell>
          <cell r="C574" t="str">
            <v>Leuthner; Paul A</v>
          </cell>
          <cell r="D574" t="str">
            <v>1C</v>
          </cell>
          <cell r="E574" t="str">
            <v>IBEWOUT</v>
          </cell>
          <cell r="F574" t="str">
            <v>1319</v>
          </cell>
          <cell r="G574" t="str">
            <v>8</v>
          </cell>
          <cell r="H574">
            <v>0</v>
          </cell>
        </row>
        <row r="575">
          <cell r="B575">
            <v>6521</v>
          </cell>
          <cell r="C575" t="str">
            <v>Lesser; Wade Brandon</v>
          </cell>
          <cell r="D575" t="str">
            <v>1C</v>
          </cell>
          <cell r="E575" t="str">
            <v>IBEWOUT</v>
          </cell>
          <cell r="F575" t="str">
            <v>77</v>
          </cell>
          <cell r="G575" t="str">
            <v>8</v>
          </cell>
          <cell r="H575">
            <v>0</v>
          </cell>
        </row>
        <row r="576">
          <cell r="B576">
            <v>6526</v>
          </cell>
          <cell r="C576" t="str">
            <v>Leighton; Jarrod A</v>
          </cell>
          <cell r="D576" t="str">
            <v>1</v>
          </cell>
          <cell r="E576" t="str">
            <v>IBEWOUT</v>
          </cell>
          <cell r="F576" t="str">
            <v>77</v>
          </cell>
          <cell r="G576" t="str">
            <v>9</v>
          </cell>
          <cell r="H576">
            <v>0</v>
          </cell>
        </row>
        <row r="577">
          <cell r="B577">
            <v>6576</v>
          </cell>
          <cell r="C577" t="str">
            <v>Lindsay; Cassidy L.</v>
          </cell>
          <cell r="D577" t="str">
            <v>1C</v>
          </cell>
          <cell r="E577" t="str">
            <v>IBEWOUT</v>
          </cell>
          <cell r="F577" t="str">
            <v>1245</v>
          </cell>
          <cell r="G577" t="str">
            <v>16</v>
          </cell>
          <cell r="H577">
            <v>0</v>
          </cell>
        </row>
        <row r="578">
          <cell r="B578">
            <v>6582</v>
          </cell>
          <cell r="C578" t="str">
            <v>Little; Richard K</v>
          </cell>
          <cell r="D578" t="str">
            <v>1C</v>
          </cell>
          <cell r="E578" t="str">
            <v>IBEWOUT</v>
          </cell>
          <cell r="F578" t="str">
            <v>47</v>
          </cell>
          <cell r="G578" t="str">
            <v>59</v>
          </cell>
          <cell r="H578">
            <v>0</v>
          </cell>
        </row>
        <row r="579">
          <cell r="B579">
            <v>6583</v>
          </cell>
          <cell r="C579" t="str">
            <v>Lira; Joshua SP</v>
          </cell>
          <cell r="D579" t="str">
            <v>1</v>
          </cell>
          <cell r="E579" t="str">
            <v>IBEWOUT</v>
          </cell>
          <cell r="F579" t="str">
            <v>1319</v>
          </cell>
          <cell r="G579" t="str">
            <v>8</v>
          </cell>
          <cell r="H579">
            <v>0</v>
          </cell>
        </row>
        <row r="580">
          <cell r="B580">
            <v>6584</v>
          </cell>
          <cell r="C580" t="str">
            <v>Livingston; Christian D.</v>
          </cell>
          <cell r="D580" t="str">
            <v>1C</v>
          </cell>
          <cell r="E580" t="str">
            <v>IBEWOUT</v>
          </cell>
          <cell r="F580" t="str">
            <v>47</v>
          </cell>
          <cell r="G580" t="str">
            <v>17</v>
          </cell>
          <cell r="H580">
            <v>0</v>
          </cell>
        </row>
        <row r="581">
          <cell r="B581">
            <v>6586</v>
          </cell>
          <cell r="C581" t="str">
            <v>Livengood; Justin N.</v>
          </cell>
          <cell r="D581" t="str">
            <v>1C</v>
          </cell>
          <cell r="E581" t="str">
            <v>IBEWOUT</v>
          </cell>
          <cell r="F581" t="str">
            <v>47</v>
          </cell>
          <cell r="G581" t="str">
            <v>60</v>
          </cell>
          <cell r="H581">
            <v>0</v>
          </cell>
        </row>
        <row r="582">
          <cell r="B582">
            <v>6597</v>
          </cell>
          <cell r="C582" t="str">
            <v>LLamas; Oscar J.</v>
          </cell>
          <cell r="D582" t="str">
            <v>1C</v>
          </cell>
          <cell r="E582" t="str">
            <v>IBEWOUT</v>
          </cell>
          <cell r="F582" t="str">
            <v>47</v>
          </cell>
          <cell r="G582" t="str">
            <v>8</v>
          </cell>
          <cell r="H582">
            <v>0</v>
          </cell>
        </row>
        <row r="583">
          <cell r="B583">
            <v>6605</v>
          </cell>
          <cell r="C583" t="str">
            <v>Llorca; John D</v>
          </cell>
          <cell r="D583" t="str">
            <v>1C</v>
          </cell>
          <cell r="E583" t="str">
            <v>IBEWOUT</v>
          </cell>
          <cell r="F583" t="str">
            <v>47</v>
          </cell>
          <cell r="G583" t="str">
            <v>8</v>
          </cell>
          <cell r="H583">
            <v>0</v>
          </cell>
        </row>
        <row r="584">
          <cell r="B584">
            <v>6611</v>
          </cell>
          <cell r="C584" t="str">
            <v>Lock; Shane R</v>
          </cell>
          <cell r="D584" t="str">
            <v>1C</v>
          </cell>
          <cell r="E584" t="str">
            <v>IBEWOUT</v>
          </cell>
          <cell r="F584" t="str">
            <v>1245</v>
          </cell>
          <cell r="G584" t="str">
            <v>7</v>
          </cell>
          <cell r="H584">
            <v>0</v>
          </cell>
        </row>
        <row r="585">
          <cell r="B585">
            <v>6613</v>
          </cell>
          <cell r="C585" t="str">
            <v>Lougee; Thomas G</v>
          </cell>
          <cell r="D585" t="str">
            <v>1C</v>
          </cell>
          <cell r="E585" t="str">
            <v>IBEWOUT</v>
          </cell>
          <cell r="F585" t="str">
            <v>1245</v>
          </cell>
          <cell r="G585" t="str">
            <v>8</v>
          </cell>
          <cell r="H585">
            <v>0</v>
          </cell>
        </row>
        <row r="586">
          <cell r="B586">
            <v>6614</v>
          </cell>
          <cell r="C586" t="str">
            <v>Loera; Francisco</v>
          </cell>
          <cell r="D586" t="str">
            <v>1C</v>
          </cell>
          <cell r="E586" t="str">
            <v>IBEWOUT</v>
          </cell>
          <cell r="F586" t="str">
            <v>1245</v>
          </cell>
          <cell r="G586" t="str">
            <v>60</v>
          </cell>
          <cell r="H586">
            <v>0</v>
          </cell>
        </row>
        <row r="587">
          <cell r="B587">
            <v>6630</v>
          </cell>
          <cell r="C587" t="str">
            <v>Lomax; Gerald A.</v>
          </cell>
          <cell r="D587" t="str">
            <v>1</v>
          </cell>
          <cell r="E587" t="str">
            <v/>
          </cell>
          <cell r="F587" t="str">
            <v/>
          </cell>
          <cell r="G587" t="str">
            <v/>
          </cell>
          <cell r="H587">
            <v>1</v>
          </cell>
        </row>
        <row r="588">
          <cell r="B588">
            <v>6661</v>
          </cell>
          <cell r="C588" t="str">
            <v>Long; Scott A.</v>
          </cell>
          <cell r="D588" t="str">
            <v>1C</v>
          </cell>
          <cell r="E588" t="str">
            <v>IBEWOUT</v>
          </cell>
          <cell r="F588" t="str">
            <v>1245</v>
          </cell>
          <cell r="G588" t="str">
            <v>17</v>
          </cell>
          <cell r="H588">
            <v>0</v>
          </cell>
        </row>
        <row r="589">
          <cell r="B589">
            <v>6665</v>
          </cell>
          <cell r="C589" t="str">
            <v>Long; Gerald</v>
          </cell>
          <cell r="D589" t="str">
            <v>1C</v>
          </cell>
          <cell r="E589" t="str">
            <v>IBEWOUT</v>
          </cell>
          <cell r="F589" t="str">
            <v>611</v>
          </cell>
          <cell r="G589" t="str">
            <v>7</v>
          </cell>
          <cell r="H589">
            <v>0</v>
          </cell>
        </row>
        <row r="590">
          <cell r="B590">
            <v>6668</v>
          </cell>
          <cell r="C590" t="str">
            <v>Long; Richard L</v>
          </cell>
          <cell r="D590" t="str">
            <v>1C</v>
          </cell>
          <cell r="E590" t="str">
            <v>IBEWOUT</v>
          </cell>
          <cell r="F590" t="str">
            <v>47</v>
          </cell>
          <cell r="G590" t="str">
            <v>8</v>
          </cell>
          <cell r="H590">
            <v>0</v>
          </cell>
        </row>
        <row r="591">
          <cell r="B591">
            <v>6671</v>
          </cell>
          <cell r="C591" t="str">
            <v>Longoria; Joel</v>
          </cell>
          <cell r="D591" t="str">
            <v>1C</v>
          </cell>
          <cell r="E591" t="str">
            <v>IBEWOUT</v>
          </cell>
          <cell r="F591" t="str">
            <v>47</v>
          </cell>
          <cell r="G591" t="str">
            <v>8</v>
          </cell>
          <cell r="H591">
            <v>0</v>
          </cell>
        </row>
        <row r="592">
          <cell r="B592">
            <v>6672</v>
          </cell>
          <cell r="C592" t="str">
            <v>Lopez; Hector M</v>
          </cell>
          <cell r="D592" t="str">
            <v>1C</v>
          </cell>
          <cell r="E592" t="str">
            <v>IBEWOUT</v>
          </cell>
          <cell r="F592" t="str">
            <v>1245</v>
          </cell>
          <cell r="G592" t="str">
            <v>14</v>
          </cell>
          <cell r="H592">
            <v>0</v>
          </cell>
        </row>
        <row r="593">
          <cell r="B593">
            <v>6677</v>
          </cell>
          <cell r="C593" t="str">
            <v>Lonneker; Derrick L</v>
          </cell>
          <cell r="D593" t="str">
            <v>1</v>
          </cell>
          <cell r="E593" t="str">
            <v>IBEWOUT</v>
          </cell>
          <cell r="F593" t="str">
            <v>77</v>
          </cell>
          <cell r="G593" t="str">
            <v>7</v>
          </cell>
          <cell r="H593">
            <v>0</v>
          </cell>
        </row>
        <row r="594">
          <cell r="B594">
            <v>6702</v>
          </cell>
          <cell r="C594" t="str">
            <v>Love; David A</v>
          </cell>
          <cell r="D594" t="str">
            <v>1C</v>
          </cell>
          <cell r="E594" t="str">
            <v>IBEWOUT</v>
          </cell>
          <cell r="F594" t="str">
            <v>47</v>
          </cell>
          <cell r="G594" t="str">
            <v>8</v>
          </cell>
          <cell r="H594">
            <v>0</v>
          </cell>
        </row>
        <row r="595">
          <cell r="B595">
            <v>6706</v>
          </cell>
          <cell r="C595" t="str">
            <v>Loucks; Tammi Louise</v>
          </cell>
          <cell r="D595" t="str">
            <v>1C</v>
          </cell>
          <cell r="E595" t="str">
            <v/>
          </cell>
          <cell r="F595" t="str">
            <v/>
          </cell>
          <cell r="G595" t="str">
            <v/>
          </cell>
          <cell r="H595">
            <v>0</v>
          </cell>
        </row>
        <row r="596">
          <cell r="B596">
            <v>6711</v>
          </cell>
          <cell r="C596" t="str">
            <v>Lowerison; William David</v>
          </cell>
          <cell r="D596" t="str">
            <v>1</v>
          </cell>
          <cell r="E596" t="str">
            <v/>
          </cell>
          <cell r="F596" t="str">
            <v/>
          </cell>
          <cell r="G596" t="str">
            <v/>
          </cell>
          <cell r="H596">
            <v>0</v>
          </cell>
        </row>
        <row r="597">
          <cell r="B597">
            <v>6725</v>
          </cell>
          <cell r="C597" t="str">
            <v>Loucks; Robert L.</v>
          </cell>
          <cell r="D597" t="str">
            <v>1</v>
          </cell>
          <cell r="E597" t="str">
            <v/>
          </cell>
          <cell r="F597" t="str">
            <v/>
          </cell>
          <cell r="G597" t="str">
            <v/>
          </cell>
          <cell r="H597">
            <v>0</v>
          </cell>
        </row>
        <row r="598">
          <cell r="B598">
            <v>6728</v>
          </cell>
          <cell r="C598" t="str">
            <v>Lowen; Terry Michael</v>
          </cell>
          <cell r="D598" t="str">
            <v>1</v>
          </cell>
          <cell r="E598" t="str">
            <v/>
          </cell>
          <cell r="F598" t="str">
            <v/>
          </cell>
          <cell r="G598" t="str">
            <v/>
          </cell>
          <cell r="H598">
            <v>1</v>
          </cell>
        </row>
        <row r="599">
          <cell r="B599">
            <v>6730</v>
          </cell>
          <cell r="C599" t="str">
            <v>Loya; James S.</v>
          </cell>
          <cell r="D599" t="str">
            <v>1C</v>
          </cell>
          <cell r="E599" t="str">
            <v>IBEWOUT</v>
          </cell>
          <cell r="F599" t="str">
            <v>47</v>
          </cell>
          <cell r="G599" t="str">
            <v>8</v>
          </cell>
          <cell r="H599">
            <v>0</v>
          </cell>
        </row>
        <row r="600">
          <cell r="B600">
            <v>6738</v>
          </cell>
          <cell r="C600" t="str">
            <v>Lundberg; Jeremy Allen</v>
          </cell>
          <cell r="D600" t="str">
            <v>1</v>
          </cell>
          <cell r="E600" t="str">
            <v>IBEWOUT</v>
          </cell>
          <cell r="F600" t="str">
            <v>77</v>
          </cell>
          <cell r="G600" t="str">
            <v>8</v>
          </cell>
          <cell r="H600">
            <v>0</v>
          </cell>
        </row>
        <row r="601">
          <cell r="B601">
            <v>6745</v>
          </cell>
          <cell r="C601" t="str">
            <v>Lynch; Andrew J.</v>
          </cell>
          <cell r="D601" t="str">
            <v>1C</v>
          </cell>
          <cell r="E601" t="str">
            <v>IBEWOUT</v>
          </cell>
          <cell r="F601" t="str">
            <v>77</v>
          </cell>
          <cell r="G601" t="str">
            <v>8</v>
          </cell>
          <cell r="H601">
            <v>0</v>
          </cell>
        </row>
        <row r="602">
          <cell r="B602">
            <v>6760</v>
          </cell>
          <cell r="C602" t="str">
            <v>Lynch; Kenneth A.</v>
          </cell>
          <cell r="D602" t="str">
            <v>1C</v>
          </cell>
          <cell r="E602" t="str">
            <v>IBEWOUT</v>
          </cell>
          <cell r="F602" t="str">
            <v>769</v>
          </cell>
          <cell r="G602" t="str">
            <v>8</v>
          </cell>
          <cell r="H602">
            <v>0</v>
          </cell>
        </row>
        <row r="603">
          <cell r="B603">
            <v>6918</v>
          </cell>
          <cell r="C603" t="str">
            <v>MacKenzie; Amber</v>
          </cell>
          <cell r="D603" t="str">
            <v>1</v>
          </cell>
          <cell r="E603" t="str">
            <v/>
          </cell>
          <cell r="F603" t="str">
            <v/>
          </cell>
          <cell r="G603" t="str">
            <v/>
          </cell>
          <cell r="H603">
            <v>0</v>
          </cell>
        </row>
        <row r="604">
          <cell r="B604">
            <v>6919</v>
          </cell>
          <cell r="C604" t="str">
            <v>MacKenzie; Matt E.</v>
          </cell>
          <cell r="D604" t="str">
            <v>1</v>
          </cell>
          <cell r="E604" t="str">
            <v>IBEWOUT</v>
          </cell>
          <cell r="F604" t="str">
            <v>1245</v>
          </cell>
          <cell r="G604" t="str">
            <v>1</v>
          </cell>
          <cell r="H604">
            <v>1</v>
          </cell>
        </row>
        <row r="605">
          <cell r="B605">
            <v>6926</v>
          </cell>
          <cell r="C605" t="str">
            <v>MacMillan; Kandus WS</v>
          </cell>
          <cell r="D605" t="str">
            <v>1C</v>
          </cell>
          <cell r="E605" t="str">
            <v>IBEWOUT</v>
          </cell>
          <cell r="F605" t="str">
            <v>1245</v>
          </cell>
          <cell r="G605" t="str">
            <v>8</v>
          </cell>
          <cell r="H605">
            <v>0</v>
          </cell>
        </row>
        <row r="606">
          <cell r="B606">
            <v>6927</v>
          </cell>
          <cell r="C606" t="str">
            <v>Major; Brandon</v>
          </cell>
          <cell r="D606" t="str">
            <v>1</v>
          </cell>
          <cell r="E606" t="str">
            <v/>
          </cell>
          <cell r="F606" t="str">
            <v/>
          </cell>
          <cell r="G606" t="str">
            <v/>
          </cell>
          <cell r="H606">
            <v>0</v>
          </cell>
        </row>
        <row r="607">
          <cell r="B607">
            <v>6928</v>
          </cell>
          <cell r="C607" t="str">
            <v>Madden; Thomas P</v>
          </cell>
          <cell r="D607" t="str">
            <v>1C</v>
          </cell>
          <cell r="E607" t="str">
            <v>IBEWOUT</v>
          </cell>
          <cell r="F607" t="str">
            <v>1245</v>
          </cell>
          <cell r="G607" t="str">
            <v>8</v>
          </cell>
          <cell r="H607">
            <v>0</v>
          </cell>
        </row>
        <row r="608">
          <cell r="B608">
            <v>6930</v>
          </cell>
          <cell r="C608" t="str">
            <v>Maes; Daniel T.</v>
          </cell>
          <cell r="D608" t="str">
            <v>1C</v>
          </cell>
          <cell r="E608" t="str">
            <v>IBEWOUT</v>
          </cell>
          <cell r="F608" t="str">
            <v>611</v>
          </cell>
          <cell r="G608" t="str">
            <v>14</v>
          </cell>
          <cell r="H608">
            <v>0</v>
          </cell>
        </row>
        <row r="609">
          <cell r="B609">
            <v>6983</v>
          </cell>
          <cell r="C609" t="str">
            <v>Mallory; Nick V.</v>
          </cell>
          <cell r="D609" t="str">
            <v>1C</v>
          </cell>
          <cell r="E609" t="str">
            <v>IBEWOUT</v>
          </cell>
          <cell r="F609" t="str">
            <v>769</v>
          </cell>
          <cell r="G609" t="str">
            <v>7</v>
          </cell>
          <cell r="H609">
            <v>0</v>
          </cell>
        </row>
        <row r="610">
          <cell r="B610">
            <v>6984</v>
          </cell>
          <cell r="C610" t="str">
            <v>Malloy; John M.</v>
          </cell>
          <cell r="D610" t="str">
            <v>1C</v>
          </cell>
          <cell r="E610" t="str">
            <v>IBEWOUT</v>
          </cell>
          <cell r="F610" t="str">
            <v>1049</v>
          </cell>
          <cell r="G610" t="str">
            <v>8</v>
          </cell>
          <cell r="H610">
            <v>0</v>
          </cell>
        </row>
        <row r="611">
          <cell r="B611">
            <v>6985</v>
          </cell>
          <cell r="C611" t="str">
            <v>Maloney; Thane C.</v>
          </cell>
          <cell r="D611" t="str">
            <v>1C</v>
          </cell>
          <cell r="E611" t="str">
            <v>IBEWOUT</v>
          </cell>
          <cell r="F611" t="str">
            <v>1245</v>
          </cell>
          <cell r="G611" t="str">
            <v>16</v>
          </cell>
          <cell r="H611">
            <v>0</v>
          </cell>
        </row>
        <row r="612">
          <cell r="B612">
            <v>6994</v>
          </cell>
          <cell r="C612" t="str">
            <v>Mantei; Kody J</v>
          </cell>
          <cell r="D612" t="str">
            <v>1C</v>
          </cell>
          <cell r="E612" t="str">
            <v>IBEWOUT</v>
          </cell>
          <cell r="F612" t="str">
            <v>126</v>
          </cell>
          <cell r="G612" t="str">
            <v>33</v>
          </cell>
          <cell r="H612">
            <v>0</v>
          </cell>
        </row>
        <row r="613">
          <cell r="B613">
            <v>6998</v>
          </cell>
          <cell r="C613" t="str">
            <v>Mardis; Johnathan D</v>
          </cell>
          <cell r="D613" t="str">
            <v>1</v>
          </cell>
          <cell r="E613" t="str">
            <v/>
          </cell>
          <cell r="F613" t="str">
            <v/>
          </cell>
          <cell r="G613" t="str">
            <v/>
          </cell>
          <cell r="H613">
            <v>0</v>
          </cell>
        </row>
        <row r="614">
          <cell r="B614">
            <v>7000</v>
          </cell>
          <cell r="C614" t="str">
            <v>March; Patrick D</v>
          </cell>
          <cell r="D614" t="str">
            <v>1C</v>
          </cell>
          <cell r="E614" t="str">
            <v>IBEWOUT</v>
          </cell>
          <cell r="F614" t="str">
            <v>1245</v>
          </cell>
          <cell r="G614" t="str">
            <v>8</v>
          </cell>
          <cell r="H614">
            <v>0</v>
          </cell>
        </row>
        <row r="615">
          <cell r="B615">
            <v>7005</v>
          </cell>
          <cell r="C615" t="str">
            <v>Marlowe; Christopher J</v>
          </cell>
          <cell r="D615" t="str">
            <v>1C</v>
          </cell>
          <cell r="E615" t="str">
            <v>IBEWOUT</v>
          </cell>
          <cell r="F615" t="str">
            <v>125</v>
          </cell>
          <cell r="G615" t="str">
            <v>13</v>
          </cell>
          <cell r="H615">
            <v>0</v>
          </cell>
        </row>
        <row r="616">
          <cell r="B616">
            <v>7007</v>
          </cell>
          <cell r="C616" t="str">
            <v>Marlowe; Michael Louis</v>
          </cell>
          <cell r="D616" t="str">
            <v>1</v>
          </cell>
          <cell r="E616" t="str">
            <v>IBEWOUT</v>
          </cell>
          <cell r="F616" t="str">
            <v>125</v>
          </cell>
          <cell r="G616" t="str">
            <v>1</v>
          </cell>
          <cell r="H616">
            <v>0</v>
          </cell>
        </row>
        <row r="617">
          <cell r="B617">
            <v>7009</v>
          </cell>
          <cell r="C617" t="str">
            <v>Martinez; Hector R.</v>
          </cell>
          <cell r="D617" t="str">
            <v>1C</v>
          </cell>
          <cell r="E617" t="str">
            <v>IBEWOUT</v>
          </cell>
          <cell r="F617" t="str">
            <v>47</v>
          </cell>
          <cell r="G617" t="str">
            <v>60</v>
          </cell>
          <cell r="H617">
            <v>0</v>
          </cell>
        </row>
        <row r="618">
          <cell r="B618">
            <v>7010</v>
          </cell>
          <cell r="C618" t="str">
            <v>Marquis; Phillip E</v>
          </cell>
          <cell r="D618" t="str">
            <v>1C</v>
          </cell>
          <cell r="E618" t="str">
            <v>IBEWOUT</v>
          </cell>
          <cell r="F618" t="str">
            <v>611</v>
          </cell>
          <cell r="G618" t="str">
            <v>8</v>
          </cell>
          <cell r="H618">
            <v>0</v>
          </cell>
        </row>
        <row r="619">
          <cell r="B619">
            <v>7025</v>
          </cell>
          <cell r="C619" t="str">
            <v>Martin; Clyde Warren</v>
          </cell>
          <cell r="D619" t="str">
            <v>1C</v>
          </cell>
          <cell r="E619" t="str">
            <v>IBEWOUT</v>
          </cell>
          <cell r="F619" t="str">
            <v>611</v>
          </cell>
          <cell r="G619" t="str">
            <v>8</v>
          </cell>
          <cell r="H619">
            <v>0</v>
          </cell>
        </row>
        <row r="620">
          <cell r="B620">
            <v>7026</v>
          </cell>
          <cell r="C620" t="str">
            <v>Massei; Anthony Joseph</v>
          </cell>
          <cell r="D620" t="str">
            <v>1C</v>
          </cell>
          <cell r="E620" t="str">
            <v/>
          </cell>
          <cell r="F620" t="str">
            <v/>
          </cell>
          <cell r="G620" t="str">
            <v/>
          </cell>
          <cell r="H620">
            <v>1</v>
          </cell>
        </row>
        <row r="621">
          <cell r="B621">
            <v>7031</v>
          </cell>
          <cell r="C621" t="str">
            <v>Martinez; Richard D.</v>
          </cell>
          <cell r="D621" t="str">
            <v>1C</v>
          </cell>
          <cell r="E621" t="str">
            <v>IBEWOUT</v>
          </cell>
          <cell r="F621" t="str">
            <v>611</v>
          </cell>
          <cell r="G621" t="str">
            <v>8</v>
          </cell>
          <cell r="H621">
            <v>0</v>
          </cell>
        </row>
        <row r="622">
          <cell r="B622">
            <v>7040</v>
          </cell>
          <cell r="C622" t="str">
            <v>Marsh; Michael A.</v>
          </cell>
          <cell r="D622" t="str">
            <v>1C</v>
          </cell>
          <cell r="E622" t="str">
            <v>IBEWOUT</v>
          </cell>
          <cell r="F622" t="str">
            <v>47</v>
          </cell>
          <cell r="G622" t="str">
            <v>16</v>
          </cell>
          <cell r="H622">
            <v>0</v>
          </cell>
        </row>
        <row r="623">
          <cell r="B623">
            <v>7042</v>
          </cell>
          <cell r="C623" t="str">
            <v>Marshall III; Robert R</v>
          </cell>
          <cell r="D623" t="str">
            <v>1C</v>
          </cell>
          <cell r="E623" t="str">
            <v>IBEWOUT</v>
          </cell>
          <cell r="F623" t="str">
            <v>1245</v>
          </cell>
          <cell r="G623" t="str">
            <v>8</v>
          </cell>
          <cell r="H623">
            <v>0</v>
          </cell>
        </row>
        <row r="624">
          <cell r="B624">
            <v>7081</v>
          </cell>
          <cell r="C624" t="str">
            <v>Martin; Ryan P</v>
          </cell>
          <cell r="D624" t="str">
            <v>1</v>
          </cell>
          <cell r="E624" t="str">
            <v/>
          </cell>
          <cell r="F624" t="str">
            <v/>
          </cell>
          <cell r="G624" t="str">
            <v/>
          </cell>
          <cell r="H624">
            <v>0</v>
          </cell>
        </row>
        <row r="625">
          <cell r="B625">
            <v>7082</v>
          </cell>
          <cell r="C625" t="str">
            <v>Maryboy; Leo Harvey</v>
          </cell>
          <cell r="D625" t="str">
            <v>1C</v>
          </cell>
          <cell r="E625" t="str">
            <v>IBEWOUT</v>
          </cell>
          <cell r="F625" t="str">
            <v>47</v>
          </cell>
          <cell r="G625" t="str">
            <v>8</v>
          </cell>
          <cell r="H625">
            <v>0</v>
          </cell>
        </row>
        <row r="626">
          <cell r="B626">
            <v>7084</v>
          </cell>
          <cell r="C626" t="str">
            <v>Mathias; Shawn Bryan</v>
          </cell>
          <cell r="D626" t="str">
            <v>1C</v>
          </cell>
          <cell r="E626" t="str">
            <v>IBEWOUT</v>
          </cell>
          <cell r="F626" t="str">
            <v>77</v>
          </cell>
          <cell r="G626" t="str">
            <v>9</v>
          </cell>
          <cell r="H626">
            <v>0</v>
          </cell>
        </row>
        <row r="627">
          <cell r="B627">
            <v>7090</v>
          </cell>
          <cell r="C627" t="str">
            <v>Martinez; Eddie</v>
          </cell>
          <cell r="D627" t="str">
            <v>1C</v>
          </cell>
          <cell r="E627" t="str">
            <v>IBEWOUT</v>
          </cell>
          <cell r="F627" t="str">
            <v>47</v>
          </cell>
          <cell r="G627" t="str">
            <v>17</v>
          </cell>
          <cell r="H627">
            <v>0</v>
          </cell>
        </row>
        <row r="628">
          <cell r="B628">
            <v>7091</v>
          </cell>
          <cell r="C628" t="str">
            <v>Mawhinney; Matthew Perin</v>
          </cell>
          <cell r="D628" t="str">
            <v>1C</v>
          </cell>
          <cell r="E628" t="str">
            <v>IBEWOUT</v>
          </cell>
          <cell r="F628" t="str">
            <v>769</v>
          </cell>
          <cell r="G628" t="str">
            <v>7</v>
          </cell>
          <cell r="H628">
            <v>0</v>
          </cell>
        </row>
        <row r="629">
          <cell r="B629">
            <v>7097</v>
          </cell>
          <cell r="C629" t="str">
            <v>Martin; Patrick W</v>
          </cell>
          <cell r="D629" t="str">
            <v>1C</v>
          </cell>
          <cell r="E629" t="str">
            <v>IBEWOUT</v>
          </cell>
          <cell r="F629" t="str">
            <v>1245</v>
          </cell>
          <cell r="G629" t="str">
            <v>14</v>
          </cell>
          <cell r="H629">
            <v>0</v>
          </cell>
        </row>
        <row r="630">
          <cell r="B630">
            <v>7098</v>
          </cell>
          <cell r="C630" t="str">
            <v>Mazza; Bryan P</v>
          </cell>
          <cell r="D630" t="str">
            <v>1C</v>
          </cell>
          <cell r="E630" t="str">
            <v>IBEWOUT</v>
          </cell>
          <cell r="F630" t="str">
            <v>1245</v>
          </cell>
          <cell r="G630" t="str">
            <v>8</v>
          </cell>
          <cell r="H630">
            <v>0</v>
          </cell>
        </row>
        <row r="631">
          <cell r="B631">
            <v>7256</v>
          </cell>
          <cell r="C631" t="str">
            <v>McBride; Joshua L.</v>
          </cell>
          <cell r="D631" t="str">
            <v>1</v>
          </cell>
          <cell r="E631" t="str">
            <v/>
          </cell>
          <cell r="F631" t="str">
            <v/>
          </cell>
          <cell r="G631" t="str">
            <v/>
          </cell>
          <cell r="H631">
            <v>0</v>
          </cell>
        </row>
        <row r="632">
          <cell r="B632">
            <v>7257</v>
          </cell>
          <cell r="C632" t="str">
            <v>McBride; Michael J.</v>
          </cell>
          <cell r="D632" t="str">
            <v>1C</v>
          </cell>
          <cell r="E632" t="str">
            <v>IBEWOUT</v>
          </cell>
          <cell r="F632" t="str">
            <v>1245</v>
          </cell>
          <cell r="G632" t="str">
            <v>8</v>
          </cell>
          <cell r="H632">
            <v>0</v>
          </cell>
        </row>
        <row r="633">
          <cell r="B633">
            <v>7270</v>
          </cell>
          <cell r="C633" t="str">
            <v>McCarver; Shawn M.</v>
          </cell>
          <cell r="D633" t="str">
            <v>1C</v>
          </cell>
          <cell r="E633" t="str">
            <v>IBEWOUT</v>
          </cell>
          <cell r="F633" t="str">
            <v>611</v>
          </cell>
          <cell r="G633" t="str">
            <v>8</v>
          </cell>
          <cell r="H633">
            <v>0</v>
          </cell>
        </row>
        <row r="634">
          <cell r="B634">
            <v>7273</v>
          </cell>
          <cell r="C634" t="str">
            <v>McCarty; Christopher M</v>
          </cell>
          <cell r="D634" t="str">
            <v>1C</v>
          </cell>
          <cell r="E634" t="str">
            <v/>
          </cell>
          <cell r="F634" t="str">
            <v/>
          </cell>
          <cell r="G634" t="str">
            <v/>
          </cell>
          <cell r="H634">
            <v>1</v>
          </cell>
        </row>
        <row r="635">
          <cell r="B635">
            <v>7292</v>
          </cell>
          <cell r="C635" t="str">
            <v>McClellan; John Clark</v>
          </cell>
          <cell r="D635" t="str">
            <v>1C</v>
          </cell>
          <cell r="E635" t="str">
            <v/>
          </cell>
          <cell r="F635" t="str">
            <v/>
          </cell>
          <cell r="G635" t="str">
            <v/>
          </cell>
          <cell r="H635">
            <v>1</v>
          </cell>
        </row>
        <row r="636">
          <cell r="B636">
            <v>7294</v>
          </cell>
          <cell r="C636" t="str">
            <v>McCloskey; Robert J</v>
          </cell>
          <cell r="D636" t="str">
            <v>1</v>
          </cell>
          <cell r="E636" t="str">
            <v/>
          </cell>
          <cell r="F636" t="str">
            <v/>
          </cell>
          <cell r="G636" t="str">
            <v/>
          </cell>
          <cell r="H636">
            <v>0</v>
          </cell>
        </row>
        <row r="637">
          <cell r="B637">
            <v>7342</v>
          </cell>
          <cell r="C637" t="str">
            <v>McGhehey; Russell J</v>
          </cell>
          <cell r="D637" t="str">
            <v>1C</v>
          </cell>
          <cell r="E637" t="str">
            <v>IBEWOUT</v>
          </cell>
          <cell r="F637" t="str">
            <v>77</v>
          </cell>
          <cell r="G637" t="str">
            <v>33</v>
          </cell>
          <cell r="H637">
            <v>0</v>
          </cell>
        </row>
        <row r="638">
          <cell r="B638">
            <v>7343</v>
          </cell>
          <cell r="C638" t="str">
            <v>McGill; Dustin C.</v>
          </cell>
          <cell r="D638" t="str">
            <v>1C</v>
          </cell>
          <cell r="E638" t="str">
            <v>IBEWOUT</v>
          </cell>
          <cell r="F638" t="str">
            <v>1245</v>
          </cell>
          <cell r="G638" t="str">
            <v>8</v>
          </cell>
          <cell r="H638">
            <v>0</v>
          </cell>
        </row>
        <row r="639">
          <cell r="B639">
            <v>7346</v>
          </cell>
          <cell r="C639" t="str">
            <v>McKee; James J.</v>
          </cell>
          <cell r="D639" t="str">
            <v>1C</v>
          </cell>
          <cell r="E639" t="str">
            <v>IBEWOUT</v>
          </cell>
          <cell r="F639" t="str">
            <v>47</v>
          </cell>
          <cell r="G639" t="str">
            <v>7</v>
          </cell>
          <cell r="H639">
            <v>0</v>
          </cell>
        </row>
        <row r="640">
          <cell r="B640">
            <v>7347</v>
          </cell>
          <cell r="C640" t="str">
            <v>McKernan; Shane C</v>
          </cell>
          <cell r="D640" t="str">
            <v>1C</v>
          </cell>
          <cell r="E640" t="str">
            <v>IBEWOUT</v>
          </cell>
          <cell r="F640" t="str">
            <v>1319</v>
          </cell>
          <cell r="G640" t="str">
            <v>13</v>
          </cell>
          <cell r="H640">
            <v>0</v>
          </cell>
        </row>
        <row r="641">
          <cell r="B641">
            <v>7348</v>
          </cell>
          <cell r="C641" t="str">
            <v>McKenna; Thomas</v>
          </cell>
          <cell r="D641" t="str">
            <v>1C</v>
          </cell>
          <cell r="E641" t="str">
            <v>IBEWIN</v>
          </cell>
          <cell r="F641" t="str">
            <v>280</v>
          </cell>
          <cell r="G641" t="str">
            <v>62</v>
          </cell>
          <cell r="H641">
            <v>0</v>
          </cell>
        </row>
        <row r="642">
          <cell r="B642">
            <v>7349</v>
          </cell>
          <cell r="C642" t="str">
            <v>McKenna; James E</v>
          </cell>
          <cell r="D642" t="str">
            <v>1</v>
          </cell>
          <cell r="E642" t="str">
            <v>IBEWOUT</v>
          </cell>
          <cell r="F642" t="str">
            <v>1245</v>
          </cell>
          <cell r="G642" t="str">
            <v>17</v>
          </cell>
          <cell r="H642">
            <v>0</v>
          </cell>
        </row>
        <row r="643">
          <cell r="B643">
            <v>7351</v>
          </cell>
          <cell r="C643" t="str">
            <v>McIlwain; Stanley</v>
          </cell>
          <cell r="D643" t="str">
            <v>1C</v>
          </cell>
          <cell r="E643" t="str">
            <v>IBEWOUT</v>
          </cell>
          <cell r="F643" t="str">
            <v>769</v>
          </cell>
          <cell r="G643" t="str">
            <v>8</v>
          </cell>
          <cell r="H643">
            <v>0</v>
          </cell>
        </row>
        <row r="644">
          <cell r="B644">
            <v>7360</v>
          </cell>
          <cell r="C644" t="str">
            <v>McGinnis; Michael J.</v>
          </cell>
          <cell r="D644" t="str">
            <v>1</v>
          </cell>
          <cell r="E644" t="str">
            <v/>
          </cell>
          <cell r="F644" t="str">
            <v/>
          </cell>
          <cell r="G644" t="str">
            <v/>
          </cell>
          <cell r="H644">
            <v>1</v>
          </cell>
        </row>
        <row r="645">
          <cell r="B645">
            <v>7361</v>
          </cell>
          <cell r="C645" t="str">
            <v>McHuen; Richard C</v>
          </cell>
          <cell r="D645" t="str">
            <v>1C</v>
          </cell>
          <cell r="E645" t="str">
            <v>IBEWOUT</v>
          </cell>
          <cell r="F645" t="str">
            <v>1245</v>
          </cell>
          <cell r="G645" t="str">
            <v>8</v>
          </cell>
          <cell r="H645">
            <v>0</v>
          </cell>
        </row>
        <row r="646">
          <cell r="B646">
            <v>7362</v>
          </cell>
          <cell r="C646" t="str">
            <v>McGinnis; Terry Scott</v>
          </cell>
          <cell r="D646" t="str">
            <v>1C</v>
          </cell>
          <cell r="E646" t="str">
            <v>IBEWOUT</v>
          </cell>
          <cell r="F646" t="str">
            <v>769</v>
          </cell>
          <cell r="G646" t="str">
            <v>20</v>
          </cell>
          <cell r="H646">
            <v>0</v>
          </cell>
        </row>
        <row r="647">
          <cell r="B647">
            <v>7363</v>
          </cell>
          <cell r="C647" t="str">
            <v>McGowan; Samuel T</v>
          </cell>
          <cell r="D647" t="str">
            <v>1</v>
          </cell>
          <cell r="E647" t="str">
            <v>IBEWOUT</v>
          </cell>
          <cell r="F647" t="str">
            <v>602R</v>
          </cell>
          <cell r="G647" t="str">
            <v>18</v>
          </cell>
          <cell r="H647">
            <v>0</v>
          </cell>
        </row>
        <row r="648">
          <cell r="B648">
            <v>7364</v>
          </cell>
          <cell r="C648" t="str">
            <v>McIntire; Robert Joe</v>
          </cell>
          <cell r="D648" t="str">
            <v>1</v>
          </cell>
          <cell r="E648" t="str">
            <v>IBEWOUT</v>
          </cell>
          <cell r="F648" t="str">
            <v>47</v>
          </cell>
          <cell r="G648" t="str">
            <v>1</v>
          </cell>
          <cell r="H648">
            <v>1</v>
          </cell>
        </row>
        <row r="649">
          <cell r="B649">
            <v>7385</v>
          </cell>
          <cell r="C649" t="str">
            <v>McNally; Sean T</v>
          </cell>
          <cell r="D649" t="str">
            <v>1C</v>
          </cell>
          <cell r="E649" t="str">
            <v>IBEWOUT</v>
          </cell>
          <cell r="F649" t="str">
            <v>47</v>
          </cell>
          <cell r="G649" t="str">
            <v>8</v>
          </cell>
          <cell r="H649">
            <v>0</v>
          </cell>
        </row>
        <row r="650">
          <cell r="B650">
            <v>7386</v>
          </cell>
          <cell r="C650" t="str">
            <v>McLellan; Jeremy P</v>
          </cell>
          <cell r="D650" t="str">
            <v>1</v>
          </cell>
          <cell r="E650" t="str">
            <v>IBEWOUT</v>
          </cell>
          <cell r="F650" t="str">
            <v>77</v>
          </cell>
          <cell r="G650" t="str">
            <v>8</v>
          </cell>
          <cell r="H650">
            <v>1</v>
          </cell>
        </row>
        <row r="651">
          <cell r="B651">
            <v>7387</v>
          </cell>
          <cell r="C651" t="str">
            <v>McNickle; Jared Philip</v>
          </cell>
          <cell r="D651" t="str">
            <v>1</v>
          </cell>
          <cell r="E651" t="str">
            <v>IBEWOUT</v>
          </cell>
          <cell r="F651" t="str">
            <v>602R</v>
          </cell>
          <cell r="G651" t="str">
            <v>8</v>
          </cell>
          <cell r="H651">
            <v>0</v>
          </cell>
        </row>
        <row r="652">
          <cell r="B652">
            <v>7388</v>
          </cell>
          <cell r="C652" t="str">
            <v>McNiven; Kirk F</v>
          </cell>
          <cell r="D652" t="str">
            <v>1C</v>
          </cell>
          <cell r="E652" t="str">
            <v>IBEWOUT</v>
          </cell>
          <cell r="F652" t="str">
            <v>1245</v>
          </cell>
          <cell r="G652" t="str">
            <v>8</v>
          </cell>
          <cell r="H652">
            <v>0</v>
          </cell>
        </row>
        <row r="653">
          <cell r="B653">
            <v>7390</v>
          </cell>
          <cell r="C653" t="str">
            <v>McManus; Jessie E</v>
          </cell>
          <cell r="D653" t="str">
            <v>1C</v>
          </cell>
          <cell r="E653" t="str">
            <v>IBEWOUT</v>
          </cell>
          <cell r="F653" t="str">
            <v>1245</v>
          </cell>
          <cell r="G653" t="str">
            <v>13</v>
          </cell>
          <cell r="H653">
            <v>0</v>
          </cell>
        </row>
        <row r="654">
          <cell r="B654">
            <v>7392</v>
          </cell>
          <cell r="C654" t="str">
            <v>McKinley; Don R</v>
          </cell>
          <cell r="D654" t="str">
            <v>1</v>
          </cell>
          <cell r="E654" t="str">
            <v>IBEWOUT</v>
          </cell>
          <cell r="F654" t="str">
            <v>1245</v>
          </cell>
          <cell r="G654" t="str">
            <v>7</v>
          </cell>
          <cell r="H654">
            <v>1</v>
          </cell>
        </row>
        <row r="655">
          <cell r="B655">
            <v>7393</v>
          </cell>
          <cell r="C655" t="str">
            <v>McKinnon; Colter Allen</v>
          </cell>
          <cell r="D655" t="str">
            <v>1C</v>
          </cell>
          <cell r="E655" t="str">
            <v>IBEWOUT</v>
          </cell>
          <cell r="F655" t="str">
            <v>1245</v>
          </cell>
          <cell r="G655" t="str">
            <v>17</v>
          </cell>
          <cell r="H655">
            <v>0</v>
          </cell>
        </row>
        <row r="656">
          <cell r="B656">
            <v>7394</v>
          </cell>
          <cell r="C656" t="str">
            <v>McPherson; Martin L</v>
          </cell>
          <cell r="D656" t="str">
            <v>1C</v>
          </cell>
          <cell r="E656" t="str">
            <v/>
          </cell>
          <cell r="F656" t="str">
            <v/>
          </cell>
          <cell r="G656" t="str">
            <v/>
          </cell>
          <cell r="H656">
            <v>0</v>
          </cell>
        </row>
        <row r="657">
          <cell r="B657">
            <v>7450</v>
          </cell>
          <cell r="C657" t="str">
            <v>McWhorter II; Gary R</v>
          </cell>
          <cell r="D657" t="str">
            <v>1C</v>
          </cell>
          <cell r="E657" t="str">
            <v>IBEWOUT</v>
          </cell>
          <cell r="F657" t="str">
            <v>769</v>
          </cell>
          <cell r="G657" t="str">
            <v>8</v>
          </cell>
          <cell r="H657">
            <v>0</v>
          </cell>
        </row>
        <row r="658">
          <cell r="B658">
            <v>7481</v>
          </cell>
          <cell r="C658" t="str">
            <v>Meeks; Terry N</v>
          </cell>
          <cell r="D658" t="str">
            <v>1C</v>
          </cell>
          <cell r="E658" t="str">
            <v>IBEWOUT</v>
          </cell>
          <cell r="F658" t="str">
            <v>602R</v>
          </cell>
          <cell r="G658" t="str">
            <v>8</v>
          </cell>
          <cell r="H658">
            <v>0</v>
          </cell>
        </row>
        <row r="659">
          <cell r="B659">
            <v>7488</v>
          </cell>
          <cell r="C659" t="str">
            <v>Merritt; Bryan Thomas</v>
          </cell>
          <cell r="D659" t="str">
            <v>1C</v>
          </cell>
          <cell r="E659" t="str">
            <v>IBEWOUT</v>
          </cell>
          <cell r="F659" t="str">
            <v>769</v>
          </cell>
          <cell r="G659" t="str">
            <v>22</v>
          </cell>
          <cell r="H659">
            <v>0</v>
          </cell>
        </row>
        <row r="660">
          <cell r="B660">
            <v>7489</v>
          </cell>
          <cell r="C660" t="str">
            <v>Melanson; Peter E</v>
          </cell>
          <cell r="D660" t="str">
            <v>1C</v>
          </cell>
          <cell r="E660" t="str">
            <v>IBEWOUT</v>
          </cell>
          <cell r="F660" t="str">
            <v>1049</v>
          </cell>
          <cell r="G660" t="str">
            <v>7</v>
          </cell>
          <cell r="H660">
            <v>0</v>
          </cell>
        </row>
        <row r="661">
          <cell r="B661">
            <v>7497</v>
          </cell>
          <cell r="C661" t="str">
            <v>Mendez; Richard M</v>
          </cell>
          <cell r="D661" t="str">
            <v>1C</v>
          </cell>
          <cell r="E661" t="str">
            <v>IBEWOUT</v>
          </cell>
          <cell r="F661" t="str">
            <v>611</v>
          </cell>
          <cell r="G661" t="str">
            <v>14</v>
          </cell>
          <cell r="H661">
            <v>0</v>
          </cell>
        </row>
        <row r="662">
          <cell r="B662">
            <v>7498</v>
          </cell>
          <cell r="C662" t="str">
            <v>Mendoza; Felipe A</v>
          </cell>
          <cell r="D662" t="str">
            <v>1C</v>
          </cell>
          <cell r="E662" t="str">
            <v>IBEWOUT</v>
          </cell>
          <cell r="F662" t="str">
            <v>47</v>
          </cell>
          <cell r="G662" t="str">
            <v>8</v>
          </cell>
          <cell r="H662">
            <v>0</v>
          </cell>
        </row>
        <row r="663">
          <cell r="B663">
            <v>7507</v>
          </cell>
          <cell r="C663" t="str">
            <v>Meredith; Douglas Ray</v>
          </cell>
          <cell r="D663" t="str">
            <v>1</v>
          </cell>
          <cell r="E663" t="str">
            <v>IBEWOUT</v>
          </cell>
          <cell r="F663" t="str">
            <v>278</v>
          </cell>
          <cell r="G663" t="str">
            <v>7</v>
          </cell>
          <cell r="H663">
            <v>0</v>
          </cell>
        </row>
        <row r="664">
          <cell r="B664">
            <v>7508</v>
          </cell>
          <cell r="C664" t="str">
            <v>Meek; Robert F.</v>
          </cell>
          <cell r="D664" t="str">
            <v>1</v>
          </cell>
          <cell r="E664" t="str">
            <v/>
          </cell>
          <cell r="F664" t="str">
            <v/>
          </cell>
          <cell r="G664" t="str">
            <v/>
          </cell>
          <cell r="H664">
            <v>1</v>
          </cell>
        </row>
        <row r="665">
          <cell r="B665">
            <v>7509</v>
          </cell>
          <cell r="C665" t="str">
            <v>Merlino; Philip M</v>
          </cell>
          <cell r="D665" t="str">
            <v>1C</v>
          </cell>
          <cell r="E665" t="str">
            <v>IBEWOUT</v>
          </cell>
          <cell r="F665" t="str">
            <v>47</v>
          </cell>
          <cell r="G665" t="str">
            <v>8</v>
          </cell>
          <cell r="H665">
            <v>0</v>
          </cell>
        </row>
        <row r="666">
          <cell r="B666">
            <v>7530</v>
          </cell>
          <cell r="C666" t="str">
            <v>Mendoza; Christopher G</v>
          </cell>
          <cell r="D666" t="str">
            <v>1C</v>
          </cell>
          <cell r="E666" t="str">
            <v>IBEWOUT</v>
          </cell>
          <cell r="F666" t="str">
            <v>769</v>
          </cell>
          <cell r="G666" t="str">
            <v>9</v>
          </cell>
          <cell r="H666">
            <v>0</v>
          </cell>
        </row>
        <row r="667">
          <cell r="B667">
            <v>7532</v>
          </cell>
          <cell r="C667" t="str">
            <v>Myers; Zachary Eugene</v>
          </cell>
          <cell r="D667" t="str">
            <v>1C</v>
          </cell>
          <cell r="E667" t="str">
            <v>IBEWOUT</v>
          </cell>
          <cell r="F667" t="str">
            <v>769</v>
          </cell>
          <cell r="G667" t="str">
            <v>22</v>
          </cell>
          <cell r="H667">
            <v>0</v>
          </cell>
        </row>
        <row r="668">
          <cell r="B668">
            <v>7551</v>
          </cell>
          <cell r="C668" t="str">
            <v>Miller; Jeremiah David</v>
          </cell>
          <cell r="D668" t="str">
            <v>1C</v>
          </cell>
          <cell r="E668" t="str">
            <v>IBEWOUT</v>
          </cell>
          <cell r="F668" t="str">
            <v>1245</v>
          </cell>
          <cell r="G668" t="str">
            <v>8</v>
          </cell>
          <cell r="H668">
            <v>0</v>
          </cell>
        </row>
        <row r="669">
          <cell r="B669">
            <v>7555</v>
          </cell>
          <cell r="C669" t="str">
            <v>Miller; Jason C</v>
          </cell>
          <cell r="D669" t="str">
            <v>1</v>
          </cell>
          <cell r="E669" t="str">
            <v>IBEWOUT</v>
          </cell>
          <cell r="F669" t="str">
            <v>1245</v>
          </cell>
          <cell r="G669" t="str">
            <v>12</v>
          </cell>
          <cell r="H669">
            <v>0</v>
          </cell>
        </row>
        <row r="670">
          <cell r="B670">
            <v>7564</v>
          </cell>
          <cell r="C670" t="str">
            <v>Mitcham; Kenneth Christopher</v>
          </cell>
          <cell r="D670" t="str">
            <v>1</v>
          </cell>
          <cell r="E670" t="str">
            <v>IBEWOUT</v>
          </cell>
          <cell r="F670" t="str">
            <v>1245</v>
          </cell>
          <cell r="G670" t="str">
            <v>7</v>
          </cell>
          <cell r="H670">
            <v>0</v>
          </cell>
        </row>
        <row r="671">
          <cell r="B671">
            <v>7568</v>
          </cell>
          <cell r="C671" t="str">
            <v>Miller; Justin</v>
          </cell>
          <cell r="D671" t="str">
            <v>1C</v>
          </cell>
          <cell r="E671" t="str">
            <v>IBEWOUT</v>
          </cell>
          <cell r="F671" t="str">
            <v>769</v>
          </cell>
          <cell r="G671" t="str">
            <v>8</v>
          </cell>
          <cell r="H671">
            <v>0</v>
          </cell>
        </row>
        <row r="672">
          <cell r="B672">
            <v>7577</v>
          </cell>
          <cell r="C672" t="str">
            <v>Mix; James Alan</v>
          </cell>
          <cell r="D672" t="str">
            <v>1</v>
          </cell>
          <cell r="E672" t="str">
            <v>IBEWOUT</v>
          </cell>
          <cell r="F672" t="str">
            <v>77</v>
          </cell>
          <cell r="G672" t="str">
            <v>33</v>
          </cell>
          <cell r="H672">
            <v>0</v>
          </cell>
        </row>
        <row r="673">
          <cell r="B673">
            <v>7580</v>
          </cell>
          <cell r="C673" t="str">
            <v>Milovich; Elliot P</v>
          </cell>
          <cell r="D673" t="str">
            <v>1</v>
          </cell>
          <cell r="E673" t="str">
            <v>IBEWOUT</v>
          </cell>
          <cell r="F673" t="str">
            <v>1319</v>
          </cell>
          <cell r="G673" t="str">
            <v>16</v>
          </cell>
          <cell r="H673">
            <v>0</v>
          </cell>
        </row>
        <row r="674">
          <cell r="B674">
            <v>7583</v>
          </cell>
          <cell r="C674" t="str">
            <v>Minor; Laurence Tipton</v>
          </cell>
          <cell r="D674" t="str">
            <v>1C</v>
          </cell>
          <cell r="E674" t="str">
            <v>IBEWOUT</v>
          </cell>
          <cell r="F674" t="str">
            <v>769</v>
          </cell>
          <cell r="G674" t="str">
            <v>20</v>
          </cell>
          <cell r="H674">
            <v>0</v>
          </cell>
        </row>
        <row r="675">
          <cell r="B675">
            <v>7588</v>
          </cell>
          <cell r="C675" t="str">
            <v>Miller; Ronald I</v>
          </cell>
          <cell r="D675" t="str">
            <v>1C</v>
          </cell>
          <cell r="E675" t="str">
            <v>IBEWOUT</v>
          </cell>
          <cell r="F675" t="str">
            <v>126</v>
          </cell>
          <cell r="G675" t="str">
            <v>16</v>
          </cell>
          <cell r="H675">
            <v>0</v>
          </cell>
        </row>
        <row r="676">
          <cell r="B676">
            <v>7678</v>
          </cell>
          <cell r="C676" t="str">
            <v>Mogensen; Royce M</v>
          </cell>
          <cell r="D676" t="str">
            <v>1C</v>
          </cell>
          <cell r="E676" t="str">
            <v>IBEWOUT</v>
          </cell>
          <cell r="F676" t="str">
            <v>47</v>
          </cell>
          <cell r="G676" t="str">
            <v>8</v>
          </cell>
          <cell r="H676">
            <v>0</v>
          </cell>
        </row>
        <row r="677">
          <cell r="B677">
            <v>7679</v>
          </cell>
          <cell r="C677" t="str">
            <v>Mohr; Shawn L</v>
          </cell>
          <cell r="D677" t="str">
            <v>1C</v>
          </cell>
          <cell r="E677" t="str">
            <v>IBEWOUT</v>
          </cell>
          <cell r="F677" t="str">
            <v>1245</v>
          </cell>
          <cell r="G677" t="str">
            <v>12</v>
          </cell>
          <cell r="H677">
            <v>0</v>
          </cell>
        </row>
        <row r="678">
          <cell r="B678">
            <v>7680</v>
          </cell>
          <cell r="C678" t="str">
            <v>Mohamed; Jamil F.</v>
          </cell>
          <cell r="D678" t="str">
            <v>1C</v>
          </cell>
          <cell r="E678" t="str">
            <v>IBEWOUT</v>
          </cell>
          <cell r="F678" t="str">
            <v>1245</v>
          </cell>
          <cell r="G678" t="str">
            <v>60</v>
          </cell>
          <cell r="H678">
            <v>0</v>
          </cell>
        </row>
        <row r="679">
          <cell r="B679">
            <v>7685</v>
          </cell>
          <cell r="C679" t="str">
            <v>Molina; Manuel B</v>
          </cell>
          <cell r="D679" t="str">
            <v>1C</v>
          </cell>
          <cell r="E679" t="str">
            <v>IBEWOUT</v>
          </cell>
          <cell r="F679" t="str">
            <v>47</v>
          </cell>
          <cell r="G679" t="str">
            <v>16</v>
          </cell>
          <cell r="H679">
            <v>0</v>
          </cell>
        </row>
        <row r="680">
          <cell r="B680">
            <v>7699</v>
          </cell>
          <cell r="C680" t="str">
            <v>Monti; Kevin E.</v>
          </cell>
          <cell r="D680" t="str">
            <v>1C</v>
          </cell>
          <cell r="E680" t="str">
            <v>IBEWOUT</v>
          </cell>
          <cell r="F680" t="str">
            <v>1049</v>
          </cell>
          <cell r="G680" t="str">
            <v>8</v>
          </cell>
          <cell r="H680">
            <v>0</v>
          </cell>
        </row>
        <row r="681">
          <cell r="B681">
            <v>7700</v>
          </cell>
          <cell r="C681" t="str">
            <v>Montgomery; Tenny</v>
          </cell>
          <cell r="D681" t="str">
            <v>1C</v>
          </cell>
          <cell r="E681" t="str">
            <v/>
          </cell>
          <cell r="F681" t="str">
            <v/>
          </cell>
          <cell r="G681" t="str">
            <v/>
          </cell>
          <cell r="H681">
            <v>0</v>
          </cell>
        </row>
        <row r="682">
          <cell r="B682">
            <v>7734</v>
          </cell>
          <cell r="C682" t="str">
            <v>Moody; Collin J</v>
          </cell>
          <cell r="D682" t="str">
            <v>1C</v>
          </cell>
          <cell r="E682" t="str">
            <v>IBEWOUT</v>
          </cell>
          <cell r="F682" t="str">
            <v>77</v>
          </cell>
          <cell r="G682" t="str">
            <v>17</v>
          </cell>
          <cell r="H682">
            <v>0</v>
          </cell>
        </row>
        <row r="683">
          <cell r="B683">
            <v>7736</v>
          </cell>
          <cell r="C683" t="str">
            <v>Moody; Garrett E.</v>
          </cell>
          <cell r="D683" t="str">
            <v>1</v>
          </cell>
          <cell r="E683" t="str">
            <v>IBEWOUT</v>
          </cell>
          <cell r="F683" t="str">
            <v>77</v>
          </cell>
          <cell r="G683" t="str">
            <v>14</v>
          </cell>
          <cell r="H683">
            <v>0</v>
          </cell>
        </row>
        <row r="684">
          <cell r="B684">
            <v>7738</v>
          </cell>
          <cell r="C684" t="str">
            <v>Moody; Bryan Edward</v>
          </cell>
          <cell r="D684" t="str">
            <v>1</v>
          </cell>
          <cell r="E684" t="str">
            <v>IBEWOUT</v>
          </cell>
          <cell r="F684" t="str">
            <v>77</v>
          </cell>
          <cell r="G684" t="str">
            <v>1</v>
          </cell>
          <cell r="H684">
            <v>1</v>
          </cell>
        </row>
        <row r="685">
          <cell r="B685">
            <v>7740</v>
          </cell>
          <cell r="C685" t="str">
            <v>Moore; Elmer L.</v>
          </cell>
          <cell r="D685" t="str">
            <v>1C</v>
          </cell>
          <cell r="E685" t="str">
            <v>IBEWOUT</v>
          </cell>
          <cell r="F685" t="str">
            <v>47</v>
          </cell>
          <cell r="G685" t="str">
            <v>8</v>
          </cell>
          <cell r="H685">
            <v>0</v>
          </cell>
        </row>
        <row r="686">
          <cell r="B686">
            <v>7753</v>
          </cell>
          <cell r="C686" t="str">
            <v>Moore; John Edward</v>
          </cell>
          <cell r="D686" t="str">
            <v>1C</v>
          </cell>
          <cell r="E686" t="str">
            <v>IBEWOUT</v>
          </cell>
          <cell r="F686" t="str">
            <v>77</v>
          </cell>
          <cell r="G686" t="str">
            <v>16</v>
          </cell>
          <cell r="H686">
            <v>0</v>
          </cell>
        </row>
        <row r="687">
          <cell r="B687">
            <v>7754</v>
          </cell>
          <cell r="C687" t="str">
            <v>Moore; Corey S</v>
          </cell>
          <cell r="D687" t="str">
            <v>1C</v>
          </cell>
          <cell r="E687" t="str">
            <v/>
          </cell>
          <cell r="F687" t="str">
            <v/>
          </cell>
          <cell r="G687" t="str">
            <v/>
          </cell>
          <cell r="H687">
            <v>1</v>
          </cell>
        </row>
        <row r="688">
          <cell r="B688">
            <v>7757</v>
          </cell>
          <cell r="C688" t="str">
            <v>Moore; Stephen W.</v>
          </cell>
          <cell r="D688" t="str">
            <v>1C</v>
          </cell>
          <cell r="E688" t="str">
            <v>IBEWOUT</v>
          </cell>
          <cell r="F688" t="str">
            <v>1245</v>
          </cell>
          <cell r="G688" t="str">
            <v>8</v>
          </cell>
          <cell r="H688">
            <v>0</v>
          </cell>
        </row>
        <row r="689">
          <cell r="B689">
            <v>7759</v>
          </cell>
          <cell r="C689" t="str">
            <v>Moore; Timothy B</v>
          </cell>
          <cell r="D689" t="str">
            <v>1</v>
          </cell>
          <cell r="E689" t="str">
            <v>IBEWOUT</v>
          </cell>
          <cell r="F689" t="str">
            <v>1319</v>
          </cell>
          <cell r="G689" t="str">
            <v>33</v>
          </cell>
          <cell r="H689">
            <v>0</v>
          </cell>
        </row>
        <row r="690">
          <cell r="B690">
            <v>7760</v>
          </cell>
          <cell r="C690" t="str">
            <v>Moore Jr; Wesley</v>
          </cell>
          <cell r="D690" t="str">
            <v>1C</v>
          </cell>
          <cell r="E690" t="str">
            <v>IBEWOUT</v>
          </cell>
          <cell r="F690" t="str">
            <v>396</v>
          </cell>
          <cell r="G690" t="str">
            <v>21</v>
          </cell>
          <cell r="H690">
            <v>0</v>
          </cell>
        </row>
        <row r="691">
          <cell r="B691">
            <v>7800</v>
          </cell>
          <cell r="C691" t="str">
            <v>Morales; Ariel</v>
          </cell>
          <cell r="D691" t="str">
            <v>1C</v>
          </cell>
          <cell r="E691" t="str">
            <v>IBEWOUT</v>
          </cell>
          <cell r="F691" t="str">
            <v>47</v>
          </cell>
          <cell r="G691" t="str">
            <v>17</v>
          </cell>
          <cell r="H691">
            <v>0</v>
          </cell>
        </row>
        <row r="692">
          <cell r="B692">
            <v>7805</v>
          </cell>
          <cell r="C692" t="str">
            <v>Mora; Gabriel</v>
          </cell>
          <cell r="D692" t="str">
            <v>1</v>
          </cell>
          <cell r="E692" t="str">
            <v>IBEWOUT</v>
          </cell>
          <cell r="F692" t="str">
            <v>1245</v>
          </cell>
          <cell r="G692" t="str">
            <v>8</v>
          </cell>
          <cell r="H692">
            <v>0</v>
          </cell>
        </row>
        <row r="693">
          <cell r="B693">
            <v>7806</v>
          </cell>
          <cell r="C693" t="str">
            <v>Moranda; Justin S</v>
          </cell>
          <cell r="D693" t="str">
            <v>1C</v>
          </cell>
          <cell r="E693" t="str">
            <v>IBEWOUT</v>
          </cell>
          <cell r="F693" t="str">
            <v>1245</v>
          </cell>
          <cell r="G693" t="str">
            <v>10</v>
          </cell>
          <cell r="H693">
            <v>0</v>
          </cell>
        </row>
        <row r="694">
          <cell r="B694">
            <v>7841</v>
          </cell>
          <cell r="C694" t="str">
            <v>Morrow; Joshua K.</v>
          </cell>
          <cell r="D694" t="str">
            <v>1</v>
          </cell>
          <cell r="E694" t="str">
            <v/>
          </cell>
          <cell r="F694" t="str">
            <v/>
          </cell>
          <cell r="G694" t="str">
            <v/>
          </cell>
          <cell r="H694">
            <v>0</v>
          </cell>
        </row>
        <row r="695">
          <cell r="B695">
            <v>7842</v>
          </cell>
          <cell r="C695" t="str">
            <v>Morton Jr.; Jeff P.</v>
          </cell>
          <cell r="D695" t="str">
            <v>1C</v>
          </cell>
          <cell r="E695" t="str">
            <v>IBEWOUT</v>
          </cell>
          <cell r="F695" t="str">
            <v>47</v>
          </cell>
          <cell r="G695" t="str">
            <v>8</v>
          </cell>
          <cell r="H695">
            <v>0</v>
          </cell>
        </row>
        <row r="696">
          <cell r="B696">
            <v>7843</v>
          </cell>
          <cell r="C696" t="str">
            <v>Morton; Zac R</v>
          </cell>
          <cell r="D696" t="str">
            <v>1C</v>
          </cell>
          <cell r="E696" t="str">
            <v>IBEWOUT</v>
          </cell>
          <cell r="F696" t="str">
            <v>769</v>
          </cell>
          <cell r="G696" t="str">
            <v>8</v>
          </cell>
          <cell r="H696">
            <v>0</v>
          </cell>
        </row>
        <row r="697">
          <cell r="B697">
            <v>7844</v>
          </cell>
          <cell r="C697" t="str">
            <v>Morton; Jess T.</v>
          </cell>
          <cell r="D697" t="str">
            <v>1C</v>
          </cell>
          <cell r="E697" t="str">
            <v>IBEWOUT</v>
          </cell>
          <cell r="F697" t="str">
            <v>47</v>
          </cell>
          <cell r="G697" t="str">
            <v>8</v>
          </cell>
          <cell r="H697">
            <v>0</v>
          </cell>
        </row>
        <row r="698">
          <cell r="B698">
            <v>7845</v>
          </cell>
          <cell r="C698" t="str">
            <v>Moser; Ted T</v>
          </cell>
          <cell r="D698" t="str">
            <v>1C</v>
          </cell>
          <cell r="E698" t="str">
            <v>IBEWOUT</v>
          </cell>
          <cell r="F698" t="str">
            <v>77</v>
          </cell>
          <cell r="G698" t="str">
            <v>8</v>
          </cell>
          <cell r="H698">
            <v>0</v>
          </cell>
        </row>
        <row r="699">
          <cell r="B699">
            <v>7850</v>
          </cell>
          <cell r="C699" t="str">
            <v>Morris; Nicholas L</v>
          </cell>
          <cell r="D699" t="str">
            <v>1C</v>
          </cell>
          <cell r="E699" t="str">
            <v>IBEWOUT</v>
          </cell>
          <cell r="F699" t="str">
            <v>77</v>
          </cell>
          <cell r="G699" t="str">
            <v>8</v>
          </cell>
          <cell r="H699">
            <v>0</v>
          </cell>
        </row>
        <row r="700">
          <cell r="B700">
            <v>7851</v>
          </cell>
          <cell r="C700" t="str">
            <v>Morris; Kurt A.</v>
          </cell>
          <cell r="D700" t="str">
            <v>1C</v>
          </cell>
          <cell r="E700" t="str">
            <v>IBEWOUT</v>
          </cell>
          <cell r="F700" t="str">
            <v>1319</v>
          </cell>
          <cell r="G700" t="str">
            <v>13</v>
          </cell>
          <cell r="H700">
            <v>0</v>
          </cell>
        </row>
        <row r="701">
          <cell r="B701">
            <v>7891</v>
          </cell>
          <cell r="C701" t="str">
            <v>Mulligan; Andrew J</v>
          </cell>
          <cell r="D701" t="str">
            <v>1</v>
          </cell>
          <cell r="E701" t="str">
            <v>IBEWOUT</v>
          </cell>
          <cell r="F701" t="str">
            <v>1319</v>
          </cell>
          <cell r="G701" t="str">
            <v>8</v>
          </cell>
          <cell r="H701">
            <v>0</v>
          </cell>
        </row>
        <row r="702">
          <cell r="B702">
            <v>7910</v>
          </cell>
          <cell r="C702" t="str">
            <v>Murphy; James B</v>
          </cell>
          <cell r="D702" t="str">
            <v>1C</v>
          </cell>
          <cell r="E702" t="str">
            <v>IBEWOUT</v>
          </cell>
          <cell r="F702" t="str">
            <v>1245</v>
          </cell>
          <cell r="G702" t="str">
            <v>10</v>
          </cell>
          <cell r="H702">
            <v>0</v>
          </cell>
        </row>
        <row r="703">
          <cell r="B703">
            <v>7917</v>
          </cell>
          <cell r="C703" t="str">
            <v>Murphy; Taylor M</v>
          </cell>
          <cell r="D703" t="str">
            <v>1</v>
          </cell>
          <cell r="E703" t="str">
            <v/>
          </cell>
          <cell r="F703" t="str">
            <v/>
          </cell>
          <cell r="G703" t="str">
            <v/>
          </cell>
          <cell r="H703">
            <v>1</v>
          </cell>
        </row>
        <row r="704">
          <cell r="B704">
            <v>7920</v>
          </cell>
          <cell r="C704" t="str">
            <v>Murray; Byron Todd</v>
          </cell>
          <cell r="D704" t="str">
            <v>1</v>
          </cell>
          <cell r="E704" t="str">
            <v>IBEWOUT</v>
          </cell>
          <cell r="F704" t="str">
            <v>77</v>
          </cell>
          <cell r="G704" t="str">
            <v>33</v>
          </cell>
          <cell r="H704">
            <v>0</v>
          </cell>
        </row>
        <row r="705">
          <cell r="B705">
            <v>7921</v>
          </cell>
          <cell r="C705" t="str">
            <v>Murrell; Jimmie L</v>
          </cell>
          <cell r="D705" t="str">
            <v>1C</v>
          </cell>
          <cell r="E705" t="str">
            <v>IBEWOUT</v>
          </cell>
          <cell r="F705" t="str">
            <v>1245</v>
          </cell>
          <cell r="G705" t="str">
            <v>8</v>
          </cell>
          <cell r="H705">
            <v>0</v>
          </cell>
        </row>
        <row r="706">
          <cell r="B706">
            <v>7925</v>
          </cell>
          <cell r="C706" t="str">
            <v>Murray V; William A</v>
          </cell>
          <cell r="D706" t="str">
            <v>1</v>
          </cell>
          <cell r="E706" t="str">
            <v>IBEWOUT</v>
          </cell>
          <cell r="F706" t="str">
            <v>1319</v>
          </cell>
          <cell r="G706" t="str">
            <v>13</v>
          </cell>
          <cell r="H706">
            <v>0</v>
          </cell>
        </row>
        <row r="707">
          <cell r="B707">
            <v>7929</v>
          </cell>
          <cell r="C707" t="str">
            <v>Myers; Timothy R.</v>
          </cell>
          <cell r="D707" t="str">
            <v>1</v>
          </cell>
          <cell r="E707" t="str">
            <v>IBEWOUT</v>
          </cell>
          <cell r="F707" t="str">
            <v>1319</v>
          </cell>
          <cell r="G707" t="str">
            <v>7</v>
          </cell>
          <cell r="H707">
            <v>0</v>
          </cell>
        </row>
        <row r="708">
          <cell r="B708">
            <v>7930</v>
          </cell>
          <cell r="C708" t="str">
            <v>Myers; Kyle L</v>
          </cell>
          <cell r="D708" t="str">
            <v>1</v>
          </cell>
          <cell r="E708" t="str">
            <v>IBEWOUT</v>
          </cell>
          <cell r="F708" t="str">
            <v>1319</v>
          </cell>
          <cell r="G708" t="str">
            <v>8</v>
          </cell>
          <cell r="H708">
            <v>0</v>
          </cell>
        </row>
        <row r="709">
          <cell r="B709">
            <v>7931</v>
          </cell>
          <cell r="C709" t="str">
            <v>Myers; Bradley T</v>
          </cell>
          <cell r="D709" t="str">
            <v>1C</v>
          </cell>
          <cell r="E709" t="str">
            <v>IBEWOUT</v>
          </cell>
          <cell r="F709" t="str">
            <v>1245</v>
          </cell>
          <cell r="G709" t="str">
            <v>8</v>
          </cell>
          <cell r="H709">
            <v>0</v>
          </cell>
        </row>
        <row r="710">
          <cell r="B710">
            <v>7932</v>
          </cell>
          <cell r="C710" t="str">
            <v>Myers; Craig L</v>
          </cell>
          <cell r="D710" t="str">
            <v>1</v>
          </cell>
          <cell r="E710" t="str">
            <v>IBEWOUT</v>
          </cell>
          <cell r="F710" t="str">
            <v>125</v>
          </cell>
          <cell r="G710" t="str">
            <v>8</v>
          </cell>
          <cell r="H710">
            <v>0</v>
          </cell>
        </row>
        <row r="711">
          <cell r="B711">
            <v>7935</v>
          </cell>
          <cell r="C711" t="str">
            <v>Nail; Brandon C</v>
          </cell>
          <cell r="D711" t="str">
            <v>1C</v>
          </cell>
          <cell r="E711" t="str">
            <v>IBEWOUT</v>
          </cell>
          <cell r="F711" t="str">
            <v>1245</v>
          </cell>
          <cell r="G711" t="str">
            <v>17</v>
          </cell>
          <cell r="H711">
            <v>0</v>
          </cell>
        </row>
        <row r="712">
          <cell r="B712">
            <v>7961</v>
          </cell>
          <cell r="C712" t="str">
            <v>Nadzom; Bradley A.</v>
          </cell>
          <cell r="D712" t="str">
            <v>1C</v>
          </cell>
          <cell r="E712" t="str">
            <v>IBEWOUT</v>
          </cell>
          <cell r="F712" t="str">
            <v>1319</v>
          </cell>
          <cell r="G712" t="str">
            <v>8</v>
          </cell>
          <cell r="H712">
            <v>0</v>
          </cell>
        </row>
        <row r="713">
          <cell r="B713">
            <v>8007</v>
          </cell>
          <cell r="C713" t="str">
            <v>Nash; David M</v>
          </cell>
          <cell r="D713" t="str">
            <v>1</v>
          </cell>
          <cell r="E713" t="str">
            <v>IBEWOUT</v>
          </cell>
          <cell r="F713" t="str">
            <v>1319</v>
          </cell>
          <cell r="G713" t="str">
            <v>15</v>
          </cell>
          <cell r="H713">
            <v>0</v>
          </cell>
        </row>
        <row r="714">
          <cell r="B714">
            <v>8024</v>
          </cell>
          <cell r="C714" t="str">
            <v>Naylor; Joel L</v>
          </cell>
          <cell r="D714" t="str">
            <v>1C</v>
          </cell>
          <cell r="E714" t="str">
            <v/>
          </cell>
          <cell r="F714" t="str">
            <v/>
          </cell>
          <cell r="G714" t="str">
            <v/>
          </cell>
          <cell r="H714">
            <v>1</v>
          </cell>
        </row>
        <row r="715">
          <cell r="B715">
            <v>8025</v>
          </cell>
          <cell r="C715" t="str">
            <v>Navarro; Daniel</v>
          </cell>
          <cell r="D715" t="str">
            <v>1C</v>
          </cell>
          <cell r="E715" t="str">
            <v>IBEWOUT</v>
          </cell>
          <cell r="F715" t="str">
            <v>47</v>
          </cell>
          <cell r="G715" t="str">
            <v>17</v>
          </cell>
          <cell r="H715">
            <v>0</v>
          </cell>
        </row>
        <row r="716">
          <cell r="B716">
            <v>8026</v>
          </cell>
          <cell r="C716" t="str">
            <v>Naylor; Joseph D</v>
          </cell>
          <cell r="D716" t="str">
            <v>1C</v>
          </cell>
          <cell r="E716" t="str">
            <v>IBEWOUT</v>
          </cell>
          <cell r="F716" t="str">
            <v>1319</v>
          </cell>
          <cell r="G716" t="str">
            <v>8</v>
          </cell>
          <cell r="H716">
            <v>0</v>
          </cell>
        </row>
        <row r="717">
          <cell r="B717">
            <v>8038</v>
          </cell>
          <cell r="C717" t="str">
            <v>Nguyen; Tuan A</v>
          </cell>
          <cell r="D717" t="str">
            <v>1C</v>
          </cell>
          <cell r="E717" t="str">
            <v>IBEWOUT</v>
          </cell>
          <cell r="F717" t="str">
            <v>47</v>
          </cell>
          <cell r="G717" t="str">
            <v>8</v>
          </cell>
          <cell r="H717">
            <v>0</v>
          </cell>
        </row>
        <row r="718">
          <cell r="B718">
            <v>8040</v>
          </cell>
          <cell r="C718" t="str">
            <v>Nearhood; William J</v>
          </cell>
          <cell r="D718" t="str">
            <v>1C</v>
          </cell>
          <cell r="E718" t="str">
            <v>IBEWOUT</v>
          </cell>
          <cell r="F718" t="str">
            <v>126</v>
          </cell>
          <cell r="G718" t="str">
            <v>8</v>
          </cell>
          <cell r="H718">
            <v>0</v>
          </cell>
        </row>
        <row r="719">
          <cell r="B719">
            <v>8041</v>
          </cell>
          <cell r="C719" t="str">
            <v>Nease; Jeffrey B.</v>
          </cell>
          <cell r="D719" t="str">
            <v>1C</v>
          </cell>
          <cell r="E719" t="str">
            <v/>
          </cell>
          <cell r="F719" t="str">
            <v/>
          </cell>
          <cell r="G719" t="str">
            <v/>
          </cell>
          <cell r="H719">
            <v>1</v>
          </cell>
        </row>
        <row r="720">
          <cell r="B720">
            <v>8043</v>
          </cell>
          <cell r="C720" t="str">
            <v>Neace; Shane D</v>
          </cell>
          <cell r="D720" t="str">
            <v>1C</v>
          </cell>
          <cell r="E720" t="str">
            <v>IBEWOUT</v>
          </cell>
          <cell r="F720" t="str">
            <v>1245</v>
          </cell>
          <cell r="G720" t="str">
            <v>8</v>
          </cell>
          <cell r="H720">
            <v>0</v>
          </cell>
        </row>
        <row r="721">
          <cell r="B721">
            <v>8046</v>
          </cell>
          <cell r="C721" t="str">
            <v>Nelson; Daniel E</v>
          </cell>
          <cell r="D721" t="str">
            <v>1</v>
          </cell>
          <cell r="E721" t="str">
            <v>IBEWOUT</v>
          </cell>
          <cell r="F721" t="str">
            <v>1245</v>
          </cell>
          <cell r="G721" t="str">
            <v>13</v>
          </cell>
          <cell r="H721">
            <v>0</v>
          </cell>
        </row>
        <row r="722">
          <cell r="B722">
            <v>8048</v>
          </cell>
          <cell r="C722" t="str">
            <v>Nelson; Travis E</v>
          </cell>
          <cell r="D722" t="str">
            <v>1C</v>
          </cell>
          <cell r="E722" t="str">
            <v>IBEWOUT</v>
          </cell>
          <cell r="F722" t="str">
            <v>47</v>
          </cell>
          <cell r="G722" t="str">
            <v>8</v>
          </cell>
          <cell r="H722">
            <v>0</v>
          </cell>
        </row>
        <row r="723">
          <cell r="B723">
            <v>8070</v>
          </cell>
          <cell r="C723" t="str">
            <v>Nichols; Jesse J.</v>
          </cell>
          <cell r="D723" t="str">
            <v>1C</v>
          </cell>
          <cell r="E723" t="str">
            <v>IBEWOUT</v>
          </cell>
          <cell r="F723" t="str">
            <v>47</v>
          </cell>
          <cell r="G723" t="str">
            <v>60</v>
          </cell>
          <cell r="H723">
            <v>0</v>
          </cell>
        </row>
        <row r="724">
          <cell r="B724">
            <v>8082</v>
          </cell>
          <cell r="C724" t="str">
            <v>Nicoloff; Philip J</v>
          </cell>
          <cell r="D724" t="str">
            <v>1C</v>
          </cell>
          <cell r="E724" t="str">
            <v>IBEWOUT</v>
          </cell>
          <cell r="F724" t="str">
            <v>769</v>
          </cell>
          <cell r="G724" t="str">
            <v>35</v>
          </cell>
          <cell r="H724">
            <v>0</v>
          </cell>
        </row>
        <row r="725">
          <cell r="B725">
            <v>8083</v>
          </cell>
          <cell r="C725" t="str">
            <v>Nielsen; Cody V</v>
          </cell>
          <cell r="D725" t="str">
            <v>1</v>
          </cell>
          <cell r="E725" t="str">
            <v>IBEWOUT</v>
          </cell>
          <cell r="F725" t="str">
            <v>602R</v>
          </cell>
          <cell r="G725" t="str">
            <v>18</v>
          </cell>
          <cell r="H725">
            <v>0</v>
          </cell>
        </row>
        <row r="726">
          <cell r="B726">
            <v>8091</v>
          </cell>
          <cell r="C726" t="str">
            <v>Nimmo; Scott Michael</v>
          </cell>
          <cell r="D726" t="str">
            <v>1C</v>
          </cell>
          <cell r="E726" t="str">
            <v>IBEWOUT</v>
          </cell>
          <cell r="F726" t="str">
            <v>769</v>
          </cell>
          <cell r="G726" t="str">
            <v>10</v>
          </cell>
          <cell r="H726">
            <v>0</v>
          </cell>
        </row>
        <row r="727">
          <cell r="B727">
            <v>8137</v>
          </cell>
          <cell r="C727" t="str">
            <v>Noel; Bryce Dylan</v>
          </cell>
          <cell r="D727" t="str">
            <v>1C</v>
          </cell>
          <cell r="E727" t="str">
            <v>IBEWOUT</v>
          </cell>
          <cell r="F727" t="str">
            <v>1245</v>
          </cell>
          <cell r="G727" t="str">
            <v>8</v>
          </cell>
          <cell r="H727">
            <v>0</v>
          </cell>
        </row>
        <row r="728">
          <cell r="B728">
            <v>8138</v>
          </cell>
          <cell r="C728" t="str">
            <v>Noel; Tyler D.</v>
          </cell>
          <cell r="D728" t="str">
            <v>1C</v>
          </cell>
          <cell r="E728" t="str">
            <v>IBEWOUT</v>
          </cell>
          <cell r="F728" t="str">
            <v>1245</v>
          </cell>
          <cell r="G728" t="str">
            <v>17</v>
          </cell>
          <cell r="H728">
            <v>0</v>
          </cell>
        </row>
        <row r="729">
          <cell r="B729">
            <v>8142</v>
          </cell>
          <cell r="C729" t="str">
            <v>Novins; Steve</v>
          </cell>
          <cell r="D729" t="str">
            <v>1C</v>
          </cell>
          <cell r="E729" t="str">
            <v>IBEWOUT</v>
          </cell>
          <cell r="F729" t="str">
            <v>1245</v>
          </cell>
          <cell r="G729" t="str">
            <v>16</v>
          </cell>
          <cell r="H729">
            <v>0</v>
          </cell>
        </row>
        <row r="730">
          <cell r="B730">
            <v>8143</v>
          </cell>
          <cell r="C730" t="str">
            <v>Novak; Triston J.</v>
          </cell>
          <cell r="D730" t="str">
            <v>1C</v>
          </cell>
          <cell r="E730" t="str">
            <v>IBEWOUT</v>
          </cell>
          <cell r="F730" t="str">
            <v>77</v>
          </cell>
          <cell r="G730" t="str">
            <v>10</v>
          </cell>
          <cell r="H730">
            <v>0</v>
          </cell>
        </row>
        <row r="731">
          <cell r="B731">
            <v>8154</v>
          </cell>
          <cell r="C731" t="str">
            <v>Norsworthy; Jonathan R.</v>
          </cell>
          <cell r="D731" t="str">
            <v>1C</v>
          </cell>
          <cell r="E731" t="str">
            <v>IBEWOUT</v>
          </cell>
          <cell r="F731" t="str">
            <v>602R</v>
          </cell>
          <cell r="G731" t="str">
            <v>8</v>
          </cell>
          <cell r="H731">
            <v>0</v>
          </cell>
        </row>
        <row r="732">
          <cell r="B732">
            <v>8155</v>
          </cell>
          <cell r="C732" t="str">
            <v>Norcutt; Devin W</v>
          </cell>
          <cell r="D732" t="str">
            <v>1</v>
          </cell>
          <cell r="E732" t="str">
            <v>IBEWOUT</v>
          </cell>
          <cell r="F732" t="str">
            <v>1245</v>
          </cell>
          <cell r="G732" t="str">
            <v>8</v>
          </cell>
          <cell r="H732">
            <v>0</v>
          </cell>
        </row>
        <row r="733">
          <cell r="B733">
            <v>8165</v>
          </cell>
          <cell r="C733" t="str">
            <v>Nunez; Hector</v>
          </cell>
          <cell r="D733" t="str">
            <v>1C</v>
          </cell>
          <cell r="E733" t="str">
            <v>IBEWOUT</v>
          </cell>
          <cell r="F733" t="str">
            <v>47</v>
          </cell>
          <cell r="G733" t="str">
            <v>17</v>
          </cell>
          <cell r="H733">
            <v>0</v>
          </cell>
        </row>
        <row r="734">
          <cell r="B734">
            <v>8166</v>
          </cell>
          <cell r="C734" t="str">
            <v>Nunez; Jorge L.</v>
          </cell>
          <cell r="D734" t="str">
            <v>1</v>
          </cell>
          <cell r="E734" t="str">
            <v>IBEWOUT</v>
          </cell>
          <cell r="F734" t="str">
            <v>611</v>
          </cell>
          <cell r="G734" t="str">
            <v>9</v>
          </cell>
          <cell r="H734">
            <v>0</v>
          </cell>
        </row>
        <row r="735">
          <cell r="B735">
            <v>8170</v>
          </cell>
          <cell r="C735" t="str">
            <v>Nunez; Raul G</v>
          </cell>
          <cell r="D735" t="str">
            <v>1C</v>
          </cell>
          <cell r="E735" t="str">
            <v>IBEWOUT</v>
          </cell>
          <cell r="F735" t="str">
            <v>47</v>
          </cell>
          <cell r="G735" t="str">
            <v>8</v>
          </cell>
          <cell r="H735">
            <v>0</v>
          </cell>
        </row>
        <row r="736">
          <cell r="B736">
            <v>8172</v>
          </cell>
          <cell r="C736" t="str">
            <v>Ochoa; Edward</v>
          </cell>
          <cell r="D736" t="str">
            <v>1C</v>
          </cell>
          <cell r="E736" t="str">
            <v>IBEWOUT</v>
          </cell>
          <cell r="F736" t="str">
            <v>47</v>
          </cell>
          <cell r="G736" t="str">
            <v>60</v>
          </cell>
          <cell r="H736">
            <v>0</v>
          </cell>
        </row>
        <row r="737">
          <cell r="B737">
            <v>8176</v>
          </cell>
          <cell r="C737" t="str">
            <v>O'Brien; Timothy J.</v>
          </cell>
          <cell r="D737" t="str">
            <v>1C</v>
          </cell>
          <cell r="E737" t="str">
            <v>IBEWOUT</v>
          </cell>
          <cell r="F737" t="str">
            <v>77</v>
          </cell>
          <cell r="G737" t="str">
            <v>10</v>
          </cell>
          <cell r="H737">
            <v>0</v>
          </cell>
        </row>
        <row r="738">
          <cell r="B738">
            <v>8180</v>
          </cell>
          <cell r="C738" t="str">
            <v>O'Connor; Travis L</v>
          </cell>
          <cell r="D738" t="str">
            <v>1C</v>
          </cell>
          <cell r="E738" t="str">
            <v>IBEWOUT</v>
          </cell>
          <cell r="F738" t="str">
            <v>1245</v>
          </cell>
          <cell r="G738" t="str">
            <v>14</v>
          </cell>
          <cell r="H738">
            <v>0</v>
          </cell>
        </row>
        <row r="739">
          <cell r="B739">
            <v>8185</v>
          </cell>
          <cell r="C739" t="str">
            <v>Ogden; Craig T</v>
          </cell>
          <cell r="D739" t="str">
            <v>1</v>
          </cell>
          <cell r="E739" t="str">
            <v>IBEWOUT</v>
          </cell>
          <cell r="F739" t="str">
            <v>1245</v>
          </cell>
          <cell r="G739" t="str">
            <v>11</v>
          </cell>
          <cell r="H739">
            <v>0</v>
          </cell>
        </row>
        <row r="740">
          <cell r="B740">
            <v>8191</v>
          </cell>
          <cell r="C740" t="str">
            <v>Ochoa; Domingo</v>
          </cell>
          <cell r="D740" t="str">
            <v>1</v>
          </cell>
          <cell r="E740" t="str">
            <v/>
          </cell>
          <cell r="F740" t="str">
            <v/>
          </cell>
          <cell r="G740" t="str">
            <v/>
          </cell>
          <cell r="H740">
            <v>1</v>
          </cell>
        </row>
        <row r="741">
          <cell r="B741">
            <v>8196</v>
          </cell>
          <cell r="C741" t="str">
            <v>Ochoa; Johnny Jacob</v>
          </cell>
          <cell r="D741" t="str">
            <v>1</v>
          </cell>
          <cell r="E741" t="str">
            <v/>
          </cell>
          <cell r="F741" t="str">
            <v/>
          </cell>
          <cell r="G741" t="str">
            <v/>
          </cell>
          <cell r="H741">
            <v>1</v>
          </cell>
        </row>
        <row r="742">
          <cell r="B742">
            <v>8202</v>
          </cell>
          <cell r="C742" t="str">
            <v>Opdahl; Joseph Thomas</v>
          </cell>
          <cell r="D742" t="str">
            <v>1</v>
          </cell>
          <cell r="E742" t="str">
            <v>IBEWOUT</v>
          </cell>
          <cell r="F742" t="str">
            <v>77</v>
          </cell>
          <cell r="G742" t="str">
            <v>7</v>
          </cell>
          <cell r="H742">
            <v>0</v>
          </cell>
        </row>
        <row r="743">
          <cell r="B743">
            <v>8203</v>
          </cell>
          <cell r="C743" t="str">
            <v>Olson; William F.</v>
          </cell>
          <cell r="D743" t="str">
            <v>1</v>
          </cell>
          <cell r="E743" t="str">
            <v/>
          </cell>
          <cell r="F743" t="str">
            <v/>
          </cell>
          <cell r="G743" t="str">
            <v/>
          </cell>
          <cell r="H743">
            <v>1</v>
          </cell>
        </row>
        <row r="744">
          <cell r="B744">
            <v>8204</v>
          </cell>
          <cell r="C744" t="str">
            <v>Oosthof; Ryan R.</v>
          </cell>
          <cell r="D744" t="str">
            <v>1C</v>
          </cell>
          <cell r="E744" t="str">
            <v>IBEWOUT</v>
          </cell>
          <cell r="F744" t="str">
            <v>125</v>
          </cell>
          <cell r="G744" t="str">
            <v>8</v>
          </cell>
          <cell r="H744">
            <v>0</v>
          </cell>
        </row>
        <row r="745">
          <cell r="B745">
            <v>8205</v>
          </cell>
          <cell r="C745" t="str">
            <v>Olson; Lyle M</v>
          </cell>
          <cell r="D745" t="str">
            <v>1</v>
          </cell>
          <cell r="E745" t="str">
            <v>IBEWOUT</v>
          </cell>
          <cell r="F745" t="str">
            <v>1319</v>
          </cell>
          <cell r="G745" t="str">
            <v>7</v>
          </cell>
          <cell r="H745">
            <v>0</v>
          </cell>
        </row>
        <row r="746">
          <cell r="B746">
            <v>8207</v>
          </cell>
          <cell r="C746" t="str">
            <v>O'Neill; Nicholas</v>
          </cell>
          <cell r="D746" t="str">
            <v>1C</v>
          </cell>
          <cell r="E746" t="str">
            <v>IBEWOUT</v>
          </cell>
          <cell r="F746" t="str">
            <v>47</v>
          </cell>
          <cell r="G746" t="str">
            <v>8</v>
          </cell>
          <cell r="H746">
            <v>0</v>
          </cell>
        </row>
        <row r="747">
          <cell r="B747">
            <v>8208</v>
          </cell>
          <cell r="C747" t="str">
            <v>Oliphant; Paul D</v>
          </cell>
          <cell r="D747" t="str">
            <v>1C</v>
          </cell>
          <cell r="E747" t="str">
            <v>IBEWOUT</v>
          </cell>
          <cell r="F747" t="str">
            <v>602R</v>
          </cell>
          <cell r="G747" t="str">
            <v>8</v>
          </cell>
          <cell r="H747">
            <v>0</v>
          </cell>
        </row>
        <row r="748">
          <cell r="B748">
            <v>8211</v>
          </cell>
          <cell r="C748" t="str">
            <v>Olberding; Jim F</v>
          </cell>
          <cell r="D748" t="str">
            <v>1C</v>
          </cell>
          <cell r="E748" t="str">
            <v>IBEWOUT</v>
          </cell>
          <cell r="F748" t="str">
            <v>47</v>
          </cell>
          <cell r="G748" t="str">
            <v>8</v>
          </cell>
          <cell r="H748">
            <v>0</v>
          </cell>
        </row>
        <row r="749">
          <cell r="B749">
            <v>8212</v>
          </cell>
          <cell r="C749" t="str">
            <v>Olguin Jr; Antonio J</v>
          </cell>
          <cell r="D749" t="str">
            <v>1C</v>
          </cell>
          <cell r="E749" t="str">
            <v>IBEWOUT</v>
          </cell>
          <cell r="F749" t="str">
            <v>611</v>
          </cell>
          <cell r="G749" t="str">
            <v>18</v>
          </cell>
          <cell r="H749">
            <v>0</v>
          </cell>
        </row>
        <row r="750">
          <cell r="B750">
            <v>8231</v>
          </cell>
          <cell r="C750" t="str">
            <v>Ostrander; Matthew Z.</v>
          </cell>
          <cell r="D750" t="str">
            <v>1</v>
          </cell>
          <cell r="E750" t="str">
            <v/>
          </cell>
          <cell r="F750" t="str">
            <v/>
          </cell>
          <cell r="G750" t="str">
            <v/>
          </cell>
          <cell r="H750">
            <v>0</v>
          </cell>
        </row>
        <row r="751">
          <cell r="B751">
            <v>8237</v>
          </cell>
          <cell r="C751" t="str">
            <v>Overly; Bradley Williams</v>
          </cell>
          <cell r="D751" t="str">
            <v>1C</v>
          </cell>
          <cell r="E751" t="str">
            <v>IBEWOUT</v>
          </cell>
          <cell r="F751" t="str">
            <v>396</v>
          </cell>
          <cell r="G751" t="str">
            <v>21</v>
          </cell>
          <cell r="H751">
            <v>0</v>
          </cell>
        </row>
        <row r="752">
          <cell r="B752">
            <v>8240</v>
          </cell>
          <cell r="C752" t="str">
            <v>Ornelas; Chrystin N</v>
          </cell>
          <cell r="D752" t="str">
            <v>1C</v>
          </cell>
          <cell r="E752" t="str">
            <v>IBEWOUT</v>
          </cell>
          <cell r="F752" t="str">
            <v>47</v>
          </cell>
          <cell r="G752" t="str">
            <v>17</v>
          </cell>
          <cell r="H752">
            <v>0</v>
          </cell>
        </row>
        <row r="753">
          <cell r="B753">
            <v>8241</v>
          </cell>
          <cell r="C753" t="str">
            <v>Ordonez; Gustavo A</v>
          </cell>
          <cell r="D753" t="str">
            <v>1C</v>
          </cell>
          <cell r="E753" t="str">
            <v>IBEWOUT</v>
          </cell>
          <cell r="F753" t="str">
            <v>47</v>
          </cell>
          <cell r="G753" t="str">
            <v>8</v>
          </cell>
          <cell r="H753">
            <v>0</v>
          </cell>
        </row>
        <row r="754">
          <cell r="B754">
            <v>8242</v>
          </cell>
          <cell r="C754" t="str">
            <v>Oswald II; Douglas D</v>
          </cell>
          <cell r="D754" t="str">
            <v>1C</v>
          </cell>
          <cell r="E754" t="str">
            <v>IBEWOUT</v>
          </cell>
          <cell r="F754" t="str">
            <v>769</v>
          </cell>
          <cell r="G754" t="str">
            <v>33</v>
          </cell>
          <cell r="H754">
            <v>0</v>
          </cell>
        </row>
        <row r="755">
          <cell r="B755">
            <v>8243</v>
          </cell>
          <cell r="C755" t="str">
            <v>Olson; Zachery J.</v>
          </cell>
          <cell r="D755" t="str">
            <v>1C</v>
          </cell>
          <cell r="E755" t="str">
            <v>IBEWOUT</v>
          </cell>
          <cell r="F755" t="str">
            <v>47</v>
          </cell>
          <cell r="G755" t="str">
            <v>8</v>
          </cell>
          <cell r="H755">
            <v>0</v>
          </cell>
        </row>
        <row r="756">
          <cell r="B756">
            <v>8246</v>
          </cell>
          <cell r="C756" t="str">
            <v>Owen; Bryce D</v>
          </cell>
          <cell r="D756" t="str">
            <v>1</v>
          </cell>
          <cell r="E756" t="str">
            <v/>
          </cell>
          <cell r="F756" t="str">
            <v/>
          </cell>
          <cell r="G756" t="str">
            <v/>
          </cell>
          <cell r="H756">
            <v>1</v>
          </cell>
        </row>
        <row r="757">
          <cell r="B757">
            <v>8247</v>
          </cell>
          <cell r="C757" t="str">
            <v>Origer; Caleb J</v>
          </cell>
          <cell r="D757" t="str">
            <v>1</v>
          </cell>
          <cell r="E757" t="str">
            <v>IBEWOUT</v>
          </cell>
          <cell r="F757" t="str">
            <v>1319</v>
          </cell>
          <cell r="G757" t="str">
            <v>8</v>
          </cell>
          <cell r="H757">
            <v>0</v>
          </cell>
        </row>
        <row r="758">
          <cell r="B758">
            <v>8249</v>
          </cell>
          <cell r="C758" t="str">
            <v>Ortega; Nick F.</v>
          </cell>
          <cell r="D758" t="str">
            <v>1C</v>
          </cell>
          <cell r="E758" t="str">
            <v>IBEWOUT</v>
          </cell>
          <cell r="F758" t="str">
            <v>47</v>
          </cell>
          <cell r="G758" t="str">
            <v>8</v>
          </cell>
          <cell r="H758">
            <v>0</v>
          </cell>
        </row>
        <row r="759">
          <cell r="B759">
            <v>8250</v>
          </cell>
          <cell r="C759" t="str">
            <v>Ortiz; John R.</v>
          </cell>
          <cell r="D759" t="str">
            <v>1C</v>
          </cell>
          <cell r="E759" t="str">
            <v>IBEWOUT</v>
          </cell>
          <cell r="F759" t="str">
            <v>1245</v>
          </cell>
          <cell r="G759" t="str">
            <v>17</v>
          </cell>
          <cell r="H759">
            <v>0</v>
          </cell>
        </row>
        <row r="760">
          <cell r="B760">
            <v>8260</v>
          </cell>
          <cell r="C760" t="str">
            <v>Pacheco; Erick</v>
          </cell>
          <cell r="D760" t="str">
            <v>1C</v>
          </cell>
          <cell r="E760" t="str">
            <v>IBEWOUT</v>
          </cell>
          <cell r="F760" t="str">
            <v>769</v>
          </cell>
          <cell r="G760" t="str">
            <v>8</v>
          </cell>
          <cell r="H760">
            <v>0</v>
          </cell>
        </row>
        <row r="761">
          <cell r="B761">
            <v>8262</v>
          </cell>
          <cell r="C761" t="str">
            <v>Pacich; Kristopher R</v>
          </cell>
          <cell r="D761" t="str">
            <v>1</v>
          </cell>
          <cell r="E761" t="str">
            <v>IBEWOUT</v>
          </cell>
          <cell r="F761" t="str">
            <v>1319</v>
          </cell>
          <cell r="G761" t="str">
            <v>33</v>
          </cell>
          <cell r="H761">
            <v>0</v>
          </cell>
        </row>
        <row r="762">
          <cell r="B762">
            <v>8265</v>
          </cell>
          <cell r="C762" t="str">
            <v>Paddock; Gary L</v>
          </cell>
          <cell r="D762" t="str">
            <v>1C</v>
          </cell>
          <cell r="E762" t="str">
            <v>IBEWOUT</v>
          </cell>
          <cell r="F762" t="str">
            <v>1319</v>
          </cell>
          <cell r="G762" t="str">
            <v>18</v>
          </cell>
          <cell r="H762">
            <v>0</v>
          </cell>
        </row>
        <row r="763">
          <cell r="B763">
            <v>8276</v>
          </cell>
          <cell r="C763" t="str">
            <v>Padilla; Nicholas B.</v>
          </cell>
          <cell r="D763" t="str">
            <v>1C</v>
          </cell>
          <cell r="E763" t="str">
            <v>IBEWOUT</v>
          </cell>
          <cell r="F763" t="str">
            <v>1245</v>
          </cell>
          <cell r="G763" t="str">
            <v>8</v>
          </cell>
          <cell r="H763">
            <v>0</v>
          </cell>
        </row>
        <row r="764">
          <cell r="B764">
            <v>8281</v>
          </cell>
          <cell r="C764" t="str">
            <v>Paola; Jonathan M.</v>
          </cell>
          <cell r="D764" t="str">
            <v>1C</v>
          </cell>
          <cell r="E764" t="str">
            <v>IBEWOUT</v>
          </cell>
          <cell r="F764" t="str">
            <v>47</v>
          </cell>
          <cell r="G764" t="str">
            <v>60</v>
          </cell>
          <cell r="H764">
            <v>0</v>
          </cell>
        </row>
        <row r="765">
          <cell r="B765">
            <v>8286</v>
          </cell>
          <cell r="C765" t="str">
            <v>Papendick; Dale R</v>
          </cell>
          <cell r="D765" t="str">
            <v>1</v>
          </cell>
          <cell r="E765" t="str">
            <v/>
          </cell>
          <cell r="F765" t="str">
            <v/>
          </cell>
          <cell r="G765" t="str">
            <v/>
          </cell>
          <cell r="H765">
            <v>0</v>
          </cell>
        </row>
        <row r="766">
          <cell r="B766">
            <v>8292</v>
          </cell>
          <cell r="C766" t="str">
            <v>Park Campbell; Kyle C.</v>
          </cell>
          <cell r="D766" t="str">
            <v>1</v>
          </cell>
          <cell r="E766" t="str">
            <v/>
          </cell>
          <cell r="F766" t="str">
            <v/>
          </cell>
          <cell r="G766" t="str">
            <v/>
          </cell>
          <cell r="H766">
            <v>1</v>
          </cell>
        </row>
        <row r="767">
          <cell r="B767">
            <v>8300</v>
          </cell>
          <cell r="C767" t="str">
            <v>Parker; Cody B</v>
          </cell>
          <cell r="D767" t="str">
            <v>1C</v>
          </cell>
          <cell r="E767" t="str">
            <v>IBEWOUT</v>
          </cell>
          <cell r="F767" t="str">
            <v>1245</v>
          </cell>
          <cell r="G767" t="str">
            <v>8</v>
          </cell>
          <cell r="H767">
            <v>0</v>
          </cell>
        </row>
        <row r="768">
          <cell r="B768">
            <v>8302</v>
          </cell>
          <cell r="C768" t="str">
            <v>Parrish; Brandy M</v>
          </cell>
          <cell r="D768" t="str">
            <v>1</v>
          </cell>
          <cell r="E768" t="str">
            <v/>
          </cell>
          <cell r="F768" t="str">
            <v/>
          </cell>
          <cell r="G768" t="str">
            <v/>
          </cell>
          <cell r="H768">
            <v>0</v>
          </cell>
        </row>
        <row r="769">
          <cell r="B769">
            <v>8303</v>
          </cell>
          <cell r="C769" t="str">
            <v>Parten; Michael A</v>
          </cell>
          <cell r="D769" t="str">
            <v>1C</v>
          </cell>
          <cell r="E769" t="str">
            <v>IBEWOUT</v>
          </cell>
          <cell r="F769" t="str">
            <v>125</v>
          </cell>
          <cell r="G769" t="str">
            <v>8</v>
          </cell>
          <cell r="H769">
            <v>0</v>
          </cell>
        </row>
        <row r="770">
          <cell r="B770">
            <v>8317</v>
          </cell>
          <cell r="C770" t="str">
            <v>Palacios Jr; Agustin Caudillo</v>
          </cell>
          <cell r="D770" t="str">
            <v>1</v>
          </cell>
          <cell r="E770" t="str">
            <v/>
          </cell>
          <cell r="F770" t="str">
            <v/>
          </cell>
          <cell r="G770" t="str">
            <v/>
          </cell>
          <cell r="H770">
            <v>1</v>
          </cell>
        </row>
        <row r="771">
          <cell r="B771">
            <v>8325</v>
          </cell>
          <cell r="C771" t="str">
            <v>Palacios; Alberto C</v>
          </cell>
          <cell r="D771" t="str">
            <v>1</v>
          </cell>
          <cell r="E771" t="str">
            <v/>
          </cell>
          <cell r="F771" t="str">
            <v/>
          </cell>
          <cell r="G771" t="str">
            <v/>
          </cell>
          <cell r="H771">
            <v>0</v>
          </cell>
        </row>
        <row r="772">
          <cell r="B772">
            <v>8330</v>
          </cell>
          <cell r="C772" t="str">
            <v>Paull; Chadwick R</v>
          </cell>
          <cell r="D772" t="str">
            <v>1C</v>
          </cell>
          <cell r="E772" t="str">
            <v>IBEWOUT</v>
          </cell>
          <cell r="F772" t="str">
            <v>47</v>
          </cell>
          <cell r="G772" t="str">
            <v>8</v>
          </cell>
          <cell r="H772">
            <v>0</v>
          </cell>
        </row>
        <row r="773">
          <cell r="B773">
            <v>8332</v>
          </cell>
          <cell r="C773" t="str">
            <v>Payne; Marlin C</v>
          </cell>
          <cell r="D773" t="str">
            <v>1</v>
          </cell>
          <cell r="E773" t="str">
            <v>IBEWOUT</v>
          </cell>
          <cell r="F773" t="str">
            <v>77</v>
          </cell>
          <cell r="G773" t="str">
            <v>33</v>
          </cell>
          <cell r="H773">
            <v>0</v>
          </cell>
        </row>
        <row r="774">
          <cell r="B774">
            <v>8335</v>
          </cell>
          <cell r="C774" t="str">
            <v>Paz; Arturo Alex</v>
          </cell>
          <cell r="D774" t="str">
            <v>1C</v>
          </cell>
          <cell r="E774" t="str">
            <v>IBEWOUT</v>
          </cell>
          <cell r="F774" t="str">
            <v>47</v>
          </cell>
          <cell r="G774" t="str">
            <v>17</v>
          </cell>
          <cell r="H774">
            <v>0</v>
          </cell>
        </row>
        <row r="775">
          <cell r="B775">
            <v>8337</v>
          </cell>
          <cell r="C775" t="str">
            <v>Payne; Cody J.</v>
          </cell>
          <cell r="D775" t="str">
            <v>1C</v>
          </cell>
          <cell r="E775" t="str">
            <v>IBEWOUT</v>
          </cell>
          <cell r="F775" t="str">
            <v>77</v>
          </cell>
          <cell r="G775" t="str">
            <v>12</v>
          </cell>
          <cell r="H775">
            <v>0</v>
          </cell>
        </row>
        <row r="776">
          <cell r="B776">
            <v>8340</v>
          </cell>
          <cell r="C776" t="str">
            <v>Paulsen; Michael B.</v>
          </cell>
          <cell r="D776" t="str">
            <v>1C</v>
          </cell>
          <cell r="E776" t="str">
            <v>IBEWOUT</v>
          </cell>
          <cell r="F776" t="str">
            <v>1245</v>
          </cell>
          <cell r="G776" t="str">
            <v>8</v>
          </cell>
          <cell r="H776">
            <v>0</v>
          </cell>
        </row>
        <row r="777">
          <cell r="B777">
            <v>8345</v>
          </cell>
          <cell r="C777" t="str">
            <v>Peachy; Joseph F</v>
          </cell>
          <cell r="D777" t="str">
            <v>1C</v>
          </cell>
          <cell r="E777" t="str">
            <v>IBEWOUT</v>
          </cell>
          <cell r="F777" t="str">
            <v>47</v>
          </cell>
          <cell r="G777" t="str">
            <v>8</v>
          </cell>
          <cell r="H777">
            <v>0</v>
          </cell>
        </row>
        <row r="778">
          <cell r="B778">
            <v>8373</v>
          </cell>
          <cell r="C778" t="str">
            <v>Pearson; Michael J</v>
          </cell>
          <cell r="D778" t="str">
            <v>1</v>
          </cell>
          <cell r="E778" t="str">
            <v>IBEWOUT</v>
          </cell>
          <cell r="F778" t="str">
            <v>126</v>
          </cell>
          <cell r="G778" t="str">
            <v>8</v>
          </cell>
          <cell r="H778">
            <v>0</v>
          </cell>
        </row>
        <row r="779">
          <cell r="B779">
            <v>8377</v>
          </cell>
          <cell r="C779" t="str">
            <v>Pearson; Charles J</v>
          </cell>
          <cell r="D779" t="str">
            <v>1</v>
          </cell>
          <cell r="E779" t="str">
            <v>IBEWOUT</v>
          </cell>
          <cell r="F779" t="str">
            <v>1245</v>
          </cell>
          <cell r="G779" t="str">
            <v>8</v>
          </cell>
          <cell r="H779">
            <v>0</v>
          </cell>
        </row>
        <row r="780">
          <cell r="B780">
            <v>8378</v>
          </cell>
          <cell r="C780" t="str">
            <v>Peart; Adam D</v>
          </cell>
          <cell r="D780" t="str">
            <v>1</v>
          </cell>
          <cell r="E780" t="str">
            <v/>
          </cell>
          <cell r="F780" t="str">
            <v/>
          </cell>
          <cell r="G780" t="str">
            <v/>
          </cell>
          <cell r="H780">
            <v>0</v>
          </cell>
        </row>
        <row r="781">
          <cell r="B781">
            <v>8385</v>
          </cell>
          <cell r="C781" t="str">
            <v>Piedra; Raul</v>
          </cell>
          <cell r="D781" t="str">
            <v>1</v>
          </cell>
          <cell r="E781" t="str">
            <v>IBEWOUT</v>
          </cell>
          <cell r="F781" t="str">
            <v>1245</v>
          </cell>
          <cell r="G781" t="str">
            <v>8</v>
          </cell>
          <cell r="H781">
            <v>0</v>
          </cell>
        </row>
        <row r="782">
          <cell r="B782">
            <v>8390</v>
          </cell>
          <cell r="C782" t="str">
            <v>Peterson; Jake M.</v>
          </cell>
          <cell r="D782" t="str">
            <v>1C</v>
          </cell>
          <cell r="E782" t="str">
            <v>IBEWOUT</v>
          </cell>
          <cell r="F782" t="str">
            <v>125</v>
          </cell>
          <cell r="G782" t="str">
            <v>15</v>
          </cell>
          <cell r="H782">
            <v>0</v>
          </cell>
        </row>
        <row r="783">
          <cell r="B783">
            <v>8395</v>
          </cell>
          <cell r="C783" t="str">
            <v>Perez; Ruben Michel</v>
          </cell>
          <cell r="D783" t="str">
            <v>1C</v>
          </cell>
          <cell r="E783" t="str">
            <v>IBEWOUT</v>
          </cell>
          <cell r="F783" t="str">
            <v>47</v>
          </cell>
          <cell r="G783" t="str">
            <v>17</v>
          </cell>
          <cell r="H783">
            <v>0</v>
          </cell>
        </row>
        <row r="784">
          <cell r="B784">
            <v>8396</v>
          </cell>
          <cell r="C784" t="str">
            <v>Peer; Chad K.</v>
          </cell>
          <cell r="D784" t="str">
            <v>1</v>
          </cell>
          <cell r="E784" t="str">
            <v>IBEWOUT</v>
          </cell>
          <cell r="F784" t="str">
            <v>77</v>
          </cell>
          <cell r="G784" t="str">
            <v>7</v>
          </cell>
          <cell r="H784">
            <v>0</v>
          </cell>
        </row>
        <row r="785">
          <cell r="B785">
            <v>8399</v>
          </cell>
          <cell r="C785" t="str">
            <v>Pedersen; Vikter James</v>
          </cell>
          <cell r="D785" t="str">
            <v>1</v>
          </cell>
          <cell r="E785" t="str">
            <v>IBEWOUT</v>
          </cell>
          <cell r="F785" t="str">
            <v>77</v>
          </cell>
          <cell r="G785" t="str">
            <v>8</v>
          </cell>
          <cell r="H785">
            <v>0</v>
          </cell>
        </row>
        <row r="786">
          <cell r="B786">
            <v>8405</v>
          </cell>
          <cell r="C786" t="str">
            <v>Perzel; Donna</v>
          </cell>
          <cell r="D786" t="str">
            <v>1C</v>
          </cell>
          <cell r="E786" t="str">
            <v/>
          </cell>
          <cell r="F786" t="str">
            <v/>
          </cell>
          <cell r="G786" t="str">
            <v/>
          </cell>
          <cell r="H786">
            <v>0</v>
          </cell>
        </row>
        <row r="787">
          <cell r="B787">
            <v>8430</v>
          </cell>
          <cell r="C787" t="str">
            <v>Pelley; Robert M</v>
          </cell>
          <cell r="D787" t="str">
            <v>1C</v>
          </cell>
          <cell r="E787" t="str">
            <v>IBEWOUT</v>
          </cell>
          <cell r="F787" t="str">
            <v>47</v>
          </cell>
          <cell r="G787" t="str">
            <v>16</v>
          </cell>
          <cell r="H787">
            <v>0</v>
          </cell>
        </row>
        <row r="788">
          <cell r="B788">
            <v>8434</v>
          </cell>
          <cell r="C788" t="str">
            <v>Peterson; Paul B</v>
          </cell>
          <cell r="D788" t="str">
            <v>1</v>
          </cell>
          <cell r="E788" t="str">
            <v>IBEWOUT</v>
          </cell>
          <cell r="F788" t="str">
            <v>1245</v>
          </cell>
          <cell r="G788" t="str">
            <v>8</v>
          </cell>
          <cell r="H788">
            <v>0</v>
          </cell>
        </row>
        <row r="789">
          <cell r="B789">
            <v>8438</v>
          </cell>
          <cell r="C789" t="str">
            <v>Peterson; Craig E</v>
          </cell>
          <cell r="D789" t="str">
            <v>1</v>
          </cell>
          <cell r="E789" t="str">
            <v>IBEWOUT</v>
          </cell>
          <cell r="F789" t="str">
            <v>278</v>
          </cell>
          <cell r="G789" t="str">
            <v>16</v>
          </cell>
          <cell r="H789">
            <v>0</v>
          </cell>
        </row>
        <row r="790">
          <cell r="B790">
            <v>8439</v>
          </cell>
          <cell r="C790" t="str">
            <v>Peterson; Edwin W</v>
          </cell>
          <cell r="D790" t="str">
            <v>1C</v>
          </cell>
          <cell r="E790" t="str">
            <v>IBEWOUT</v>
          </cell>
          <cell r="F790" t="str">
            <v>1245</v>
          </cell>
          <cell r="G790" t="str">
            <v>8</v>
          </cell>
          <cell r="H790">
            <v>0</v>
          </cell>
        </row>
        <row r="791">
          <cell r="B791">
            <v>8442</v>
          </cell>
          <cell r="C791" t="str">
            <v>Persche; Mark Russell</v>
          </cell>
          <cell r="D791" t="str">
            <v>1</v>
          </cell>
          <cell r="E791" t="str">
            <v>IBEWOUT</v>
          </cell>
          <cell r="F791" t="str">
            <v>125</v>
          </cell>
          <cell r="G791" t="str">
            <v>7</v>
          </cell>
          <cell r="H791">
            <v>0</v>
          </cell>
        </row>
        <row r="792">
          <cell r="B792">
            <v>8449</v>
          </cell>
          <cell r="C792" t="str">
            <v>Pena Sr.; Benjamin</v>
          </cell>
          <cell r="D792" t="str">
            <v>1</v>
          </cell>
          <cell r="E792" t="str">
            <v>IBEWOUT</v>
          </cell>
          <cell r="F792" t="str">
            <v>1319</v>
          </cell>
          <cell r="G792" t="str">
            <v>21</v>
          </cell>
          <cell r="H792">
            <v>0</v>
          </cell>
        </row>
        <row r="793">
          <cell r="B793">
            <v>8451</v>
          </cell>
          <cell r="C793" t="str">
            <v>Phillips; Luther E.</v>
          </cell>
          <cell r="D793" t="str">
            <v>1C</v>
          </cell>
          <cell r="E793" t="str">
            <v/>
          </cell>
          <cell r="F793" t="str">
            <v/>
          </cell>
          <cell r="G793" t="str">
            <v/>
          </cell>
          <cell r="H793">
            <v>1</v>
          </cell>
        </row>
        <row r="794">
          <cell r="B794">
            <v>8452</v>
          </cell>
          <cell r="C794" t="str">
            <v>Phillips; Blake R</v>
          </cell>
          <cell r="D794" t="str">
            <v>1C</v>
          </cell>
          <cell r="E794" t="str">
            <v>IBEWOUT</v>
          </cell>
          <cell r="F794" t="str">
            <v>47</v>
          </cell>
          <cell r="G794" t="str">
            <v>14</v>
          </cell>
          <cell r="H794">
            <v>0</v>
          </cell>
        </row>
        <row r="795">
          <cell r="B795">
            <v>8453</v>
          </cell>
          <cell r="C795" t="str">
            <v>Pierce; Andrew J.</v>
          </cell>
          <cell r="D795" t="str">
            <v>1C</v>
          </cell>
          <cell r="E795" t="str">
            <v>IBEWOUT</v>
          </cell>
          <cell r="F795" t="str">
            <v>1245</v>
          </cell>
          <cell r="G795" t="str">
            <v>8</v>
          </cell>
          <cell r="H795">
            <v>0</v>
          </cell>
        </row>
        <row r="796">
          <cell r="B796">
            <v>8455</v>
          </cell>
          <cell r="C796" t="str">
            <v>Phillips; Daniel S</v>
          </cell>
          <cell r="D796" t="str">
            <v>1</v>
          </cell>
          <cell r="E796" t="str">
            <v>IBEWOUT</v>
          </cell>
          <cell r="F796" t="str">
            <v>1245</v>
          </cell>
          <cell r="G796" t="str">
            <v>8</v>
          </cell>
          <cell r="H796">
            <v>0</v>
          </cell>
        </row>
        <row r="797">
          <cell r="B797">
            <v>8456</v>
          </cell>
          <cell r="C797" t="str">
            <v>Phillips; Steven R</v>
          </cell>
          <cell r="D797" t="str">
            <v>1</v>
          </cell>
          <cell r="E797" t="str">
            <v>IBEWOUT</v>
          </cell>
          <cell r="F797" t="str">
            <v>602R</v>
          </cell>
          <cell r="G797" t="str">
            <v>8</v>
          </cell>
          <cell r="H797">
            <v>0</v>
          </cell>
        </row>
        <row r="798">
          <cell r="B798">
            <v>8472</v>
          </cell>
          <cell r="C798" t="str">
            <v>Pierson Jr.; Robert Dewey</v>
          </cell>
          <cell r="D798" t="str">
            <v>1C</v>
          </cell>
          <cell r="E798" t="str">
            <v/>
          </cell>
          <cell r="F798" t="str">
            <v/>
          </cell>
          <cell r="G798" t="str">
            <v/>
          </cell>
          <cell r="H798">
            <v>0</v>
          </cell>
        </row>
        <row r="799">
          <cell r="B799">
            <v>8476</v>
          </cell>
          <cell r="C799" t="str">
            <v>Pinios; Frank N.</v>
          </cell>
          <cell r="D799" t="str">
            <v>1C</v>
          </cell>
          <cell r="E799" t="str">
            <v>IBEWOUT</v>
          </cell>
          <cell r="F799" t="str">
            <v>1245</v>
          </cell>
          <cell r="G799" t="str">
            <v>7</v>
          </cell>
          <cell r="H799">
            <v>0</v>
          </cell>
        </row>
        <row r="800">
          <cell r="B800">
            <v>8477</v>
          </cell>
          <cell r="C800" t="str">
            <v>Piedra; Jose Manuel</v>
          </cell>
          <cell r="D800" t="str">
            <v>1C</v>
          </cell>
          <cell r="E800" t="str">
            <v>IBEWOUT</v>
          </cell>
          <cell r="F800" t="str">
            <v>769</v>
          </cell>
          <cell r="G800" t="str">
            <v>7</v>
          </cell>
          <cell r="H800">
            <v>0</v>
          </cell>
        </row>
        <row r="801">
          <cell r="B801">
            <v>8479</v>
          </cell>
          <cell r="C801" t="str">
            <v>Picazo; Benjamin</v>
          </cell>
          <cell r="D801" t="str">
            <v>1C</v>
          </cell>
          <cell r="E801" t="str">
            <v>IBEWOUT</v>
          </cell>
          <cell r="F801" t="str">
            <v>1245</v>
          </cell>
          <cell r="G801" t="str">
            <v>15</v>
          </cell>
          <cell r="H801">
            <v>0</v>
          </cell>
        </row>
        <row r="802">
          <cell r="B802">
            <v>8480</v>
          </cell>
          <cell r="C802" t="str">
            <v>Pitts; Arner D</v>
          </cell>
          <cell r="D802" t="str">
            <v>1C</v>
          </cell>
          <cell r="E802" t="str">
            <v>IBEWOUT</v>
          </cell>
          <cell r="F802" t="str">
            <v>47</v>
          </cell>
          <cell r="G802" t="str">
            <v>17</v>
          </cell>
          <cell r="H802">
            <v>0</v>
          </cell>
        </row>
        <row r="803">
          <cell r="B803">
            <v>8483</v>
          </cell>
          <cell r="C803" t="str">
            <v>Pineda; Adolfo Rudy</v>
          </cell>
          <cell r="D803" t="str">
            <v>1C</v>
          </cell>
          <cell r="E803" t="str">
            <v>IBEWOUT</v>
          </cell>
          <cell r="F803" t="str">
            <v>396</v>
          </cell>
          <cell r="G803" t="str">
            <v>18</v>
          </cell>
          <cell r="H803">
            <v>0</v>
          </cell>
        </row>
        <row r="804">
          <cell r="B804">
            <v>8488</v>
          </cell>
          <cell r="C804" t="str">
            <v>Pion; Nicholas A.</v>
          </cell>
          <cell r="D804" t="str">
            <v>1C</v>
          </cell>
          <cell r="E804" t="str">
            <v>IBEWOUT</v>
          </cell>
          <cell r="F804" t="str">
            <v>1245</v>
          </cell>
          <cell r="G804" t="str">
            <v>13</v>
          </cell>
          <cell r="H804">
            <v>0</v>
          </cell>
        </row>
        <row r="805">
          <cell r="B805">
            <v>8502</v>
          </cell>
          <cell r="C805" t="str">
            <v>Power; William H.</v>
          </cell>
          <cell r="D805" t="str">
            <v>1</v>
          </cell>
          <cell r="E805" t="str">
            <v>IBEWOUT</v>
          </cell>
          <cell r="F805" t="str">
            <v>77</v>
          </cell>
          <cell r="G805" t="str">
            <v>1</v>
          </cell>
          <cell r="H805">
            <v>0</v>
          </cell>
        </row>
        <row r="806">
          <cell r="B806">
            <v>8507</v>
          </cell>
          <cell r="C806" t="str">
            <v>Pontine; Devon A</v>
          </cell>
          <cell r="D806" t="str">
            <v>1</v>
          </cell>
          <cell r="E806" t="str">
            <v>IBEWOUT</v>
          </cell>
          <cell r="F806" t="str">
            <v>602R</v>
          </cell>
          <cell r="G806" t="str">
            <v>8</v>
          </cell>
          <cell r="H806">
            <v>0</v>
          </cell>
        </row>
        <row r="807">
          <cell r="B807">
            <v>8509</v>
          </cell>
          <cell r="C807" t="str">
            <v>Porter; Wes Fraser</v>
          </cell>
          <cell r="D807" t="str">
            <v>1C</v>
          </cell>
          <cell r="E807" t="str">
            <v>IBEWOUT</v>
          </cell>
          <cell r="F807" t="str">
            <v>47</v>
          </cell>
          <cell r="G807" t="str">
            <v>17</v>
          </cell>
          <cell r="H807">
            <v>0</v>
          </cell>
        </row>
        <row r="808">
          <cell r="B808">
            <v>8511</v>
          </cell>
          <cell r="C808" t="str">
            <v>Poland; Christopher James</v>
          </cell>
          <cell r="D808" t="str">
            <v>1</v>
          </cell>
          <cell r="E808" t="str">
            <v>IBEWOUT</v>
          </cell>
          <cell r="F808" t="str">
            <v>125</v>
          </cell>
          <cell r="G808" t="str">
            <v>8</v>
          </cell>
          <cell r="H808">
            <v>0</v>
          </cell>
        </row>
        <row r="809">
          <cell r="B809">
            <v>8515</v>
          </cell>
          <cell r="C809" t="str">
            <v>Pock; Alvin J.</v>
          </cell>
          <cell r="D809" t="str">
            <v>1C</v>
          </cell>
          <cell r="E809" t="str">
            <v/>
          </cell>
          <cell r="F809" t="str">
            <v/>
          </cell>
          <cell r="G809" t="str">
            <v/>
          </cell>
          <cell r="H809">
            <v>0</v>
          </cell>
        </row>
        <row r="810">
          <cell r="B810">
            <v>8516</v>
          </cell>
          <cell r="C810" t="str">
            <v>Powell; Justin D.</v>
          </cell>
          <cell r="D810" t="str">
            <v>1C</v>
          </cell>
          <cell r="E810" t="str">
            <v>IBEWOUT</v>
          </cell>
          <cell r="F810" t="str">
            <v>1245</v>
          </cell>
          <cell r="G810" t="str">
            <v>7</v>
          </cell>
          <cell r="H810">
            <v>0</v>
          </cell>
        </row>
        <row r="811">
          <cell r="B811">
            <v>8523</v>
          </cell>
          <cell r="C811" t="str">
            <v>Prychodzko; Peter D</v>
          </cell>
          <cell r="D811" t="str">
            <v>1</v>
          </cell>
          <cell r="E811" t="str">
            <v/>
          </cell>
          <cell r="F811" t="str">
            <v/>
          </cell>
          <cell r="G811" t="str">
            <v/>
          </cell>
          <cell r="H811">
            <v>1</v>
          </cell>
        </row>
        <row r="812">
          <cell r="B812">
            <v>8524</v>
          </cell>
          <cell r="C812" t="str">
            <v>Potter; Howard Michael</v>
          </cell>
          <cell r="D812" t="str">
            <v>1C</v>
          </cell>
          <cell r="E812" t="str">
            <v>IBEWOUT</v>
          </cell>
          <cell r="F812" t="str">
            <v>396</v>
          </cell>
          <cell r="G812" t="str">
            <v>8</v>
          </cell>
          <cell r="H812">
            <v>0</v>
          </cell>
        </row>
        <row r="813">
          <cell r="B813">
            <v>8525</v>
          </cell>
          <cell r="C813" t="str">
            <v>Powers; Nicholas L</v>
          </cell>
          <cell r="D813" t="str">
            <v>1C</v>
          </cell>
          <cell r="E813" t="str">
            <v>IBEWOUT</v>
          </cell>
          <cell r="F813" t="str">
            <v>125</v>
          </cell>
          <cell r="G813" t="str">
            <v>15</v>
          </cell>
          <cell r="H813">
            <v>0</v>
          </cell>
        </row>
        <row r="814">
          <cell r="B814">
            <v>8526</v>
          </cell>
          <cell r="C814" t="str">
            <v>Perlick; Timothy C</v>
          </cell>
          <cell r="D814" t="str">
            <v>1C</v>
          </cell>
          <cell r="E814" t="str">
            <v>IBEWOUT</v>
          </cell>
          <cell r="F814" t="str">
            <v>47</v>
          </cell>
          <cell r="G814" t="str">
            <v>8</v>
          </cell>
          <cell r="H814">
            <v>0</v>
          </cell>
        </row>
        <row r="815">
          <cell r="B815">
            <v>8528</v>
          </cell>
          <cell r="C815" t="str">
            <v>Pryor; Nicholas L</v>
          </cell>
          <cell r="D815" t="str">
            <v>1</v>
          </cell>
          <cell r="E815" t="str">
            <v/>
          </cell>
          <cell r="F815" t="str">
            <v/>
          </cell>
          <cell r="G815" t="str">
            <v/>
          </cell>
          <cell r="H815">
            <v>0</v>
          </cell>
        </row>
        <row r="816">
          <cell r="B816">
            <v>8532</v>
          </cell>
          <cell r="C816" t="str">
            <v>Prather; Robert D.</v>
          </cell>
          <cell r="D816" t="str">
            <v>1C</v>
          </cell>
          <cell r="E816" t="str">
            <v>IBEWOUT</v>
          </cell>
          <cell r="F816" t="str">
            <v>396</v>
          </cell>
          <cell r="G816" t="str">
            <v>21</v>
          </cell>
          <cell r="H816">
            <v>0</v>
          </cell>
        </row>
        <row r="817">
          <cell r="B817">
            <v>8551</v>
          </cell>
          <cell r="C817" t="str">
            <v>Reyes; Gerardo</v>
          </cell>
          <cell r="D817" t="str">
            <v>1C</v>
          </cell>
          <cell r="E817" t="str">
            <v>IBEWOUT</v>
          </cell>
          <cell r="F817" t="str">
            <v>47</v>
          </cell>
          <cell r="G817" t="str">
            <v>60</v>
          </cell>
          <cell r="H817">
            <v>0</v>
          </cell>
        </row>
        <row r="818">
          <cell r="B818">
            <v>8574</v>
          </cell>
          <cell r="C818" t="str">
            <v>Reynoza; Luis E</v>
          </cell>
          <cell r="D818" t="str">
            <v>1</v>
          </cell>
          <cell r="E818" t="str">
            <v>IBEWOUT</v>
          </cell>
          <cell r="F818" t="str">
            <v>1245</v>
          </cell>
          <cell r="G818" t="str">
            <v>8</v>
          </cell>
          <cell r="H818">
            <v>0</v>
          </cell>
        </row>
        <row r="819">
          <cell r="B819">
            <v>8599</v>
          </cell>
          <cell r="C819" t="str">
            <v>Prest; Adam W</v>
          </cell>
          <cell r="D819" t="str">
            <v>1</v>
          </cell>
          <cell r="E819" t="str">
            <v>IBEWOUT</v>
          </cell>
          <cell r="F819" t="str">
            <v>1245</v>
          </cell>
          <cell r="G819" t="str">
            <v>8</v>
          </cell>
          <cell r="H819">
            <v>0</v>
          </cell>
        </row>
        <row r="820">
          <cell r="B820">
            <v>8600</v>
          </cell>
          <cell r="C820" t="str">
            <v>Preuitt; Jason P.</v>
          </cell>
          <cell r="D820" t="str">
            <v>1</v>
          </cell>
          <cell r="E820" t="str">
            <v/>
          </cell>
          <cell r="F820" t="str">
            <v/>
          </cell>
          <cell r="G820" t="str">
            <v/>
          </cell>
          <cell r="H820">
            <v>1</v>
          </cell>
        </row>
        <row r="821">
          <cell r="B821">
            <v>8602</v>
          </cell>
          <cell r="C821" t="str">
            <v>Prewitt; Aaron M</v>
          </cell>
          <cell r="D821" t="str">
            <v>1C</v>
          </cell>
          <cell r="E821" t="str">
            <v>IBEWOUT</v>
          </cell>
          <cell r="F821" t="str">
            <v>1049</v>
          </cell>
          <cell r="G821" t="str">
            <v>8</v>
          </cell>
          <cell r="H821">
            <v>0</v>
          </cell>
        </row>
        <row r="822">
          <cell r="B822">
            <v>8613</v>
          </cell>
          <cell r="C822" t="str">
            <v>Prochoren; Neal A</v>
          </cell>
          <cell r="D822" t="str">
            <v>1C</v>
          </cell>
          <cell r="E822" t="str">
            <v>IBEWOUT</v>
          </cell>
          <cell r="F822" t="str">
            <v>47</v>
          </cell>
          <cell r="G822" t="str">
            <v>17</v>
          </cell>
          <cell r="H822">
            <v>0</v>
          </cell>
        </row>
        <row r="823">
          <cell r="B823">
            <v>8670</v>
          </cell>
          <cell r="C823" t="str">
            <v>Quam; Christopher G</v>
          </cell>
          <cell r="D823" t="str">
            <v>1C</v>
          </cell>
          <cell r="E823" t="str">
            <v>IBEWOUT</v>
          </cell>
          <cell r="F823" t="str">
            <v>47</v>
          </cell>
          <cell r="G823" t="str">
            <v>8</v>
          </cell>
          <cell r="H823">
            <v>0</v>
          </cell>
        </row>
        <row r="824">
          <cell r="B824">
            <v>8685</v>
          </cell>
          <cell r="C824" t="str">
            <v>Quigley; Patrick Allen</v>
          </cell>
          <cell r="D824" t="str">
            <v>1</v>
          </cell>
          <cell r="E824" t="str">
            <v>IBEWOUT</v>
          </cell>
          <cell r="F824" t="str">
            <v>602R</v>
          </cell>
          <cell r="G824" t="str">
            <v>7</v>
          </cell>
          <cell r="H824">
            <v>0</v>
          </cell>
        </row>
        <row r="825">
          <cell r="B825">
            <v>8686</v>
          </cell>
          <cell r="C825" t="str">
            <v>Quinones; Leopoldo A</v>
          </cell>
          <cell r="D825" t="str">
            <v>1C</v>
          </cell>
          <cell r="E825" t="str">
            <v>IBEWOUT</v>
          </cell>
          <cell r="F825" t="str">
            <v>1245</v>
          </cell>
          <cell r="G825" t="str">
            <v>17</v>
          </cell>
          <cell r="H825">
            <v>0</v>
          </cell>
        </row>
        <row r="826">
          <cell r="B826">
            <v>8687</v>
          </cell>
          <cell r="C826" t="str">
            <v>Quick; Brett A.</v>
          </cell>
          <cell r="D826" t="str">
            <v>1C</v>
          </cell>
          <cell r="E826" t="str">
            <v>IBEWOUT</v>
          </cell>
          <cell r="F826" t="str">
            <v>769</v>
          </cell>
          <cell r="G826" t="str">
            <v>16</v>
          </cell>
          <cell r="H826">
            <v>0</v>
          </cell>
        </row>
        <row r="827">
          <cell r="B827">
            <v>8688</v>
          </cell>
          <cell r="C827" t="str">
            <v>Quinlan; Robert J.</v>
          </cell>
          <cell r="D827" t="str">
            <v>1C</v>
          </cell>
          <cell r="E827" t="str">
            <v>IBEWOUT</v>
          </cell>
          <cell r="F827" t="str">
            <v>47</v>
          </cell>
          <cell r="G827" t="str">
            <v>7</v>
          </cell>
          <cell r="H827">
            <v>0</v>
          </cell>
        </row>
        <row r="828">
          <cell r="B828">
            <v>8690</v>
          </cell>
          <cell r="C828" t="str">
            <v>Quinn; Benjamin D.</v>
          </cell>
          <cell r="D828" t="str">
            <v>1C</v>
          </cell>
          <cell r="E828" t="str">
            <v>IBEWIN</v>
          </cell>
          <cell r="F828" t="str">
            <v>714</v>
          </cell>
          <cell r="G828" t="str">
            <v>8I</v>
          </cell>
          <cell r="H828">
            <v>0</v>
          </cell>
        </row>
        <row r="829">
          <cell r="B829">
            <v>8700</v>
          </cell>
          <cell r="C829" t="str">
            <v>Quist; Michael L</v>
          </cell>
          <cell r="D829" t="str">
            <v>1</v>
          </cell>
          <cell r="E829" t="str">
            <v/>
          </cell>
          <cell r="F829" t="str">
            <v/>
          </cell>
          <cell r="G829" t="str">
            <v/>
          </cell>
          <cell r="H829">
            <v>1</v>
          </cell>
        </row>
        <row r="830">
          <cell r="B830">
            <v>8732</v>
          </cell>
          <cell r="C830" t="str">
            <v>Rabon; Leland C.</v>
          </cell>
          <cell r="D830" t="str">
            <v>1C</v>
          </cell>
          <cell r="E830" t="str">
            <v>IBEWOUT</v>
          </cell>
          <cell r="F830" t="str">
            <v>47</v>
          </cell>
          <cell r="G830" t="str">
            <v>16</v>
          </cell>
          <cell r="H830">
            <v>0</v>
          </cell>
        </row>
        <row r="831">
          <cell r="B831">
            <v>8735</v>
          </cell>
          <cell r="C831" t="str">
            <v>Radant; Cody D</v>
          </cell>
          <cell r="D831" t="str">
            <v>1C</v>
          </cell>
          <cell r="E831" t="str">
            <v>IBEWOUT</v>
          </cell>
          <cell r="F831" t="str">
            <v>77</v>
          </cell>
          <cell r="G831" t="str">
            <v>7</v>
          </cell>
          <cell r="H831">
            <v>0</v>
          </cell>
        </row>
        <row r="832">
          <cell r="B832">
            <v>8746</v>
          </cell>
          <cell r="C832" t="str">
            <v>Raffety; Michael Shawn</v>
          </cell>
          <cell r="D832" t="str">
            <v>1C</v>
          </cell>
          <cell r="E832" t="str">
            <v>IBEWOUT</v>
          </cell>
          <cell r="F832" t="str">
            <v>47</v>
          </cell>
          <cell r="G832" t="str">
            <v>8</v>
          </cell>
          <cell r="H832">
            <v>0</v>
          </cell>
        </row>
        <row r="833">
          <cell r="B833">
            <v>8750</v>
          </cell>
          <cell r="C833" t="str">
            <v>Ragsdale; Glenn Franklin</v>
          </cell>
          <cell r="D833" t="str">
            <v>1</v>
          </cell>
          <cell r="E833" t="str">
            <v>IBEWOUT</v>
          </cell>
          <cell r="F833" t="str">
            <v>602R</v>
          </cell>
          <cell r="G833" t="str">
            <v>33</v>
          </cell>
          <cell r="H833">
            <v>0</v>
          </cell>
        </row>
        <row r="834">
          <cell r="B834">
            <v>8751</v>
          </cell>
          <cell r="C834" t="str">
            <v>Ragsdale; William Ryan</v>
          </cell>
          <cell r="D834" t="str">
            <v>1</v>
          </cell>
          <cell r="E834" t="str">
            <v>IBEWOUT</v>
          </cell>
          <cell r="F834" t="str">
            <v>602R</v>
          </cell>
          <cell r="G834" t="str">
            <v>18</v>
          </cell>
          <cell r="H834">
            <v>0</v>
          </cell>
        </row>
        <row r="835">
          <cell r="B835">
            <v>8756</v>
          </cell>
          <cell r="C835" t="str">
            <v>Rains; Travis G.</v>
          </cell>
          <cell r="D835" t="str">
            <v>1</v>
          </cell>
          <cell r="E835" t="str">
            <v>IBEWOUT</v>
          </cell>
          <cell r="F835" t="str">
            <v>1245</v>
          </cell>
          <cell r="G835" t="str">
            <v>8</v>
          </cell>
          <cell r="H835">
            <v>0</v>
          </cell>
        </row>
        <row r="836">
          <cell r="B836">
            <v>8770</v>
          </cell>
          <cell r="C836" t="str">
            <v>Ramaker; Brian H</v>
          </cell>
          <cell r="D836" t="str">
            <v>1</v>
          </cell>
          <cell r="E836" t="str">
            <v>IBEWOUT</v>
          </cell>
          <cell r="F836" t="str">
            <v>1245</v>
          </cell>
          <cell r="G836" t="str">
            <v>1</v>
          </cell>
          <cell r="H836">
            <v>0</v>
          </cell>
        </row>
        <row r="837">
          <cell r="B837">
            <v>8772</v>
          </cell>
          <cell r="C837" t="str">
            <v>Ramirez; Ernesto D.</v>
          </cell>
          <cell r="D837" t="str">
            <v>1C</v>
          </cell>
          <cell r="E837" t="str">
            <v>IBEWOUT</v>
          </cell>
          <cell r="F837" t="str">
            <v>47</v>
          </cell>
          <cell r="G837" t="str">
            <v>14</v>
          </cell>
          <cell r="H837">
            <v>0</v>
          </cell>
        </row>
        <row r="838">
          <cell r="B838">
            <v>8777</v>
          </cell>
          <cell r="C838" t="str">
            <v>Ramirez-Gomez; Marco I</v>
          </cell>
          <cell r="D838" t="str">
            <v>1C</v>
          </cell>
          <cell r="E838" t="str">
            <v>IBEWOUT</v>
          </cell>
          <cell r="F838" t="str">
            <v>1245</v>
          </cell>
          <cell r="G838" t="str">
            <v>17</v>
          </cell>
          <cell r="H838">
            <v>0</v>
          </cell>
        </row>
        <row r="839">
          <cell r="B839">
            <v>8784</v>
          </cell>
          <cell r="C839" t="str">
            <v>Raper; Michael G.</v>
          </cell>
          <cell r="D839" t="str">
            <v>1</v>
          </cell>
          <cell r="E839" t="str">
            <v>IBEWOUT</v>
          </cell>
          <cell r="F839" t="str">
            <v>1245</v>
          </cell>
          <cell r="G839" t="str">
            <v>11</v>
          </cell>
          <cell r="H839">
            <v>0</v>
          </cell>
        </row>
        <row r="840">
          <cell r="B840">
            <v>8790</v>
          </cell>
          <cell r="C840" t="str">
            <v>Ratti; Byron J</v>
          </cell>
          <cell r="D840" t="str">
            <v>1</v>
          </cell>
          <cell r="E840" t="str">
            <v>IBEWOUT</v>
          </cell>
          <cell r="F840" t="str">
            <v>47</v>
          </cell>
          <cell r="G840" t="str">
            <v>17</v>
          </cell>
          <cell r="H840">
            <v>0</v>
          </cell>
        </row>
        <row r="841">
          <cell r="B841">
            <v>8797</v>
          </cell>
          <cell r="C841" t="str">
            <v>Raunig; Fred L.</v>
          </cell>
          <cell r="D841" t="str">
            <v>1</v>
          </cell>
          <cell r="E841" t="str">
            <v>IBEWOUT</v>
          </cell>
          <cell r="F841" t="str">
            <v>1245</v>
          </cell>
          <cell r="G841" t="str">
            <v>1</v>
          </cell>
          <cell r="H841">
            <v>0</v>
          </cell>
        </row>
        <row r="842">
          <cell r="B842">
            <v>8798</v>
          </cell>
          <cell r="C842" t="str">
            <v>Raunig; Fred Michael</v>
          </cell>
          <cell r="D842" t="str">
            <v>1</v>
          </cell>
          <cell r="E842" t="str">
            <v>IBEWOUT</v>
          </cell>
          <cell r="F842" t="str">
            <v>769</v>
          </cell>
          <cell r="G842" t="str">
            <v>1</v>
          </cell>
          <cell r="H842">
            <v>0</v>
          </cell>
        </row>
        <row r="843">
          <cell r="B843">
            <v>8801</v>
          </cell>
          <cell r="C843" t="str">
            <v>Raunig; Shaun R.</v>
          </cell>
          <cell r="D843" t="str">
            <v>1</v>
          </cell>
          <cell r="E843" t="str">
            <v/>
          </cell>
          <cell r="F843" t="str">
            <v/>
          </cell>
          <cell r="G843" t="str">
            <v/>
          </cell>
          <cell r="H843">
            <v>0</v>
          </cell>
        </row>
        <row r="844">
          <cell r="B844">
            <v>8830</v>
          </cell>
          <cell r="C844" t="str">
            <v>Reeves Jr.; Fredrick Wayne</v>
          </cell>
          <cell r="D844" t="str">
            <v>1</v>
          </cell>
          <cell r="E844" t="str">
            <v>IBEWOUT</v>
          </cell>
          <cell r="F844" t="str">
            <v>602R</v>
          </cell>
          <cell r="G844" t="str">
            <v>7</v>
          </cell>
          <cell r="H844">
            <v>0</v>
          </cell>
        </row>
        <row r="845">
          <cell r="B845">
            <v>8832</v>
          </cell>
          <cell r="C845" t="str">
            <v>Renn; Shane T.</v>
          </cell>
          <cell r="D845" t="str">
            <v>1</v>
          </cell>
          <cell r="E845" t="str">
            <v>IBEWOUT</v>
          </cell>
          <cell r="F845" t="str">
            <v>1245</v>
          </cell>
          <cell r="G845" t="str">
            <v>7</v>
          </cell>
          <cell r="H845">
            <v>0</v>
          </cell>
        </row>
        <row r="846">
          <cell r="B846">
            <v>8833</v>
          </cell>
          <cell r="C846" t="str">
            <v>Ressa; Joshua W.</v>
          </cell>
          <cell r="D846" t="str">
            <v>1</v>
          </cell>
          <cell r="E846" t="str">
            <v>IBEWOUT</v>
          </cell>
          <cell r="F846" t="str">
            <v>77</v>
          </cell>
          <cell r="G846" t="str">
            <v>16</v>
          </cell>
          <cell r="H846">
            <v>0</v>
          </cell>
        </row>
        <row r="847">
          <cell r="B847">
            <v>8834</v>
          </cell>
          <cell r="C847" t="str">
            <v>Richardson; Steven M</v>
          </cell>
          <cell r="D847" t="str">
            <v>1</v>
          </cell>
          <cell r="E847" t="str">
            <v>IBEWOUT</v>
          </cell>
          <cell r="F847" t="str">
            <v>1319</v>
          </cell>
          <cell r="G847" t="str">
            <v>7S</v>
          </cell>
          <cell r="H847">
            <v>0</v>
          </cell>
        </row>
        <row r="848">
          <cell r="B848">
            <v>8836</v>
          </cell>
          <cell r="C848" t="str">
            <v>Richmond; Shawn J.</v>
          </cell>
          <cell r="D848" t="str">
            <v>1C</v>
          </cell>
          <cell r="E848" t="str">
            <v>IBEWOUT</v>
          </cell>
          <cell r="F848" t="str">
            <v>1245</v>
          </cell>
          <cell r="G848" t="str">
            <v>8</v>
          </cell>
          <cell r="H848">
            <v>0</v>
          </cell>
        </row>
        <row r="849">
          <cell r="B849">
            <v>8837</v>
          </cell>
          <cell r="C849" t="str">
            <v>Ricker; Chad M</v>
          </cell>
          <cell r="D849" t="str">
            <v>1C</v>
          </cell>
          <cell r="E849" t="str">
            <v>IBEWOUT</v>
          </cell>
          <cell r="F849" t="str">
            <v>47</v>
          </cell>
          <cell r="G849" t="str">
            <v>8</v>
          </cell>
          <cell r="H849">
            <v>0</v>
          </cell>
        </row>
        <row r="850">
          <cell r="B850">
            <v>8841</v>
          </cell>
          <cell r="C850" t="str">
            <v>Renteria; Miguel A</v>
          </cell>
          <cell r="D850" t="str">
            <v>1</v>
          </cell>
          <cell r="E850" t="str">
            <v>IBEWOUT</v>
          </cell>
          <cell r="F850" t="str">
            <v>77</v>
          </cell>
          <cell r="G850" t="str">
            <v>33</v>
          </cell>
          <cell r="H850">
            <v>0</v>
          </cell>
        </row>
        <row r="851">
          <cell r="B851">
            <v>8845</v>
          </cell>
          <cell r="C851" t="str">
            <v>Renteria; Juan Carlos</v>
          </cell>
          <cell r="D851" t="str">
            <v>1</v>
          </cell>
          <cell r="E851" t="str">
            <v>IBEWOUT</v>
          </cell>
          <cell r="F851" t="str">
            <v>1245</v>
          </cell>
          <cell r="G851" t="str">
            <v>12</v>
          </cell>
          <cell r="H851">
            <v>0</v>
          </cell>
        </row>
        <row r="852">
          <cell r="B852">
            <v>8846</v>
          </cell>
          <cell r="C852" t="str">
            <v>Rondeau Jr.; William A</v>
          </cell>
          <cell r="D852" t="str">
            <v>1C</v>
          </cell>
          <cell r="E852" t="str">
            <v>IBEWOUT</v>
          </cell>
          <cell r="F852" t="str">
            <v>126</v>
          </cell>
          <cell r="G852" t="str">
            <v>8</v>
          </cell>
          <cell r="H852">
            <v>0</v>
          </cell>
        </row>
        <row r="853">
          <cell r="B853">
            <v>8850</v>
          </cell>
          <cell r="C853" t="str">
            <v>Rolston; Jake R</v>
          </cell>
          <cell r="D853" t="str">
            <v>1</v>
          </cell>
          <cell r="E853" t="str">
            <v>IBEWOUT</v>
          </cell>
          <cell r="F853" t="str">
            <v>77</v>
          </cell>
          <cell r="G853" t="str">
            <v>10</v>
          </cell>
          <cell r="H853">
            <v>0</v>
          </cell>
        </row>
        <row r="854">
          <cell r="B854">
            <v>8855</v>
          </cell>
          <cell r="C854" t="str">
            <v>Robbins; Nathan Ray</v>
          </cell>
          <cell r="D854" t="str">
            <v>1C</v>
          </cell>
          <cell r="E854" t="str">
            <v>IBEWOUT</v>
          </cell>
          <cell r="F854" t="str">
            <v>77</v>
          </cell>
          <cell r="G854" t="str">
            <v>9</v>
          </cell>
          <cell r="H854">
            <v>0</v>
          </cell>
        </row>
        <row r="855">
          <cell r="B855">
            <v>8856</v>
          </cell>
          <cell r="C855" t="str">
            <v>Rethi; Attila Alex</v>
          </cell>
          <cell r="D855" t="str">
            <v>1C</v>
          </cell>
          <cell r="E855" t="str">
            <v>IBEWOUT</v>
          </cell>
          <cell r="F855" t="str">
            <v>1245</v>
          </cell>
          <cell r="G855" t="str">
            <v>16</v>
          </cell>
          <cell r="H855">
            <v>0</v>
          </cell>
        </row>
        <row r="856">
          <cell r="B856">
            <v>8860</v>
          </cell>
          <cell r="C856" t="str">
            <v>Rice; Everett L</v>
          </cell>
          <cell r="D856" t="str">
            <v>1C</v>
          </cell>
          <cell r="E856" t="str">
            <v>IBEWOUT</v>
          </cell>
          <cell r="F856" t="str">
            <v>77</v>
          </cell>
          <cell r="G856" t="str">
            <v>8</v>
          </cell>
          <cell r="H856">
            <v>0</v>
          </cell>
        </row>
        <row r="857">
          <cell r="B857">
            <v>8862</v>
          </cell>
          <cell r="C857" t="str">
            <v>Rex; Paul Arthur</v>
          </cell>
          <cell r="D857" t="str">
            <v>1C</v>
          </cell>
          <cell r="E857" t="str">
            <v>IBEWOUT</v>
          </cell>
          <cell r="F857" t="str">
            <v>47</v>
          </cell>
          <cell r="G857" t="str">
            <v>60</v>
          </cell>
          <cell r="H857">
            <v>0</v>
          </cell>
        </row>
        <row r="858">
          <cell r="B858">
            <v>8887</v>
          </cell>
          <cell r="C858" t="str">
            <v>Riley; Brian Patrick</v>
          </cell>
          <cell r="D858" t="str">
            <v>1C</v>
          </cell>
          <cell r="E858" t="str">
            <v/>
          </cell>
          <cell r="F858" t="str">
            <v/>
          </cell>
          <cell r="G858" t="str">
            <v/>
          </cell>
          <cell r="H858">
            <v>0</v>
          </cell>
        </row>
        <row r="859">
          <cell r="B859">
            <v>8888</v>
          </cell>
          <cell r="C859" t="str">
            <v>Rinehimer; Geary M</v>
          </cell>
          <cell r="D859" t="str">
            <v>1C</v>
          </cell>
          <cell r="E859" t="str">
            <v>IBEWOUT</v>
          </cell>
          <cell r="F859" t="str">
            <v>1319</v>
          </cell>
          <cell r="G859" t="str">
            <v>13</v>
          </cell>
          <cell r="H859">
            <v>0</v>
          </cell>
        </row>
        <row r="860">
          <cell r="B860">
            <v>8890</v>
          </cell>
          <cell r="C860" t="str">
            <v>Roberts; Joseph P.</v>
          </cell>
          <cell r="D860" t="str">
            <v>1C</v>
          </cell>
          <cell r="E860" t="str">
            <v>IBEWOUT</v>
          </cell>
          <cell r="F860" t="str">
            <v>47</v>
          </cell>
          <cell r="G860" t="str">
            <v>8</v>
          </cell>
          <cell r="H860">
            <v>0</v>
          </cell>
        </row>
        <row r="861">
          <cell r="B861">
            <v>8894</v>
          </cell>
          <cell r="C861" t="str">
            <v>Rinehimer; Bradley E</v>
          </cell>
          <cell r="D861" t="str">
            <v>1</v>
          </cell>
          <cell r="E861" t="str">
            <v>IBEWOUT</v>
          </cell>
          <cell r="F861" t="str">
            <v>1319</v>
          </cell>
          <cell r="G861" t="str">
            <v>7</v>
          </cell>
          <cell r="H861">
            <v>0</v>
          </cell>
        </row>
        <row r="862">
          <cell r="B862">
            <v>8899</v>
          </cell>
          <cell r="C862" t="str">
            <v>Rigg; Stuart N</v>
          </cell>
          <cell r="D862" t="str">
            <v>1C</v>
          </cell>
          <cell r="E862" t="str">
            <v>IBEWOUT</v>
          </cell>
          <cell r="F862" t="str">
            <v>1245</v>
          </cell>
          <cell r="G862" t="str">
            <v>8</v>
          </cell>
          <cell r="H862">
            <v>0</v>
          </cell>
        </row>
        <row r="863">
          <cell r="B863">
            <v>8900</v>
          </cell>
          <cell r="C863" t="str">
            <v>Riggs; David J.</v>
          </cell>
          <cell r="D863" t="str">
            <v>1</v>
          </cell>
          <cell r="E863" t="str">
            <v>IBEWOUT</v>
          </cell>
          <cell r="F863" t="str">
            <v>769</v>
          </cell>
          <cell r="G863" t="str">
            <v>8</v>
          </cell>
          <cell r="H863">
            <v>0</v>
          </cell>
        </row>
        <row r="864">
          <cell r="B864">
            <v>8904</v>
          </cell>
          <cell r="C864" t="str">
            <v>Rivera; Amando A</v>
          </cell>
          <cell r="D864" t="str">
            <v>1C</v>
          </cell>
          <cell r="E864" t="str">
            <v>IBEWOUT</v>
          </cell>
          <cell r="F864" t="str">
            <v>47</v>
          </cell>
          <cell r="G864" t="str">
            <v>8</v>
          </cell>
          <cell r="H864">
            <v>0</v>
          </cell>
        </row>
        <row r="865">
          <cell r="B865">
            <v>8905</v>
          </cell>
          <cell r="C865" t="str">
            <v>Rieskamp; Amanda M</v>
          </cell>
          <cell r="D865" t="str">
            <v>1C</v>
          </cell>
          <cell r="E865" t="str">
            <v/>
          </cell>
          <cell r="F865" t="str">
            <v/>
          </cell>
          <cell r="G865" t="str">
            <v/>
          </cell>
          <cell r="H865">
            <v>0</v>
          </cell>
        </row>
        <row r="866">
          <cell r="B866">
            <v>8906</v>
          </cell>
          <cell r="C866" t="str">
            <v>Rivera; Luis C</v>
          </cell>
          <cell r="D866" t="str">
            <v>1C</v>
          </cell>
          <cell r="E866" t="str">
            <v>IBEWOUT</v>
          </cell>
          <cell r="F866" t="str">
            <v>47</v>
          </cell>
          <cell r="G866" t="str">
            <v>7</v>
          </cell>
          <cell r="H866">
            <v>0</v>
          </cell>
        </row>
        <row r="867">
          <cell r="B867">
            <v>8907</v>
          </cell>
          <cell r="C867" t="str">
            <v>Rivera; Jose R</v>
          </cell>
          <cell r="D867" t="str">
            <v>1C</v>
          </cell>
          <cell r="E867" t="str">
            <v>IBEWOUT</v>
          </cell>
          <cell r="F867" t="str">
            <v>769</v>
          </cell>
          <cell r="G867" t="str">
            <v>8</v>
          </cell>
          <cell r="H867">
            <v>0</v>
          </cell>
        </row>
        <row r="868">
          <cell r="B868">
            <v>8930</v>
          </cell>
          <cell r="C868" t="str">
            <v>Roark; Dale B.</v>
          </cell>
          <cell r="D868" t="str">
            <v>1C</v>
          </cell>
          <cell r="E868" t="str">
            <v>IBEWOUT</v>
          </cell>
          <cell r="F868" t="str">
            <v>47</v>
          </cell>
          <cell r="G868" t="str">
            <v>8</v>
          </cell>
          <cell r="H868">
            <v>0</v>
          </cell>
        </row>
        <row r="869">
          <cell r="B869">
            <v>8960</v>
          </cell>
          <cell r="C869" t="str">
            <v>Rodriguez; Ruben</v>
          </cell>
          <cell r="D869" t="str">
            <v>1C</v>
          </cell>
          <cell r="E869" t="str">
            <v>IBEWOUT</v>
          </cell>
          <cell r="F869" t="str">
            <v>769</v>
          </cell>
          <cell r="G869" t="str">
            <v>14</v>
          </cell>
          <cell r="H869">
            <v>0</v>
          </cell>
        </row>
        <row r="870">
          <cell r="B870">
            <v>9010</v>
          </cell>
          <cell r="C870" t="str">
            <v>Roberts; James W.</v>
          </cell>
          <cell r="D870" t="str">
            <v>1</v>
          </cell>
          <cell r="E870" t="str">
            <v>IBEWOUT</v>
          </cell>
          <cell r="F870" t="str">
            <v>77</v>
          </cell>
          <cell r="G870" t="str">
            <v>1</v>
          </cell>
          <cell r="H870">
            <v>0</v>
          </cell>
        </row>
        <row r="871">
          <cell r="B871">
            <v>9011</v>
          </cell>
          <cell r="C871" t="str">
            <v>Roberts; Steven C</v>
          </cell>
          <cell r="D871" t="str">
            <v>1C</v>
          </cell>
          <cell r="E871" t="str">
            <v>IBEWOUT</v>
          </cell>
          <cell r="F871" t="str">
            <v>47</v>
          </cell>
          <cell r="G871" t="str">
            <v>8</v>
          </cell>
          <cell r="H871">
            <v>0</v>
          </cell>
        </row>
        <row r="872">
          <cell r="B872">
            <v>9012</v>
          </cell>
          <cell r="C872" t="str">
            <v>Robinett; Austin R.</v>
          </cell>
          <cell r="D872" t="str">
            <v>1C</v>
          </cell>
          <cell r="E872" t="str">
            <v/>
          </cell>
          <cell r="F872" t="str">
            <v/>
          </cell>
          <cell r="G872" t="str">
            <v/>
          </cell>
          <cell r="H872">
            <v>1</v>
          </cell>
        </row>
        <row r="873">
          <cell r="B873">
            <v>9015</v>
          </cell>
          <cell r="C873" t="str">
            <v>Roemhildt; Keegan M.</v>
          </cell>
          <cell r="D873" t="str">
            <v>1</v>
          </cell>
          <cell r="E873" t="str">
            <v/>
          </cell>
          <cell r="F873" t="str">
            <v/>
          </cell>
          <cell r="G873" t="str">
            <v/>
          </cell>
          <cell r="H873">
            <v>1</v>
          </cell>
        </row>
        <row r="874">
          <cell r="B874">
            <v>9037</v>
          </cell>
          <cell r="C874" t="str">
            <v>Rogers; Chadd Anthony</v>
          </cell>
          <cell r="D874" t="str">
            <v>1</v>
          </cell>
          <cell r="E874" t="str">
            <v>IBEWOUT</v>
          </cell>
          <cell r="F874" t="str">
            <v>125</v>
          </cell>
          <cell r="G874" t="str">
            <v>7</v>
          </cell>
          <cell r="H874">
            <v>0</v>
          </cell>
        </row>
        <row r="875">
          <cell r="B875">
            <v>9047</v>
          </cell>
          <cell r="C875" t="str">
            <v>Rose; Bob R</v>
          </cell>
          <cell r="D875" t="str">
            <v>1C</v>
          </cell>
          <cell r="E875" t="str">
            <v>IBEWOUT</v>
          </cell>
          <cell r="F875" t="str">
            <v>77</v>
          </cell>
          <cell r="G875" t="str">
            <v>16</v>
          </cell>
          <cell r="H875">
            <v>0</v>
          </cell>
        </row>
        <row r="876">
          <cell r="B876">
            <v>9048</v>
          </cell>
          <cell r="C876" t="str">
            <v>Roy; Cameron Russell</v>
          </cell>
          <cell r="D876" t="str">
            <v>1</v>
          </cell>
          <cell r="E876" t="str">
            <v/>
          </cell>
          <cell r="F876" t="str">
            <v/>
          </cell>
          <cell r="G876" t="str">
            <v/>
          </cell>
          <cell r="H876">
            <v>0</v>
          </cell>
        </row>
        <row r="877">
          <cell r="B877">
            <v>9083</v>
          </cell>
          <cell r="C877" t="str">
            <v>Rydecki; Christopher E</v>
          </cell>
          <cell r="D877" t="str">
            <v>1C</v>
          </cell>
          <cell r="E877" t="str">
            <v>IBEWOUT</v>
          </cell>
          <cell r="F877" t="str">
            <v>47</v>
          </cell>
          <cell r="G877" t="str">
            <v>8</v>
          </cell>
          <cell r="H877">
            <v>0</v>
          </cell>
        </row>
        <row r="878">
          <cell r="B878">
            <v>9084</v>
          </cell>
          <cell r="C878" t="str">
            <v>Ruiz Castillo; Lorenzo</v>
          </cell>
          <cell r="D878" t="str">
            <v>1C</v>
          </cell>
          <cell r="E878" t="str">
            <v/>
          </cell>
          <cell r="F878" t="str">
            <v/>
          </cell>
          <cell r="G878" t="str">
            <v/>
          </cell>
          <cell r="H878">
            <v>1</v>
          </cell>
        </row>
        <row r="879">
          <cell r="B879">
            <v>9087</v>
          </cell>
          <cell r="C879" t="str">
            <v>Rossiter; Dustin R</v>
          </cell>
          <cell r="D879" t="str">
            <v>1C</v>
          </cell>
          <cell r="E879" t="str">
            <v/>
          </cell>
          <cell r="F879" t="str">
            <v/>
          </cell>
          <cell r="G879" t="str">
            <v/>
          </cell>
          <cell r="H879">
            <v>1</v>
          </cell>
        </row>
        <row r="880">
          <cell r="B880">
            <v>9091</v>
          </cell>
          <cell r="C880" t="str">
            <v>Rosenlund; David Joel</v>
          </cell>
          <cell r="D880" t="str">
            <v>1C</v>
          </cell>
          <cell r="E880" t="str">
            <v>IBEWOUT</v>
          </cell>
          <cell r="F880" t="str">
            <v>1245</v>
          </cell>
          <cell r="G880" t="str">
            <v>8</v>
          </cell>
          <cell r="H880">
            <v>0</v>
          </cell>
        </row>
        <row r="881">
          <cell r="B881">
            <v>9092</v>
          </cell>
          <cell r="C881" t="str">
            <v>Rosengrant; Jeffrey M</v>
          </cell>
          <cell r="D881" t="str">
            <v>1</v>
          </cell>
          <cell r="E881" t="str">
            <v>IBEWOUT</v>
          </cell>
          <cell r="F881" t="str">
            <v>1319</v>
          </cell>
          <cell r="G881" t="str">
            <v>8</v>
          </cell>
          <cell r="H881">
            <v>0</v>
          </cell>
        </row>
        <row r="882">
          <cell r="B882">
            <v>9101</v>
          </cell>
          <cell r="C882" t="str">
            <v>Rubadue; Sean Daniel</v>
          </cell>
          <cell r="D882" t="str">
            <v>1C</v>
          </cell>
          <cell r="E882" t="str">
            <v>IBEWOUT</v>
          </cell>
          <cell r="F882" t="str">
            <v>1245</v>
          </cell>
          <cell r="G882" t="str">
            <v>8</v>
          </cell>
          <cell r="H882">
            <v>0</v>
          </cell>
        </row>
        <row r="883">
          <cell r="B883">
            <v>9107</v>
          </cell>
          <cell r="C883" t="str">
            <v>Ross; Joe P.</v>
          </cell>
          <cell r="D883" t="str">
            <v>1C</v>
          </cell>
          <cell r="E883" t="str">
            <v>IBEWOUT</v>
          </cell>
          <cell r="F883" t="str">
            <v>602R</v>
          </cell>
          <cell r="G883" t="str">
            <v>33</v>
          </cell>
          <cell r="H883">
            <v>0</v>
          </cell>
        </row>
        <row r="884">
          <cell r="B884">
            <v>9108</v>
          </cell>
          <cell r="C884" t="str">
            <v>Robbins; Christopher A.</v>
          </cell>
          <cell r="D884" t="str">
            <v>1C</v>
          </cell>
          <cell r="E884" t="str">
            <v>IBEWOUT</v>
          </cell>
          <cell r="F884" t="str">
            <v>396</v>
          </cell>
          <cell r="G884" t="str">
            <v>10</v>
          </cell>
          <cell r="H884">
            <v>0</v>
          </cell>
        </row>
        <row r="885">
          <cell r="B885">
            <v>9109</v>
          </cell>
          <cell r="C885" t="str">
            <v>Rodriguez; Roland J</v>
          </cell>
          <cell r="D885" t="str">
            <v>1C</v>
          </cell>
          <cell r="E885" t="str">
            <v>IBEWOUT</v>
          </cell>
          <cell r="F885" t="str">
            <v>611</v>
          </cell>
          <cell r="G885" t="str">
            <v>14</v>
          </cell>
          <cell r="H885">
            <v>0</v>
          </cell>
        </row>
        <row r="886">
          <cell r="B886">
            <v>9110</v>
          </cell>
          <cell r="C886" t="str">
            <v>Rodriguez; Roberto J</v>
          </cell>
          <cell r="D886" t="str">
            <v>1</v>
          </cell>
          <cell r="E886" t="str">
            <v>IBEWOUT</v>
          </cell>
          <cell r="F886" t="str">
            <v>1245</v>
          </cell>
          <cell r="G886" t="str">
            <v>8</v>
          </cell>
          <cell r="H886">
            <v>0</v>
          </cell>
        </row>
        <row r="887">
          <cell r="B887">
            <v>9111</v>
          </cell>
          <cell r="C887" t="str">
            <v>Rodriguez; Daniel N.</v>
          </cell>
          <cell r="D887" t="str">
            <v>1C</v>
          </cell>
          <cell r="E887" t="str">
            <v>IBEWOUT</v>
          </cell>
          <cell r="F887" t="str">
            <v>47</v>
          </cell>
          <cell r="G887" t="str">
            <v>17</v>
          </cell>
          <cell r="H887">
            <v>0</v>
          </cell>
        </row>
        <row r="888">
          <cell r="B888">
            <v>9114</v>
          </cell>
          <cell r="C888" t="str">
            <v>Rodriguez; Ricardo R.</v>
          </cell>
          <cell r="D888" t="str">
            <v>1C</v>
          </cell>
          <cell r="E888" t="str">
            <v>IBEWOUT</v>
          </cell>
          <cell r="F888" t="str">
            <v>396</v>
          </cell>
          <cell r="G888" t="str">
            <v>8</v>
          </cell>
          <cell r="H888">
            <v>0</v>
          </cell>
        </row>
        <row r="889">
          <cell r="B889">
            <v>9116</v>
          </cell>
          <cell r="C889" t="str">
            <v>Rogers; Jason A.</v>
          </cell>
          <cell r="D889" t="str">
            <v>1C</v>
          </cell>
          <cell r="E889" t="str">
            <v>IBEWOUT</v>
          </cell>
          <cell r="F889" t="str">
            <v>1245</v>
          </cell>
          <cell r="G889" t="str">
            <v>10</v>
          </cell>
          <cell r="H889">
            <v>0</v>
          </cell>
        </row>
        <row r="890">
          <cell r="B890">
            <v>9117</v>
          </cell>
          <cell r="C890" t="str">
            <v>Ross; Amie D</v>
          </cell>
          <cell r="D890" t="str">
            <v>1C</v>
          </cell>
          <cell r="E890" t="str">
            <v/>
          </cell>
          <cell r="F890" t="str">
            <v/>
          </cell>
          <cell r="G890" t="str">
            <v/>
          </cell>
          <cell r="H890">
            <v>0</v>
          </cell>
        </row>
        <row r="891">
          <cell r="B891">
            <v>9140</v>
          </cell>
          <cell r="C891" t="str">
            <v>Rust; James S.</v>
          </cell>
          <cell r="D891" t="str">
            <v>1C</v>
          </cell>
          <cell r="E891" t="str">
            <v>IBEWOUT</v>
          </cell>
          <cell r="F891" t="str">
            <v>1245</v>
          </cell>
          <cell r="G891" t="str">
            <v>8</v>
          </cell>
          <cell r="H891">
            <v>0</v>
          </cell>
        </row>
        <row r="892">
          <cell r="B892">
            <v>9155</v>
          </cell>
          <cell r="C892" t="str">
            <v>Salloum; Firas H</v>
          </cell>
          <cell r="D892" t="str">
            <v>1C</v>
          </cell>
          <cell r="E892" t="str">
            <v>IBEWOUT</v>
          </cell>
          <cell r="F892" t="str">
            <v>769</v>
          </cell>
          <cell r="G892" t="str">
            <v>20</v>
          </cell>
          <cell r="H892">
            <v>0</v>
          </cell>
        </row>
        <row r="893">
          <cell r="B893">
            <v>9160</v>
          </cell>
          <cell r="C893" t="str">
            <v>Salloum; Joseph</v>
          </cell>
          <cell r="D893" t="str">
            <v>1C</v>
          </cell>
          <cell r="E893" t="str">
            <v>IBEWOUT</v>
          </cell>
          <cell r="F893" t="str">
            <v>769</v>
          </cell>
          <cell r="G893" t="str">
            <v>7</v>
          </cell>
          <cell r="H893">
            <v>0</v>
          </cell>
        </row>
        <row r="894">
          <cell r="B894">
            <v>9162</v>
          </cell>
          <cell r="C894" t="str">
            <v>Sadler; Christopher S.</v>
          </cell>
          <cell r="D894" t="str">
            <v>1C</v>
          </cell>
          <cell r="E894" t="str">
            <v>IBEWOUT</v>
          </cell>
          <cell r="F894" t="str">
            <v>47</v>
          </cell>
          <cell r="G894" t="str">
            <v>8</v>
          </cell>
          <cell r="H894">
            <v>0</v>
          </cell>
        </row>
        <row r="895">
          <cell r="B895">
            <v>9164</v>
          </cell>
          <cell r="C895" t="str">
            <v>Saiz; Robert B.</v>
          </cell>
          <cell r="D895" t="str">
            <v>1C</v>
          </cell>
          <cell r="E895" t="str">
            <v>IBEWOUT</v>
          </cell>
          <cell r="F895" t="str">
            <v>769</v>
          </cell>
          <cell r="G895" t="str">
            <v>14</v>
          </cell>
          <cell r="H895">
            <v>0</v>
          </cell>
        </row>
        <row r="896">
          <cell r="B896">
            <v>9181</v>
          </cell>
          <cell r="C896" t="str">
            <v>Salt; Ronald Robert</v>
          </cell>
          <cell r="D896" t="str">
            <v>1C</v>
          </cell>
          <cell r="E896" t="str">
            <v>IBEWOUT</v>
          </cell>
          <cell r="F896" t="str">
            <v>769</v>
          </cell>
          <cell r="G896" t="str">
            <v>8</v>
          </cell>
          <cell r="H896">
            <v>0</v>
          </cell>
        </row>
        <row r="897">
          <cell r="B897">
            <v>9183</v>
          </cell>
          <cell r="C897" t="str">
            <v>Salyers Jr.; Joseph Lee</v>
          </cell>
          <cell r="D897" t="str">
            <v>1C</v>
          </cell>
          <cell r="E897" t="str">
            <v>IBEWOUT</v>
          </cell>
          <cell r="F897" t="str">
            <v>1245</v>
          </cell>
          <cell r="G897" t="str">
            <v>8</v>
          </cell>
          <cell r="H897">
            <v>0</v>
          </cell>
        </row>
        <row r="898">
          <cell r="B898">
            <v>9185</v>
          </cell>
          <cell r="C898" t="str">
            <v>Salazar; Rolando</v>
          </cell>
          <cell r="D898" t="str">
            <v>1C</v>
          </cell>
          <cell r="E898" t="str">
            <v>IBEWOUT</v>
          </cell>
          <cell r="F898" t="str">
            <v>769</v>
          </cell>
          <cell r="G898" t="str">
            <v>8</v>
          </cell>
          <cell r="H898">
            <v>0</v>
          </cell>
        </row>
        <row r="899">
          <cell r="B899">
            <v>9188</v>
          </cell>
          <cell r="C899" t="str">
            <v>Salazar; Christopher</v>
          </cell>
          <cell r="D899" t="str">
            <v>1C</v>
          </cell>
          <cell r="E899" t="str">
            <v>IBEWOUT</v>
          </cell>
          <cell r="F899" t="str">
            <v>769</v>
          </cell>
          <cell r="G899" t="str">
            <v>20</v>
          </cell>
          <cell r="H899">
            <v>0</v>
          </cell>
        </row>
        <row r="900">
          <cell r="B900">
            <v>9195</v>
          </cell>
          <cell r="C900" t="str">
            <v>Saranto; Blake W</v>
          </cell>
          <cell r="D900" t="str">
            <v>1C</v>
          </cell>
          <cell r="E900" t="str">
            <v>IBEWOUT</v>
          </cell>
          <cell r="F900" t="str">
            <v>77</v>
          </cell>
          <cell r="G900" t="str">
            <v>16</v>
          </cell>
          <cell r="H900">
            <v>0</v>
          </cell>
        </row>
        <row r="901">
          <cell r="B901">
            <v>9196</v>
          </cell>
          <cell r="C901" t="str">
            <v>Sanchez; Marco Antonio</v>
          </cell>
          <cell r="D901" t="str">
            <v>1</v>
          </cell>
          <cell r="E901" t="str">
            <v>IBEWOUT</v>
          </cell>
          <cell r="F901" t="str">
            <v>602R</v>
          </cell>
          <cell r="G901" t="str">
            <v>8</v>
          </cell>
          <cell r="H901">
            <v>0</v>
          </cell>
        </row>
        <row r="902">
          <cell r="B902">
            <v>9197</v>
          </cell>
          <cell r="C902" t="str">
            <v>Sarmento; William J</v>
          </cell>
          <cell r="D902" t="str">
            <v>1C</v>
          </cell>
          <cell r="E902" t="str">
            <v>IBEWOUT</v>
          </cell>
          <cell r="F902" t="str">
            <v>1245</v>
          </cell>
          <cell r="G902" t="str">
            <v>15</v>
          </cell>
          <cell r="H902">
            <v>0</v>
          </cell>
        </row>
        <row r="903">
          <cell r="B903">
            <v>9207</v>
          </cell>
          <cell r="C903" t="str">
            <v>Saul; Mark Allen</v>
          </cell>
          <cell r="D903" t="str">
            <v>1C</v>
          </cell>
          <cell r="E903" t="str">
            <v>IBEWOUT</v>
          </cell>
          <cell r="F903" t="str">
            <v>77</v>
          </cell>
          <cell r="G903" t="str">
            <v>7</v>
          </cell>
          <cell r="H903">
            <v>0</v>
          </cell>
        </row>
        <row r="904">
          <cell r="B904">
            <v>9217</v>
          </cell>
          <cell r="C904" t="str">
            <v>Schaefer; Kurtis Jon</v>
          </cell>
          <cell r="D904" t="str">
            <v>1C</v>
          </cell>
          <cell r="E904" t="str">
            <v>IBEWOUT</v>
          </cell>
          <cell r="F904" t="str">
            <v>77</v>
          </cell>
          <cell r="G904" t="str">
            <v>7</v>
          </cell>
          <cell r="H904">
            <v>0</v>
          </cell>
        </row>
        <row r="905">
          <cell r="B905">
            <v>9235</v>
          </cell>
          <cell r="C905" t="str">
            <v>Szarkowski; Curt Thomas</v>
          </cell>
          <cell r="D905" t="str">
            <v>1</v>
          </cell>
          <cell r="E905" t="str">
            <v>IBEWOUT</v>
          </cell>
          <cell r="F905" t="str">
            <v>77</v>
          </cell>
          <cell r="G905" t="str">
            <v>33</v>
          </cell>
          <cell r="H905">
            <v>0</v>
          </cell>
        </row>
        <row r="906">
          <cell r="B906">
            <v>9240</v>
          </cell>
          <cell r="C906" t="str">
            <v>Sanchez; Garrett H</v>
          </cell>
          <cell r="D906" t="str">
            <v>1</v>
          </cell>
          <cell r="E906" t="str">
            <v>IBEWOUT</v>
          </cell>
          <cell r="F906" t="str">
            <v>769</v>
          </cell>
          <cell r="G906" t="str">
            <v>15</v>
          </cell>
          <cell r="H906">
            <v>0</v>
          </cell>
        </row>
        <row r="907">
          <cell r="B907">
            <v>9242</v>
          </cell>
          <cell r="C907" t="str">
            <v>Schmidt; Eric M</v>
          </cell>
          <cell r="D907" t="str">
            <v>1C</v>
          </cell>
          <cell r="E907" t="str">
            <v>IBEWOUT</v>
          </cell>
          <cell r="F907" t="str">
            <v>1245</v>
          </cell>
          <cell r="G907" t="str">
            <v>8</v>
          </cell>
          <cell r="H907">
            <v>0</v>
          </cell>
        </row>
        <row r="908">
          <cell r="B908">
            <v>9246</v>
          </cell>
          <cell r="C908" t="str">
            <v>Schlenker; Michael Keith</v>
          </cell>
          <cell r="D908" t="str">
            <v>1</v>
          </cell>
          <cell r="E908" t="str">
            <v>IBEWOUT</v>
          </cell>
          <cell r="F908" t="str">
            <v>1245</v>
          </cell>
          <cell r="G908" t="str">
            <v>7</v>
          </cell>
          <cell r="H908">
            <v>0</v>
          </cell>
        </row>
        <row r="909">
          <cell r="B909">
            <v>9247</v>
          </cell>
          <cell r="C909" t="str">
            <v>Sanchez; Jesse</v>
          </cell>
          <cell r="D909" t="str">
            <v>1C</v>
          </cell>
          <cell r="E909" t="str">
            <v>IBEWOUT</v>
          </cell>
          <cell r="F909" t="str">
            <v>1245</v>
          </cell>
          <cell r="G909" t="str">
            <v>17</v>
          </cell>
          <cell r="H909">
            <v>0</v>
          </cell>
        </row>
        <row r="910">
          <cell r="B910">
            <v>9250</v>
          </cell>
          <cell r="C910" t="str">
            <v>Scarminach; Joshua M</v>
          </cell>
          <cell r="D910" t="str">
            <v>1</v>
          </cell>
          <cell r="E910" t="str">
            <v>IBEWOUT</v>
          </cell>
          <cell r="F910" t="str">
            <v>77</v>
          </cell>
          <cell r="G910" t="str">
            <v>10</v>
          </cell>
          <cell r="H910">
            <v>0</v>
          </cell>
        </row>
        <row r="911">
          <cell r="B911">
            <v>9257</v>
          </cell>
          <cell r="C911" t="str">
            <v>Schmerber; Raymond L</v>
          </cell>
          <cell r="D911" t="str">
            <v>1C</v>
          </cell>
          <cell r="E911" t="str">
            <v>IBEWOUT</v>
          </cell>
          <cell r="F911" t="str">
            <v>611</v>
          </cell>
          <cell r="G911" t="str">
            <v>14</v>
          </cell>
          <cell r="H911">
            <v>0</v>
          </cell>
        </row>
        <row r="912">
          <cell r="B912">
            <v>9258</v>
          </cell>
          <cell r="C912" t="str">
            <v>Scott; Nevin P.</v>
          </cell>
          <cell r="D912" t="str">
            <v>1C</v>
          </cell>
          <cell r="E912" t="str">
            <v>IBEWOUT</v>
          </cell>
          <cell r="F912" t="str">
            <v>611</v>
          </cell>
          <cell r="G912" t="str">
            <v>20</v>
          </cell>
          <cell r="H912">
            <v>0</v>
          </cell>
        </row>
        <row r="913">
          <cell r="B913">
            <v>9259</v>
          </cell>
          <cell r="C913" t="str">
            <v>Scott; Bryan David</v>
          </cell>
          <cell r="D913" t="str">
            <v>1C</v>
          </cell>
          <cell r="E913" t="str">
            <v/>
          </cell>
          <cell r="F913" t="str">
            <v/>
          </cell>
          <cell r="G913" t="str">
            <v/>
          </cell>
          <cell r="H913">
            <v>1</v>
          </cell>
        </row>
        <row r="914">
          <cell r="B914">
            <v>9260</v>
          </cell>
          <cell r="C914" t="str">
            <v>Scott; Brian E</v>
          </cell>
          <cell r="D914" t="str">
            <v>1C</v>
          </cell>
          <cell r="E914" t="str">
            <v>IBEWOUT</v>
          </cell>
          <cell r="F914" t="str">
            <v>602R</v>
          </cell>
          <cell r="G914" t="str">
            <v>8</v>
          </cell>
          <cell r="H914">
            <v>0</v>
          </cell>
        </row>
        <row r="915">
          <cell r="B915">
            <v>9262</v>
          </cell>
          <cell r="C915" t="str">
            <v>Sanders; Travis P.</v>
          </cell>
          <cell r="D915" t="str">
            <v>1</v>
          </cell>
          <cell r="E915" t="str">
            <v>IBEWOUT</v>
          </cell>
          <cell r="F915" t="str">
            <v>1245</v>
          </cell>
          <cell r="G915" t="str">
            <v>7</v>
          </cell>
          <cell r="H915">
            <v>0</v>
          </cell>
        </row>
        <row r="916">
          <cell r="B916">
            <v>9272</v>
          </cell>
          <cell r="C916" t="str">
            <v>Seabourn; Lee W</v>
          </cell>
          <cell r="D916" t="str">
            <v>1</v>
          </cell>
          <cell r="E916" t="str">
            <v>IBEWOUT</v>
          </cell>
          <cell r="F916" t="str">
            <v>1245</v>
          </cell>
          <cell r="G916" t="str">
            <v>7</v>
          </cell>
          <cell r="H916">
            <v>0</v>
          </cell>
        </row>
        <row r="917">
          <cell r="B917">
            <v>9273</v>
          </cell>
          <cell r="C917" t="str">
            <v>Seabourn; David D</v>
          </cell>
          <cell r="D917" t="str">
            <v>1</v>
          </cell>
          <cell r="E917" t="str">
            <v>IBEWOUT</v>
          </cell>
          <cell r="F917" t="str">
            <v>1245</v>
          </cell>
          <cell r="G917" t="str">
            <v>16</v>
          </cell>
          <cell r="H917">
            <v>0</v>
          </cell>
        </row>
        <row r="918">
          <cell r="B918">
            <v>9280</v>
          </cell>
          <cell r="C918" t="str">
            <v>Sexton; Taylor M</v>
          </cell>
          <cell r="D918" t="str">
            <v>1</v>
          </cell>
          <cell r="E918" t="str">
            <v>IBEWOUT</v>
          </cell>
          <cell r="F918" t="str">
            <v>77</v>
          </cell>
          <cell r="G918" t="str">
            <v>16</v>
          </cell>
          <cell r="H918">
            <v>0</v>
          </cell>
        </row>
        <row r="919">
          <cell r="B919">
            <v>9282</v>
          </cell>
          <cell r="C919" t="str">
            <v>Sealey; Christopher B</v>
          </cell>
          <cell r="D919" t="str">
            <v>1</v>
          </cell>
          <cell r="E919" t="str">
            <v>IBEWOUT</v>
          </cell>
          <cell r="F919" t="str">
            <v>1319</v>
          </cell>
          <cell r="G919" t="str">
            <v>8</v>
          </cell>
          <cell r="H919">
            <v>0</v>
          </cell>
        </row>
        <row r="920">
          <cell r="B920">
            <v>9284</v>
          </cell>
          <cell r="C920" t="str">
            <v>Seger; Christopher R</v>
          </cell>
          <cell r="D920" t="str">
            <v>1C</v>
          </cell>
          <cell r="E920" t="str">
            <v>IBEWOUT</v>
          </cell>
          <cell r="F920" t="str">
            <v>47</v>
          </cell>
          <cell r="G920" t="str">
            <v>8</v>
          </cell>
          <cell r="H920">
            <v>0</v>
          </cell>
        </row>
        <row r="921">
          <cell r="B921">
            <v>9285</v>
          </cell>
          <cell r="C921" t="str">
            <v>Sedlak; Anthony Michael</v>
          </cell>
          <cell r="D921" t="str">
            <v>1C</v>
          </cell>
          <cell r="E921" t="str">
            <v>IBEWOUT</v>
          </cell>
          <cell r="F921" t="str">
            <v>769</v>
          </cell>
          <cell r="G921" t="str">
            <v>22</v>
          </cell>
          <cell r="H921">
            <v>0</v>
          </cell>
        </row>
        <row r="922">
          <cell r="B922">
            <v>9288</v>
          </cell>
          <cell r="C922" t="str">
            <v>Servin; Carlos E.</v>
          </cell>
          <cell r="D922" t="str">
            <v>1C</v>
          </cell>
          <cell r="E922" t="str">
            <v>IBEWOUT</v>
          </cell>
          <cell r="F922" t="str">
            <v>1245</v>
          </cell>
          <cell r="G922" t="str">
            <v>10</v>
          </cell>
          <cell r="H922">
            <v>0</v>
          </cell>
        </row>
        <row r="923">
          <cell r="B923">
            <v>9289</v>
          </cell>
          <cell r="C923" t="str">
            <v>Sheridan; Jimmy L.</v>
          </cell>
          <cell r="D923" t="str">
            <v>1C</v>
          </cell>
          <cell r="E923" t="str">
            <v>IBEWOUT</v>
          </cell>
          <cell r="F923" t="str">
            <v>47</v>
          </cell>
          <cell r="G923" t="str">
            <v>8</v>
          </cell>
          <cell r="H923">
            <v>0</v>
          </cell>
        </row>
        <row r="924">
          <cell r="B924">
            <v>9290</v>
          </cell>
          <cell r="C924" t="str">
            <v>Severne; Keith T.</v>
          </cell>
          <cell r="D924" t="str">
            <v>1</v>
          </cell>
          <cell r="E924" t="str">
            <v>IBEWOUT</v>
          </cell>
          <cell r="F924" t="str">
            <v>1245</v>
          </cell>
          <cell r="G924" t="str">
            <v>8</v>
          </cell>
          <cell r="H924">
            <v>0</v>
          </cell>
        </row>
        <row r="925">
          <cell r="B925">
            <v>9291</v>
          </cell>
          <cell r="C925" t="str">
            <v>Shaffer; David D</v>
          </cell>
          <cell r="D925" t="str">
            <v>1C</v>
          </cell>
          <cell r="E925" t="str">
            <v/>
          </cell>
          <cell r="F925" t="str">
            <v/>
          </cell>
          <cell r="G925" t="str">
            <v/>
          </cell>
          <cell r="H925">
            <v>0</v>
          </cell>
        </row>
        <row r="926">
          <cell r="B926">
            <v>9293</v>
          </cell>
          <cell r="C926" t="str">
            <v>Shaddy; Jeffrey</v>
          </cell>
          <cell r="D926" t="str">
            <v>1C</v>
          </cell>
          <cell r="E926" t="str">
            <v>IBEWOUT</v>
          </cell>
          <cell r="F926" t="str">
            <v>1245</v>
          </cell>
          <cell r="G926" t="str">
            <v>13</v>
          </cell>
          <cell r="H926">
            <v>0</v>
          </cell>
        </row>
        <row r="927">
          <cell r="B927">
            <v>9295</v>
          </cell>
          <cell r="C927" t="str">
            <v>Shaw; William R.</v>
          </cell>
          <cell r="D927" t="str">
            <v>1</v>
          </cell>
          <cell r="E927" t="str">
            <v>IBEWOUT</v>
          </cell>
          <cell r="F927" t="str">
            <v>77</v>
          </cell>
          <cell r="G927" t="str">
            <v>8</v>
          </cell>
          <cell r="H927">
            <v>0</v>
          </cell>
        </row>
        <row r="928">
          <cell r="B928">
            <v>9297</v>
          </cell>
          <cell r="C928" t="str">
            <v>Shaw; Austin M</v>
          </cell>
          <cell r="D928" t="str">
            <v>1C</v>
          </cell>
          <cell r="E928" t="str">
            <v>IBEWOUT</v>
          </cell>
          <cell r="F928" t="str">
            <v>1245</v>
          </cell>
          <cell r="G928" t="str">
            <v>14</v>
          </cell>
          <cell r="H928">
            <v>0</v>
          </cell>
        </row>
        <row r="929">
          <cell r="B929">
            <v>9298</v>
          </cell>
          <cell r="C929" t="str">
            <v>Shelton; William M</v>
          </cell>
          <cell r="D929" t="str">
            <v>1C</v>
          </cell>
          <cell r="E929" t="str">
            <v>IBEWOUT</v>
          </cell>
          <cell r="F929" t="str">
            <v>47</v>
          </cell>
          <cell r="G929" t="str">
            <v>8</v>
          </cell>
          <cell r="H929">
            <v>0</v>
          </cell>
        </row>
        <row r="930">
          <cell r="B930">
            <v>9299</v>
          </cell>
          <cell r="C930" t="str">
            <v>Shelton; Jacob R.</v>
          </cell>
          <cell r="D930" t="str">
            <v>1C</v>
          </cell>
          <cell r="E930" t="str">
            <v>IBEWOUT</v>
          </cell>
          <cell r="F930" t="str">
            <v>1245</v>
          </cell>
          <cell r="G930" t="str">
            <v>8</v>
          </cell>
          <cell r="H930">
            <v>0</v>
          </cell>
        </row>
        <row r="931">
          <cell r="B931">
            <v>9300</v>
          </cell>
          <cell r="C931" t="str">
            <v>Shearer; Kaylee A</v>
          </cell>
          <cell r="D931" t="str">
            <v>1C</v>
          </cell>
          <cell r="E931" t="str">
            <v/>
          </cell>
          <cell r="F931" t="str">
            <v/>
          </cell>
          <cell r="G931" t="str">
            <v/>
          </cell>
          <cell r="H931">
            <v>0</v>
          </cell>
        </row>
        <row r="932">
          <cell r="B932">
            <v>9304</v>
          </cell>
          <cell r="C932" t="str">
            <v>Shedd; Joseph M</v>
          </cell>
          <cell r="D932" t="str">
            <v>1</v>
          </cell>
          <cell r="E932" t="str">
            <v>IBEWOUT</v>
          </cell>
          <cell r="F932" t="str">
            <v>1319</v>
          </cell>
          <cell r="G932" t="str">
            <v>7S</v>
          </cell>
          <cell r="H932">
            <v>0</v>
          </cell>
        </row>
        <row r="933">
          <cell r="B933">
            <v>9306</v>
          </cell>
          <cell r="C933" t="str">
            <v>Shelton; Matthew Scott</v>
          </cell>
          <cell r="D933" t="str">
            <v>1C</v>
          </cell>
          <cell r="E933" t="str">
            <v/>
          </cell>
          <cell r="F933" t="str">
            <v/>
          </cell>
          <cell r="G933" t="str">
            <v/>
          </cell>
          <cell r="H933">
            <v>1</v>
          </cell>
        </row>
        <row r="934">
          <cell r="B934">
            <v>9312</v>
          </cell>
          <cell r="C934" t="str">
            <v>Shiflett; William J</v>
          </cell>
          <cell r="D934" t="str">
            <v>1C</v>
          </cell>
          <cell r="E934" t="str">
            <v>IBEWOUT</v>
          </cell>
          <cell r="F934" t="str">
            <v>77</v>
          </cell>
          <cell r="G934" t="str">
            <v>8</v>
          </cell>
          <cell r="H934">
            <v>0</v>
          </cell>
        </row>
        <row r="935">
          <cell r="B935">
            <v>9315</v>
          </cell>
          <cell r="C935" t="str">
            <v>Sherlock; Andrew C</v>
          </cell>
          <cell r="D935" t="str">
            <v>1C</v>
          </cell>
          <cell r="E935" t="str">
            <v>IBEWOUT</v>
          </cell>
          <cell r="F935" t="str">
            <v>769</v>
          </cell>
          <cell r="G935" t="str">
            <v>8</v>
          </cell>
          <cell r="H935">
            <v>0</v>
          </cell>
        </row>
        <row r="936">
          <cell r="B936">
            <v>9317</v>
          </cell>
          <cell r="C936" t="str">
            <v>Shrum; Joel R</v>
          </cell>
          <cell r="D936" t="str">
            <v>1C</v>
          </cell>
          <cell r="E936" t="str">
            <v>IBEWOUT</v>
          </cell>
          <cell r="F936" t="str">
            <v>1245</v>
          </cell>
          <cell r="G936" t="str">
            <v>8</v>
          </cell>
          <cell r="H936">
            <v>0</v>
          </cell>
        </row>
        <row r="937">
          <cell r="B937">
            <v>9328</v>
          </cell>
          <cell r="C937" t="str">
            <v>Silvas; Raul Torres</v>
          </cell>
          <cell r="D937" t="str">
            <v>1C</v>
          </cell>
          <cell r="E937" t="str">
            <v>IBEWOUT</v>
          </cell>
          <cell r="F937" t="str">
            <v>47</v>
          </cell>
          <cell r="G937" t="str">
            <v>8</v>
          </cell>
          <cell r="H937">
            <v>0</v>
          </cell>
        </row>
        <row r="938">
          <cell r="B938">
            <v>9329</v>
          </cell>
          <cell r="C938" t="str">
            <v>Silvas; Enrique</v>
          </cell>
          <cell r="D938" t="str">
            <v>1C</v>
          </cell>
          <cell r="E938" t="str">
            <v>IBEWOUT</v>
          </cell>
          <cell r="F938" t="str">
            <v>47</v>
          </cell>
          <cell r="G938" t="str">
            <v>8</v>
          </cell>
          <cell r="H938">
            <v>0</v>
          </cell>
        </row>
        <row r="939">
          <cell r="B939">
            <v>9338</v>
          </cell>
          <cell r="C939" t="str">
            <v>Sichak; Keith Douglas</v>
          </cell>
          <cell r="D939" t="str">
            <v>1</v>
          </cell>
          <cell r="E939" t="str">
            <v/>
          </cell>
          <cell r="F939" t="str">
            <v/>
          </cell>
          <cell r="G939" t="str">
            <v/>
          </cell>
          <cell r="H939">
            <v>1</v>
          </cell>
        </row>
        <row r="940">
          <cell r="B940">
            <v>9354</v>
          </cell>
          <cell r="C940" t="str">
            <v>Sparks; Kyle Gene</v>
          </cell>
          <cell r="D940" t="str">
            <v>1C</v>
          </cell>
          <cell r="E940" t="str">
            <v>IBEWOUT</v>
          </cell>
          <cell r="F940" t="str">
            <v>1245</v>
          </cell>
          <cell r="G940" t="str">
            <v>1</v>
          </cell>
          <cell r="H940">
            <v>0</v>
          </cell>
        </row>
        <row r="941">
          <cell r="B941">
            <v>9364</v>
          </cell>
          <cell r="C941" t="str">
            <v>Sprunt; Stuart Gregory</v>
          </cell>
          <cell r="D941" t="str">
            <v>1C</v>
          </cell>
          <cell r="E941" t="str">
            <v>IBEWOUT</v>
          </cell>
          <cell r="F941" t="str">
            <v>769</v>
          </cell>
          <cell r="G941" t="str">
            <v>8</v>
          </cell>
          <cell r="H941">
            <v>0</v>
          </cell>
        </row>
        <row r="942">
          <cell r="B942">
            <v>9365</v>
          </cell>
          <cell r="C942" t="str">
            <v>Shorty; Darrell Thomas</v>
          </cell>
          <cell r="D942" t="str">
            <v>1C</v>
          </cell>
          <cell r="E942" t="str">
            <v>IBEWOUT</v>
          </cell>
          <cell r="F942" t="str">
            <v>611</v>
          </cell>
          <cell r="G942" t="str">
            <v>8</v>
          </cell>
          <cell r="H942">
            <v>0</v>
          </cell>
        </row>
        <row r="943">
          <cell r="B943">
            <v>9374</v>
          </cell>
          <cell r="C943" t="str">
            <v>Simons; Nicholas R.</v>
          </cell>
          <cell r="D943" t="str">
            <v>1</v>
          </cell>
          <cell r="E943" t="str">
            <v>IBEWOUT</v>
          </cell>
          <cell r="F943" t="str">
            <v>1245</v>
          </cell>
          <cell r="G943" t="str">
            <v>7</v>
          </cell>
          <cell r="H943">
            <v>0</v>
          </cell>
        </row>
        <row r="944">
          <cell r="B944">
            <v>9380</v>
          </cell>
          <cell r="C944" t="str">
            <v>Spears; Harvey L.</v>
          </cell>
          <cell r="D944" t="str">
            <v>1C</v>
          </cell>
          <cell r="E944" t="str">
            <v>IBEWOUT</v>
          </cell>
          <cell r="F944" t="str">
            <v>47</v>
          </cell>
          <cell r="G944" t="str">
            <v>8</v>
          </cell>
          <cell r="H944">
            <v>0</v>
          </cell>
        </row>
        <row r="945">
          <cell r="B945">
            <v>9382</v>
          </cell>
          <cell r="C945" t="str">
            <v>Spear; George J</v>
          </cell>
          <cell r="D945" t="str">
            <v>1C</v>
          </cell>
          <cell r="E945" t="str">
            <v>IBEWOUT</v>
          </cell>
          <cell r="F945" t="str">
            <v>77</v>
          </cell>
          <cell r="G945" t="str">
            <v>8</v>
          </cell>
          <cell r="H945">
            <v>0</v>
          </cell>
        </row>
        <row r="946">
          <cell r="B946">
            <v>9400</v>
          </cell>
          <cell r="C946" t="str">
            <v>Slater; Anthony W.</v>
          </cell>
          <cell r="D946" t="str">
            <v>1C</v>
          </cell>
          <cell r="E946" t="str">
            <v>IBEWOUT</v>
          </cell>
          <cell r="F946" t="str">
            <v>47</v>
          </cell>
          <cell r="G946" t="str">
            <v>8</v>
          </cell>
          <cell r="H946">
            <v>0</v>
          </cell>
        </row>
        <row r="947">
          <cell r="B947">
            <v>9457</v>
          </cell>
          <cell r="C947" t="str">
            <v>Smith; Alfred D</v>
          </cell>
          <cell r="D947" t="str">
            <v>1C</v>
          </cell>
          <cell r="E947" t="str">
            <v>IBEWOUT</v>
          </cell>
          <cell r="F947" t="str">
            <v>47</v>
          </cell>
          <cell r="G947" t="str">
            <v>17</v>
          </cell>
          <cell r="H947">
            <v>0</v>
          </cell>
        </row>
        <row r="948">
          <cell r="B948">
            <v>9475</v>
          </cell>
          <cell r="C948" t="str">
            <v>Smith; Darren R.</v>
          </cell>
          <cell r="D948" t="str">
            <v>1C</v>
          </cell>
          <cell r="E948" t="str">
            <v>IBEWOUT</v>
          </cell>
          <cell r="F948" t="str">
            <v>47</v>
          </cell>
          <cell r="G948" t="str">
            <v>8</v>
          </cell>
          <cell r="H948">
            <v>0</v>
          </cell>
        </row>
        <row r="949">
          <cell r="B949">
            <v>9493</v>
          </cell>
          <cell r="C949" t="str">
            <v>Smith; Justin C.</v>
          </cell>
          <cell r="D949" t="str">
            <v>1</v>
          </cell>
          <cell r="E949" t="str">
            <v>IBEWOUT</v>
          </cell>
          <cell r="F949" t="str">
            <v>125</v>
          </cell>
          <cell r="G949" t="str">
            <v>7</v>
          </cell>
          <cell r="H949">
            <v>0</v>
          </cell>
        </row>
        <row r="950">
          <cell r="B950">
            <v>9494</v>
          </cell>
          <cell r="C950" t="str">
            <v>Smith; Karl V</v>
          </cell>
          <cell r="D950" t="str">
            <v>1C</v>
          </cell>
          <cell r="E950" t="str">
            <v>IBEWOUT</v>
          </cell>
          <cell r="F950" t="str">
            <v>1245</v>
          </cell>
          <cell r="G950" t="str">
            <v>8</v>
          </cell>
          <cell r="H950">
            <v>0</v>
          </cell>
        </row>
        <row r="951">
          <cell r="B951">
            <v>9496</v>
          </cell>
          <cell r="C951" t="str">
            <v>Smith; Jeremy K</v>
          </cell>
          <cell r="D951" t="str">
            <v>1</v>
          </cell>
          <cell r="E951" t="str">
            <v>IBEWOUT</v>
          </cell>
          <cell r="F951" t="str">
            <v>1319</v>
          </cell>
          <cell r="G951" t="str">
            <v>7S</v>
          </cell>
          <cell r="H951">
            <v>0</v>
          </cell>
        </row>
        <row r="952">
          <cell r="B952">
            <v>9503</v>
          </cell>
          <cell r="C952" t="str">
            <v>Schneider; Howard I</v>
          </cell>
          <cell r="D952" t="str">
            <v>1C</v>
          </cell>
          <cell r="E952" t="str">
            <v>IBEWOUT</v>
          </cell>
          <cell r="F952" t="str">
            <v>77</v>
          </cell>
          <cell r="G952" t="str">
            <v>17</v>
          </cell>
          <cell r="H952">
            <v>0</v>
          </cell>
        </row>
        <row r="953">
          <cell r="B953">
            <v>9520</v>
          </cell>
          <cell r="C953" t="str">
            <v>Smith; Patrick T.</v>
          </cell>
          <cell r="D953" t="str">
            <v>1</v>
          </cell>
          <cell r="E953" t="str">
            <v>IBEWOUT</v>
          </cell>
          <cell r="F953" t="str">
            <v>77</v>
          </cell>
          <cell r="G953" t="str">
            <v>6</v>
          </cell>
          <cell r="H953">
            <v>0</v>
          </cell>
        </row>
        <row r="954">
          <cell r="B954">
            <v>9534</v>
          </cell>
          <cell r="C954" t="str">
            <v>Smothermon; Archie DeWayne</v>
          </cell>
          <cell r="D954" t="str">
            <v>1C</v>
          </cell>
          <cell r="E954" t="str">
            <v>IBEWOUT</v>
          </cell>
          <cell r="F954" t="str">
            <v>77</v>
          </cell>
          <cell r="G954" t="str">
            <v>8</v>
          </cell>
          <cell r="H954">
            <v>0</v>
          </cell>
        </row>
        <row r="955">
          <cell r="B955">
            <v>9540</v>
          </cell>
          <cell r="C955" t="str">
            <v>Schnider; Jacob Clinton</v>
          </cell>
          <cell r="D955" t="str">
            <v>1C</v>
          </cell>
          <cell r="E955" t="str">
            <v>IBEWOUT</v>
          </cell>
          <cell r="F955" t="str">
            <v>1245</v>
          </cell>
          <cell r="G955" t="str">
            <v>8</v>
          </cell>
          <cell r="H955">
            <v>0</v>
          </cell>
        </row>
        <row r="956">
          <cell r="B956">
            <v>9542</v>
          </cell>
          <cell r="C956" t="str">
            <v>Schnider; Kyle Rod</v>
          </cell>
          <cell r="D956" t="str">
            <v>1</v>
          </cell>
          <cell r="E956" t="str">
            <v>IBEWOUT</v>
          </cell>
          <cell r="F956" t="str">
            <v>47</v>
          </cell>
          <cell r="G956" t="str">
            <v>1</v>
          </cell>
          <cell r="H956">
            <v>0</v>
          </cell>
        </row>
        <row r="957">
          <cell r="B957">
            <v>9555</v>
          </cell>
          <cell r="C957" t="str">
            <v>Schnider Sr.; Kevin Todd</v>
          </cell>
          <cell r="D957" t="str">
            <v>1</v>
          </cell>
          <cell r="E957" t="str">
            <v>IBEWOUT</v>
          </cell>
          <cell r="F957" t="str">
            <v>1319</v>
          </cell>
          <cell r="G957" t="str">
            <v>1</v>
          </cell>
          <cell r="H957">
            <v>0</v>
          </cell>
        </row>
        <row r="958">
          <cell r="B958">
            <v>9556</v>
          </cell>
          <cell r="C958" t="str">
            <v>Smrekar; Justin Larin</v>
          </cell>
          <cell r="D958" t="str">
            <v>1</v>
          </cell>
          <cell r="E958" t="str">
            <v/>
          </cell>
          <cell r="F958" t="str">
            <v/>
          </cell>
          <cell r="G958" t="str">
            <v/>
          </cell>
          <cell r="H958">
            <v>0</v>
          </cell>
        </row>
        <row r="959">
          <cell r="B959">
            <v>9557</v>
          </cell>
          <cell r="C959" t="str">
            <v>Schnider Jr.; Kevin T</v>
          </cell>
          <cell r="D959" t="str">
            <v>1</v>
          </cell>
          <cell r="E959" t="str">
            <v>IBEWOUT</v>
          </cell>
          <cell r="F959" t="str">
            <v>1319</v>
          </cell>
          <cell r="G959" t="str">
            <v>16</v>
          </cell>
          <cell r="H959">
            <v>0</v>
          </cell>
        </row>
        <row r="960">
          <cell r="B960">
            <v>9559</v>
          </cell>
          <cell r="C960" t="str">
            <v>Schumacher; Anthony J</v>
          </cell>
          <cell r="D960" t="str">
            <v>1</v>
          </cell>
          <cell r="E960" t="str">
            <v>IBEWOUT</v>
          </cell>
          <cell r="F960" t="str">
            <v>602R</v>
          </cell>
          <cell r="G960" t="str">
            <v>8</v>
          </cell>
          <cell r="H960">
            <v>0</v>
          </cell>
        </row>
        <row r="961">
          <cell r="B961">
            <v>9561</v>
          </cell>
          <cell r="C961" t="str">
            <v>Sokolovich; Eduard</v>
          </cell>
          <cell r="D961" t="str">
            <v>1C</v>
          </cell>
          <cell r="E961" t="str">
            <v>IBEWOUT</v>
          </cell>
          <cell r="F961" t="str">
            <v>769</v>
          </cell>
          <cell r="G961" t="str">
            <v>12</v>
          </cell>
          <cell r="H961">
            <v>0</v>
          </cell>
        </row>
        <row r="962">
          <cell r="B962">
            <v>9563</v>
          </cell>
          <cell r="C962" t="str">
            <v>Sotelo; Demis C.</v>
          </cell>
          <cell r="D962" t="str">
            <v>1C</v>
          </cell>
          <cell r="E962" t="str">
            <v>IBEWOUT</v>
          </cell>
          <cell r="F962" t="str">
            <v>47</v>
          </cell>
          <cell r="G962" t="str">
            <v>16</v>
          </cell>
          <cell r="H962">
            <v>0</v>
          </cell>
        </row>
        <row r="963">
          <cell r="B963">
            <v>9566</v>
          </cell>
          <cell r="C963" t="str">
            <v>Somers; Daniel R</v>
          </cell>
          <cell r="D963" t="str">
            <v>1C</v>
          </cell>
          <cell r="E963" t="str">
            <v>IBEWOUT</v>
          </cell>
          <cell r="F963" t="str">
            <v>1245</v>
          </cell>
          <cell r="G963" t="str">
            <v>8</v>
          </cell>
          <cell r="H963">
            <v>0</v>
          </cell>
        </row>
        <row r="964">
          <cell r="B964">
            <v>9568</v>
          </cell>
          <cell r="C964" t="str">
            <v>Soha; John Matthew</v>
          </cell>
          <cell r="D964" t="str">
            <v>1C</v>
          </cell>
          <cell r="E964" t="str">
            <v>IBEWOUT</v>
          </cell>
          <cell r="F964" t="str">
            <v>1245</v>
          </cell>
          <cell r="G964" t="str">
            <v>8</v>
          </cell>
          <cell r="H964">
            <v>0</v>
          </cell>
        </row>
        <row r="965">
          <cell r="B965">
            <v>9569</v>
          </cell>
          <cell r="C965" t="str">
            <v>Schuyleman; Jay R.</v>
          </cell>
          <cell r="D965" t="str">
            <v>1</v>
          </cell>
          <cell r="E965" t="str">
            <v>IBEWOUT</v>
          </cell>
          <cell r="F965" t="str">
            <v>77</v>
          </cell>
          <cell r="G965" t="str">
            <v>33</v>
          </cell>
          <cell r="H965">
            <v>0</v>
          </cell>
        </row>
        <row r="966">
          <cell r="B966">
            <v>9570</v>
          </cell>
          <cell r="C966" t="str">
            <v>Solis; Gerardo</v>
          </cell>
          <cell r="D966" t="str">
            <v>1</v>
          </cell>
          <cell r="E966" t="str">
            <v>IBEWOUT</v>
          </cell>
          <cell r="F966" t="str">
            <v>1245</v>
          </cell>
          <cell r="G966" t="str">
            <v>8</v>
          </cell>
          <cell r="H966">
            <v>0</v>
          </cell>
        </row>
        <row r="967">
          <cell r="B967">
            <v>9575</v>
          </cell>
          <cell r="C967" t="str">
            <v>Sorensen; Kelly</v>
          </cell>
          <cell r="D967" t="str">
            <v>1C</v>
          </cell>
          <cell r="E967" t="str">
            <v>IBEWOUT</v>
          </cell>
          <cell r="F967" t="str">
            <v>1245</v>
          </cell>
          <cell r="G967" t="str">
            <v>16</v>
          </cell>
          <cell r="H967">
            <v>0</v>
          </cell>
        </row>
        <row r="968">
          <cell r="B968">
            <v>9601</v>
          </cell>
          <cell r="C968" t="str">
            <v>Schwigen; Justin R</v>
          </cell>
          <cell r="D968" t="str">
            <v>1</v>
          </cell>
          <cell r="E968" t="str">
            <v>IBEWOUT</v>
          </cell>
          <cell r="F968" t="str">
            <v>1319</v>
          </cell>
          <cell r="G968" t="str">
            <v>7</v>
          </cell>
          <cell r="H968">
            <v>0</v>
          </cell>
        </row>
        <row r="969">
          <cell r="B969">
            <v>9605</v>
          </cell>
          <cell r="C969" t="str">
            <v>Sorensen; Ryan K</v>
          </cell>
          <cell r="D969" t="str">
            <v>1</v>
          </cell>
          <cell r="E969" t="str">
            <v>IBEWOUT</v>
          </cell>
          <cell r="F969" t="str">
            <v>1245</v>
          </cell>
          <cell r="G969" t="str">
            <v>17</v>
          </cell>
          <cell r="H969">
            <v>0</v>
          </cell>
        </row>
        <row r="970">
          <cell r="B970">
            <v>9612</v>
          </cell>
          <cell r="C970" t="str">
            <v>Stafford; Miles Randolph</v>
          </cell>
          <cell r="D970" t="str">
            <v>1C</v>
          </cell>
          <cell r="E970" t="str">
            <v>IBEWOUT</v>
          </cell>
          <cell r="F970" t="str">
            <v>77</v>
          </cell>
          <cell r="G970" t="str">
            <v>17</v>
          </cell>
          <cell r="H970">
            <v>0</v>
          </cell>
        </row>
        <row r="971">
          <cell r="B971">
            <v>9613</v>
          </cell>
          <cell r="C971" t="str">
            <v>Staniforth; Cory D</v>
          </cell>
          <cell r="D971" t="str">
            <v>1C</v>
          </cell>
          <cell r="E971" t="str">
            <v>IBEWOUT</v>
          </cell>
          <cell r="F971" t="str">
            <v>1245</v>
          </cell>
          <cell r="G971" t="str">
            <v>8</v>
          </cell>
          <cell r="H971">
            <v>0</v>
          </cell>
        </row>
        <row r="972">
          <cell r="B972">
            <v>9615</v>
          </cell>
          <cell r="C972" t="str">
            <v>Stanton; Adam M</v>
          </cell>
          <cell r="D972" t="str">
            <v>1C</v>
          </cell>
          <cell r="E972" t="str">
            <v>IBEWOUT</v>
          </cell>
          <cell r="F972" t="str">
            <v>126</v>
          </cell>
          <cell r="G972" t="str">
            <v>12</v>
          </cell>
          <cell r="H972">
            <v>0</v>
          </cell>
        </row>
        <row r="973">
          <cell r="B973">
            <v>9620</v>
          </cell>
          <cell r="C973" t="str">
            <v>Stanley; Lucas C.</v>
          </cell>
          <cell r="D973" t="str">
            <v>1C</v>
          </cell>
          <cell r="E973" t="str">
            <v>IBEWOUT</v>
          </cell>
          <cell r="F973" t="str">
            <v>47</v>
          </cell>
          <cell r="G973" t="str">
            <v>17</v>
          </cell>
          <cell r="H973">
            <v>0</v>
          </cell>
        </row>
        <row r="974">
          <cell r="B974">
            <v>9622</v>
          </cell>
          <cell r="C974" t="str">
            <v>Stotz; Rodney M</v>
          </cell>
          <cell r="D974" t="str">
            <v>1</v>
          </cell>
          <cell r="E974" t="str">
            <v/>
          </cell>
          <cell r="F974" t="str">
            <v/>
          </cell>
          <cell r="G974" t="str">
            <v/>
          </cell>
          <cell r="H974">
            <v>0</v>
          </cell>
        </row>
        <row r="975">
          <cell r="B975">
            <v>9626</v>
          </cell>
          <cell r="C975" t="str">
            <v>Stewart; Aubrey Lamar</v>
          </cell>
          <cell r="D975" t="str">
            <v>1</v>
          </cell>
          <cell r="E975" t="str">
            <v>IBEWOUT</v>
          </cell>
          <cell r="F975" t="str">
            <v>1245</v>
          </cell>
          <cell r="G975" t="str">
            <v>7</v>
          </cell>
          <cell r="H975">
            <v>0</v>
          </cell>
        </row>
        <row r="976">
          <cell r="B976">
            <v>9627</v>
          </cell>
          <cell r="C976" t="str">
            <v>Stansbury; Ben A</v>
          </cell>
          <cell r="D976" t="str">
            <v>1C</v>
          </cell>
          <cell r="E976" t="str">
            <v>IBEWOUT</v>
          </cell>
          <cell r="F976" t="str">
            <v>602R</v>
          </cell>
          <cell r="G976" t="str">
            <v>8</v>
          </cell>
          <cell r="H976">
            <v>0</v>
          </cell>
        </row>
        <row r="977">
          <cell r="B977">
            <v>9628</v>
          </cell>
          <cell r="C977" t="str">
            <v>Stark; Jeff Thomas</v>
          </cell>
          <cell r="D977" t="str">
            <v>1</v>
          </cell>
          <cell r="E977" t="str">
            <v/>
          </cell>
          <cell r="F977" t="str">
            <v/>
          </cell>
          <cell r="G977" t="str">
            <v/>
          </cell>
          <cell r="H977">
            <v>1</v>
          </cell>
        </row>
        <row r="978">
          <cell r="B978">
            <v>9630</v>
          </cell>
          <cell r="C978" t="str">
            <v>Stout; Brandon M</v>
          </cell>
          <cell r="D978" t="str">
            <v>1</v>
          </cell>
          <cell r="E978" t="str">
            <v/>
          </cell>
          <cell r="F978" t="str">
            <v/>
          </cell>
          <cell r="G978" t="str">
            <v/>
          </cell>
          <cell r="H978">
            <v>0</v>
          </cell>
        </row>
        <row r="979">
          <cell r="B979">
            <v>9631</v>
          </cell>
          <cell r="C979" t="str">
            <v>Steward; Thomas J</v>
          </cell>
          <cell r="D979" t="str">
            <v>1C</v>
          </cell>
          <cell r="E979" t="str">
            <v>IBEWOUT</v>
          </cell>
          <cell r="F979" t="str">
            <v>47</v>
          </cell>
          <cell r="G979" t="str">
            <v>8</v>
          </cell>
          <cell r="H979">
            <v>0</v>
          </cell>
        </row>
        <row r="980">
          <cell r="B980">
            <v>9640</v>
          </cell>
          <cell r="C980" t="str">
            <v>Stimmler; Justin E</v>
          </cell>
          <cell r="D980" t="str">
            <v>1C</v>
          </cell>
          <cell r="E980" t="str">
            <v>IBEWOUT</v>
          </cell>
          <cell r="F980" t="str">
            <v>126</v>
          </cell>
          <cell r="G980" t="str">
            <v>33</v>
          </cell>
          <cell r="H980">
            <v>0</v>
          </cell>
        </row>
        <row r="981">
          <cell r="B981">
            <v>9670</v>
          </cell>
          <cell r="C981" t="str">
            <v>Stewart; Vincent Ray</v>
          </cell>
          <cell r="D981" t="str">
            <v>1C</v>
          </cell>
          <cell r="E981" t="str">
            <v>IBEWOUT</v>
          </cell>
          <cell r="F981" t="str">
            <v>1245</v>
          </cell>
          <cell r="G981" t="str">
            <v>8</v>
          </cell>
          <cell r="H981">
            <v>0</v>
          </cell>
        </row>
        <row r="982">
          <cell r="B982">
            <v>9681</v>
          </cell>
          <cell r="C982" t="str">
            <v>Suggs; Mark Gerard</v>
          </cell>
          <cell r="D982" t="str">
            <v>1C</v>
          </cell>
          <cell r="E982" t="str">
            <v>IBEWOUT</v>
          </cell>
          <cell r="F982" t="str">
            <v>77</v>
          </cell>
          <cell r="G982" t="str">
            <v>8</v>
          </cell>
          <cell r="H982">
            <v>0</v>
          </cell>
        </row>
        <row r="983">
          <cell r="B983">
            <v>9690</v>
          </cell>
          <cell r="C983" t="str">
            <v>Swanberg; Joe Mitchell</v>
          </cell>
          <cell r="D983" t="str">
            <v>1</v>
          </cell>
          <cell r="E983" t="str">
            <v>IBEWOUT</v>
          </cell>
          <cell r="F983" t="str">
            <v>77</v>
          </cell>
          <cell r="G983" t="str">
            <v>16</v>
          </cell>
          <cell r="H983">
            <v>0</v>
          </cell>
        </row>
        <row r="984">
          <cell r="B984">
            <v>9695</v>
          </cell>
          <cell r="C984" t="str">
            <v>Sturdevant; Darin D.</v>
          </cell>
          <cell r="D984" t="str">
            <v>1</v>
          </cell>
          <cell r="E984" t="str">
            <v/>
          </cell>
          <cell r="F984" t="str">
            <v/>
          </cell>
          <cell r="G984" t="str">
            <v/>
          </cell>
          <cell r="H984">
            <v>1</v>
          </cell>
        </row>
        <row r="985">
          <cell r="B985">
            <v>9708</v>
          </cell>
          <cell r="C985" t="str">
            <v>Stephens; Richard L</v>
          </cell>
          <cell r="D985" t="str">
            <v>1C</v>
          </cell>
          <cell r="E985" t="str">
            <v>IBEWOUT</v>
          </cell>
          <cell r="F985" t="str">
            <v>1245</v>
          </cell>
          <cell r="G985" t="str">
            <v>13</v>
          </cell>
          <cell r="H985">
            <v>0</v>
          </cell>
        </row>
        <row r="986">
          <cell r="B986">
            <v>9712</v>
          </cell>
          <cell r="C986" t="str">
            <v>Strand; Sheldon R.</v>
          </cell>
          <cell r="D986" t="str">
            <v>1</v>
          </cell>
          <cell r="E986" t="str">
            <v/>
          </cell>
          <cell r="F986" t="str">
            <v/>
          </cell>
          <cell r="G986" t="str">
            <v/>
          </cell>
          <cell r="H986">
            <v>0</v>
          </cell>
        </row>
        <row r="987">
          <cell r="B987">
            <v>9717</v>
          </cell>
          <cell r="C987" t="str">
            <v>Stephens; William M.</v>
          </cell>
          <cell r="D987" t="str">
            <v>1C</v>
          </cell>
          <cell r="E987" t="str">
            <v/>
          </cell>
          <cell r="F987" t="str">
            <v/>
          </cell>
          <cell r="G987" t="str">
            <v/>
          </cell>
          <cell r="H987">
            <v>0</v>
          </cell>
        </row>
        <row r="988">
          <cell r="B988">
            <v>9718</v>
          </cell>
          <cell r="C988" t="str">
            <v>Stoneburner; Robert H.</v>
          </cell>
          <cell r="D988" t="str">
            <v>1C</v>
          </cell>
          <cell r="E988" t="str">
            <v>IBEWOUT</v>
          </cell>
          <cell r="F988" t="str">
            <v>222</v>
          </cell>
          <cell r="G988" t="str">
            <v>13</v>
          </cell>
          <cell r="H988">
            <v>0</v>
          </cell>
        </row>
        <row r="989">
          <cell r="B989">
            <v>9723</v>
          </cell>
          <cell r="C989" t="str">
            <v>Stevens; Raymond</v>
          </cell>
          <cell r="D989" t="str">
            <v>1C</v>
          </cell>
          <cell r="E989" t="str">
            <v>IBEWOUT</v>
          </cell>
          <cell r="F989" t="str">
            <v>1245</v>
          </cell>
          <cell r="G989" t="str">
            <v>8</v>
          </cell>
          <cell r="H989">
            <v>0</v>
          </cell>
        </row>
        <row r="990">
          <cell r="B990">
            <v>9724</v>
          </cell>
          <cell r="C990" t="str">
            <v>Sylvester; Clayton L</v>
          </cell>
          <cell r="D990" t="str">
            <v>1C</v>
          </cell>
          <cell r="E990" t="str">
            <v>IBEWOUT</v>
          </cell>
          <cell r="F990" t="str">
            <v>1245</v>
          </cell>
          <cell r="G990" t="str">
            <v>11</v>
          </cell>
          <cell r="H990">
            <v>0</v>
          </cell>
        </row>
        <row r="991">
          <cell r="B991">
            <v>9725</v>
          </cell>
          <cell r="C991" t="str">
            <v>Stevens; Jeffrey B</v>
          </cell>
          <cell r="D991" t="str">
            <v>1</v>
          </cell>
          <cell r="E991" t="str">
            <v>IBEWOUT</v>
          </cell>
          <cell r="F991" t="str">
            <v>77</v>
          </cell>
          <cell r="G991" t="str">
            <v>8</v>
          </cell>
          <cell r="H991">
            <v>0</v>
          </cell>
        </row>
        <row r="992">
          <cell r="B992">
            <v>9726</v>
          </cell>
          <cell r="C992" t="str">
            <v>Strader; Edward A</v>
          </cell>
          <cell r="D992" t="str">
            <v>1C</v>
          </cell>
          <cell r="E992" t="str">
            <v>IBEWOUT</v>
          </cell>
          <cell r="F992" t="str">
            <v>611</v>
          </cell>
          <cell r="G992" t="str">
            <v>7</v>
          </cell>
          <cell r="H992">
            <v>0</v>
          </cell>
        </row>
        <row r="993">
          <cell r="B993">
            <v>9729</v>
          </cell>
          <cell r="C993" t="str">
            <v>Stofko; John R</v>
          </cell>
          <cell r="D993" t="str">
            <v>1</v>
          </cell>
          <cell r="E993" t="str">
            <v>IBEWOUT</v>
          </cell>
          <cell r="F993" t="str">
            <v>1319</v>
          </cell>
          <cell r="G993" t="str">
            <v>7</v>
          </cell>
          <cell r="H993">
            <v>0</v>
          </cell>
        </row>
        <row r="994">
          <cell r="B994">
            <v>9731</v>
          </cell>
          <cell r="C994" t="str">
            <v>Sugerik; David B</v>
          </cell>
          <cell r="D994" t="str">
            <v>1C</v>
          </cell>
          <cell r="E994" t="str">
            <v>IBEWOUT</v>
          </cell>
          <cell r="F994" t="str">
            <v>1319</v>
          </cell>
          <cell r="G994" t="str">
            <v>8</v>
          </cell>
          <cell r="H994">
            <v>0</v>
          </cell>
        </row>
        <row r="995">
          <cell r="B995">
            <v>9740</v>
          </cell>
          <cell r="C995" t="str">
            <v>Swain; Cody J.</v>
          </cell>
          <cell r="D995" t="str">
            <v>1C</v>
          </cell>
          <cell r="E995" t="str">
            <v>IBEWOUT</v>
          </cell>
          <cell r="F995" t="str">
            <v>1245</v>
          </cell>
          <cell r="G995" t="str">
            <v>8</v>
          </cell>
          <cell r="H995">
            <v>0</v>
          </cell>
        </row>
        <row r="996">
          <cell r="B996">
            <v>9750</v>
          </cell>
          <cell r="C996" t="str">
            <v>Swiger; Robert H</v>
          </cell>
          <cell r="D996" t="str">
            <v>1C</v>
          </cell>
          <cell r="E996" t="str">
            <v>IBEWOUT</v>
          </cell>
          <cell r="F996" t="str">
            <v>77</v>
          </cell>
          <cell r="G996" t="str">
            <v>8</v>
          </cell>
          <cell r="H996">
            <v>0</v>
          </cell>
        </row>
        <row r="997">
          <cell r="B997">
            <v>9822</v>
          </cell>
          <cell r="C997" t="str">
            <v>Taglieri; Matthew D</v>
          </cell>
          <cell r="D997" t="str">
            <v>1C</v>
          </cell>
          <cell r="E997" t="str">
            <v>IBEWOUT</v>
          </cell>
          <cell r="F997" t="str">
            <v>1245</v>
          </cell>
          <cell r="G997" t="str">
            <v>15</v>
          </cell>
          <cell r="H997">
            <v>0</v>
          </cell>
        </row>
        <row r="998">
          <cell r="B998">
            <v>9830</v>
          </cell>
          <cell r="C998" t="str">
            <v>Talbott; William Gale</v>
          </cell>
          <cell r="D998" t="str">
            <v>1</v>
          </cell>
          <cell r="E998" t="str">
            <v>IBEWOUT</v>
          </cell>
          <cell r="F998" t="str">
            <v>602R</v>
          </cell>
          <cell r="G998" t="str">
            <v>33</v>
          </cell>
          <cell r="H998">
            <v>0</v>
          </cell>
        </row>
        <row r="999">
          <cell r="B999">
            <v>9835</v>
          </cell>
          <cell r="C999" t="str">
            <v>Tatro; Lynn D</v>
          </cell>
          <cell r="D999" t="str">
            <v>1</v>
          </cell>
          <cell r="E999" t="str">
            <v>IBEWOUT</v>
          </cell>
          <cell r="F999" t="str">
            <v>77</v>
          </cell>
          <cell r="G999" t="str">
            <v>16</v>
          </cell>
          <cell r="H999">
            <v>0</v>
          </cell>
        </row>
        <row r="1000">
          <cell r="B1000">
            <v>9836</v>
          </cell>
          <cell r="C1000" t="str">
            <v>Tamez; Javier</v>
          </cell>
          <cell r="D1000" t="str">
            <v>1</v>
          </cell>
          <cell r="E1000" t="str">
            <v>IBEWOUT</v>
          </cell>
          <cell r="F1000" t="str">
            <v>602R</v>
          </cell>
          <cell r="G1000" t="str">
            <v>17</v>
          </cell>
          <cell r="H1000">
            <v>0</v>
          </cell>
        </row>
        <row r="1001">
          <cell r="B1001">
            <v>9838</v>
          </cell>
          <cell r="C1001" t="str">
            <v>Tasa; Brenden S</v>
          </cell>
          <cell r="D1001" t="str">
            <v>1C</v>
          </cell>
          <cell r="E1001" t="str">
            <v>IBEWOUT</v>
          </cell>
          <cell r="F1001" t="str">
            <v>769</v>
          </cell>
          <cell r="G1001" t="str">
            <v>14</v>
          </cell>
          <cell r="H1001">
            <v>0</v>
          </cell>
        </row>
        <row r="1002">
          <cell r="B1002">
            <v>9839</v>
          </cell>
          <cell r="C1002" t="str">
            <v>Taylor; Dalthard Ronald</v>
          </cell>
          <cell r="D1002" t="str">
            <v>1C</v>
          </cell>
          <cell r="E1002" t="str">
            <v>IBEWOUT</v>
          </cell>
          <cell r="F1002" t="str">
            <v>47</v>
          </cell>
          <cell r="G1002" t="str">
            <v>8</v>
          </cell>
          <cell r="H1002">
            <v>0</v>
          </cell>
        </row>
        <row r="1003">
          <cell r="B1003">
            <v>9841</v>
          </cell>
          <cell r="C1003" t="str">
            <v>Taylor; Dalthard Grant</v>
          </cell>
          <cell r="D1003" t="str">
            <v>1C</v>
          </cell>
          <cell r="E1003" t="str">
            <v>IBEWOUT</v>
          </cell>
          <cell r="F1003" t="str">
            <v>769</v>
          </cell>
          <cell r="G1003" t="str">
            <v>16</v>
          </cell>
          <cell r="H1003">
            <v>0</v>
          </cell>
        </row>
        <row r="1004">
          <cell r="B1004">
            <v>9862</v>
          </cell>
          <cell r="C1004" t="str">
            <v>Tellez; John Henry</v>
          </cell>
          <cell r="D1004" t="str">
            <v>1C</v>
          </cell>
          <cell r="E1004" t="str">
            <v/>
          </cell>
          <cell r="F1004" t="str">
            <v/>
          </cell>
          <cell r="G1004" t="str">
            <v/>
          </cell>
          <cell r="H1004">
            <v>1</v>
          </cell>
        </row>
        <row r="1005">
          <cell r="B1005">
            <v>9868</v>
          </cell>
          <cell r="C1005" t="str">
            <v>Terlep; Greg J.</v>
          </cell>
          <cell r="D1005" t="str">
            <v>1C</v>
          </cell>
          <cell r="E1005" t="str">
            <v>IBEWOUT</v>
          </cell>
          <cell r="F1005" t="str">
            <v>77</v>
          </cell>
          <cell r="G1005" t="str">
            <v>60</v>
          </cell>
          <cell r="H1005">
            <v>0</v>
          </cell>
        </row>
        <row r="1006">
          <cell r="B1006">
            <v>9871</v>
          </cell>
          <cell r="C1006" t="str">
            <v>Tenney; Michael J</v>
          </cell>
          <cell r="D1006" t="str">
            <v>1</v>
          </cell>
          <cell r="E1006" t="str">
            <v>IBEWOUT</v>
          </cell>
          <cell r="F1006" t="str">
            <v>1245</v>
          </cell>
          <cell r="G1006" t="str">
            <v>10</v>
          </cell>
          <cell r="H1006">
            <v>0</v>
          </cell>
        </row>
        <row r="1007">
          <cell r="B1007">
            <v>9910</v>
          </cell>
          <cell r="C1007" t="str">
            <v>Thagon; Robert G</v>
          </cell>
          <cell r="D1007" t="str">
            <v>1C</v>
          </cell>
          <cell r="E1007" t="str">
            <v/>
          </cell>
          <cell r="F1007" t="str">
            <v/>
          </cell>
          <cell r="G1007" t="str">
            <v/>
          </cell>
          <cell r="H1007">
            <v>1</v>
          </cell>
        </row>
        <row r="1008">
          <cell r="B1008">
            <v>9941</v>
          </cell>
          <cell r="C1008" t="str">
            <v>Thomas; Justin M</v>
          </cell>
          <cell r="D1008" t="str">
            <v>1C</v>
          </cell>
          <cell r="E1008" t="str">
            <v>IBEWOUT</v>
          </cell>
          <cell r="F1008" t="str">
            <v>1245</v>
          </cell>
          <cell r="G1008" t="str">
            <v>8</v>
          </cell>
          <cell r="H1008">
            <v>0</v>
          </cell>
        </row>
        <row r="1009">
          <cell r="B1009">
            <v>9943</v>
          </cell>
          <cell r="C1009" t="str">
            <v>Thomas; Kyle R</v>
          </cell>
          <cell r="D1009" t="str">
            <v>1</v>
          </cell>
          <cell r="E1009" t="str">
            <v>IBEWOUT</v>
          </cell>
          <cell r="F1009" t="str">
            <v>1245</v>
          </cell>
          <cell r="G1009" t="str">
            <v>8</v>
          </cell>
          <cell r="H1009">
            <v>0</v>
          </cell>
        </row>
        <row r="1010">
          <cell r="B1010">
            <v>9946</v>
          </cell>
          <cell r="C1010" t="str">
            <v>Thomas; Dustin James</v>
          </cell>
          <cell r="D1010" t="str">
            <v>1</v>
          </cell>
          <cell r="E1010" t="str">
            <v/>
          </cell>
          <cell r="F1010" t="str">
            <v/>
          </cell>
          <cell r="G1010" t="str">
            <v/>
          </cell>
          <cell r="H1010">
            <v>1</v>
          </cell>
        </row>
        <row r="1011">
          <cell r="B1011">
            <v>9949</v>
          </cell>
          <cell r="C1011" t="str">
            <v>Thomas; Cody L.</v>
          </cell>
          <cell r="D1011" t="str">
            <v>1</v>
          </cell>
          <cell r="E1011" t="str">
            <v>IBEWOUT</v>
          </cell>
          <cell r="F1011" t="str">
            <v>77</v>
          </cell>
          <cell r="G1011" t="str">
            <v>8</v>
          </cell>
          <cell r="H1011">
            <v>0</v>
          </cell>
        </row>
        <row r="1012">
          <cell r="B1012">
            <v>9950</v>
          </cell>
          <cell r="C1012" t="str">
            <v>Thomas; Vance L</v>
          </cell>
          <cell r="D1012" t="str">
            <v>1C</v>
          </cell>
          <cell r="E1012" t="str">
            <v>IBEWOUT</v>
          </cell>
          <cell r="F1012" t="str">
            <v>47</v>
          </cell>
          <cell r="G1012" t="str">
            <v>8</v>
          </cell>
          <cell r="H1012">
            <v>0</v>
          </cell>
        </row>
        <row r="1013">
          <cell r="B1013">
            <v>9957</v>
          </cell>
          <cell r="C1013" t="str">
            <v>Thomas; Samuel Troy</v>
          </cell>
          <cell r="D1013" t="str">
            <v>1C</v>
          </cell>
          <cell r="E1013" t="str">
            <v>IBEWOUT</v>
          </cell>
          <cell r="F1013" t="str">
            <v>77</v>
          </cell>
          <cell r="G1013" t="str">
            <v>16</v>
          </cell>
          <cell r="H1013">
            <v>0</v>
          </cell>
        </row>
        <row r="1014">
          <cell r="B1014">
            <v>9959</v>
          </cell>
          <cell r="C1014" t="str">
            <v>Thompson; Glen S</v>
          </cell>
          <cell r="D1014" t="str">
            <v>1</v>
          </cell>
          <cell r="E1014" t="str">
            <v>IBEWOUT</v>
          </cell>
          <cell r="F1014" t="str">
            <v>602R</v>
          </cell>
          <cell r="G1014" t="str">
            <v>8</v>
          </cell>
          <cell r="H1014">
            <v>0</v>
          </cell>
        </row>
        <row r="1015">
          <cell r="B1015">
            <v>9960</v>
          </cell>
          <cell r="C1015" t="str">
            <v>Thompson; Ryan M.</v>
          </cell>
          <cell r="D1015" t="str">
            <v>1C</v>
          </cell>
          <cell r="E1015" t="str">
            <v>IBEWOUT</v>
          </cell>
          <cell r="F1015" t="str">
            <v>77</v>
          </cell>
          <cell r="G1015" t="str">
            <v>10</v>
          </cell>
          <cell r="H1015">
            <v>0</v>
          </cell>
        </row>
        <row r="1016">
          <cell r="B1016">
            <v>9964</v>
          </cell>
          <cell r="C1016" t="str">
            <v>Thomson; Michael D.</v>
          </cell>
          <cell r="D1016" t="str">
            <v>1C</v>
          </cell>
          <cell r="E1016" t="str">
            <v>IBEWOUT</v>
          </cell>
          <cell r="F1016" t="str">
            <v>769</v>
          </cell>
          <cell r="G1016" t="str">
            <v>20</v>
          </cell>
          <cell r="H1016">
            <v>0</v>
          </cell>
        </row>
        <row r="1017">
          <cell r="B1017">
            <v>9973</v>
          </cell>
          <cell r="C1017" t="str">
            <v>Thygesen; Brian R.</v>
          </cell>
          <cell r="D1017" t="str">
            <v>1C</v>
          </cell>
          <cell r="E1017" t="str">
            <v>IBEWOUT</v>
          </cell>
          <cell r="F1017" t="str">
            <v>77</v>
          </cell>
          <cell r="G1017" t="str">
            <v>12</v>
          </cell>
          <cell r="H1017">
            <v>0</v>
          </cell>
        </row>
        <row r="1018">
          <cell r="B1018">
            <v>9985</v>
          </cell>
          <cell r="C1018" t="str">
            <v>Tucker; Michael W.</v>
          </cell>
          <cell r="D1018" t="str">
            <v>1C</v>
          </cell>
          <cell r="E1018" t="str">
            <v>IBEWOUT</v>
          </cell>
          <cell r="F1018" t="str">
            <v>47</v>
          </cell>
          <cell r="G1018" t="str">
            <v>20</v>
          </cell>
          <cell r="H1018">
            <v>0</v>
          </cell>
        </row>
        <row r="1019">
          <cell r="B1019">
            <v>9988</v>
          </cell>
          <cell r="C1019" t="str">
            <v>Torres; Victor M.</v>
          </cell>
          <cell r="D1019" t="str">
            <v>1C</v>
          </cell>
          <cell r="E1019" t="str">
            <v>IBEWOUT</v>
          </cell>
          <cell r="F1019" t="str">
            <v>769</v>
          </cell>
          <cell r="G1019" t="str">
            <v>16</v>
          </cell>
          <cell r="H1019">
            <v>0</v>
          </cell>
        </row>
        <row r="1020">
          <cell r="B1020">
            <v>9990</v>
          </cell>
          <cell r="C1020" t="str">
            <v>Tillman; Chris</v>
          </cell>
          <cell r="D1020" t="str">
            <v>1C</v>
          </cell>
          <cell r="E1020" t="str">
            <v>IBEWOUT</v>
          </cell>
          <cell r="F1020" t="str">
            <v>602R</v>
          </cell>
          <cell r="G1020" t="str">
            <v>33</v>
          </cell>
          <cell r="H1020">
            <v>0</v>
          </cell>
        </row>
        <row r="1021">
          <cell r="B1021">
            <v>9994</v>
          </cell>
          <cell r="C1021" t="str">
            <v>Tonasket; Justin L</v>
          </cell>
          <cell r="D1021" t="str">
            <v>1C</v>
          </cell>
          <cell r="E1021" t="str">
            <v>IBEWOUT</v>
          </cell>
          <cell r="F1021" t="str">
            <v>1245</v>
          </cell>
          <cell r="G1021" t="str">
            <v>14</v>
          </cell>
          <cell r="H1021">
            <v>0</v>
          </cell>
        </row>
        <row r="1022">
          <cell r="B1022">
            <v>9996</v>
          </cell>
          <cell r="C1022" t="str">
            <v>Toftdahl; Nels R.</v>
          </cell>
          <cell r="D1022" t="str">
            <v>1</v>
          </cell>
          <cell r="E1022" t="str">
            <v>IBEWOUT</v>
          </cell>
          <cell r="F1022" t="str">
            <v>77</v>
          </cell>
          <cell r="G1022" t="str">
            <v>8</v>
          </cell>
          <cell r="H1022">
            <v>0</v>
          </cell>
        </row>
        <row r="1023">
          <cell r="B1023">
            <v>9999</v>
          </cell>
          <cell r="C1023" t="str">
            <v>Tramblie; Tanner David</v>
          </cell>
          <cell r="D1023" t="str">
            <v>1</v>
          </cell>
          <cell r="E1023" t="str">
            <v>IBEWOUT</v>
          </cell>
          <cell r="F1023" t="str">
            <v>77</v>
          </cell>
          <cell r="G1023" t="str">
            <v>8</v>
          </cell>
          <cell r="H1023">
            <v>0</v>
          </cell>
        </row>
        <row r="1024">
          <cell r="B1024">
            <v>10001</v>
          </cell>
          <cell r="C1024" t="str">
            <v>Tohara; John D.</v>
          </cell>
          <cell r="D1024" t="str">
            <v>1C</v>
          </cell>
          <cell r="E1024" t="str">
            <v>IBEWOUT</v>
          </cell>
          <cell r="F1024" t="str">
            <v>396</v>
          </cell>
          <cell r="G1024" t="str">
            <v>21</v>
          </cell>
          <cell r="H1024">
            <v>0</v>
          </cell>
        </row>
        <row r="1025">
          <cell r="B1025">
            <v>10007</v>
          </cell>
          <cell r="C1025" t="str">
            <v>Torbet; William Wesley</v>
          </cell>
          <cell r="D1025" t="str">
            <v>1</v>
          </cell>
          <cell r="E1025" t="str">
            <v/>
          </cell>
          <cell r="F1025" t="str">
            <v/>
          </cell>
          <cell r="G1025" t="str">
            <v/>
          </cell>
          <cell r="H1025">
            <v>1</v>
          </cell>
        </row>
        <row r="1026">
          <cell r="B1026">
            <v>10025</v>
          </cell>
          <cell r="C1026" t="str">
            <v>Trickler; John D</v>
          </cell>
          <cell r="D1026" t="str">
            <v>1C</v>
          </cell>
          <cell r="E1026" t="str">
            <v>IBEWOUT</v>
          </cell>
          <cell r="F1026" t="str">
            <v>602R</v>
          </cell>
          <cell r="G1026" t="str">
            <v>8</v>
          </cell>
          <cell r="H1026">
            <v>0</v>
          </cell>
        </row>
        <row r="1027">
          <cell r="B1027">
            <v>10026</v>
          </cell>
          <cell r="C1027" t="str">
            <v>Trimnal; Jerry Gamble</v>
          </cell>
          <cell r="D1027" t="str">
            <v>1C</v>
          </cell>
          <cell r="E1027" t="str">
            <v>IBEWOUT</v>
          </cell>
          <cell r="F1027" t="str">
            <v>47</v>
          </cell>
          <cell r="G1027" t="str">
            <v>7</v>
          </cell>
          <cell r="H1027">
            <v>0</v>
          </cell>
        </row>
        <row r="1028">
          <cell r="B1028">
            <v>10028</v>
          </cell>
          <cell r="C1028" t="str">
            <v>Triner; Jeremy BJ</v>
          </cell>
          <cell r="D1028" t="str">
            <v>1C</v>
          </cell>
          <cell r="E1028" t="str">
            <v>IBEWOUT</v>
          </cell>
          <cell r="F1028" t="str">
            <v>47</v>
          </cell>
          <cell r="G1028" t="str">
            <v>8</v>
          </cell>
          <cell r="H1028">
            <v>0</v>
          </cell>
        </row>
        <row r="1029">
          <cell r="B1029">
            <v>10030</v>
          </cell>
          <cell r="C1029" t="str">
            <v>Tritten; Eric W</v>
          </cell>
          <cell r="D1029" t="str">
            <v>1C</v>
          </cell>
          <cell r="E1029" t="str">
            <v>IBEWOUT</v>
          </cell>
          <cell r="F1029" t="str">
            <v>126</v>
          </cell>
          <cell r="G1029" t="str">
            <v>13</v>
          </cell>
          <cell r="H1029">
            <v>0</v>
          </cell>
        </row>
        <row r="1030">
          <cell r="B1030">
            <v>10034</v>
          </cell>
          <cell r="C1030" t="str">
            <v>Tropkoff; Robert J</v>
          </cell>
          <cell r="D1030" t="str">
            <v>1</v>
          </cell>
          <cell r="E1030" t="str">
            <v>IBEWOUT</v>
          </cell>
          <cell r="F1030" t="str">
            <v>1319</v>
          </cell>
          <cell r="G1030" t="str">
            <v>21</v>
          </cell>
          <cell r="H1030">
            <v>0</v>
          </cell>
        </row>
        <row r="1031">
          <cell r="B1031">
            <v>10038</v>
          </cell>
          <cell r="C1031" t="str">
            <v>Tsosie; Michael Samuel</v>
          </cell>
          <cell r="D1031" t="str">
            <v>1</v>
          </cell>
          <cell r="E1031" t="str">
            <v>IBEWOUT</v>
          </cell>
          <cell r="F1031" t="str">
            <v>611</v>
          </cell>
          <cell r="G1031" t="str">
            <v>7</v>
          </cell>
          <cell r="H1031">
            <v>0</v>
          </cell>
        </row>
        <row r="1032">
          <cell r="B1032">
            <v>10044</v>
          </cell>
          <cell r="C1032" t="str">
            <v>Trujillo; James Joseph</v>
          </cell>
          <cell r="D1032" t="str">
            <v>1C</v>
          </cell>
          <cell r="E1032" t="str">
            <v>IBEWOUT</v>
          </cell>
          <cell r="F1032" t="str">
            <v>77</v>
          </cell>
          <cell r="G1032" t="str">
            <v>60</v>
          </cell>
          <cell r="H1032">
            <v>0</v>
          </cell>
        </row>
        <row r="1033">
          <cell r="B1033">
            <v>10046</v>
          </cell>
          <cell r="C1033" t="str">
            <v>Turner; Caleb Dwayne</v>
          </cell>
          <cell r="D1033" t="str">
            <v>1C</v>
          </cell>
          <cell r="E1033" t="str">
            <v>IBEWOUT</v>
          </cell>
          <cell r="F1033" t="str">
            <v>47</v>
          </cell>
          <cell r="G1033" t="str">
            <v>17</v>
          </cell>
          <cell r="H1033">
            <v>0</v>
          </cell>
        </row>
        <row r="1034">
          <cell r="B1034">
            <v>10050</v>
          </cell>
          <cell r="C1034" t="str">
            <v>Tow; Andrew J</v>
          </cell>
          <cell r="D1034" t="str">
            <v>1C</v>
          </cell>
          <cell r="E1034" t="str">
            <v>IBEWOUT</v>
          </cell>
          <cell r="F1034" t="str">
            <v>1245</v>
          </cell>
          <cell r="G1034" t="str">
            <v>7</v>
          </cell>
          <cell r="H1034">
            <v>0</v>
          </cell>
        </row>
        <row r="1035">
          <cell r="B1035">
            <v>10051</v>
          </cell>
          <cell r="C1035" t="str">
            <v>Treadwell; Joshua S</v>
          </cell>
          <cell r="D1035" t="str">
            <v>1C</v>
          </cell>
          <cell r="E1035" t="str">
            <v>IBEWOUT</v>
          </cell>
          <cell r="F1035" t="str">
            <v>602R</v>
          </cell>
          <cell r="G1035" t="str">
            <v>8</v>
          </cell>
          <cell r="H1035">
            <v>0</v>
          </cell>
        </row>
        <row r="1036">
          <cell r="B1036">
            <v>10055</v>
          </cell>
          <cell r="C1036" t="str">
            <v>Torres; Isaac</v>
          </cell>
          <cell r="D1036" t="str">
            <v>1C</v>
          </cell>
          <cell r="E1036" t="str">
            <v>IBEWOUT</v>
          </cell>
          <cell r="F1036" t="str">
            <v>1245</v>
          </cell>
          <cell r="G1036" t="str">
            <v>8</v>
          </cell>
          <cell r="H1036">
            <v>0</v>
          </cell>
        </row>
        <row r="1037">
          <cell r="B1037">
            <v>10056</v>
          </cell>
          <cell r="C1037" t="str">
            <v>Torres; Federico R</v>
          </cell>
          <cell r="D1037" t="str">
            <v>1</v>
          </cell>
          <cell r="E1037" t="str">
            <v/>
          </cell>
          <cell r="F1037" t="str">
            <v/>
          </cell>
          <cell r="G1037" t="str">
            <v/>
          </cell>
          <cell r="H1037">
            <v>1</v>
          </cell>
        </row>
        <row r="1038">
          <cell r="B1038">
            <v>10060</v>
          </cell>
          <cell r="C1038" t="str">
            <v>Tweed; Herbert Coke</v>
          </cell>
          <cell r="D1038" t="str">
            <v>1</v>
          </cell>
          <cell r="E1038" t="str">
            <v>IBEWOUT</v>
          </cell>
          <cell r="F1038" t="str">
            <v>602R</v>
          </cell>
          <cell r="G1038" t="str">
            <v>7</v>
          </cell>
          <cell r="H1038">
            <v>1</v>
          </cell>
        </row>
        <row r="1039">
          <cell r="B1039">
            <v>10068</v>
          </cell>
          <cell r="C1039" t="str">
            <v>Trevino; Jesus M</v>
          </cell>
          <cell r="D1039" t="str">
            <v>1</v>
          </cell>
          <cell r="E1039" t="str">
            <v>IBEWOUT</v>
          </cell>
          <cell r="F1039" t="str">
            <v>47</v>
          </cell>
          <cell r="G1039" t="str">
            <v>8</v>
          </cell>
          <cell r="H1039">
            <v>0</v>
          </cell>
        </row>
        <row r="1040">
          <cell r="B1040">
            <v>10069</v>
          </cell>
          <cell r="C1040" t="str">
            <v>Turner; Bradley S.</v>
          </cell>
          <cell r="D1040" t="str">
            <v>1C</v>
          </cell>
          <cell r="E1040" t="str">
            <v>IBEWOUT</v>
          </cell>
          <cell r="F1040" t="str">
            <v>47</v>
          </cell>
          <cell r="G1040" t="str">
            <v>60</v>
          </cell>
          <cell r="H1040">
            <v>0</v>
          </cell>
        </row>
        <row r="1041">
          <cell r="B1041">
            <v>10076</v>
          </cell>
          <cell r="C1041" t="str">
            <v>Uitto; Jacob P</v>
          </cell>
          <cell r="D1041" t="str">
            <v>1C</v>
          </cell>
          <cell r="E1041" t="str">
            <v>IBEWOUT</v>
          </cell>
          <cell r="F1041" t="str">
            <v>77</v>
          </cell>
          <cell r="G1041" t="str">
            <v>13</v>
          </cell>
          <cell r="H1041">
            <v>0</v>
          </cell>
        </row>
        <row r="1042">
          <cell r="B1042">
            <v>10078</v>
          </cell>
          <cell r="C1042" t="str">
            <v>Uhlenkott; Nicholas P</v>
          </cell>
          <cell r="D1042" t="str">
            <v>1</v>
          </cell>
          <cell r="E1042" t="str">
            <v>IBEWOUT</v>
          </cell>
          <cell r="F1042" t="str">
            <v>77</v>
          </cell>
          <cell r="G1042" t="str">
            <v>8</v>
          </cell>
          <cell r="H1042">
            <v>0</v>
          </cell>
        </row>
        <row r="1043">
          <cell r="B1043">
            <v>10085</v>
          </cell>
          <cell r="C1043" t="str">
            <v>Unsworth; Isaac W</v>
          </cell>
          <cell r="D1043" t="str">
            <v>1C</v>
          </cell>
          <cell r="E1043" t="str">
            <v>IBEWOUT</v>
          </cell>
          <cell r="F1043" t="str">
            <v>125</v>
          </cell>
          <cell r="G1043" t="str">
            <v>8</v>
          </cell>
          <cell r="H1043">
            <v>0</v>
          </cell>
        </row>
        <row r="1044">
          <cell r="B1044">
            <v>10090</v>
          </cell>
          <cell r="C1044" t="str">
            <v>Uribe; Jorge</v>
          </cell>
          <cell r="D1044" t="str">
            <v>1C</v>
          </cell>
          <cell r="E1044" t="str">
            <v>IBEWOUT</v>
          </cell>
          <cell r="F1044" t="str">
            <v>1245</v>
          </cell>
          <cell r="G1044" t="str">
            <v>16</v>
          </cell>
          <cell r="H1044">
            <v>0</v>
          </cell>
        </row>
        <row r="1045">
          <cell r="B1045">
            <v>10105</v>
          </cell>
          <cell r="C1045" t="str">
            <v>Urquijo; Bernardo</v>
          </cell>
          <cell r="D1045" t="str">
            <v>1C</v>
          </cell>
          <cell r="E1045" t="str">
            <v>IBEWOUT</v>
          </cell>
          <cell r="F1045" t="str">
            <v>1245</v>
          </cell>
          <cell r="G1045" t="str">
            <v>8</v>
          </cell>
          <cell r="H1045">
            <v>0</v>
          </cell>
        </row>
        <row r="1046">
          <cell r="B1046">
            <v>10112</v>
          </cell>
          <cell r="C1046" t="str">
            <v>Valenzuela; Mark</v>
          </cell>
          <cell r="D1046" t="str">
            <v>1C</v>
          </cell>
          <cell r="E1046" t="str">
            <v>IBEWOUT</v>
          </cell>
          <cell r="F1046" t="str">
            <v>47</v>
          </cell>
          <cell r="G1046" t="str">
            <v>17</v>
          </cell>
          <cell r="H1046">
            <v>0</v>
          </cell>
        </row>
        <row r="1047">
          <cell r="B1047">
            <v>10127</v>
          </cell>
          <cell r="C1047" t="str">
            <v>Valentines; Ernesto</v>
          </cell>
          <cell r="D1047" t="str">
            <v>1C</v>
          </cell>
          <cell r="E1047" t="str">
            <v>IBEWOUT</v>
          </cell>
          <cell r="F1047" t="str">
            <v>47</v>
          </cell>
          <cell r="G1047" t="str">
            <v>8</v>
          </cell>
          <cell r="H1047">
            <v>0</v>
          </cell>
        </row>
        <row r="1048">
          <cell r="B1048">
            <v>10139</v>
          </cell>
          <cell r="C1048" t="str">
            <v>Vanwert Jr.; Richard A</v>
          </cell>
          <cell r="D1048" t="str">
            <v>1C</v>
          </cell>
          <cell r="E1048" t="str">
            <v>IBEWOUT</v>
          </cell>
          <cell r="F1048" t="str">
            <v>1319</v>
          </cell>
          <cell r="G1048" t="str">
            <v>8</v>
          </cell>
          <cell r="H1048">
            <v>0</v>
          </cell>
        </row>
        <row r="1049">
          <cell r="B1049">
            <v>10145</v>
          </cell>
          <cell r="C1049" t="str">
            <v>Vancil; Paul D.</v>
          </cell>
          <cell r="D1049" t="str">
            <v>1</v>
          </cell>
          <cell r="E1049" t="str">
            <v>IBEWOUT</v>
          </cell>
          <cell r="F1049" t="str">
            <v>1319</v>
          </cell>
          <cell r="G1049" t="str">
            <v>8</v>
          </cell>
          <cell r="H1049">
            <v>0</v>
          </cell>
        </row>
        <row r="1050">
          <cell r="B1050">
            <v>10146</v>
          </cell>
          <cell r="C1050" t="str">
            <v>Valencia; Gary S</v>
          </cell>
          <cell r="D1050" t="str">
            <v>1</v>
          </cell>
          <cell r="E1050" t="str">
            <v>IBEWOUT</v>
          </cell>
          <cell r="F1050" t="str">
            <v>1245</v>
          </cell>
          <cell r="G1050" t="str">
            <v>14</v>
          </cell>
          <cell r="H1050">
            <v>0</v>
          </cell>
        </row>
        <row r="1051">
          <cell r="B1051">
            <v>10148</v>
          </cell>
          <cell r="C1051" t="str">
            <v>Vanderheiden; Ricky J.</v>
          </cell>
          <cell r="D1051" t="str">
            <v>1C</v>
          </cell>
          <cell r="E1051" t="str">
            <v>IBEWOUT</v>
          </cell>
          <cell r="F1051" t="str">
            <v>47</v>
          </cell>
          <cell r="G1051" t="str">
            <v>8</v>
          </cell>
          <cell r="H1051">
            <v>0</v>
          </cell>
        </row>
        <row r="1052">
          <cell r="B1052">
            <v>10149</v>
          </cell>
          <cell r="C1052" t="str">
            <v>Vargas; Joe F</v>
          </cell>
          <cell r="D1052" t="str">
            <v>1C</v>
          </cell>
          <cell r="E1052" t="str">
            <v>IBEWOUT</v>
          </cell>
          <cell r="F1052" t="str">
            <v>1245</v>
          </cell>
          <cell r="G1052" t="str">
            <v>12</v>
          </cell>
          <cell r="H1052">
            <v>0</v>
          </cell>
        </row>
        <row r="1053">
          <cell r="B1053">
            <v>10150</v>
          </cell>
          <cell r="C1053" t="str">
            <v>Vasquez Jr.; Richard Lorenzo</v>
          </cell>
          <cell r="D1053" t="str">
            <v>1</v>
          </cell>
          <cell r="E1053" t="str">
            <v>IBEWOUT</v>
          </cell>
          <cell r="F1053" t="str">
            <v>769</v>
          </cell>
          <cell r="G1053" t="str">
            <v>7</v>
          </cell>
          <cell r="H1053">
            <v>0</v>
          </cell>
        </row>
        <row r="1054">
          <cell r="B1054">
            <v>10154</v>
          </cell>
          <cell r="C1054" t="str">
            <v>Vanderwood; Eric L</v>
          </cell>
          <cell r="D1054" t="str">
            <v>1C</v>
          </cell>
          <cell r="E1054" t="str">
            <v/>
          </cell>
          <cell r="F1054" t="str">
            <v/>
          </cell>
          <cell r="G1054" t="str">
            <v/>
          </cell>
          <cell r="H1054">
            <v>0</v>
          </cell>
        </row>
        <row r="1055">
          <cell r="B1055">
            <v>10155</v>
          </cell>
          <cell r="C1055" t="str">
            <v>Vandyke; Jess D</v>
          </cell>
          <cell r="D1055" t="str">
            <v>1</v>
          </cell>
          <cell r="E1055" t="str">
            <v>IBEWOUT</v>
          </cell>
          <cell r="F1055" t="str">
            <v>1245</v>
          </cell>
          <cell r="G1055" t="str">
            <v>8</v>
          </cell>
          <cell r="H1055">
            <v>0</v>
          </cell>
        </row>
        <row r="1056">
          <cell r="B1056">
            <v>10157</v>
          </cell>
          <cell r="C1056" t="str">
            <v>Vaughters; Brett Randall</v>
          </cell>
          <cell r="D1056" t="str">
            <v>1</v>
          </cell>
          <cell r="E1056" t="str">
            <v/>
          </cell>
          <cell r="F1056" t="str">
            <v/>
          </cell>
          <cell r="G1056" t="str">
            <v/>
          </cell>
          <cell r="H1056">
            <v>1</v>
          </cell>
        </row>
        <row r="1057">
          <cell r="B1057">
            <v>10158</v>
          </cell>
          <cell r="C1057" t="str">
            <v>Valis; Theodore G.</v>
          </cell>
          <cell r="D1057" t="str">
            <v>1C</v>
          </cell>
          <cell r="E1057" t="str">
            <v>IBEWOUT</v>
          </cell>
          <cell r="F1057" t="str">
            <v>769</v>
          </cell>
          <cell r="G1057" t="str">
            <v>8</v>
          </cell>
          <cell r="H1057">
            <v>0</v>
          </cell>
        </row>
        <row r="1058">
          <cell r="B1058">
            <v>10170</v>
          </cell>
          <cell r="C1058" t="str">
            <v>Vega-Brown; Elias</v>
          </cell>
          <cell r="D1058" t="str">
            <v>1C</v>
          </cell>
          <cell r="E1058" t="str">
            <v>IBEWOUT</v>
          </cell>
          <cell r="F1058" t="str">
            <v>1245</v>
          </cell>
          <cell r="G1058" t="str">
            <v>8</v>
          </cell>
          <cell r="H1058">
            <v>0</v>
          </cell>
        </row>
        <row r="1059">
          <cell r="B1059">
            <v>10171</v>
          </cell>
          <cell r="C1059" t="str">
            <v>VanAntwerp; Derek R.</v>
          </cell>
          <cell r="D1059" t="str">
            <v>1C</v>
          </cell>
          <cell r="E1059" t="str">
            <v>IBEWOUT</v>
          </cell>
          <cell r="F1059" t="str">
            <v>1245</v>
          </cell>
          <cell r="G1059" t="str">
            <v>7</v>
          </cell>
          <cell r="H1059">
            <v>0</v>
          </cell>
        </row>
        <row r="1060">
          <cell r="B1060">
            <v>10172</v>
          </cell>
          <cell r="C1060" t="str">
            <v>Venegas; Maurilio</v>
          </cell>
          <cell r="D1060" t="str">
            <v>1C</v>
          </cell>
          <cell r="E1060" t="str">
            <v>IBEWOUT</v>
          </cell>
          <cell r="F1060" t="str">
            <v>769</v>
          </cell>
          <cell r="G1060" t="str">
            <v>17</v>
          </cell>
          <cell r="H1060">
            <v>0</v>
          </cell>
        </row>
        <row r="1061">
          <cell r="B1061">
            <v>10173</v>
          </cell>
          <cell r="C1061" t="str">
            <v>Vessel; Derick L</v>
          </cell>
          <cell r="D1061" t="str">
            <v>1C</v>
          </cell>
          <cell r="E1061" t="str">
            <v>IBEWOUT</v>
          </cell>
          <cell r="F1061" t="str">
            <v>769</v>
          </cell>
          <cell r="G1061" t="str">
            <v>12</v>
          </cell>
          <cell r="H1061">
            <v>0</v>
          </cell>
        </row>
        <row r="1062">
          <cell r="B1062">
            <v>10175</v>
          </cell>
          <cell r="C1062" t="str">
            <v>Ventura; Michael J</v>
          </cell>
          <cell r="D1062" t="str">
            <v>1</v>
          </cell>
          <cell r="E1062" t="str">
            <v>IBEWOUT</v>
          </cell>
          <cell r="F1062" t="str">
            <v>1319</v>
          </cell>
          <cell r="G1062" t="str">
            <v>20</v>
          </cell>
          <cell r="H1062">
            <v>0</v>
          </cell>
        </row>
        <row r="1063">
          <cell r="B1063">
            <v>10180</v>
          </cell>
          <cell r="C1063" t="str">
            <v>Vermeire; Damon L</v>
          </cell>
          <cell r="D1063" t="str">
            <v>1</v>
          </cell>
          <cell r="E1063" t="str">
            <v>IBEWOUT</v>
          </cell>
          <cell r="F1063" t="str">
            <v>77</v>
          </cell>
          <cell r="G1063" t="str">
            <v>7</v>
          </cell>
          <cell r="H1063">
            <v>0</v>
          </cell>
        </row>
        <row r="1064">
          <cell r="B1064">
            <v>10181</v>
          </cell>
          <cell r="C1064" t="str">
            <v>Vick; Clinton W</v>
          </cell>
          <cell r="D1064" t="str">
            <v>1</v>
          </cell>
          <cell r="E1064" t="str">
            <v>IBEWOUT</v>
          </cell>
          <cell r="F1064" t="str">
            <v>125</v>
          </cell>
          <cell r="G1064" t="str">
            <v>7</v>
          </cell>
          <cell r="H1064">
            <v>0</v>
          </cell>
        </row>
        <row r="1065">
          <cell r="B1065">
            <v>10183</v>
          </cell>
          <cell r="C1065" t="str">
            <v>Vickers; Tom E</v>
          </cell>
          <cell r="D1065" t="str">
            <v>1C</v>
          </cell>
          <cell r="E1065" t="str">
            <v>IBEWOUT</v>
          </cell>
          <cell r="F1065" t="str">
            <v>1245</v>
          </cell>
          <cell r="G1065" t="str">
            <v>17</v>
          </cell>
          <cell r="H1065">
            <v>0</v>
          </cell>
        </row>
        <row r="1066">
          <cell r="B1066">
            <v>10195</v>
          </cell>
          <cell r="C1066" t="str">
            <v>Vogt; Jay A.</v>
          </cell>
          <cell r="D1066" t="str">
            <v>1C</v>
          </cell>
          <cell r="E1066" t="str">
            <v>IBEWOUT</v>
          </cell>
          <cell r="F1066" t="str">
            <v>47</v>
          </cell>
          <cell r="G1066" t="str">
            <v>8</v>
          </cell>
          <cell r="H1066">
            <v>0</v>
          </cell>
        </row>
        <row r="1067">
          <cell r="B1067">
            <v>10205</v>
          </cell>
          <cell r="C1067" t="str">
            <v>Vorce; Brian M</v>
          </cell>
          <cell r="D1067" t="str">
            <v>1C</v>
          </cell>
          <cell r="E1067" t="str">
            <v>IBEWOUT</v>
          </cell>
          <cell r="F1067" t="str">
            <v>1245</v>
          </cell>
          <cell r="G1067" t="str">
            <v>8</v>
          </cell>
          <cell r="H1067">
            <v>0</v>
          </cell>
        </row>
        <row r="1068">
          <cell r="B1068">
            <v>10209</v>
          </cell>
          <cell r="C1068" t="str">
            <v>Voshall; Jared C</v>
          </cell>
          <cell r="D1068" t="str">
            <v>1C</v>
          </cell>
          <cell r="E1068" t="str">
            <v>IBEWOUT</v>
          </cell>
          <cell r="F1068" t="str">
            <v>1245</v>
          </cell>
          <cell r="G1068" t="str">
            <v>7</v>
          </cell>
          <cell r="H1068">
            <v>0</v>
          </cell>
        </row>
        <row r="1069">
          <cell r="B1069">
            <v>10210</v>
          </cell>
          <cell r="C1069" t="str">
            <v>Villarreal; Gil</v>
          </cell>
          <cell r="D1069" t="str">
            <v>1</v>
          </cell>
          <cell r="E1069" t="str">
            <v>IBEWOUT</v>
          </cell>
          <cell r="F1069" t="str">
            <v>77</v>
          </cell>
          <cell r="G1069" t="str">
            <v>16</v>
          </cell>
          <cell r="H1069">
            <v>0</v>
          </cell>
        </row>
        <row r="1070">
          <cell r="B1070">
            <v>10231</v>
          </cell>
          <cell r="C1070" t="str">
            <v>Wager; Brett L.</v>
          </cell>
          <cell r="D1070" t="str">
            <v>1C</v>
          </cell>
          <cell r="E1070" t="str">
            <v>IBEWOUT</v>
          </cell>
          <cell r="F1070" t="str">
            <v>611</v>
          </cell>
          <cell r="G1070" t="str">
            <v>9</v>
          </cell>
          <cell r="H1070">
            <v>0</v>
          </cell>
        </row>
        <row r="1071">
          <cell r="B1071">
            <v>10252</v>
          </cell>
          <cell r="C1071" t="str">
            <v>Waite; Ronald Eric</v>
          </cell>
          <cell r="D1071" t="str">
            <v>1C</v>
          </cell>
          <cell r="E1071" t="str">
            <v/>
          </cell>
          <cell r="F1071" t="str">
            <v/>
          </cell>
          <cell r="G1071" t="str">
            <v/>
          </cell>
          <cell r="H1071">
            <v>1</v>
          </cell>
        </row>
        <row r="1072">
          <cell r="B1072">
            <v>10253</v>
          </cell>
          <cell r="C1072" t="str">
            <v>Wakefield; Josiah T</v>
          </cell>
          <cell r="D1072" t="str">
            <v>1C</v>
          </cell>
          <cell r="E1072" t="str">
            <v/>
          </cell>
          <cell r="F1072" t="str">
            <v/>
          </cell>
          <cell r="G1072" t="str">
            <v/>
          </cell>
          <cell r="H1072">
            <v>1</v>
          </cell>
        </row>
        <row r="1073">
          <cell r="B1073">
            <v>10257</v>
          </cell>
          <cell r="C1073" t="str">
            <v>Wakeland; Alex R</v>
          </cell>
          <cell r="D1073" t="str">
            <v>1C</v>
          </cell>
          <cell r="E1073" t="str">
            <v>IBEWOUT</v>
          </cell>
          <cell r="F1073" t="str">
            <v>602R</v>
          </cell>
          <cell r="G1073" t="str">
            <v>8</v>
          </cell>
          <cell r="H1073">
            <v>0</v>
          </cell>
        </row>
        <row r="1074">
          <cell r="B1074">
            <v>10263</v>
          </cell>
          <cell r="C1074" t="str">
            <v>Walden; Chauncey L.</v>
          </cell>
          <cell r="D1074" t="str">
            <v>1C</v>
          </cell>
          <cell r="E1074" t="str">
            <v>IBEWOUT</v>
          </cell>
          <cell r="F1074" t="str">
            <v>602R</v>
          </cell>
          <cell r="G1074" t="str">
            <v>8</v>
          </cell>
          <cell r="H1074">
            <v>0</v>
          </cell>
        </row>
        <row r="1075">
          <cell r="B1075">
            <v>10273</v>
          </cell>
          <cell r="C1075" t="str">
            <v>Walker; Matthew R.</v>
          </cell>
          <cell r="D1075" t="str">
            <v>1C</v>
          </cell>
          <cell r="E1075" t="str">
            <v>IBEWOUT</v>
          </cell>
          <cell r="F1075" t="str">
            <v>1245</v>
          </cell>
          <cell r="G1075" t="str">
            <v>8</v>
          </cell>
          <cell r="H1075">
            <v>0</v>
          </cell>
        </row>
        <row r="1076">
          <cell r="B1076">
            <v>10275</v>
          </cell>
          <cell r="C1076" t="str">
            <v>Walker; Danny L</v>
          </cell>
          <cell r="D1076" t="str">
            <v>1C</v>
          </cell>
          <cell r="E1076" t="str">
            <v>IBEWOUT</v>
          </cell>
          <cell r="F1076" t="str">
            <v>47</v>
          </cell>
          <cell r="G1076" t="str">
            <v>17</v>
          </cell>
          <cell r="H1076">
            <v>0</v>
          </cell>
        </row>
        <row r="1077">
          <cell r="B1077">
            <v>10279</v>
          </cell>
          <cell r="C1077" t="str">
            <v>Walker; Stephanie G.</v>
          </cell>
          <cell r="D1077" t="str">
            <v>1</v>
          </cell>
          <cell r="E1077" t="str">
            <v/>
          </cell>
          <cell r="F1077" t="str">
            <v/>
          </cell>
          <cell r="G1077" t="str">
            <v/>
          </cell>
          <cell r="H1077">
            <v>1</v>
          </cell>
        </row>
        <row r="1078">
          <cell r="B1078">
            <v>10289</v>
          </cell>
          <cell r="C1078" t="str">
            <v>Wallace; Benjamin D.</v>
          </cell>
          <cell r="D1078" t="str">
            <v>1C</v>
          </cell>
          <cell r="E1078" t="str">
            <v>IBEWOUT</v>
          </cell>
          <cell r="F1078" t="str">
            <v>47</v>
          </cell>
          <cell r="G1078" t="str">
            <v>8</v>
          </cell>
          <cell r="H1078">
            <v>0</v>
          </cell>
        </row>
        <row r="1079">
          <cell r="B1079">
            <v>10291</v>
          </cell>
          <cell r="C1079" t="str">
            <v>Walter; Ryan A.</v>
          </cell>
          <cell r="D1079" t="str">
            <v>1C</v>
          </cell>
          <cell r="E1079" t="str">
            <v>IBEWOUT</v>
          </cell>
          <cell r="F1079" t="str">
            <v>1245</v>
          </cell>
          <cell r="G1079" t="str">
            <v>8</v>
          </cell>
          <cell r="H1079">
            <v>0</v>
          </cell>
        </row>
        <row r="1080">
          <cell r="B1080">
            <v>10305</v>
          </cell>
          <cell r="C1080" t="str">
            <v>Wallace; Scott A.</v>
          </cell>
          <cell r="D1080" t="str">
            <v>1C</v>
          </cell>
          <cell r="E1080" t="str">
            <v>IBEWOUT</v>
          </cell>
          <cell r="F1080" t="str">
            <v>769</v>
          </cell>
          <cell r="G1080" t="str">
            <v>11</v>
          </cell>
          <cell r="H1080">
            <v>0</v>
          </cell>
        </row>
        <row r="1081">
          <cell r="B1081">
            <v>10434</v>
          </cell>
          <cell r="C1081" t="str">
            <v>Wandel; Chad E</v>
          </cell>
          <cell r="D1081" t="str">
            <v>1</v>
          </cell>
          <cell r="E1081" t="str">
            <v>IBEWOUT</v>
          </cell>
          <cell r="F1081" t="str">
            <v>1319</v>
          </cell>
          <cell r="G1081" t="str">
            <v>12</v>
          </cell>
          <cell r="H1081">
            <v>0</v>
          </cell>
        </row>
        <row r="1082">
          <cell r="B1082">
            <v>10435</v>
          </cell>
          <cell r="C1082" t="str">
            <v>Ward; Colton T</v>
          </cell>
          <cell r="D1082" t="str">
            <v>1</v>
          </cell>
          <cell r="E1082" t="str">
            <v>IBEWOUT</v>
          </cell>
          <cell r="F1082" t="str">
            <v>77</v>
          </cell>
          <cell r="G1082" t="str">
            <v>12</v>
          </cell>
          <cell r="H1082">
            <v>0</v>
          </cell>
        </row>
        <row r="1083">
          <cell r="B1083">
            <v>10437</v>
          </cell>
          <cell r="C1083" t="str">
            <v>Warner; Dusty D</v>
          </cell>
          <cell r="D1083" t="str">
            <v>1</v>
          </cell>
          <cell r="E1083" t="str">
            <v>IBEWOUT</v>
          </cell>
          <cell r="F1083" t="str">
            <v>1319</v>
          </cell>
          <cell r="G1083" t="str">
            <v>16</v>
          </cell>
          <cell r="H1083">
            <v>0</v>
          </cell>
        </row>
        <row r="1084">
          <cell r="B1084">
            <v>10453</v>
          </cell>
          <cell r="C1084" t="str">
            <v>Watson; Frederic M.</v>
          </cell>
          <cell r="D1084" t="str">
            <v>1C</v>
          </cell>
          <cell r="E1084" t="str">
            <v>IBEWIN</v>
          </cell>
          <cell r="F1084" t="str">
            <v>714</v>
          </cell>
          <cell r="G1084" t="str">
            <v>8I</v>
          </cell>
          <cell r="H1084">
            <v>0</v>
          </cell>
        </row>
        <row r="1085">
          <cell r="B1085">
            <v>10549</v>
          </cell>
          <cell r="C1085" t="str">
            <v>Werner; Allen</v>
          </cell>
          <cell r="D1085" t="str">
            <v>1C</v>
          </cell>
          <cell r="E1085" t="str">
            <v>IBEWOUT</v>
          </cell>
          <cell r="F1085" t="str">
            <v>47</v>
          </cell>
          <cell r="G1085" t="str">
            <v>60</v>
          </cell>
          <cell r="H1085">
            <v>0</v>
          </cell>
        </row>
        <row r="1086">
          <cell r="B1086">
            <v>10550</v>
          </cell>
          <cell r="C1086" t="str">
            <v>Weathers; Kenneth Wilford</v>
          </cell>
          <cell r="D1086" t="str">
            <v>1C</v>
          </cell>
          <cell r="E1086" t="str">
            <v/>
          </cell>
          <cell r="F1086" t="str">
            <v/>
          </cell>
          <cell r="G1086" t="str">
            <v/>
          </cell>
          <cell r="H1086">
            <v>1</v>
          </cell>
        </row>
        <row r="1087">
          <cell r="B1087">
            <v>10552</v>
          </cell>
          <cell r="C1087" t="str">
            <v>Weaver; Emmett Lynn</v>
          </cell>
          <cell r="D1087" t="str">
            <v>1</v>
          </cell>
          <cell r="E1087" t="str">
            <v>IBEWOUT</v>
          </cell>
          <cell r="F1087" t="str">
            <v>602R</v>
          </cell>
          <cell r="G1087" t="str">
            <v>33</v>
          </cell>
          <cell r="H1087">
            <v>0</v>
          </cell>
        </row>
        <row r="1088">
          <cell r="B1088">
            <v>10556</v>
          </cell>
          <cell r="C1088" t="str">
            <v>Weaver; Benjamin P.</v>
          </cell>
          <cell r="D1088" t="str">
            <v>1C</v>
          </cell>
          <cell r="E1088" t="str">
            <v>IBEWOUT</v>
          </cell>
          <cell r="F1088" t="str">
            <v>1319</v>
          </cell>
          <cell r="G1088" t="str">
            <v>8</v>
          </cell>
          <cell r="H1088">
            <v>0</v>
          </cell>
        </row>
        <row r="1089">
          <cell r="B1089">
            <v>10557</v>
          </cell>
          <cell r="C1089" t="str">
            <v>Weber; Jeremy Louis</v>
          </cell>
          <cell r="D1089" t="str">
            <v>1C</v>
          </cell>
          <cell r="E1089" t="str">
            <v>IBEWOUT</v>
          </cell>
          <cell r="F1089" t="str">
            <v>77</v>
          </cell>
          <cell r="G1089" t="str">
            <v>7</v>
          </cell>
          <cell r="H1089">
            <v>0</v>
          </cell>
        </row>
        <row r="1090">
          <cell r="B1090">
            <v>10558</v>
          </cell>
          <cell r="C1090" t="str">
            <v>Webber; Cody C</v>
          </cell>
          <cell r="D1090" t="str">
            <v>1C</v>
          </cell>
          <cell r="E1090" t="str">
            <v>IBEWOUT</v>
          </cell>
          <cell r="F1090" t="str">
            <v>1245</v>
          </cell>
          <cell r="G1090" t="str">
            <v>8</v>
          </cell>
          <cell r="H1090">
            <v>0</v>
          </cell>
        </row>
        <row r="1091">
          <cell r="B1091">
            <v>10559</v>
          </cell>
          <cell r="C1091" t="str">
            <v>Weekes; Bruce S</v>
          </cell>
          <cell r="D1091" t="str">
            <v>1</v>
          </cell>
          <cell r="E1091" t="str">
            <v>IBEWOUT</v>
          </cell>
          <cell r="F1091" t="str">
            <v>1245</v>
          </cell>
          <cell r="G1091" t="str">
            <v>8</v>
          </cell>
          <cell r="H1091">
            <v>0</v>
          </cell>
        </row>
        <row r="1092">
          <cell r="B1092">
            <v>10580</v>
          </cell>
          <cell r="C1092" t="str">
            <v>Wells; Chris A.</v>
          </cell>
          <cell r="D1092" t="str">
            <v>1C</v>
          </cell>
          <cell r="E1092" t="str">
            <v>IBEWOUT</v>
          </cell>
          <cell r="F1092" t="str">
            <v>769</v>
          </cell>
          <cell r="G1092" t="str">
            <v>20</v>
          </cell>
          <cell r="H1092">
            <v>0</v>
          </cell>
        </row>
        <row r="1093">
          <cell r="B1093">
            <v>10581</v>
          </cell>
          <cell r="C1093" t="str">
            <v>Wells; Robert O</v>
          </cell>
          <cell r="D1093" t="str">
            <v>1C</v>
          </cell>
          <cell r="E1093" t="str">
            <v>IBEWOUT</v>
          </cell>
          <cell r="F1093" t="str">
            <v>602R</v>
          </cell>
          <cell r="G1093" t="str">
            <v>8</v>
          </cell>
          <cell r="H1093">
            <v>0</v>
          </cell>
        </row>
        <row r="1094">
          <cell r="B1094">
            <v>10586</v>
          </cell>
          <cell r="C1094" t="str">
            <v>Welch; David A</v>
          </cell>
          <cell r="D1094" t="str">
            <v>1C</v>
          </cell>
          <cell r="E1094" t="str">
            <v>IBEWOUT</v>
          </cell>
          <cell r="F1094" t="str">
            <v>1245</v>
          </cell>
          <cell r="G1094" t="str">
            <v>15</v>
          </cell>
          <cell r="H1094">
            <v>0</v>
          </cell>
        </row>
        <row r="1095">
          <cell r="B1095">
            <v>10587</v>
          </cell>
          <cell r="C1095" t="str">
            <v>Wendt; Matthew S</v>
          </cell>
          <cell r="D1095" t="str">
            <v>1C</v>
          </cell>
          <cell r="E1095" t="str">
            <v>IBEWOUT</v>
          </cell>
          <cell r="F1095" t="str">
            <v>47</v>
          </cell>
          <cell r="G1095" t="str">
            <v>7</v>
          </cell>
          <cell r="H1095">
            <v>0</v>
          </cell>
        </row>
        <row r="1096">
          <cell r="B1096">
            <v>10590</v>
          </cell>
          <cell r="C1096" t="str">
            <v>Weisz; Cody J</v>
          </cell>
          <cell r="D1096" t="str">
            <v>1</v>
          </cell>
          <cell r="E1096" t="str">
            <v/>
          </cell>
          <cell r="F1096" t="str">
            <v/>
          </cell>
          <cell r="G1096" t="str">
            <v/>
          </cell>
          <cell r="H1096">
            <v>0</v>
          </cell>
        </row>
        <row r="1097">
          <cell r="B1097">
            <v>10591</v>
          </cell>
          <cell r="C1097" t="str">
            <v>Wehr; Justin B</v>
          </cell>
          <cell r="D1097" t="str">
            <v>1</v>
          </cell>
          <cell r="E1097" t="str">
            <v/>
          </cell>
          <cell r="F1097" t="str">
            <v/>
          </cell>
          <cell r="G1097" t="str">
            <v/>
          </cell>
          <cell r="H1097">
            <v>0</v>
          </cell>
        </row>
        <row r="1098">
          <cell r="B1098">
            <v>10597</v>
          </cell>
          <cell r="C1098" t="str">
            <v>West; Rueben James</v>
          </cell>
          <cell r="D1098" t="str">
            <v>1C</v>
          </cell>
          <cell r="E1098" t="str">
            <v>IBEWOUT</v>
          </cell>
          <cell r="F1098" t="str">
            <v>1319</v>
          </cell>
          <cell r="G1098" t="str">
            <v>1</v>
          </cell>
          <cell r="H1098">
            <v>0</v>
          </cell>
        </row>
        <row r="1099">
          <cell r="B1099">
            <v>10630</v>
          </cell>
          <cell r="C1099" t="str">
            <v>White; Jamail</v>
          </cell>
          <cell r="D1099" t="str">
            <v>1C</v>
          </cell>
          <cell r="E1099" t="str">
            <v>IBEWOUT</v>
          </cell>
          <cell r="F1099" t="str">
            <v>47</v>
          </cell>
          <cell r="G1099" t="str">
            <v>8</v>
          </cell>
          <cell r="H1099">
            <v>0</v>
          </cell>
        </row>
        <row r="1100">
          <cell r="B1100">
            <v>10642</v>
          </cell>
          <cell r="C1100" t="str">
            <v>Wheeler; Shane M</v>
          </cell>
          <cell r="D1100" t="str">
            <v>1C</v>
          </cell>
          <cell r="E1100" t="str">
            <v>IBEWOUT</v>
          </cell>
          <cell r="F1100" t="str">
            <v>77</v>
          </cell>
          <cell r="G1100" t="str">
            <v>16</v>
          </cell>
          <cell r="H1100">
            <v>0</v>
          </cell>
        </row>
        <row r="1101">
          <cell r="B1101">
            <v>10647</v>
          </cell>
          <cell r="C1101" t="str">
            <v>Whitaker; Justin W</v>
          </cell>
          <cell r="D1101" t="str">
            <v>1C</v>
          </cell>
          <cell r="E1101" t="str">
            <v>IBEWOUT</v>
          </cell>
          <cell r="F1101" t="str">
            <v>47</v>
          </cell>
          <cell r="G1101" t="str">
            <v>8</v>
          </cell>
          <cell r="H1101">
            <v>0</v>
          </cell>
        </row>
        <row r="1102">
          <cell r="B1102">
            <v>10665</v>
          </cell>
          <cell r="C1102" t="str">
            <v>Whiting; Kenneth E.</v>
          </cell>
          <cell r="D1102" t="str">
            <v>1C</v>
          </cell>
          <cell r="E1102" t="str">
            <v>IBEWOUT</v>
          </cell>
          <cell r="F1102" t="str">
            <v>47</v>
          </cell>
          <cell r="G1102" t="str">
            <v>8</v>
          </cell>
          <cell r="H1102">
            <v>0</v>
          </cell>
        </row>
        <row r="1103">
          <cell r="B1103">
            <v>10679</v>
          </cell>
          <cell r="C1103" t="str">
            <v>Wilburn; Sean D.</v>
          </cell>
          <cell r="D1103" t="str">
            <v>1C</v>
          </cell>
          <cell r="E1103" t="str">
            <v>IBEWOUT</v>
          </cell>
          <cell r="F1103" t="str">
            <v>1245</v>
          </cell>
          <cell r="G1103" t="str">
            <v>8</v>
          </cell>
          <cell r="H1103">
            <v>0</v>
          </cell>
        </row>
        <row r="1104">
          <cell r="B1104">
            <v>10687</v>
          </cell>
          <cell r="C1104" t="str">
            <v>Wilcox; Freddy H.</v>
          </cell>
          <cell r="D1104" t="str">
            <v>1C</v>
          </cell>
          <cell r="E1104" t="str">
            <v>IBEWOUT</v>
          </cell>
          <cell r="F1104" t="str">
            <v>125</v>
          </cell>
          <cell r="G1104" t="str">
            <v>15</v>
          </cell>
          <cell r="H1104">
            <v>0</v>
          </cell>
        </row>
        <row r="1105">
          <cell r="B1105">
            <v>10730</v>
          </cell>
          <cell r="C1105" t="str">
            <v>Worlinsky; Benjamin C.</v>
          </cell>
          <cell r="D1105" t="str">
            <v>1C</v>
          </cell>
          <cell r="E1105" t="str">
            <v>IBEWOUT</v>
          </cell>
          <cell r="F1105" t="str">
            <v>1319</v>
          </cell>
          <cell r="G1105" t="str">
            <v>13</v>
          </cell>
          <cell r="H1105">
            <v>0</v>
          </cell>
        </row>
        <row r="1106">
          <cell r="B1106">
            <v>10748</v>
          </cell>
          <cell r="C1106" t="str">
            <v>Williams; Lacey C.</v>
          </cell>
          <cell r="D1106" t="str">
            <v>1C</v>
          </cell>
          <cell r="E1106" t="str">
            <v>IBEWOUT</v>
          </cell>
          <cell r="F1106" t="str">
            <v>47</v>
          </cell>
          <cell r="G1106" t="str">
            <v>8</v>
          </cell>
          <cell r="H1106">
            <v>0</v>
          </cell>
        </row>
        <row r="1107">
          <cell r="B1107">
            <v>10749</v>
          </cell>
          <cell r="C1107" t="str">
            <v>Williams II; Orville C.</v>
          </cell>
          <cell r="D1107" t="str">
            <v>1C</v>
          </cell>
          <cell r="E1107" t="str">
            <v>IBEWOUT</v>
          </cell>
          <cell r="F1107" t="str">
            <v>769</v>
          </cell>
          <cell r="G1107" t="str">
            <v>20</v>
          </cell>
          <cell r="H1107">
            <v>0</v>
          </cell>
        </row>
        <row r="1108">
          <cell r="B1108">
            <v>10750</v>
          </cell>
          <cell r="C1108" t="str">
            <v>Williams; Harley L.</v>
          </cell>
          <cell r="D1108" t="str">
            <v>1C</v>
          </cell>
          <cell r="E1108" t="str">
            <v>IBEWOUT</v>
          </cell>
          <cell r="F1108" t="str">
            <v>769</v>
          </cell>
          <cell r="G1108" t="str">
            <v>33</v>
          </cell>
          <cell r="H1108">
            <v>1</v>
          </cell>
        </row>
        <row r="1109">
          <cell r="B1109">
            <v>10756</v>
          </cell>
          <cell r="C1109" t="str">
            <v>Williams; Michael Lavell</v>
          </cell>
          <cell r="D1109" t="str">
            <v>1C</v>
          </cell>
          <cell r="E1109" t="str">
            <v>IBEWOUT</v>
          </cell>
          <cell r="F1109" t="str">
            <v>396</v>
          </cell>
          <cell r="G1109" t="str">
            <v>18</v>
          </cell>
          <cell r="H1109">
            <v>0</v>
          </cell>
        </row>
        <row r="1110">
          <cell r="B1110">
            <v>10763</v>
          </cell>
          <cell r="C1110" t="str">
            <v>Williams; Rodney L.</v>
          </cell>
          <cell r="D1110" t="str">
            <v>1</v>
          </cell>
          <cell r="E1110" t="str">
            <v>IBEWOUT</v>
          </cell>
          <cell r="F1110" t="str">
            <v>125</v>
          </cell>
          <cell r="G1110" t="str">
            <v>7</v>
          </cell>
          <cell r="H1110">
            <v>0</v>
          </cell>
        </row>
        <row r="1111">
          <cell r="B1111">
            <v>10780</v>
          </cell>
          <cell r="C1111" t="str">
            <v>Williams Jr.; Rich W.</v>
          </cell>
          <cell r="D1111" t="str">
            <v>1</v>
          </cell>
          <cell r="E1111" t="str">
            <v>IBEWOUT</v>
          </cell>
          <cell r="F1111" t="str">
            <v>125</v>
          </cell>
          <cell r="G1111" t="str">
            <v>1</v>
          </cell>
          <cell r="H1111">
            <v>1</v>
          </cell>
        </row>
        <row r="1112">
          <cell r="B1112">
            <v>10787</v>
          </cell>
          <cell r="C1112" t="str">
            <v>Winkler; Jessie E.</v>
          </cell>
          <cell r="D1112" t="str">
            <v>1C</v>
          </cell>
          <cell r="E1112" t="str">
            <v>IBEWOUT</v>
          </cell>
          <cell r="F1112" t="str">
            <v>1319</v>
          </cell>
          <cell r="G1112" t="str">
            <v>8</v>
          </cell>
          <cell r="H1112">
            <v>0</v>
          </cell>
        </row>
        <row r="1113">
          <cell r="B1113">
            <v>10788</v>
          </cell>
          <cell r="C1113" t="str">
            <v>Woodruff; Trey M.</v>
          </cell>
          <cell r="D1113" t="str">
            <v>1</v>
          </cell>
          <cell r="E1113" t="str">
            <v>IBEWOUT</v>
          </cell>
          <cell r="F1113" t="str">
            <v>1245</v>
          </cell>
          <cell r="G1113" t="str">
            <v>7</v>
          </cell>
          <cell r="H1113">
            <v>0</v>
          </cell>
        </row>
        <row r="1114">
          <cell r="B1114">
            <v>10789</v>
          </cell>
          <cell r="C1114" t="str">
            <v>Woods; Kyle E.</v>
          </cell>
          <cell r="D1114" t="str">
            <v>1C</v>
          </cell>
          <cell r="E1114" t="str">
            <v>IBEWOUT</v>
          </cell>
          <cell r="F1114" t="str">
            <v>1245</v>
          </cell>
          <cell r="G1114" t="str">
            <v>8</v>
          </cell>
          <cell r="H1114">
            <v>0</v>
          </cell>
        </row>
        <row r="1115">
          <cell r="B1115">
            <v>10790</v>
          </cell>
          <cell r="C1115" t="str">
            <v>Woodruff; Jonathan S.</v>
          </cell>
          <cell r="D1115" t="str">
            <v>1</v>
          </cell>
          <cell r="E1115" t="str">
            <v>IBEWOUT</v>
          </cell>
          <cell r="F1115" t="str">
            <v>1319</v>
          </cell>
          <cell r="G1115" t="str">
            <v>8</v>
          </cell>
          <cell r="H1115">
            <v>0</v>
          </cell>
        </row>
        <row r="1116">
          <cell r="B1116">
            <v>10792</v>
          </cell>
          <cell r="C1116" t="str">
            <v>Wilson; Hayward L</v>
          </cell>
          <cell r="D1116" t="str">
            <v>1</v>
          </cell>
          <cell r="E1116" t="str">
            <v/>
          </cell>
          <cell r="F1116" t="str">
            <v/>
          </cell>
          <cell r="G1116" t="str">
            <v/>
          </cell>
          <cell r="H1116">
            <v>0</v>
          </cell>
        </row>
        <row r="1117">
          <cell r="B1117">
            <v>10797</v>
          </cell>
          <cell r="C1117" t="str">
            <v>Wilson; Glenn M</v>
          </cell>
          <cell r="D1117" t="str">
            <v>1</v>
          </cell>
          <cell r="E1117" t="str">
            <v/>
          </cell>
          <cell r="F1117" t="str">
            <v/>
          </cell>
          <cell r="G1117" t="str">
            <v/>
          </cell>
          <cell r="H1117">
            <v>0</v>
          </cell>
        </row>
        <row r="1118">
          <cell r="B1118">
            <v>10798</v>
          </cell>
          <cell r="C1118" t="str">
            <v>Winslow; Andy J</v>
          </cell>
          <cell r="D1118" t="str">
            <v>1C</v>
          </cell>
          <cell r="E1118" t="str">
            <v/>
          </cell>
          <cell r="F1118" t="str">
            <v/>
          </cell>
          <cell r="G1118" t="str">
            <v/>
          </cell>
          <cell r="H1118">
            <v>1</v>
          </cell>
        </row>
        <row r="1119">
          <cell r="B1119">
            <v>10799</v>
          </cell>
          <cell r="C1119" t="str">
            <v>Wilson; John D.</v>
          </cell>
          <cell r="D1119" t="str">
            <v>1C</v>
          </cell>
          <cell r="E1119" t="str">
            <v>IBEWOUT</v>
          </cell>
          <cell r="F1119" t="str">
            <v>47</v>
          </cell>
          <cell r="G1119" t="str">
            <v>7</v>
          </cell>
          <cell r="H1119">
            <v>0</v>
          </cell>
        </row>
        <row r="1120">
          <cell r="B1120">
            <v>10800</v>
          </cell>
          <cell r="C1120" t="str">
            <v>Wiseley II; Carl W.</v>
          </cell>
          <cell r="D1120" t="str">
            <v>1C</v>
          </cell>
          <cell r="E1120" t="str">
            <v>IBEWOUT</v>
          </cell>
          <cell r="F1120" t="str">
            <v>1245</v>
          </cell>
          <cell r="G1120" t="str">
            <v>8</v>
          </cell>
          <cell r="H1120">
            <v>0</v>
          </cell>
        </row>
        <row r="1121">
          <cell r="B1121">
            <v>10803</v>
          </cell>
          <cell r="C1121" t="str">
            <v>Wimer; Christopher R</v>
          </cell>
          <cell r="D1121" t="str">
            <v>1C</v>
          </cell>
          <cell r="E1121" t="str">
            <v>IBEWOUT</v>
          </cell>
          <cell r="F1121" t="str">
            <v>1245</v>
          </cell>
          <cell r="G1121" t="str">
            <v>12</v>
          </cell>
          <cell r="H1121">
            <v>0</v>
          </cell>
        </row>
        <row r="1122">
          <cell r="B1122">
            <v>10806</v>
          </cell>
          <cell r="C1122" t="str">
            <v>Wing; Chad E</v>
          </cell>
          <cell r="D1122" t="str">
            <v>1C</v>
          </cell>
          <cell r="E1122" t="str">
            <v>IBEWOUT</v>
          </cell>
          <cell r="F1122" t="str">
            <v>1245</v>
          </cell>
          <cell r="G1122" t="str">
            <v>12</v>
          </cell>
          <cell r="H1122">
            <v>0</v>
          </cell>
        </row>
        <row r="1123">
          <cell r="B1123">
            <v>10808</v>
          </cell>
          <cell r="C1123" t="str">
            <v>Wobbema; Austin R</v>
          </cell>
          <cell r="D1123" t="str">
            <v>1</v>
          </cell>
          <cell r="E1123" t="str">
            <v>IBEWOUT</v>
          </cell>
          <cell r="F1123" t="str">
            <v>1319</v>
          </cell>
          <cell r="G1123" t="str">
            <v>8</v>
          </cell>
          <cell r="H1123">
            <v>0</v>
          </cell>
        </row>
        <row r="1124">
          <cell r="B1124">
            <v>10811</v>
          </cell>
          <cell r="C1124" t="str">
            <v>Wolford; Cabot L.</v>
          </cell>
          <cell r="D1124" t="str">
            <v>1</v>
          </cell>
          <cell r="E1124" t="str">
            <v/>
          </cell>
          <cell r="F1124" t="str">
            <v/>
          </cell>
          <cell r="G1124" t="str">
            <v/>
          </cell>
          <cell r="H1124">
            <v>1</v>
          </cell>
        </row>
        <row r="1125">
          <cell r="B1125">
            <v>10812</v>
          </cell>
          <cell r="C1125" t="str">
            <v>Wilt; Brandon C</v>
          </cell>
          <cell r="D1125" t="str">
            <v>1</v>
          </cell>
          <cell r="E1125" t="str">
            <v>IBEWOUT</v>
          </cell>
          <cell r="F1125" t="str">
            <v>77</v>
          </cell>
          <cell r="G1125" t="str">
            <v>14</v>
          </cell>
          <cell r="H1125">
            <v>0</v>
          </cell>
        </row>
        <row r="1126">
          <cell r="B1126">
            <v>10813</v>
          </cell>
          <cell r="C1126" t="str">
            <v>Wright; Dylon R</v>
          </cell>
          <cell r="D1126" t="str">
            <v>1</v>
          </cell>
          <cell r="E1126" t="str">
            <v>IBEWOUT</v>
          </cell>
          <cell r="F1126" t="str">
            <v>611</v>
          </cell>
          <cell r="G1126" t="str">
            <v>11</v>
          </cell>
          <cell r="H1126">
            <v>0</v>
          </cell>
        </row>
        <row r="1127">
          <cell r="B1127">
            <v>10816</v>
          </cell>
          <cell r="C1127" t="str">
            <v>Woznick; Todd A</v>
          </cell>
          <cell r="D1127" t="str">
            <v>1C</v>
          </cell>
          <cell r="E1127" t="str">
            <v>IBEWOUT</v>
          </cell>
          <cell r="F1127" t="str">
            <v>602R</v>
          </cell>
          <cell r="G1127" t="str">
            <v>8</v>
          </cell>
          <cell r="H1127">
            <v>0</v>
          </cell>
        </row>
        <row r="1128">
          <cell r="B1128">
            <v>10818</v>
          </cell>
          <cell r="C1128" t="str">
            <v>Wolf; Chance A</v>
          </cell>
          <cell r="D1128" t="str">
            <v>1C</v>
          </cell>
          <cell r="E1128" t="str">
            <v/>
          </cell>
          <cell r="F1128" t="str">
            <v/>
          </cell>
          <cell r="G1128" t="str">
            <v/>
          </cell>
          <cell r="H1128">
            <v>0</v>
          </cell>
        </row>
        <row r="1129">
          <cell r="B1129">
            <v>10821</v>
          </cell>
          <cell r="C1129" t="str">
            <v>Wilson; Robby A</v>
          </cell>
          <cell r="D1129" t="str">
            <v>1</v>
          </cell>
          <cell r="E1129" t="str">
            <v>IBEWOUT</v>
          </cell>
          <cell r="F1129" t="str">
            <v>602R</v>
          </cell>
          <cell r="G1129" t="str">
            <v>7</v>
          </cell>
          <cell r="H1129">
            <v>0</v>
          </cell>
        </row>
        <row r="1130">
          <cell r="B1130">
            <v>10823</v>
          </cell>
          <cell r="C1130" t="str">
            <v>Wylie; Jared D</v>
          </cell>
          <cell r="D1130" t="str">
            <v>1C</v>
          </cell>
          <cell r="E1130" t="str">
            <v>IBEWOUT</v>
          </cell>
          <cell r="F1130" t="str">
            <v>1245</v>
          </cell>
          <cell r="G1130" t="str">
            <v>13</v>
          </cell>
          <cell r="H1130">
            <v>0</v>
          </cell>
        </row>
        <row r="1131">
          <cell r="B1131">
            <v>10824</v>
          </cell>
          <cell r="C1131" t="str">
            <v>Wilson Jr.; Alan D.</v>
          </cell>
          <cell r="D1131" t="str">
            <v>1</v>
          </cell>
          <cell r="E1131" t="str">
            <v>IBEWOUT</v>
          </cell>
          <cell r="F1131" t="str">
            <v>1049</v>
          </cell>
          <cell r="G1131" t="str">
            <v>8</v>
          </cell>
          <cell r="H1131">
            <v>0</v>
          </cell>
        </row>
        <row r="1132">
          <cell r="B1132">
            <v>10826</v>
          </cell>
          <cell r="C1132" t="str">
            <v>Wirth; Steve B</v>
          </cell>
          <cell r="D1132" t="str">
            <v>1</v>
          </cell>
          <cell r="E1132" t="str">
            <v>IBEWOUT</v>
          </cell>
          <cell r="F1132" t="str">
            <v>1245</v>
          </cell>
          <cell r="G1132" t="str">
            <v>7</v>
          </cell>
          <cell r="H1132">
            <v>0</v>
          </cell>
        </row>
        <row r="1133">
          <cell r="B1133">
            <v>10827</v>
          </cell>
          <cell r="C1133" t="str">
            <v>Winters; Nicholas C</v>
          </cell>
          <cell r="D1133" t="str">
            <v>1C</v>
          </cell>
          <cell r="E1133" t="str">
            <v>IBEWOUT</v>
          </cell>
          <cell r="F1133" t="str">
            <v>1319</v>
          </cell>
          <cell r="G1133" t="str">
            <v>18</v>
          </cell>
          <cell r="H1133">
            <v>0</v>
          </cell>
        </row>
        <row r="1134">
          <cell r="B1134">
            <v>10830</v>
          </cell>
          <cell r="C1134" t="str">
            <v>Wisener; Brian T.</v>
          </cell>
          <cell r="D1134" t="str">
            <v>1C</v>
          </cell>
          <cell r="E1134" t="str">
            <v>IBEWOUT</v>
          </cell>
          <cell r="F1134" t="str">
            <v>77</v>
          </cell>
          <cell r="G1134" t="str">
            <v>8</v>
          </cell>
          <cell r="H1134">
            <v>0</v>
          </cell>
        </row>
        <row r="1135">
          <cell r="B1135">
            <v>10832</v>
          </cell>
          <cell r="C1135" t="str">
            <v>Wolski; Andrew J</v>
          </cell>
          <cell r="D1135" t="str">
            <v>1</v>
          </cell>
          <cell r="E1135" t="str">
            <v/>
          </cell>
          <cell r="F1135" t="str">
            <v/>
          </cell>
          <cell r="G1135" t="str">
            <v/>
          </cell>
          <cell r="H1135">
            <v>0</v>
          </cell>
        </row>
        <row r="1136">
          <cell r="B1136">
            <v>10833</v>
          </cell>
          <cell r="C1136" t="str">
            <v>Witt; Dusty A</v>
          </cell>
          <cell r="D1136" t="str">
            <v>1</v>
          </cell>
          <cell r="E1136" t="str">
            <v>IBEWOUT</v>
          </cell>
          <cell r="F1136" t="str">
            <v>1319</v>
          </cell>
          <cell r="G1136" t="str">
            <v>33</v>
          </cell>
          <cell r="H1136">
            <v>0</v>
          </cell>
        </row>
        <row r="1137">
          <cell r="B1137">
            <v>10835</v>
          </cell>
          <cell r="C1137" t="str">
            <v>Wolthuis; Mitchel D</v>
          </cell>
          <cell r="D1137" t="str">
            <v>1C</v>
          </cell>
          <cell r="E1137" t="str">
            <v>IBEWOUT</v>
          </cell>
          <cell r="F1137" t="str">
            <v>769</v>
          </cell>
          <cell r="G1137" t="str">
            <v>17</v>
          </cell>
          <cell r="H1137">
            <v>0</v>
          </cell>
        </row>
        <row r="1138">
          <cell r="B1138">
            <v>10836</v>
          </cell>
          <cell r="C1138" t="str">
            <v>Woitt; Tom D.</v>
          </cell>
          <cell r="D1138" t="str">
            <v>1C</v>
          </cell>
          <cell r="E1138" t="str">
            <v/>
          </cell>
          <cell r="F1138" t="str">
            <v/>
          </cell>
          <cell r="G1138" t="str">
            <v/>
          </cell>
          <cell r="H1138">
            <v>1</v>
          </cell>
        </row>
        <row r="1139">
          <cell r="B1139">
            <v>10837</v>
          </cell>
          <cell r="C1139" t="str">
            <v>Wolsten; Todd M.</v>
          </cell>
          <cell r="D1139" t="str">
            <v>1C</v>
          </cell>
          <cell r="E1139" t="str">
            <v>IBEWOUT</v>
          </cell>
          <cell r="F1139" t="str">
            <v>1245</v>
          </cell>
          <cell r="G1139" t="str">
            <v>17</v>
          </cell>
          <cell r="H1139">
            <v>0</v>
          </cell>
        </row>
        <row r="1140">
          <cell r="B1140">
            <v>10840</v>
          </cell>
          <cell r="C1140" t="str">
            <v>Woodall; David C</v>
          </cell>
          <cell r="D1140" t="str">
            <v>1C</v>
          </cell>
          <cell r="E1140" t="str">
            <v>IBEWOUT</v>
          </cell>
          <cell r="F1140" t="str">
            <v>1245</v>
          </cell>
          <cell r="G1140" t="str">
            <v>8</v>
          </cell>
          <cell r="H1140">
            <v>0</v>
          </cell>
        </row>
        <row r="1141">
          <cell r="B1141">
            <v>10867</v>
          </cell>
          <cell r="C1141" t="str">
            <v>Wright; Warren Edward</v>
          </cell>
          <cell r="D1141" t="str">
            <v>1C</v>
          </cell>
          <cell r="E1141" t="str">
            <v>IBEWOUT</v>
          </cell>
          <cell r="F1141" t="str">
            <v>77</v>
          </cell>
          <cell r="G1141" t="str">
            <v>60</v>
          </cell>
          <cell r="H1141">
            <v>0</v>
          </cell>
        </row>
        <row r="1142">
          <cell r="B1142">
            <v>10869</v>
          </cell>
          <cell r="C1142" t="str">
            <v>Wilson; Jeffrey M.</v>
          </cell>
          <cell r="D1142" t="str">
            <v>1C</v>
          </cell>
          <cell r="E1142" t="str">
            <v>IBEWOUT</v>
          </cell>
          <cell r="F1142" t="str">
            <v>1245</v>
          </cell>
          <cell r="G1142" t="str">
            <v>8</v>
          </cell>
          <cell r="H1142">
            <v>0</v>
          </cell>
        </row>
        <row r="1143">
          <cell r="B1143">
            <v>10884</v>
          </cell>
          <cell r="C1143" t="str">
            <v>Woll; Mark Anthone</v>
          </cell>
          <cell r="D1143" t="str">
            <v>1</v>
          </cell>
          <cell r="E1143" t="str">
            <v/>
          </cell>
          <cell r="F1143" t="str">
            <v/>
          </cell>
          <cell r="G1143" t="str">
            <v/>
          </cell>
          <cell r="H1143">
            <v>1</v>
          </cell>
        </row>
        <row r="1144">
          <cell r="B1144">
            <v>10889</v>
          </cell>
          <cell r="C1144" t="str">
            <v>Yetka; Brian V.</v>
          </cell>
          <cell r="D1144" t="str">
            <v>1C</v>
          </cell>
          <cell r="E1144" t="str">
            <v>IBEWOUT</v>
          </cell>
          <cell r="F1144" t="str">
            <v>47</v>
          </cell>
          <cell r="G1144" t="str">
            <v>8</v>
          </cell>
          <cell r="H1144">
            <v>0</v>
          </cell>
        </row>
        <row r="1145">
          <cell r="B1145">
            <v>10891</v>
          </cell>
          <cell r="C1145" t="str">
            <v>Yadon; Nicholas J.</v>
          </cell>
          <cell r="D1145" t="str">
            <v>1C</v>
          </cell>
          <cell r="E1145" t="str">
            <v>IBEWOUT</v>
          </cell>
          <cell r="F1145" t="str">
            <v>769</v>
          </cell>
          <cell r="G1145" t="str">
            <v>8</v>
          </cell>
          <cell r="H1145">
            <v>0</v>
          </cell>
        </row>
        <row r="1146">
          <cell r="B1146">
            <v>10894</v>
          </cell>
          <cell r="C1146" t="str">
            <v>Yazzie; Merlon K.</v>
          </cell>
          <cell r="D1146" t="str">
            <v>1C</v>
          </cell>
          <cell r="E1146" t="str">
            <v>IBEWOUT</v>
          </cell>
          <cell r="F1146" t="str">
            <v>769</v>
          </cell>
          <cell r="G1146" t="str">
            <v>8</v>
          </cell>
          <cell r="H1146">
            <v>0</v>
          </cell>
        </row>
        <row r="1147">
          <cell r="B1147">
            <v>10899</v>
          </cell>
          <cell r="C1147" t="str">
            <v>Yochum; Kevin R</v>
          </cell>
          <cell r="D1147" t="str">
            <v>1C</v>
          </cell>
          <cell r="E1147" t="str">
            <v>IBEWOUT</v>
          </cell>
          <cell r="F1147" t="str">
            <v>602R</v>
          </cell>
          <cell r="G1147" t="str">
            <v>8</v>
          </cell>
          <cell r="H1147">
            <v>0</v>
          </cell>
        </row>
        <row r="1148">
          <cell r="B1148">
            <v>10901</v>
          </cell>
          <cell r="C1148" t="str">
            <v>Young; Desiree K.</v>
          </cell>
          <cell r="D1148" t="str">
            <v>1C</v>
          </cell>
          <cell r="E1148" t="str">
            <v>IBEWOUT</v>
          </cell>
          <cell r="F1148" t="str">
            <v>47</v>
          </cell>
          <cell r="G1148" t="str">
            <v>8</v>
          </cell>
          <cell r="H1148">
            <v>0</v>
          </cell>
        </row>
        <row r="1149">
          <cell r="B1149">
            <v>10902</v>
          </cell>
          <cell r="C1149" t="str">
            <v>Young; Greg N</v>
          </cell>
          <cell r="D1149" t="str">
            <v>1C</v>
          </cell>
          <cell r="E1149" t="str">
            <v>IBEWOUT</v>
          </cell>
          <cell r="F1149" t="str">
            <v>1245</v>
          </cell>
          <cell r="G1149" t="str">
            <v>8</v>
          </cell>
          <cell r="H1149">
            <v>0</v>
          </cell>
        </row>
        <row r="1150">
          <cell r="B1150">
            <v>10905</v>
          </cell>
          <cell r="C1150" t="str">
            <v>Zamora; Rod R.</v>
          </cell>
          <cell r="D1150" t="str">
            <v>1C</v>
          </cell>
          <cell r="E1150" t="str">
            <v>IBEWOUT</v>
          </cell>
          <cell r="F1150" t="str">
            <v>47</v>
          </cell>
          <cell r="G1150" t="str">
            <v>17</v>
          </cell>
          <cell r="H1150">
            <v>0</v>
          </cell>
        </row>
        <row r="1151">
          <cell r="B1151">
            <v>10906</v>
          </cell>
          <cell r="C1151" t="str">
            <v>Zamora; Rojelio</v>
          </cell>
          <cell r="D1151" t="str">
            <v>1</v>
          </cell>
          <cell r="E1151" t="str">
            <v>IBEWOUT</v>
          </cell>
          <cell r="F1151" t="str">
            <v>602R</v>
          </cell>
          <cell r="G1151" t="str">
            <v>8</v>
          </cell>
          <cell r="H1151">
            <v>0</v>
          </cell>
        </row>
        <row r="1152">
          <cell r="B1152">
            <v>10910</v>
          </cell>
          <cell r="C1152" t="str">
            <v>Zinkl; Matthew H</v>
          </cell>
          <cell r="D1152" t="str">
            <v>1C</v>
          </cell>
          <cell r="E1152" t="str">
            <v>IBEWOUT</v>
          </cell>
          <cell r="F1152" t="str">
            <v>47</v>
          </cell>
          <cell r="G1152" t="str">
            <v>13</v>
          </cell>
          <cell r="H1152">
            <v>0</v>
          </cell>
        </row>
        <row r="1153">
          <cell r="B1153">
            <v>10923</v>
          </cell>
          <cell r="C1153" t="str">
            <v>Zeulner; Zachariah Robert</v>
          </cell>
          <cell r="D1153" t="str">
            <v>1</v>
          </cell>
          <cell r="E1153" t="str">
            <v>IBEWOUT</v>
          </cell>
          <cell r="F1153" t="str">
            <v>1245</v>
          </cell>
          <cell r="G1153" t="str">
            <v>1</v>
          </cell>
          <cell r="H1153">
            <v>1</v>
          </cell>
        </row>
        <row r="1154">
          <cell r="B1154">
            <v>10926</v>
          </cell>
          <cell r="C1154" t="str">
            <v>Zacher; Theodore R.</v>
          </cell>
          <cell r="D1154" t="str">
            <v>1</v>
          </cell>
          <cell r="E1154" t="str">
            <v/>
          </cell>
          <cell r="F1154" t="str">
            <v/>
          </cell>
          <cell r="G1154" t="str">
            <v/>
          </cell>
          <cell r="H1154">
            <v>1</v>
          </cell>
        </row>
        <row r="1155">
          <cell r="B1155">
            <v>10929</v>
          </cell>
          <cell r="C1155" t="str">
            <v>Nieves Zarate; Jose</v>
          </cell>
          <cell r="D1155" t="str">
            <v>1C</v>
          </cell>
          <cell r="E1155" t="str">
            <v>IBEWOUT</v>
          </cell>
          <cell r="F1155" t="str">
            <v>47</v>
          </cell>
          <cell r="G1155" t="str">
            <v>8</v>
          </cell>
          <cell r="H1155">
            <v>0</v>
          </cell>
        </row>
        <row r="1156">
          <cell r="B1156">
            <v>10930</v>
          </cell>
          <cell r="C1156" t="str">
            <v>Young; Micah J.</v>
          </cell>
          <cell r="D1156" t="str">
            <v>1C</v>
          </cell>
          <cell r="E1156" t="str">
            <v>IBEWOUT</v>
          </cell>
          <cell r="F1156" t="str">
            <v>1245</v>
          </cell>
          <cell r="G1156" t="str">
            <v>8</v>
          </cell>
          <cell r="H1156">
            <v>0</v>
          </cell>
        </row>
        <row r="1157">
          <cell r="B1157">
            <v>10931</v>
          </cell>
          <cell r="C1157" t="str">
            <v>Zul; Daniel</v>
          </cell>
          <cell r="D1157" t="str">
            <v>1C</v>
          </cell>
          <cell r="E1157" t="str">
            <v>IBEWOUT</v>
          </cell>
          <cell r="F1157" t="str">
            <v>1245</v>
          </cell>
          <cell r="G1157" t="str">
            <v>17</v>
          </cell>
          <cell r="H1157">
            <v>0</v>
          </cell>
        </row>
        <row r="1158">
          <cell r="B1158">
            <v>10932</v>
          </cell>
          <cell r="C1158" t="str">
            <v>Youngblood; Mark O</v>
          </cell>
          <cell r="D1158" t="str">
            <v>1</v>
          </cell>
          <cell r="E1158" t="str">
            <v>IBEWOUT</v>
          </cell>
          <cell r="F1158" t="str">
            <v>602R</v>
          </cell>
          <cell r="G1158" t="str">
            <v>8</v>
          </cell>
          <cell r="H1158">
            <v>0</v>
          </cell>
        </row>
        <row r="1159">
          <cell r="B1159">
            <v>10933</v>
          </cell>
          <cell r="C1159" t="str">
            <v>Yunkin; Russell</v>
          </cell>
          <cell r="D1159" t="str">
            <v>1C</v>
          </cell>
          <cell r="E1159" t="str">
            <v>IBEWOUT</v>
          </cell>
          <cell r="F1159" t="str">
            <v>126</v>
          </cell>
          <cell r="G1159" t="str">
            <v>8</v>
          </cell>
          <cell r="H1159">
            <v>0</v>
          </cell>
        </row>
        <row r="1160">
          <cell r="B1160">
            <v>10934</v>
          </cell>
          <cell r="C1160" t="str">
            <v>Zeigler; Logan R</v>
          </cell>
          <cell r="D1160" t="str">
            <v>1</v>
          </cell>
          <cell r="E1160" t="str">
            <v>IBEWOUT</v>
          </cell>
          <cell r="F1160" t="str">
            <v>611</v>
          </cell>
          <cell r="G1160" t="str">
            <v>14</v>
          </cell>
          <cell r="H1160">
            <v>0</v>
          </cell>
        </row>
        <row r="1161">
          <cell r="B1161">
            <v>99999</v>
          </cell>
          <cell r="C1161" t="str">
            <v>Tester Sr; Test M.</v>
          </cell>
          <cell r="D1161" t="str">
            <v>1</v>
          </cell>
          <cell r="E1161" t="str">
            <v>IBEWOUT</v>
          </cell>
          <cell r="F1161" t="str">
            <v>1245</v>
          </cell>
          <cell r="G1161" t="str">
            <v>7</v>
          </cell>
          <cell r="H1161">
            <v>0</v>
          </cell>
        </row>
      </sheetData>
      <sheetData sheetId="3"/>
      <sheetData sheetId="4">
        <row r="5">
          <cell r="A5" t="str">
            <v>5/8's Crew</v>
          </cell>
          <cell r="B5">
            <v>0</v>
          </cell>
          <cell r="C5" t="str">
            <v>4/10's Crew</v>
          </cell>
          <cell r="D5">
            <v>0</v>
          </cell>
          <cell r="E5" t="str">
            <v>Distribution Crews</v>
          </cell>
        </row>
        <row r="6">
          <cell r="A6" t="str">
            <v>8 ST</v>
          </cell>
          <cell r="B6" t="str">
            <v>10 ST</v>
          </cell>
          <cell r="C6" t="str">
            <v>5/8's Crew</v>
          </cell>
          <cell r="D6">
            <v>0</v>
          </cell>
          <cell r="E6" t="str">
            <v>4/10's Crew</v>
          </cell>
        </row>
        <row r="7">
          <cell r="A7" t="str">
            <v>2 OT</v>
          </cell>
          <cell r="B7" t="str">
            <v>10+ DT</v>
          </cell>
          <cell r="C7" t="str">
            <v>8 ST</v>
          </cell>
          <cell r="D7" t="str">
            <v>10 ST</v>
          </cell>
          <cell r="E7" t="str">
            <v>Saturday</v>
          </cell>
        </row>
        <row r="8">
          <cell r="A8" t="str">
            <v>10+ DT</v>
          </cell>
          <cell r="B8">
            <v>0</v>
          </cell>
          <cell r="C8" t="str">
            <v>8+ DT</v>
          </cell>
          <cell r="D8" t="str">
            <v>10+ DT</v>
          </cell>
          <cell r="E8" t="str">
            <v>All DT</v>
          </cell>
        </row>
        <row r="9">
          <cell r="A9" t="str">
            <v>Saturday</v>
          </cell>
          <cell r="B9">
            <v>0</v>
          </cell>
          <cell r="C9" t="str">
            <v>Sunday</v>
          </cell>
          <cell r="D9">
            <v>0</v>
          </cell>
          <cell r="E9" t="str">
            <v>Sunday</v>
          </cell>
        </row>
        <row r="10">
          <cell r="A10" t="str">
            <v>8 OT</v>
          </cell>
          <cell r="B10">
            <v>0</v>
          </cell>
          <cell r="C10" t="str">
            <v>All DT</v>
          </cell>
          <cell r="D10">
            <v>0</v>
          </cell>
          <cell r="E10" t="str">
            <v>All DT</v>
          </cell>
        </row>
        <row r="11">
          <cell r="A11" t="str">
            <v>8+DT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List"/>
      <sheetName val="Certified Codes"/>
      <sheetName val="Employees"/>
      <sheetName val="Job Details"/>
      <sheetName val="Upload Template (6)"/>
      <sheetName val="Dion"/>
      <sheetName val="Tudor"/>
      <sheetName val="Gillis, Christian"/>
      <sheetName val="MacKenzie, Austin"/>
      <sheetName val="Johnson, B"/>
      <sheetName val="King"/>
      <sheetName val="Fratzke"/>
      <sheetName val="Dovichi"/>
      <sheetName val="Powell"/>
      <sheetName val="Boyd"/>
      <sheetName val="Franks"/>
      <sheetName val="Beck"/>
      <sheetName val="Petrouski"/>
      <sheetName val="Severne"/>
      <sheetName val="Wallace"/>
      <sheetName val="Harris"/>
      <sheetName val="Alvarez"/>
      <sheetName val="Howard"/>
      <sheetName val="Sanchez"/>
      <sheetName val="Williams"/>
      <sheetName val="Farrier"/>
      <sheetName val="Kalinoski"/>
      <sheetName val="Cardenas"/>
      <sheetName val="Lewis"/>
      <sheetName val="Dirks"/>
      <sheetName val="Duino"/>
      <sheetName val="Stewart"/>
      <sheetName val="Awong"/>
      <sheetName val="Miller"/>
      <sheetName val="Randall"/>
      <sheetName val="Gauer"/>
      <sheetName val="Stanchfield"/>
      <sheetName val="Sorensen"/>
      <sheetName val="P Peterson"/>
      <sheetName val="Badillo"/>
      <sheetName val="Elliott"/>
      <sheetName val="Fike"/>
      <sheetName val="Smith"/>
      <sheetName val="Jacobs"/>
      <sheetName val="Leuck"/>
      <sheetName val="Rowley"/>
      <sheetName val="Boyes"/>
      <sheetName val="Long"/>
      <sheetName val="Lonneker"/>
      <sheetName val="Woodall"/>
      <sheetName val="Galves"/>
      <sheetName val="Welsh"/>
      <sheetName val="Marcovatcio"/>
      <sheetName val="ColumnLists"/>
    </sheetNames>
    <sheetDataSet>
      <sheetData sheetId="0" refreshError="1"/>
      <sheetData sheetId="1"/>
      <sheetData sheetId="2">
        <row r="1">
          <cell r="B1" t="str">
            <v>Employees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1037</v>
          </cell>
          <cell r="C4" t="str">
            <v>Abundis; Juan</v>
          </cell>
          <cell r="D4" t="str">
            <v>1C</v>
          </cell>
          <cell r="E4" t="str">
            <v>IBEWOUT</v>
          </cell>
          <cell r="F4" t="str">
            <v>1245</v>
          </cell>
          <cell r="G4" t="str">
            <v>14</v>
          </cell>
          <cell r="H4">
            <v>0</v>
          </cell>
        </row>
        <row r="5">
          <cell r="B5">
            <v>1038</v>
          </cell>
          <cell r="C5" t="str">
            <v>Aguilar; Juan A.</v>
          </cell>
          <cell r="D5" t="str">
            <v>1</v>
          </cell>
          <cell r="E5">
            <v>1038</v>
          </cell>
          <cell r="F5">
            <v>1038</v>
          </cell>
          <cell r="G5">
            <v>1038</v>
          </cell>
          <cell r="H5">
            <v>1</v>
          </cell>
        </row>
        <row r="6">
          <cell r="B6">
            <v>1039</v>
          </cell>
          <cell r="C6" t="str">
            <v>Aguayo; Peter A</v>
          </cell>
          <cell r="D6" t="str">
            <v>1</v>
          </cell>
          <cell r="E6" t="str">
            <v>IBEWOUT</v>
          </cell>
          <cell r="F6" t="str">
            <v>1245</v>
          </cell>
          <cell r="G6" t="str">
            <v>70T</v>
          </cell>
          <cell r="H6">
            <v>0</v>
          </cell>
        </row>
        <row r="7">
          <cell r="B7">
            <v>1043</v>
          </cell>
          <cell r="C7" t="str">
            <v>Adema; Matthew</v>
          </cell>
          <cell r="D7" t="str">
            <v>1C</v>
          </cell>
          <cell r="E7" t="str">
            <v>IBEWOUT</v>
          </cell>
          <cell r="F7" t="str">
            <v>1245</v>
          </cell>
          <cell r="G7" t="str">
            <v>8</v>
          </cell>
          <cell r="H7">
            <v>0</v>
          </cell>
        </row>
        <row r="8">
          <cell r="B8">
            <v>1045</v>
          </cell>
          <cell r="C8" t="str">
            <v>Ahrens; Andy L</v>
          </cell>
          <cell r="D8" t="str">
            <v>1</v>
          </cell>
          <cell r="E8" t="str">
            <v>IBEWOUT</v>
          </cell>
          <cell r="F8" t="str">
            <v>160</v>
          </cell>
          <cell r="G8" t="str">
            <v>15</v>
          </cell>
          <cell r="H8">
            <v>0</v>
          </cell>
        </row>
        <row r="9">
          <cell r="B9">
            <v>1046</v>
          </cell>
          <cell r="C9" t="str">
            <v>Alcala Jr.; Juan Antonio</v>
          </cell>
          <cell r="D9" t="str">
            <v>1C</v>
          </cell>
          <cell r="E9" t="str">
            <v>IBEWOUT</v>
          </cell>
          <cell r="F9" t="str">
            <v>47</v>
          </cell>
          <cell r="G9" t="str">
            <v>7</v>
          </cell>
          <cell r="H9">
            <v>0</v>
          </cell>
        </row>
        <row r="10">
          <cell r="B10">
            <v>1047</v>
          </cell>
          <cell r="C10" t="str">
            <v>Aguirre; David</v>
          </cell>
          <cell r="D10" t="str">
            <v>1</v>
          </cell>
          <cell r="E10" t="str">
            <v>IBEWOUT</v>
          </cell>
          <cell r="F10" t="str">
            <v>77</v>
          </cell>
          <cell r="G10" t="str">
            <v>12</v>
          </cell>
          <cell r="H10">
            <v>0</v>
          </cell>
        </row>
        <row r="11">
          <cell r="B11">
            <v>1048</v>
          </cell>
          <cell r="C11" t="str">
            <v>Alcantar-Garcia; Martin</v>
          </cell>
          <cell r="D11" t="str">
            <v>1</v>
          </cell>
          <cell r="E11">
            <v>1048</v>
          </cell>
          <cell r="F11">
            <v>1048</v>
          </cell>
          <cell r="G11">
            <v>1048</v>
          </cell>
          <cell r="H11">
            <v>0</v>
          </cell>
        </row>
        <row r="12">
          <cell r="B12">
            <v>1055</v>
          </cell>
          <cell r="C12" t="str">
            <v>Adams; Timothy J</v>
          </cell>
          <cell r="D12" t="str">
            <v>1</v>
          </cell>
          <cell r="E12" t="str">
            <v>IBEWOUT</v>
          </cell>
          <cell r="F12" t="str">
            <v>1245</v>
          </cell>
          <cell r="G12" t="str">
            <v>70T</v>
          </cell>
          <cell r="H12">
            <v>0</v>
          </cell>
        </row>
        <row r="13">
          <cell r="B13">
            <v>1056</v>
          </cell>
          <cell r="C13" t="str">
            <v>Ewanchew; John F.</v>
          </cell>
          <cell r="D13" t="str">
            <v>1C</v>
          </cell>
          <cell r="E13" t="str">
            <v>IBEWOUT</v>
          </cell>
          <cell r="F13" t="str">
            <v>396</v>
          </cell>
          <cell r="G13" t="str">
            <v>8</v>
          </cell>
          <cell r="H13">
            <v>0</v>
          </cell>
        </row>
        <row r="14">
          <cell r="B14">
            <v>1059</v>
          </cell>
          <cell r="C14" t="str">
            <v>Aleman; Carlos A</v>
          </cell>
          <cell r="D14" t="str">
            <v>1C</v>
          </cell>
          <cell r="E14" t="str">
            <v>IBEWOUT</v>
          </cell>
          <cell r="F14" t="str">
            <v>1245</v>
          </cell>
          <cell r="G14" t="str">
            <v>11</v>
          </cell>
          <cell r="H14">
            <v>0</v>
          </cell>
        </row>
        <row r="15">
          <cell r="B15">
            <v>1061</v>
          </cell>
          <cell r="C15" t="str">
            <v>Alday; Caleb T.</v>
          </cell>
          <cell r="D15" t="str">
            <v>1C</v>
          </cell>
          <cell r="E15" t="str">
            <v>IBEWOUT</v>
          </cell>
          <cell r="F15" t="str">
            <v>1245</v>
          </cell>
          <cell r="G15" t="str">
            <v>8</v>
          </cell>
          <cell r="H15">
            <v>0</v>
          </cell>
        </row>
        <row r="16">
          <cell r="B16">
            <v>1064</v>
          </cell>
          <cell r="C16" t="str">
            <v>Aguilar; Matthias J</v>
          </cell>
          <cell r="D16" t="str">
            <v>1C</v>
          </cell>
          <cell r="E16" t="str">
            <v>IBEWOUT</v>
          </cell>
          <cell r="F16" t="str">
            <v>1245</v>
          </cell>
          <cell r="G16" t="str">
            <v>17</v>
          </cell>
          <cell r="H16">
            <v>0</v>
          </cell>
        </row>
        <row r="17">
          <cell r="B17">
            <v>1069</v>
          </cell>
          <cell r="C17" t="str">
            <v>Allen; Kevin R.</v>
          </cell>
          <cell r="D17" t="str">
            <v>1</v>
          </cell>
          <cell r="E17" t="str">
            <v>IBEWOUT</v>
          </cell>
          <cell r="F17" t="str">
            <v>160</v>
          </cell>
          <cell r="G17" t="str">
            <v>8</v>
          </cell>
          <cell r="H17">
            <v>0</v>
          </cell>
        </row>
        <row r="18">
          <cell r="B18">
            <v>1085</v>
          </cell>
          <cell r="C18" t="str">
            <v>Almendarez; Raymond K</v>
          </cell>
          <cell r="D18" t="str">
            <v>1C</v>
          </cell>
          <cell r="E18" t="str">
            <v>IBEWOUT</v>
          </cell>
          <cell r="F18" t="str">
            <v>1245</v>
          </cell>
          <cell r="G18" t="str">
            <v>8</v>
          </cell>
          <cell r="H18">
            <v>0</v>
          </cell>
        </row>
        <row r="19">
          <cell r="B19">
            <v>1095</v>
          </cell>
          <cell r="C19" t="str">
            <v>Alexander; James C</v>
          </cell>
          <cell r="D19" t="str">
            <v>1C</v>
          </cell>
          <cell r="E19" t="str">
            <v>IBEWOUT</v>
          </cell>
          <cell r="F19" t="str">
            <v>47</v>
          </cell>
          <cell r="G19" t="str">
            <v>8</v>
          </cell>
          <cell r="H19">
            <v>0</v>
          </cell>
        </row>
        <row r="20">
          <cell r="B20">
            <v>1097</v>
          </cell>
          <cell r="C20" t="str">
            <v>Alvarez; Vincent H</v>
          </cell>
          <cell r="D20" t="str">
            <v>1</v>
          </cell>
          <cell r="E20" t="str">
            <v>IBEWOUT</v>
          </cell>
          <cell r="F20" t="str">
            <v>1245</v>
          </cell>
          <cell r="G20" t="str">
            <v>17</v>
          </cell>
          <cell r="H20">
            <v>0</v>
          </cell>
        </row>
        <row r="21">
          <cell r="B21">
            <v>1103</v>
          </cell>
          <cell r="C21" t="str">
            <v>Allen; Corey L.</v>
          </cell>
          <cell r="D21" t="str">
            <v>1C</v>
          </cell>
          <cell r="E21" t="str">
            <v>IBEWOUT</v>
          </cell>
          <cell r="F21" t="str">
            <v>1245</v>
          </cell>
          <cell r="G21" t="str">
            <v>7</v>
          </cell>
          <cell r="H21">
            <v>0</v>
          </cell>
        </row>
        <row r="22">
          <cell r="B22">
            <v>1104</v>
          </cell>
          <cell r="C22" t="str">
            <v>Amburgey; James R</v>
          </cell>
          <cell r="D22" t="str">
            <v>1C</v>
          </cell>
          <cell r="E22" t="str">
            <v>IBEWOUT</v>
          </cell>
          <cell r="F22" t="str">
            <v>769</v>
          </cell>
          <cell r="G22" t="str">
            <v>8</v>
          </cell>
          <cell r="H22">
            <v>0</v>
          </cell>
        </row>
        <row r="23">
          <cell r="B23">
            <v>1108</v>
          </cell>
          <cell r="C23" t="str">
            <v>Arehart; Joshua D.</v>
          </cell>
          <cell r="D23" t="str">
            <v>1C</v>
          </cell>
          <cell r="E23" t="str">
            <v>IBEWOUT</v>
          </cell>
          <cell r="F23" t="str">
            <v>125</v>
          </cell>
          <cell r="G23" t="str">
            <v>7</v>
          </cell>
          <cell r="H23">
            <v>0</v>
          </cell>
        </row>
        <row r="24">
          <cell r="B24">
            <v>1109</v>
          </cell>
          <cell r="C24" t="str">
            <v>Atayde; Manuel</v>
          </cell>
          <cell r="D24" t="str">
            <v>1C</v>
          </cell>
          <cell r="E24" t="str">
            <v>IBEWOUT</v>
          </cell>
          <cell r="F24" t="str">
            <v>769</v>
          </cell>
          <cell r="G24" t="str">
            <v>22</v>
          </cell>
          <cell r="H24">
            <v>0</v>
          </cell>
        </row>
        <row r="25">
          <cell r="B25">
            <v>1110</v>
          </cell>
          <cell r="C25" t="str">
            <v>Al-Raies; Sam</v>
          </cell>
          <cell r="D25" t="str">
            <v>1C</v>
          </cell>
          <cell r="E25" t="str">
            <v>IBEWOUT</v>
          </cell>
          <cell r="F25" t="str">
            <v>47</v>
          </cell>
          <cell r="G25" t="str">
            <v>60</v>
          </cell>
          <cell r="H25">
            <v>0</v>
          </cell>
        </row>
        <row r="26">
          <cell r="B26">
            <v>1111</v>
          </cell>
          <cell r="C26" t="str">
            <v>Atchison; Jason E.</v>
          </cell>
          <cell r="D26" t="str">
            <v>1C</v>
          </cell>
          <cell r="E26" t="str">
            <v>IBEWOUT</v>
          </cell>
          <cell r="F26" t="str">
            <v>769</v>
          </cell>
          <cell r="G26" t="str">
            <v>8</v>
          </cell>
          <cell r="H26">
            <v>0</v>
          </cell>
        </row>
        <row r="27">
          <cell r="B27">
            <v>1112</v>
          </cell>
          <cell r="C27" t="str">
            <v>Amato; Pietro</v>
          </cell>
          <cell r="D27" t="str">
            <v>1C</v>
          </cell>
          <cell r="E27" t="str">
            <v>IBEWOUT</v>
          </cell>
          <cell r="F27" t="str">
            <v>1049</v>
          </cell>
          <cell r="G27" t="str">
            <v>15</v>
          </cell>
          <cell r="H27">
            <v>0</v>
          </cell>
        </row>
        <row r="28">
          <cell r="B28">
            <v>1114</v>
          </cell>
          <cell r="C28" t="str">
            <v>Archuleta Jr.; Felix</v>
          </cell>
          <cell r="D28" t="str">
            <v>1C</v>
          </cell>
          <cell r="E28" t="str">
            <v>IBEWOUT</v>
          </cell>
          <cell r="F28" t="str">
            <v>611</v>
          </cell>
          <cell r="G28" t="str">
            <v>10</v>
          </cell>
          <cell r="H28">
            <v>0</v>
          </cell>
        </row>
        <row r="29">
          <cell r="B29">
            <v>1115</v>
          </cell>
          <cell r="C29" t="str">
            <v>Archuleta; Louis A.</v>
          </cell>
          <cell r="D29" t="str">
            <v>1C</v>
          </cell>
          <cell r="E29" t="str">
            <v>IBEWOUT</v>
          </cell>
          <cell r="F29" t="str">
            <v>1245</v>
          </cell>
          <cell r="G29" t="str">
            <v>17</v>
          </cell>
          <cell r="H29">
            <v>0</v>
          </cell>
        </row>
        <row r="30">
          <cell r="B30">
            <v>1130</v>
          </cell>
          <cell r="C30" t="str">
            <v>Allred; Shane M.</v>
          </cell>
          <cell r="D30" t="str">
            <v>1C</v>
          </cell>
          <cell r="E30" t="str">
            <v>IBEWOUT</v>
          </cell>
          <cell r="F30" t="str">
            <v>1245</v>
          </cell>
          <cell r="G30" t="str">
            <v>8</v>
          </cell>
          <cell r="H30">
            <v>0</v>
          </cell>
        </row>
        <row r="31">
          <cell r="B31">
            <v>1180</v>
          </cell>
          <cell r="C31" t="str">
            <v>Atayde; Dimas</v>
          </cell>
          <cell r="D31" t="str">
            <v>1C</v>
          </cell>
          <cell r="E31" t="str">
            <v>IBEWOUT</v>
          </cell>
          <cell r="F31" t="str">
            <v>769</v>
          </cell>
          <cell r="G31" t="str">
            <v>22</v>
          </cell>
          <cell r="H31">
            <v>0</v>
          </cell>
        </row>
        <row r="32">
          <cell r="B32">
            <v>1192</v>
          </cell>
          <cell r="C32" t="str">
            <v>Andersen; David Mitch</v>
          </cell>
          <cell r="D32" t="str">
            <v>1C</v>
          </cell>
          <cell r="E32">
            <v>1192</v>
          </cell>
          <cell r="F32">
            <v>1192</v>
          </cell>
          <cell r="G32">
            <v>1192</v>
          </cell>
          <cell r="H32">
            <v>0</v>
          </cell>
        </row>
        <row r="33">
          <cell r="B33">
            <v>1193</v>
          </cell>
          <cell r="C33" t="str">
            <v>Arredondo; Juan V</v>
          </cell>
          <cell r="D33" t="str">
            <v>1C</v>
          </cell>
          <cell r="E33" t="str">
            <v>IBEWOUT</v>
          </cell>
          <cell r="F33" t="str">
            <v>769</v>
          </cell>
          <cell r="G33" t="str">
            <v>8</v>
          </cell>
          <cell r="H33">
            <v>0</v>
          </cell>
        </row>
        <row r="34">
          <cell r="B34">
            <v>1194</v>
          </cell>
          <cell r="C34" t="str">
            <v>Arreola; George</v>
          </cell>
          <cell r="D34" t="str">
            <v>1C</v>
          </cell>
          <cell r="E34" t="str">
            <v>IBEWOUT</v>
          </cell>
          <cell r="F34" t="str">
            <v>47</v>
          </cell>
          <cell r="G34" t="str">
            <v>17</v>
          </cell>
          <cell r="H34">
            <v>0</v>
          </cell>
        </row>
        <row r="35">
          <cell r="B35">
            <v>1197</v>
          </cell>
          <cell r="C35" t="str">
            <v>Andrea; Josh M</v>
          </cell>
          <cell r="D35" t="str">
            <v>1C</v>
          </cell>
          <cell r="E35" t="str">
            <v>IBEWOUT</v>
          </cell>
          <cell r="F35" t="str">
            <v>77</v>
          </cell>
          <cell r="G35" t="str">
            <v>15</v>
          </cell>
          <cell r="H35">
            <v>0</v>
          </cell>
        </row>
        <row r="36">
          <cell r="B36">
            <v>1202</v>
          </cell>
          <cell r="C36" t="str">
            <v>Anderson; Chad M.</v>
          </cell>
          <cell r="D36" t="str">
            <v>1C</v>
          </cell>
          <cell r="E36">
            <v>1202</v>
          </cell>
          <cell r="F36">
            <v>1202</v>
          </cell>
          <cell r="G36">
            <v>1202</v>
          </cell>
          <cell r="H36">
            <v>1</v>
          </cell>
        </row>
        <row r="37">
          <cell r="B37">
            <v>1203</v>
          </cell>
          <cell r="C37" t="str">
            <v>Anderson; Clyde M.</v>
          </cell>
          <cell r="D37" t="str">
            <v>1C</v>
          </cell>
          <cell r="E37">
            <v>1203</v>
          </cell>
          <cell r="F37">
            <v>1203</v>
          </cell>
          <cell r="G37">
            <v>1203</v>
          </cell>
          <cell r="H37">
            <v>1</v>
          </cell>
        </row>
        <row r="38">
          <cell r="B38">
            <v>1204</v>
          </cell>
          <cell r="C38" t="str">
            <v>Anderson; Clinton</v>
          </cell>
          <cell r="D38" t="str">
            <v>1C</v>
          </cell>
          <cell r="E38" t="str">
            <v>IBEWOUT</v>
          </cell>
          <cell r="F38" t="str">
            <v>160</v>
          </cell>
          <cell r="G38" t="str">
            <v>18</v>
          </cell>
          <cell r="H38">
            <v>0</v>
          </cell>
        </row>
        <row r="39">
          <cell r="B39">
            <v>1217</v>
          </cell>
          <cell r="C39" t="str">
            <v>Andrews; Cory R</v>
          </cell>
          <cell r="D39" t="str">
            <v>1C</v>
          </cell>
          <cell r="E39" t="str">
            <v>IBEWOUT</v>
          </cell>
          <cell r="F39" t="str">
            <v>125</v>
          </cell>
          <cell r="G39" t="str">
            <v>8</v>
          </cell>
          <cell r="H39">
            <v>0</v>
          </cell>
        </row>
        <row r="40">
          <cell r="B40">
            <v>1223</v>
          </cell>
          <cell r="C40" t="str">
            <v>Angulo; Jose L</v>
          </cell>
          <cell r="D40" t="str">
            <v>1C</v>
          </cell>
          <cell r="E40" t="str">
            <v>IBEWOUT</v>
          </cell>
          <cell r="F40" t="str">
            <v>47</v>
          </cell>
          <cell r="G40" t="str">
            <v>17</v>
          </cell>
          <cell r="H40">
            <v>0</v>
          </cell>
        </row>
        <row r="41">
          <cell r="B41">
            <v>1231</v>
          </cell>
          <cell r="C41" t="str">
            <v>Aparicio; Diego</v>
          </cell>
          <cell r="D41" t="str">
            <v>1C</v>
          </cell>
          <cell r="E41" t="str">
            <v>IBEWOUT</v>
          </cell>
          <cell r="F41" t="str">
            <v>1245</v>
          </cell>
          <cell r="G41" t="str">
            <v>14</v>
          </cell>
          <cell r="H41">
            <v>0</v>
          </cell>
        </row>
        <row r="42">
          <cell r="B42">
            <v>1232</v>
          </cell>
          <cell r="C42" t="str">
            <v>Apperson; Todd J</v>
          </cell>
          <cell r="D42" t="str">
            <v>1C</v>
          </cell>
          <cell r="E42" t="str">
            <v>IBEWIN</v>
          </cell>
          <cell r="F42" t="str">
            <v>280</v>
          </cell>
          <cell r="G42" t="str">
            <v>62</v>
          </cell>
          <cell r="H42">
            <v>0</v>
          </cell>
        </row>
        <row r="43">
          <cell r="B43">
            <v>1234</v>
          </cell>
          <cell r="C43" t="str">
            <v>Andrews; Riston B.</v>
          </cell>
          <cell r="D43" t="str">
            <v>1C</v>
          </cell>
          <cell r="E43" t="str">
            <v>IBEWOUT</v>
          </cell>
          <cell r="F43" t="str">
            <v>125</v>
          </cell>
          <cell r="G43" t="str">
            <v>17</v>
          </cell>
          <cell r="H43">
            <v>0</v>
          </cell>
        </row>
        <row r="44">
          <cell r="B44">
            <v>1236</v>
          </cell>
          <cell r="C44" t="str">
            <v>Anderson; James N</v>
          </cell>
          <cell r="D44" t="str">
            <v>1C</v>
          </cell>
          <cell r="E44" t="str">
            <v>IBEWOUT</v>
          </cell>
          <cell r="F44" t="str">
            <v>1245</v>
          </cell>
          <cell r="G44" t="str">
            <v>17</v>
          </cell>
          <cell r="H44">
            <v>0</v>
          </cell>
        </row>
        <row r="45">
          <cell r="B45">
            <v>1238</v>
          </cell>
          <cell r="C45" t="str">
            <v>Anderson; Trenton L.</v>
          </cell>
          <cell r="D45" t="str">
            <v>1C</v>
          </cell>
          <cell r="E45" t="str">
            <v>IBEWOUT</v>
          </cell>
          <cell r="F45" t="str">
            <v>47</v>
          </cell>
          <cell r="G45" t="str">
            <v>8</v>
          </cell>
          <cell r="H45">
            <v>0</v>
          </cell>
        </row>
        <row r="46">
          <cell r="B46">
            <v>1240</v>
          </cell>
          <cell r="C46" t="str">
            <v>Anderson; Max C</v>
          </cell>
          <cell r="D46" t="str">
            <v>1C</v>
          </cell>
          <cell r="E46" t="str">
            <v>IBEWOUT</v>
          </cell>
          <cell r="F46" t="str">
            <v>77</v>
          </cell>
          <cell r="G46" t="str">
            <v>8</v>
          </cell>
          <cell r="H46">
            <v>0</v>
          </cell>
        </row>
        <row r="47">
          <cell r="B47">
            <v>1241</v>
          </cell>
          <cell r="C47" t="str">
            <v>Anderson; Michael L.</v>
          </cell>
          <cell r="D47" t="str">
            <v>1C</v>
          </cell>
          <cell r="E47" t="str">
            <v>IBEWOUT</v>
          </cell>
          <cell r="F47" t="str">
            <v>1245</v>
          </cell>
          <cell r="G47" t="str">
            <v>10</v>
          </cell>
          <cell r="H47">
            <v>0</v>
          </cell>
        </row>
        <row r="48">
          <cell r="B48">
            <v>1242</v>
          </cell>
          <cell r="C48" t="str">
            <v>Andrew; Lucas D.</v>
          </cell>
          <cell r="D48" t="str">
            <v>1</v>
          </cell>
          <cell r="E48" t="str">
            <v>IBEWOUT</v>
          </cell>
          <cell r="F48" t="str">
            <v>47</v>
          </cell>
          <cell r="G48" t="str">
            <v>7</v>
          </cell>
          <cell r="H48">
            <v>0</v>
          </cell>
        </row>
        <row r="49">
          <cell r="B49">
            <v>1245</v>
          </cell>
          <cell r="C49" t="str">
            <v>Arnold; Dylan M</v>
          </cell>
          <cell r="D49" t="str">
            <v>1C</v>
          </cell>
          <cell r="E49" t="str">
            <v>IBEWOUT</v>
          </cell>
          <cell r="F49" t="str">
            <v>77</v>
          </cell>
          <cell r="G49" t="str">
            <v>8</v>
          </cell>
          <cell r="H49">
            <v>0</v>
          </cell>
        </row>
        <row r="50">
          <cell r="B50">
            <v>1247</v>
          </cell>
          <cell r="C50" t="str">
            <v>Arana; Daniel I</v>
          </cell>
          <cell r="D50" t="str">
            <v>1C</v>
          </cell>
          <cell r="E50" t="str">
            <v>IBEWOUT</v>
          </cell>
          <cell r="F50" t="str">
            <v>47</v>
          </cell>
          <cell r="G50" t="str">
            <v>13</v>
          </cell>
          <cell r="H50">
            <v>0</v>
          </cell>
        </row>
        <row r="51">
          <cell r="B51">
            <v>1248</v>
          </cell>
          <cell r="C51" t="str">
            <v>Aragon; Charles E</v>
          </cell>
          <cell r="D51" t="str">
            <v>1</v>
          </cell>
          <cell r="E51" t="str">
            <v>IBEWOUT</v>
          </cell>
          <cell r="F51" t="str">
            <v>611</v>
          </cell>
          <cell r="G51" t="str">
            <v>16</v>
          </cell>
          <cell r="H51">
            <v>0</v>
          </cell>
        </row>
        <row r="52">
          <cell r="B52">
            <v>1255</v>
          </cell>
          <cell r="C52" t="str">
            <v>Ash IV; Leonard C</v>
          </cell>
          <cell r="D52" t="str">
            <v>1C</v>
          </cell>
          <cell r="E52" t="str">
            <v>IBEWOUT</v>
          </cell>
          <cell r="F52" t="str">
            <v>611</v>
          </cell>
          <cell r="G52" t="str">
            <v>8</v>
          </cell>
          <cell r="H52">
            <v>0</v>
          </cell>
        </row>
        <row r="53">
          <cell r="B53">
            <v>1256</v>
          </cell>
          <cell r="C53" t="str">
            <v>Atencio; Aaron B</v>
          </cell>
          <cell r="D53" t="str">
            <v>1C</v>
          </cell>
          <cell r="E53" t="str">
            <v>IBEWOUT</v>
          </cell>
          <cell r="F53" t="str">
            <v>611</v>
          </cell>
          <cell r="G53" t="str">
            <v>8</v>
          </cell>
          <cell r="H53">
            <v>0</v>
          </cell>
        </row>
        <row r="54">
          <cell r="B54">
            <v>1258</v>
          </cell>
          <cell r="C54" t="str">
            <v>Asadullah; Muhammad A</v>
          </cell>
          <cell r="D54" t="str">
            <v>1</v>
          </cell>
          <cell r="E54" t="str">
            <v>IBEWOUT</v>
          </cell>
          <cell r="F54" t="str">
            <v>769</v>
          </cell>
          <cell r="G54" t="str">
            <v>12</v>
          </cell>
          <cell r="H54">
            <v>0</v>
          </cell>
        </row>
        <row r="55">
          <cell r="B55">
            <v>1260</v>
          </cell>
          <cell r="C55" t="str">
            <v>Austin; Berton R.</v>
          </cell>
          <cell r="D55" t="str">
            <v>1C</v>
          </cell>
          <cell r="E55">
            <v>1260</v>
          </cell>
          <cell r="F55">
            <v>1260</v>
          </cell>
          <cell r="G55">
            <v>1260</v>
          </cell>
          <cell r="H55">
            <v>1</v>
          </cell>
        </row>
        <row r="56">
          <cell r="B56">
            <v>1261</v>
          </cell>
          <cell r="C56" t="str">
            <v>Auzston; Russell E</v>
          </cell>
          <cell r="D56" t="str">
            <v>1C</v>
          </cell>
          <cell r="E56" t="str">
            <v>IBEWOUT</v>
          </cell>
          <cell r="F56" t="str">
            <v>47</v>
          </cell>
          <cell r="G56" t="str">
            <v>8</v>
          </cell>
          <cell r="H56">
            <v>0</v>
          </cell>
        </row>
        <row r="57">
          <cell r="B57">
            <v>1270</v>
          </cell>
          <cell r="C57" t="str">
            <v>Ayers; Christopher S</v>
          </cell>
          <cell r="D57" t="str">
            <v>1C</v>
          </cell>
          <cell r="E57" t="str">
            <v>IBEWOUT</v>
          </cell>
          <cell r="F57" t="str">
            <v>769</v>
          </cell>
          <cell r="G57" t="str">
            <v>15</v>
          </cell>
          <cell r="H57">
            <v>0</v>
          </cell>
        </row>
        <row r="58">
          <cell r="B58">
            <v>1275</v>
          </cell>
          <cell r="C58" t="str">
            <v>Avery; Bella</v>
          </cell>
          <cell r="D58" t="str">
            <v>1C</v>
          </cell>
          <cell r="E58">
            <v>1275</v>
          </cell>
          <cell r="F58">
            <v>1275</v>
          </cell>
          <cell r="G58">
            <v>1275</v>
          </cell>
          <cell r="H58">
            <v>0</v>
          </cell>
        </row>
        <row r="59">
          <cell r="B59">
            <v>1283</v>
          </cell>
          <cell r="C59" t="str">
            <v>Avelar Palacios; Moises</v>
          </cell>
          <cell r="D59" t="str">
            <v>1C</v>
          </cell>
          <cell r="E59" t="str">
            <v>IBEWOUT</v>
          </cell>
          <cell r="F59" t="str">
            <v>1245</v>
          </cell>
          <cell r="G59" t="str">
            <v>11</v>
          </cell>
          <cell r="H59">
            <v>0</v>
          </cell>
        </row>
        <row r="60">
          <cell r="B60">
            <v>1285</v>
          </cell>
          <cell r="C60" t="str">
            <v>Awong; Kiekie</v>
          </cell>
          <cell r="D60" t="str">
            <v>1</v>
          </cell>
          <cell r="E60" t="str">
            <v>IBEWOUT</v>
          </cell>
          <cell r="F60" t="str">
            <v>1245</v>
          </cell>
          <cell r="G60" t="str">
            <v>8</v>
          </cell>
          <cell r="H60">
            <v>0</v>
          </cell>
        </row>
        <row r="61">
          <cell r="B61">
            <v>1331</v>
          </cell>
          <cell r="C61" t="str">
            <v>Babb; Mitchell R.</v>
          </cell>
          <cell r="D61" t="str">
            <v>1C</v>
          </cell>
          <cell r="E61" t="str">
            <v>IBEWOUT</v>
          </cell>
          <cell r="F61" t="str">
            <v>1245</v>
          </cell>
          <cell r="G61" t="str">
            <v>8</v>
          </cell>
          <cell r="H61">
            <v>0</v>
          </cell>
        </row>
        <row r="62">
          <cell r="B62">
            <v>1335</v>
          </cell>
          <cell r="C62" t="str">
            <v>Badalamente; Joseph A</v>
          </cell>
          <cell r="D62" t="str">
            <v>1C</v>
          </cell>
          <cell r="E62" t="str">
            <v>IBEWOUT</v>
          </cell>
          <cell r="F62" t="str">
            <v>1049</v>
          </cell>
          <cell r="G62" t="str">
            <v>15</v>
          </cell>
          <cell r="H62">
            <v>0</v>
          </cell>
        </row>
        <row r="63">
          <cell r="B63">
            <v>1338</v>
          </cell>
          <cell r="C63" t="str">
            <v>Bair; Ronald</v>
          </cell>
          <cell r="D63" t="str">
            <v>1</v>
          </cell>
          <cell r="E63">
            <v>1338</v>
          </cell>
          <cell r="F63">
            <v>1338</v>
          </cell>
          <cell r="G63">
            <v>1338</v>
          </cell>
          <cell r="H63">
            <v>1</v>
          </cell>
        </row>
        <row r="64">
          <cell r="B64">
            <v>1353</v>
          </cell>
          <cell r="C64" t="str">
            <v>Bannister Jr; Kenneth W</v>
          </cell>
          <cell r="D64" t="str">
            <v>1C</v>
          </cell>
          <cell r="E64" t="str">
            <v>IBEWOUT</v>
          </cell>
          <cell r="F64" t="str">
            <v>1245</v>
          </cell>
          <cell r="G64" t="str">
            <v>8</v>
          </cell>
          <cell r="H64">
            <v>0</v>
          </cell>
        </row>
        <row r="65">
          <cell r="B65">
            <v>1357</v>
          </cell>
          <cell r="C65" t="str">
            <v>Baldassano; Jay V</v>
          </cell>
          <cell r="D65" t="str">
            <v>1</v>
          </cell>
          <cell r="E65" t="str">
            <v>IBEWOUT</v>
          </cell>
          <cell r="F65" t="str">
            <v>1049</v>
          </cell>
          <cell r="G65" t="str">
            <v>7</v>
          </cell>
          <cell r="H65">
            <v>0</v>
          </cell>
        </row>
        <row r="66">
          <cell r="B66">
            <v>1358</v>
          </cell>
          <cell r="C66" t="str">
            <v>Baldovino; Ernest Dion</v>
          </cell>
          <cell r="D66" t="str">
            <v>1C</v>
          </cell>
          <cell r="E66" t="str">
            <v>IBEWOUT</v>
          </cell>
          <cell r="F66" t="str">
            <v>1049</v>
          </cell>
          <cell r="G66" t="str">
            <v>8</v>
          </cell>
          <cell r="H66">
            <v>0</v>
          </cell>
        </row>
        <row r="67">
          <cell r="B67">
            <v>1359</v>
          </cell>
          <cell r="C67" t="str">
            <v>Bailey; Gary D</v>
          </cell>
          <cell r="D67" t="str">
            <v>1C</v>
          </cell>
          <cell r="E67" t="str">
            <v>IBEWOUT</v>
          </cell>
          <cell r="F67" t="str">
            <v>602R</v>
          </cell>
          <cell r="G67" t="str">
            <v>15T</v>
          </cell>
          <cell r="H67">
            <v>0</v>
          </cell>
        </row>
        <row r="68">
          <cell r="B68">
            <v>1360</v>
          </cell>
          <cell r="C68" t="str">
            <v>Bannon; Richard Lloyd</v>
          </cell>
          <cell r="D68" t="str">
            <v>1</v>
          </cell>
          <cell r="E68" t="str">
            <v>IBEWOUT</v>
          </cell>
          <cell r="F68" t="str">
            <v>77</v>
          </cell>
          <cell r="G68" t="str">
            <v>7</v>
          </cell>
          <cell r="H68">
            <v>0</v>
          </cell>
        </row>
        <row r="69">
          <cell r="B69">
            <v>1361</v>
          </cell>
          <cell r="C69" t="str">
            <v>Bailey; Michael J</v>
          </cell>
          <cell r="D69" t="str">
            <v>1C</v>
          </cell>
          <cell r="E69" t="str">
            <v>IBEWOUT</v>
          </cell>
          <cell r="F69" t="str">
            <v>483</v>
          </cell>
          <cell r="G69" t="str">
            <v>8</v>
          </cell>
          <cell r="H69">
            <v>0</v>
          </cell>
        </row>
        <row r="70">
          <cell r="B70">
            <v>1369</v>
          </cell>
          <cell r="C70" t="str">
            <v>Bakkie; Christopher R</v>
          </cell>
          <cell r="D70" t="str">
            <v>1C</v>
          </cell>
          <cell r="E70" t="str">
            <v>IBEWOUT</v>
          </cell>
          <cell r="F70" t="str">
            <v>1245</v>
          </cell>
          <cell r="G70" t="str">
            <v>17</v>
          </cell>
          <cell r="H70">
            <v>0</v>
          </cell>
        </row>
        <row r="71">
          <cell r="B71">
            <v>1371</v>
          </cell>
          <cell r="C71" t="str">
            <v>Baggerly; Richard A</v>
          </cell>
          <cell r="D71" t="str">
            <v>1C</v>
          </cell>
          <cell r="E71" t="str">
            <v>IBEWOUT</v>
          </cell>
          <cell r="F71" t="str">
            <v>77</v>
          </cell>
          <cell r="G71" t="str">
            <v>17</v>
          </cell>
          <cell r="H71">
            <v>0</v>
          </cell>
        </row>
        <row r="72">
          <cell r="B72">
            <v>1372</v>
          </cell>
          <cell r="C72" t="str">
            <v>Bamer; Gregory F</v>
          </cell>
          <cell r="D72" t="str">
            <v>1C</v>
          </cell>
          <cell r="E72" t="str">
            <v>IBEWOUT</v>
          </cell>
          <cell r="F72" t="str">
            <v>77</v>
          </cell>
          <cell r="G72" t="str">
            <v>7</v>
          </cell>
          <cell r="H72">
            <v>0</v>
          </cell>
        </row>
        <row r="73">
          <cell r="B73">
            <v>1373</v>
          </cell>
          <cell r="C73" t="str">
            <v>Badillo; Harold L</v>
          </cell>
          <cell r="D73" t="str">
            <v>1</v>
          </cell>
          <cell r="E73" t="str">
            <v>IBEWOUT</v>
          </cell>
          <cell r="F73" t="str">
            <v>1245</v>
          </cell>
          <cell r="G73" t="str">
            <v>8</v>
          </cell>
          <cell r="H73">
            <v>0</v>
          </cell>
        </row>
        <row r="74">
          <cell r="B74">
            <v>1374</v>
          </cell>
          <cell r="C74" t="str">
            <v>Bailey; Matthew</v>
          </cell>
          <cell r="D74" t="str">
            <v>1C</v>
          </cell>
          <cell r="E74" t="str">
            <v>IBEWOUT</v>
          </cell>
          <cell r="F74" t="str">
            <v>47</v>
          </cell>
          <cell r="G74" t="str">
            <v>8</v>
          </cell>
          <cell r="H74">
            <v>0</v>
          </cell>
        </row>
        <row r="75">
          <cell r="B75">
            <v>1482</v>
          </cell>
          <cell r="C75" t="str">
            <v>Barcena; Oscar</v>
          </cell>
          <cell r="D75" t="str">
            <v>1C</v>
          </cell>
          <cell r="E75" t="str">
            <v>IBEWOUT</v>
          </cell>
          <cell r="F75" t="str">
            <v>47</v>
          </cell>
          <cell r="G75" t="str">
            <v>17</v>
          </cell>
          <cell r="H75">
            <v>0</v>
          </cell>
        </row>
        <row r="76">
          <cell r="B76">
            <v>1485</v>
          </cell>
          <cell r="C76" t="str">
            <v>Barker; Kyle D.</v>
          </cell>
          <cell r="D76" t="str">
            <v>1C</v>
          </cell>
          <cell r="E76" t="str">
            <v>IBEWOUT</v>
          </cell>
          <cell r="F76" t="str">
            <v>77</v>
          </cell>
          <cell r="G76" t="str">
            <v>12</v>
          </cell>
          <cell r="H76">
            <v>0</v>
          </cell>
        </row>
        <row r="77">
          <cell r="B77">
            <v>1490</v>
          </cell>
          <cell r="C77" t="str">
            <v>Barlow; Gary L</v>
          </cell>
          <cell r="D77" t="str">
            <v>1C</v>
          </cell>
          <cell r="E77" t="str">
            <v>IBEWOUT</v>
          </cell>
          <cell r="F77" t="str">
            <v>47</v>
          </cell>
          <cell r="G77" t="str">
            <v>17</v>
          </cell>
          <cell r="H77">
            <v>0</v>
          </cell>
        </row>
        <row r="78">
          <cell r="B78">
            <v>1491</v>
          </cell>
          <cell r="C78" t="str">
            <v>Barnard; Matthew W.</v>
          </cell>
          <cell r="D78" t="str">
            <v>1C</v>
          </cell>
          <cell r="E78" t="str">
            <v>IBEWOUT</v>
          </cell>
          <cell r="F78" t="str">
            <v>769</v>
          </cell>
          <cell r="G78" t="str">
            <v>8</v>
          </cell>
          <cell r="H78">
            <v>0</v>
          </cell>
        </row>
        <row r="79">
          <cell r="B79">
            <v>1495</v>
          </cell>
          <cell r="C79" t="str">
            <v>Barnard; David J</v>
          </cell>
          <cell r="D79" t="str">
            <v>1C</v>
          </cell>
          <cell r="E79" t="str">
            <v>IBEWOUT</v>
          </cell>
          <cell r="F79" t="str">
            <v>77</v>
          </cell>
          <cell r="G79" t="str">
            <v>8</v>
          </cell>
          <cell r="H79">
            <v>0</v>
          </cell>
        </row>
        <row r="80">
          <cell r="B80">
            <v>1506</v>
          </cell>
          <cell r="C80" t="str">
            <v>Barnes; Rodney</v>
          </cell>
          <cell r="D80" t="str">
            <v>1C</v>
          </cell>
          <cell r="E80" t="str">
            <v>IBEWOUT</v>
          </cell>
          <cell r="F80" t="str">
            <v>47</v>
          </cell>
          <cell r="G80" t="str">
            <v>8</v>
          </cell>
          <cell r="H80">
            <v>0</v>
          </cell>
        </row>
        <row r="81">
          <cell r="B81">
            <v>1527</v>
          </cell>
          <cell r="C81" t="str">
            <v>Bash; Troy S.</v>
          </cell>
          <cell r="D81" t="str">
            <v>1C</v>
          </cell>
          <cell r="E81" t="str">
            <v>IBEWOUT</v>
          </cell>
          <cell r="F81" t="str">
            <v>769</v>
          </cell>
          <cell r="G81" t="str">
            <v>14</v>
          </cell>
          <cell r="H81">
            <v>0</v>
          </cell>
        </row>
        <row r="82">
          <cell r="B82">
            <v>1530</v>
          </cell>
          <cell r="C82" t="str">
            <v>Basham; Geoffery K</v>
          </cell>
          <cell r="D82" t="str">
            <v>1C</v>
          </cell>
          <cell r="E82" t="str">
            <v>IBEWOUT</v>
          </cell>
          <cell r="F82" t="str">
            <v>602R</v>
          </cell>
          <cell r="G82" t="str">
            <v>18</v>
          </cell>
          <cell r="H82">
            <v>0</v>
          </cell>
        </row>
        <row r="83">
          <cell r="B83">
            <v>1532</v>
          </cell>
          <cell r="C83" t="str">
            <v>Battise; Nikolas T</v>
          </cell>
          <cell r="D83" t="str">
            <v>1C</v>
          </cell>
          <cell r="E83" t="str">
            <v>IBEWOUT</v>
          </cell>
          <cell r="F83" t="str">
            <v>47</v>
          </cell>
          <cell r="G83" t="str">
            <v>8</v>
          </cell>
          <cell r="H83">
            <v>0</v>
          </cell>
        </row>
        <row r="84">
          <cell r="B84">
            <v>1533</v>
          </cell>
          <cell r="C84" t="str">
            <v>Barron; Cameron S</v>
          </cell>
          <cell r="D84" t="str">
            <v>1C</v>
          </cell>
          <cell r="E84" t="str">
            <v>IBEWOUT</v>
          </cell>
          <cell r="F84" t="str">
            <v>602R</v>
          </cell>
          <cell r="G84" t="str">
            <v>14T</v>
          </cell>
          <cell r="H84">
            <v>0</v>
          </cell>
        </row>
        <row r="85">
          <cell r="B85">
            <v>1536</v>
          </cell>
          <cell r="C85" t="str">
            <v>Barrows; Trent D</v>
          </cell>
          <cell r="D85" t="str">
            <v>1C</v>
          </cell>
          <cell r="E85" t="str">
            <v>IBEWOUT</v>
          </cell>
          <cell r="F85" t="str">
            <v>47</v>
          </cell>
          <cell r="G85" t="str">
            <v>16</v>
          </cell>
          <cell r="H85">
            <v>0</v>
          </cell>
        </row>
        <row r="86">
          <cell r="B86">
            <v>1554</v>
          </cell>
          <cell r="C86" t="str">
            <v>Beck; Evan D.</v>
          </cell>
          <cell r="D86" t="str">
            <v>1C</v>
          </cell>
          <cell r="E86" t="str">
            <v>IBEWOUT</v>
          </cell>
          <cell r="F86" t="str">
            <v>125</v>
          </cell>
          <cell r="G86" t="str">
            <v>8</v>
          </cell>
          <cell r="H86">
            <v>0</v>
          </cell>
        </row>
        <row r="87">
          <cell r="B87">
            <v>1556</v>
          </cell>
          <cell r="C87" t="str">
            <v>Bednar; Shannon Michael</v>
          </cell>
          <cell r="D87" t="str">
            <v>1C</v>
          </cell>
          <cell r="E87" t="str">
            <v>IBEWOUT</v>
          </cell>
          <cell r="F87" t="str">
            <v>1245</v>
          </cell>
          <cell r="G87" t="str">
            <v>8</v>
          </cell>
          <cell r="H87">
            <v>0</v>
          </cell>
        </row>
        <row r="88">
          <cell r="B88">
            <v>1558</v>
          </cell>
          <cell r="C88" t="str">
            <v>Beck; David A</v>
          </cell>
          <cell r="D88" t="str">
            <v>1</v>
          </cell>
          <cell r="E88" t="str">
            <v>IBEWOUT</v>
          </cell>
          <cell r="F88" t="str">
            <v>1245</v>
          </cell>
          <cell r="G88" t="str">
            <v>17</v>
          </cell>
          <cell r="H88">
            <v>0</v>
          </cell>
        </row>
        <row r="89">
          <cell r="B89">
            <v>1565</v>
          </cell>
          <cell r="C89" t="str">
            <v>Begaye; Donald</v>
          </cell>
          <cell r="D89" t="str">
            <v>1C</v>
          </cell>
          <cell r="E89" t="str">
            <v>IBEWOUT</v>
          </cell>
          <cell r="F89" t="str">
            <v>769</v>
          </cell>
          <cell r="G89" t="str">
            <v>8</v>
          </cell>
          <cell r="H89">
            <v>0</v>
          </cell>
        </row>
        <row r="90">
          <cell r="B90">
            <v>1568</v>
          </cell>
          <cell r="C90" t="str">
            <v>Beissel; Lee C</v>
          </cell>
          <cell r="D90" t="str">
            <v>1C</v>
          </cell>
          <cell r="E90">
            <v>1568</v>
          </cell>
          <cell r="F90">
            <v>1568</v>
          </cell>
          <cell r="G90">
            <v>1568</v>
          </cell>
          <cell r="H90">
            <v>1</v>
          </cell>
        </row>
        <row r="91">
          <cell r="B91">
            <v>1572</v>
          </cell>
          <cell r="C91" t="str">
            <v>Belcher; Jeffrey James</v>
          </cell>
          <cell r="D91" t="str">
            <v>1C</v>
          </cell>
          <cell r="E91" t="str">
            <v>IBEWOUT</v>
          </cell>
          <cell r="F91" t="str">
            <v>47</v>
          </cell>
          <cell r="G91" t="str">
            <v>8</v>
          </cell>
          <cell r="H91">
            <v>0</v>
          </cell>
        </row>
        <row r="92">
          <cell r="B92">
            <v>1574</v>
          </cell>
          <cell r="C92" t="str">
            <v>Beach; Dale D.</v>
          </cell>
          <cell r="D92" t="str">
            <v>1</v>
          </cell>
          <cell r="E92" t="str">
            <v>IBEWOUT</v>
          </cell>
          <cell r="F92" t="str">
            <v>77</v>
          </cell>
          <cell r="G92" t="str">
            <v>7</v>
          </cell>
          <cell r="H92">
            <v>0</v>
          </cell>
        </row>
        <row r="93">
          <cell r="B93">
            <v>1578</v>
          </cell>
          <cell r="C93" t="str">
            <v>Bell; Chester John</v>
          </cell>
          <cell r="D93" t="str">
            <v>1</v>
          </cell>
          <cell r="E93" t="str">
            <v>IBEWOUT</v>
          </cell>
          <cell r="F93" t="str">
            <v>1245</v>
          </cell>
          <cell r="G93" t="str">
            <v>1</v>
          </cell>
          <cell r="H93">
            <v>0</v>
          </cell>
        </row>
        <row r="94">
          <cell r="B94">
            <v>1579</v>
          </cell>
          <cell r="C94" t="str">
            <v>Bauer; Bradley L</v>
          </cell>
          <cell r="D94" t="str">
            <v>1C</v>
          </cell>
          <cell r="E94" t="str">
            <v>IBEWOUT</v>
          </cell>
          <cell r="F94" t="str">
            <v>160</v>
          </cell>
          <cell r="G94" t="str">
            <v>8</v>
          </cell>
          <cell r="H94">
            <v>0</v>
          </cell>
        </row>
        <row r="95">
          <cell r="B95">
            <v>1580</v>
          </cell>
          <cell r="C95" t="str">
            <v>Bell; Edward Douglas</v>
          </cell>
          <cell r="D95" t="str">
            <v>1C</v>
          </cell>
          <cell r="E95" t="str">
            <v>IBEWOUT</v>
          </cell>
          <cell r="F95" t="str">
            <v>1245</v>
          </cell>
          <cell r="G95" t="str">
            <v>8</v>
          </cell>
          <cell r="H95">
            <v>0</v>
          </cell>
        </row>
        <row r="96">
          <cell r="B96">
            <v>1581</v>
          </cell>
          <cell r="C96" t="str">
            <v>Bedoy; Cody J</v>
          </cell>
          <cell r="D96" t="str">
            <v>1C</v>
          </cell>
          <cell r="E96" t="str">
            <v>IBEWOUT</v>
          </cell>
          <cell r="F96" t="str">
            <v>1245</v>
          </cell>
          <cell r="G96" t="str">
            <v>8</v>
          </cell>
          <cell r="H96">
            <v>0</v>
          </cell>
        </row>
        <row r="97">
          <cell r="B97">
            <v>1585</v>
          </cell>
          <cell r="C97" t="str">
            <v>Bellos; Jacob G.</v>
          </cell>
          <cell r="D97" t="str">
            <v>1C</v>
          </cell>
          <cell r="E97" t="str">
            <v>IBEWOUT</v>
          </cell>
          <cell r="F97" t="str">
            <v>77</v>
          </cell>
          <cell r="G97" t="str">
            <v>12</v>
          </cell>
          <cell r="H97">
            <v>0</v>
          </cell>
        </row>
        <row r="98">
          <cell r="B98">
            <v>1586</v>
          </cell>
          <cell r="C98" t="str">
            <v>Beeler; Michael A</v>
          </cell>
          <cell r="D98" t="str">
            <v>1</v>
          </cell>
          <cell r="E98">
            <v>1586</v>
          </cell>
          <cell r="F98">
            <v>1586</v>
          </cell>
          <cell r="G98">
            <v>1586</v>
          </cell>
          <cell r="H98">
            <v>1</v>
          </cell>
        </row>
        <row r="99">
          <cell r="B99">
            <v>1587</v>
          </cell>
          <cell r="C99" t="str">
            <v>Beech; Kenneth J</v>
          </cell>
          <cell r="D99" t="str">
            <v>1</v>
          </cell>
          <cell r="E99" t="str">
            <v>IBEWOUT</v>
          </cell>
          <cell r="F99" t="str">
            <v>769</v>
          </cell>
          <cell r="G99" t="str">
            <v>12</v>
          </cell>
          <cell r="H99">
            <v>0</v>
          </cell>
        </row>
        <row r="100">
          <cell r="B100">
            <v>1588</v>
          </cell>
          <cell r="C100" t="str">
            <v>Bell; Jacob K</v>
          </cell>
          <cell r="D100" t="str">
            <v>1</v>
          </cell>
          <cell r="E100" t="str">
            <v>IBEWOUT</v>
          </cell>
          <cell r="F100" t="str">
            <v>77</v>
          </cell>
          <cell r="G100" t="str">
            <v>8</v>
          </cell>
          <cell r="H100">
            <v>0</v>
          </cell>
        </row>
        <row r="101">
          <cell r="B101">
            <v>1595</v>
          </cell>
          <cell r="C101" t="str">
            <v>Beltran; Juan F</v>
          </cell>
          <cell r="D101" t="str">
            <v>1C</v>
          </cell>
          <cell r="E101" t="str">
            <v>IBEWOUT</v>
          </cell>
          <cell r="F101" t="str">
            <v>47</v>
          </cell>
          <cell r="G101" t="str">
            <v>8</v>
          </cell>
          <cell r="H101">
            <v>0</v>
          </cell>
        </row>
        <row r="102">
          <cell r="B102">
            <v>1598</v>
          </cell>
          <cell r="C102" t="str">
            <v>Becker; Bryan</v>
          </cell>
          <cell r="D102" t="str">
            <v>1C</v>
          </cell>
          <cell r="E102">
            <v>1598</v>
          </cell>
          <cell r="F102">
            <v>1598</v>
          </cell>
          <cell r="G102">
            <v>1598</v>
          </cell>
          <cell r="H102">
            <v>0</v>
          </cell>
        </row>
        <row r="103">
          <cell r="B103">
            <v>1599</v>
          </cell>
          <cell r="C103" t="str">
            <v>Beltran; Ramon L</v>
          </cell>
          <cell r="D103" t="str">
            <v>1C</v>
          </cell>
          <cell r="E103" t="str">
            <v>IBEWOUT</v>
          </cell>
          <cell r="F103" t="str">
            <v>1245</v>
          </cell>
          <cell r="G103" t="str">
            <v>17</v>
          </cell>
          <cell r="H103">
            <v>0</v>
          </cell>
        </row>
        <row r="104">
          <cell r="B104">
            <v>1604</v>
          </cell>
          <cell r="C104" t="str">
            <v>Bojt; James E</v>
          </cell>
          <cell r="D104" t="str">
            <v>1C</v>
          </cell>
          <cell r="E104" t="str">
            <v>IBEWOUT</v>
          </cell>
          <cell r="F104" t="str">
            <v>126</v>
          </cell>
          <cell r="G104" t="str">
            <v>7S</v>
          </cell>
          <cell r="H104">
            <v>0</v>
          </cell>
        </row>
        <row r="105">
          <cell r="B105">
            <v>1606</v>
          </cell>
          <cell r="C105" t="str">
            <v>Bock; Nathan Philip</v>
          </cell>
          <cell r="D105" t="str">
            <v>1C</v>
          </cell>
          <cell r="E105" t="str">
            <v>IBEWOUT</v>
          </cell>
          <cell r="F105" t="str">
            <v>77</v>
          </cell>
          <cell r="G105" t="str">
            <v>8</v>
          </cell>
          <cell r="H105">
            <v>0</v>
          </cell>
        </row>
        <row r="106">
          <cell r="B106">
            <v>1608</v>
          </cell>
          <cell r="C106" t="str">
            <v>Boisvert; Harry A</v>
          </cell>
          <cell r="D106" t="str">
            <v>1C</v>
          </cell>
          <cell r="E106" t="str">
            <v>IBEWOUT</v>
          </cell>
          <cell r="F106" t="str">
            <v>47</v>
          </cell>
          <cell r="G106" t="str">
            <v>13</v>
          </cell>
          <cell r="H106">
            <v>0</v>
          </cell>
        </row>
        <row r="107">
          <cell r="B107">
            <v>1610</v>
          </cell>
          <cell r="C107" t="str">
            <v>Belsterling; David J</v>
          </cell>
          <cell r="D107" t="str">
            <v>1C</v>
          </cell>
          <cell r="E107" t="str">
            <v>IBEWOUT</v>
          </cell>
          <cell r="F107" t="str">
            <v>126</v>
          </cell>
          <cell r="G107" t="str">
            <v>13</v>
          </cell>
          <cell r="H107">
            <v>0</v>
          </cell>
        </row>
        <row r="108">
          <cell r="B108">
            <v>1614</v>
          </cell>
          <cell r="C108" t="str">
            <v>Bentley; Lonne</v>
          </cell>
          <cell r="D108" t="str">
            <v>1C</v>
          </cell>
          <cell r="E108" t="str">
            <v>IBEWOUT</v>
          </cell>
          <cell r="F108" t="str">
            <v>77</v>
          </cell>
          <cell r="G108" t="str">
            <v>8</v>
          </cell>
          <cell r="H108">
            <v>0</v>
          </cell>
        </row>
        <row r="109">
          <cell r="B109">
            <v>1615</v>
          </cell>
          <cell r="C109" t="str">
            <v>Boes; Thomas J</v>
          </cell>
          <cell r="D109" t="str">
            <v>1</v>
          </cell>
          <cell r="E109" t="str">
            <v>IBEWOUT</v>
          </cell>
          <cell r="F109" t="str">
            <v>160</v>
          </cell>
          <cell r="G109" t="str">
            <v>22</v>
          </cell>
          <cell r="H109">
            <v>0</v>
          </cell>
        </row>
        <row r="110">
          <cell r="B110">
            <v>1620</v>
          </cell>
          <cell r="C110" t="str">
            <v>Berg; Bryan W.</v>
          </cell>
          <cell r="D110" t="str">
            <v>1</v>
          </cell>
          <cell r="E110" t="str">
            <v>IBEWOUT</v>
          </cell>
          <cell r="F110" t="str">
            <v>47</v>
          </cell>
          <cell r="G110" t="str">
            <v>7</v>
          </cell>
          <cell r="H110">
            <v>0</v>
          </cell>
        </row>
        <row r="111">
          <cell r="B111">
            <v>1647</v>
          </cell>
          <cell r="C111" t="str">
            <v>Baxter; Olliver</v>
          </cell>
          <cell r="D111" t="str">
            <v>1C</v>
          </cell>
          <cell r="E111">
            <v>1647</v>
          </cell>
          <cell r="F111">
            <v>1647</v>
          </cell>
          <cell r="G111">
            <v>1647</v>
          </cell>
          <cell r="H111">
            <v>0</v>
          </cell>
        </row>
        <row r="112">
          <cell r="B112">
            <v>1650</v>
          </cell>
          <cell r="C112" t="str">
            <v>Bayless; Keegan Dale</v>
          </cell>
          <cell r="D112" t="str">
            <v>1C</v>
          </cell>
          <cell r="E112" t="str">
            <v>IBEWOUT</v>
          </cell>
          <cell r="F112" t="str">
            <v>769</v>
          </cell>
          <cell r="G112" t="str">
            <v>22</v>
          </cell>
          <cell r="H112">
            <v>0</v>
          </cell>
        </row>
        <row r="113">
          <cell r="B113">
            <v>1720</v>
          </cell>
          <cell r="C113" t="str">
            <v>Berry; Andrew C.</v>
          </cell>
          <cell r="D113" t="str">
            <v>1</v>
          </cell>
          <cell r="E113" t="str">
            <v>IBEWOUT</v>
          </cell>
          <cell r="F113" t="str">
            <v>47</v>
          </cell>
          <cell r="G113" t="str">
            <v>7</v>
          </cell>
          <cell r="H113">
            <v>0</v>
          </cell>
        </row>
        <row r="114">
          <cell r="B114">
            <v>1738</v>
          </cell>
          <cell r="C114" t="str">
            <v>Bereta Jr; Larry L</v>
          </cell>
          <cell r="D114" t="str">
            <v>1C</v>
          </cell>
          <cell r="E114" t="str">
            <v>IBEWOUT</v>
          </cell>
          <cell r="F114" t="str">
            <v>47</v>
          </cell>
          <cell r="G114" t="str">
            <v>8</v>
          </cell>
          <cell r="H114">
            <v>0</v>
          </cell>
        </row>
        <row r="115">
          <cell r="B115">
            <v>1739</v>
          </cell>
          <cell r="C115" t="str">
            <v>Berti; Richard John</v>
          </cell>
          <cell r="D115" t="str">
            <v>1C</v>
          </cell>
          <cell r="E115" t="str">
            <v>IBEWOUT</v>
          </cell>
          <cell r="F115" t="str">
            <v>1245</v>
          </cell>
          <cell r="G115" t="str">
            <v>18</v>
          </cell>
          <cell r="H115">
            <v>0</v>
          </cell>
        </row>
        <row r="116">
          <cell r="B116">
            <v>1762</v>
          </cell>
          <cell r="C116" t="str">
            <v>Bielski; Filip A</v>
          </cell>
          <cell r="D116" t="str">
            <v>1</v>
          </cell>
          <cell r="E116" t="str">
            <v>IBEWOUT</v>
          </cell>
          <cell r="F116" t="str">
            <v>769</v>
          </cell>
          <cell r="G116" t="str">
            <v>8</v>
          </cell>
          <cell r="H116">
            <v>0</v>
          </cell>
        </row>
        <row r="117">
          <cell r="B117">
            <v>1763</v>
          </cell>
          <cell r="C117" t="str">
            <v>Biggs; Bret S</v>
          </cell>
          <cell r="D117" t="str">
            <v>1C</v>
          </cell>
          <cell r="E117" t="str">
            <v>IBEWOUT</v>
          </cell>
          <cell r="F117" t="str">
            <v>1245</v>
          </cell>
          <cell r="G117" t="str">
            <v>8</v>
          </cell>
          <cell r="H117">
            <v>0</v>
          </cell>
        </row>
        <row r="118">
          <cell r="B118">
            <v>1769</v>
          </cell>
          <cell r="C118" t="str">
            <v>Bindel; Bruce A.</v>
          </cell>
          <cell r="D118" t="str">
            <v>1C</v>
          </cell>
          <cell r="E118" t="str">
            <v>IBEWOUT</v>
          </cell>
          <cell r="F118" t="str">
            <v>1245</v>
          </cell>
          <cell r="G118" t="str">
            <v>17</v>
          </cell>
          <cell r="H118">
            <v>0</v>
          </cell>
        </row>
        <row r="119">
          <cell r="B119">
            <v>1770</v>
          </cell>
          <cell r="C119" t="str">
            <v>Biro; Brandon J</v>
          </cell>
          <cell r="D119" t="str">
            <v>1C</v>
          </cell>
          <cell r="E119" t="str">
            <v>IBEWOUT</v>
          </cell>
          <cell r="F119" t="str">
            <v>769</v>
          </cell>
          <cell r="G119" t="str">
            <v>17</v>
          </cell>
          <cell r="H119">
            <v>0</v>
          </cell>
        </row>
        <row r="120">
          <cell r="B120">
            <v>1774</v>
          </cell>
          <cell r="C120" t="str">
            <v>Bishop; Clark Bryant</v>
          </cell>
          <cell r="D120" t="str">
            <v>1C</v>
          </cell>
          <cell r="E120" t="str">
            <v>IBEWOUT</v>
          </cell>
          <cell r="F120" t="str">
            <v>1245</v>
          </cell>
          <cell r="G120" t="str">
            <v>8</v>
          </cell>
          <cell r="H120">
            <v>0</v>
          </cell>
        </row>
        <row r="121">
          <cell r="B121">
            <v>1775</v>
          </cell>
          <cell r="C121" t="str">
            <v>Bishop; Andrew M</v>
          </cell>
          <cell r="D121" t="str">
            <v>1C</v>
          </cell>
          <cell r="E121" t="str">
            <v>IBEWOUT</v>
          </cell>
          <cell r="F121" t="str">
            <v>77</v>
          </cell>
          <cell r="G121" t="str">
            <v>23</v>
          </cell>
          <cell r="H121">
            <v>0</v>
          </cell>
        </row>
        <row r="122">
          <cell r="B122">
            <v>1778</v>
          </cell>
          <cell r="C122" t="str">
            <v>Bishop; Toby J.</v>
          </cell>
          <cell r="D122" t="str">
            <v>1C</v>
          </cell>
          <cell r="E122" t="str">
            <v>IBEWOUT</v>
          </cell>
          <cell r="F122" t="str">
            <v>396</v>
          </cell>
          <cell r="G122" t="str">
            <v>8</v>
          </cell>
          <cell r="H122">
            <v>0</v>
          </cell>
        </row>
        <row r="123">
          <cell r="B123">
            <v>1779</v>
          </cell>
          <cell r="C123" t="str">
            <v>Bishop; Sean M</v>
          </cell>
          <cell r="D123" t="str">
            <v>1</v>
          </cell>
          <cell r="E123" t="str">
            <v>IBEWOUT</v>
          </cell>
          <cell r="F123" t="str">
            <v>611</v>
          </cell>
          <cell r="G123" t="str">
            <v>11</v>
          </cell>
          <cell r="H123">
            <v>0</v>
          </cell>
        </row>
        <row r="124">
          <cell r="B124">
            <v>1780</v>
          </cell>
          <cell r="C124" t="str">
            <v>Bischoff; Robert S</v>
          </cell>
          <cell r="D124" t="str">
            <v>1C</v>
          </cell>
          <cell r="E124" t="str">
            <v>IBEWOUT</v>
          </cell>
          <cell r="F124" t="str">
            <v>1319</v>
          </cell>
          <cell r="G124" t="str">
            <v>8</v>
          </cell>
          <cell r="H124">
            <v>0</v>
          </cell>
        </row>
        <row r="125">
          <cell r="B125">
            <v>1830</v>
          </cell>
          <cell r="C125" t="str">
            <v>Black; Jonathan Michael</v>
          </cell>
          <cell r="D125" t="str">
            <v>1</v>
          </cell>
          <cell r="E125" t="str">
            <v>IBEWOUT</v>
          </cell>
          <cell r="F125" t="str">
            <v>47</v>
          </cell>
          <cell r="G125" t="str">
            <v>7</v>
          </cell>
          <cell r="H125">
            <v>0</v>
          </cell>
        </row>
        <row r="126">
          <cell r="B126">
            <v>1831</v>
          </cell>
          <cell r="C126" t="str">
            <v>Black; Haven</v>
          </cell>
          <cell r="D126" t="str">
            <v>1C</v>
          </cell>
          <cell r="E126" t="str">
            <v>IBEWOUT</v>
          </cell>
          <cell r="F126" t="str">
            <v>47</v>
          </cell>
          <cell r="G126" t="str">
            <v>17</v>
          </cell>
          <cell r="H126">
            <v>0</v>
          </cell>
        </row>
        <row r="127">
          <cell r="B127">
            <v>1835</v>
          </cell>
          <cell r="C127" t="str">
            <v>Blacksheep; Darrell A.</v>
          </cell>
          <cell r="D127" t="str">
            <v>1C</v>
          </cell>
          <cell r="E127" t="str">
            <v>IBEWOUT</v>
          </cell>
          <cell r="F127" t="str">
            <v>769</v>
          </cell>
          <cell r="G127" t="str">
            <v>8</v>
          </cell>
          <cell r="H127">
            <v>0</v>
          </cell>
        </row>
        <row r="128">
          <cell r="B128">
            <v>1839</v>
          </cell>
          <cell r="C128" t="str">
            <v>Blagg; Michael L.</v>
          </cell>
          <cell r="D128" t="str">
            <v>1C</v>
          </cell>
          <cell r="E128" t="str">
            <v>IBEWOUT</v>
          </cell>
          <cell r="F128" t="str">
            <v>602R</v>
          </cell>
          <cell r="G128" t="str">
            <v>8</v>
          </cell>
          <cell r="H128">
            <v>0</v>
          </cell>
        </row>
        <row r="129">
          <cell r="B129">
            <v>1846</v>
          </cell>
          <cell r="C129" t="str">
            <v>Blalock; Michael R</v>
          </cell>
          <cell r="D129" t="str">
            <v>1C</v>
          </cell>
          <cell r="E129" t="str">
            <v>IBEWOUT</v>
          </cell>
          <cell r="F129" t="str">
            <v>769</v>
          </cell>
          <cell r="G129" t="str">
            <v>8</v>
          </cell>
          <cell r="H129">
            <v>0</v>
          </cell>
        </row>
        <row r="130">
          <cell r="B130">
            <v>1849</v>
          </cell>
          <cell r="C130" t="str">
            <v>Blakely Jr.; Steven William</v>
          </cell>
          <cell r="D130" t="str">
            <v>1C</v>
          </cell>
          <cell r="E130" t="str">
            <v>IBEWOUT</v>
          </cell>
          <cell r="F130" t="str">
            <v>769</v>
          </cell>
          <cell r="G130" t="str">
            <v>22</v>
          </cell>
          <cell r="H130">
            <v>0</v>
          </cell>
        </row>
        <row r="131">
          <cell r="B131">
            <v>1850</v>
          </cell>
          <cell r="C131" t="str">
            <v>Blake; Britton R.</v>
          </cell>
          <cell r="D131" t="str">
            <v>1</v>
          </cell>
          <cell r="E131" t="str">
            <v>IBEWOUT</v>
          </cell>
          <cell r="F131" t="str">
            <v>1049</v>
          </cell>
          <cell r="G131" t="str">
            <v>8</v>
          </cell>
          <cell r="H131">
            <v>0</v>
          </cell>
        </row>
        <row r="132">
          <cell r="B132">
            <v>1851</v>
          </cell>
          <cell r="C132" t="str">
            <v>Blakely; Taunia M</v>
          </cell>
          <cell r="D132" t="str">
            <v>1C</v>
          </cell>
          <cell r="E132" t="str">
            <v>IBEWIN</v>
          </cell>
          <cell r="F132" t="str">
            <v>280</v>
          </cell>
          <cell r="G132" t="str">
            <v>61</v>
          </cell>
          <cell r="H132">
            <v>0</v>
          </cell>
        </row>
        <row r="133">
          <cell r="B133">
            <v>1860</v>
          </cell>
          <cell r="C133" t="str">
            <v>Bligh; Brandon R</v>
          </cell>
          <cell r="D133" t="str">
            <v>1C</v>
          </cell>
          <cell r="E133" t="str">
            <v>IBEWOUT</v>
          </cell>
          <cell r="F133" t="str">
            <v>47</v>
          </cell>
          <cell r="G133" t="str">
            <v>8</v>
          </cell>
          <cell r="H133">
            <v>0</v>
          </cell>
        </row>
        <row r="134">
          <cell r="B134">
            <v>1871</v>
          </cell>
          <cell r="C134" t="str">
            <v>Blount; Undrae A</v>
          </cell>
          <cell r="D134" t="str">
            <v>1C</v>
          </cell>
          <cell r="E134" t="str">
            <v>IBEWOUT</v>
          </cell>
          <cell r="F134" t="str">
            <v>1049</v>
          </cell>
          <cell r="G134" t="str">
            <v>17</v>
          </cell>
          <cell r="H134">
            <v>0</v>
          </cell>
        </row>
        <row r="135">
          <cell r="B135">
            <v>1940</v>
          </cell>
          <cell r="C135" t="str">
            <v>Bond; Bob M.</v>
          </cell>
          <cell r="D135" t="str">
            <v>1C</v>
          </cell>
          <cell r="E135" t="str">
            <v>IBEWOUT</v>
          </cell>
          <cell r="F135" t="str">
            <v>77</v>
          </cell>
          <cell r="G135" t="str">
            <v>8</v>
          </cell>
          <cell r="H135">
            <v>0</v>
          </cell>
        </row>
        <row r="136">
          <cell r="B136">
            <v>1962</v>
          </cell>
          <cell r="C136" t="str">
            <v>Booker; Chris L</v>
          </cell>
          <cell r="D136" t="str">
            <v>1C</v>
          </cell>
          <cell r="E136" t="str">
            <v>IBEWOUT</v>
          </cell>
          <cell r="F136" t="str">
            <v>1245</v>
          </cell>
          <cell r="G136" t="str">
            <v>8</v>
          </cell>
          <cell r="H136">
            <v>0</v>
          </cell>
        </row>
        <row r="137">
          <cell r="B137">
            <v>1970</v>
          </cell>
          <cell r="C137" t="str">
            <v>Booton; Michael G</v>
          </cell>
          <cell r="D137" t="str">
            <v>1C</v>
          </cell>
          <cell r="E137" t="str">
            <v>IBEWOUT</v>
          </cell>
          <cell r="F137" t="str">
            <v>1245</v>
          </cell>
          <cell r="G137" t="str">
            <v>13</v>
          </cell>
          <cell r="H137">
            <v>0</v>
          </cell>
        </row>
        <row r="138">
          <cell r="B138">
            <v>1980</v>
          </cell>
          <cell r="C138" t="str">
            <v>Borboa; Jose C.</v>
          </cell>
          <cell r="D138" t="str">
            <v>1C</v>
          </cell>
          <cell r="E138" t="str">
            <v>IBEWOUT</v>
          </cell>
          <cell r="F138" t="str">
            <v>769</v>
          </cell>
          <cell r="G138" t="str">
            <v>20</v>
          </cell>
          <cell r="H138">
            <v>0</v>
          </cell>
        </row>
        <row r="139">
          <cell r="B139">
            <v>2068</v>
          </cell>
          <cell r="C139" t="str">
            <v>Bauder; Craig Richard</v>
          </cell>
          <cell r="D139" t="str">
            <v>1</v>
          </cell>
          <cell r="E139">
            <v>2068</v>
          </cell>
          <cell r="F139">
            <v>2068</v>
          </cell>
          <cell r="G139">
            <v>2068</v>
          </cell>
          <cell r="H139">
            <v>1</v>
          </cell>
        </row>
        <row r="140">
          <cell r="B140">
            <v>2086</v>
          </cell>
          <cell r="C140" t="str">
            <v>Boulden; Alexander A</v>
          </cell>
          <cell r="D140" t="str">
            <v>1C</v>
          </cell>
          <cell r="E140" t="str">
            <v>IBEWOUT</v>
          </cell>
          <cell r="F140" t="str">
            <v>1245</v>
          </cell>
          <cell r="G140" t="str">
            <v>17</v>
          </cell>
          <cell r="H140">
            <v>0</v>
          </cell>
        </row>
        <row r="141">
          <cell r="B141">
            <v>2090</v>
          </cell>
          <cell r="C141" t="str">
            <v>Bourgeois; Russel L</v>
          </cell>
          <cell r="D141" t="str">
            <v>1C</v>
          </cell>
          <cell r="E141" t="str">
            <v>IBEWOUT</v>
          </cell>
          <cell r="F141" t="str">
            <v>77</v>
          </cell>
          <cell r="G141" t="str">
            <v>8</v>
          </cell>
          <cell r="H141">
            <v>0</v>
          </cell>
        </row>
        <row r="142">
          <cell r="B142">
            <v>2097</v>
          </cell>
          <cell r="C142" t="str">
            <v>Bowe; Gary J</v>
          </cell>
          <cell r="D142" t="str">
            <v>1</v>
          </cell>
          <cell r="E142">
            <v>2097</v>
          </cell>
          <cell r="F142">
            <v>2097</v>
          </cell>
          <cell r="G142">
            <v>2097</v>
          </cell>
          <cell r="H142">
            <v>1</v>
          </cell>
        </row>
        <row r="143">
          <cell r="B143">
            <v>2114</v>
          </cell>
          <cell r="C143" t="str">
            <v>Bowie; William B</v>
          </cell>
          <cell r="D143" t="str">
            <v>1C</v>
          </cell>
          <cell r="E143" t="str">
            <v>IBEWOUT</v>
          </cell>
          <cell r="F143" t="str">
            <v>1049</v>
          </cell>
          <cell r="G143" t="str">
            <v>8</v>
          </cell>
          <cell r="H143">
            <v>0</v>
          </cell>
        </row>
        <row r="144">
          <cell r="B144">
            <v>2115</v>
          </cell>
          <cell r="C144" t="str">
            <v>Bowkett; John D</v>
          </cell>
          <cell r="D144" t="str">
            <v>1C</v>
          </cell>
          <cell r="E144" t="str">
            <v>IBEWOUT</v>
          </cell>
          <cell r="F144" t="str">
            <v>611</v>
          </cell>
          <cell r="G144" t="str">
            <v>8</v>
          </cell>
          <cell r="H144">
            <v>0</v>
          </cell>
        </row>
        <row r="145">
          <cell r="B145">
            <v>2118</v>
          </cell>
          <cell r="C145" t="str">
            <v>Bautista; Hector N.</v>
          </cell>
          <cell r="D145" t="str">
            <v>1C</v>
          </cell>
          <cell r="E145" t="str">
            <v>IBEWOUT</v>
          </cell>
          <cell r="F145" t="str">
            <v>396</v>
          </cell>
          <cell r="G145" t="str">
            <v>8</v>
          </cell>
          <cell r="H145">
            <v>0</v>
          </cell>
        </row>
        <row r="146">
          <cell r="B146">
            <v>2126</v>
          </cell>
          <cell r="C146" t="str">
            <v>Boyes; Benjamin D.</v>
          </cell>
          <cell r="D146" t="str">
            <v>1</v>
          </cell>
          <cell r="E146" t="str">
            <v>IBEWOUT</v>
          </cell>
          <cell r="F146" t="str">
            <v>1245</v>
          </cell>
          <cell r="G146" t="str">
            <v>8</v>
          </cell>
          <cell r="H146">
            <v>0</v>
          </cell>
        </row>
        <row r="147">
          <cell r="B147">
            <v>2128</v>
          </cell>
          <cell r="C147" t="str">
            <v>Braaten; Jason W</v>
          </cell>
          <cell r="D147" t="str">
            <v>1C</v>
          </cell>
          <cell r="E147" t="str">
            <v>IBEWOUT</v>
          </cell>
          <cell r="F147" t="str">
            <v>1245</v>
          </cell>
          <cell r="G147" t="str">
            <v>8</v>
          </cell>
          <cell r="H147">
            <v>0</v>
          </cell>
        </row>
        <row r="148">
          <cell r="B148">
            <v>2129</v>
          </cell>
          <cell r="C148" t="str">
            <v>Bradford; Richard</v>
          </cell>
          <cell r="D148" t="str">
            <v>1C</v>
          </cell>
          <cell r="E148" t="str">
            <v>IBEWOUT</v>
          </cell>
          <cell r="F148" t="str">
            <v>602R</v>
          </cell>
          <cell r="G148" t="str">
            <v>7</v>
          </cell>
          <cell r="H148">
            <v>0</v>
          </cell>
        </row>
        <row r="149">
          <cell r="B149">
            <v>2131</v>
          </cell>
          <cell r="C149" t="str">
            <v>Bradley; Michael W.</v>
          </cell>
          <cell r="D149" t="str">
            <v>1C</v>
          </cell>
          <cell r="E149" t="str">
            <v>IBEWOUT</v>
          </cell>
          <cell r="F149" t="str">
            <v>1245</v>
          </cell>
          <cell r="G149" t="str">
            <v>8</v>
          </cell>
          <cell r="H149">
            <v>0</v>
          </cell>
        </row>
        <row r="150">
          <cell r="B150">
            <v>2134</v>
          </cell>
          <cell r="C150" t="str">
            <v>Bragado; Jere K</v>
          </cell>
          <cell r="D150" t="str">
            <v>1</v>
          </cell>
          <cell r="E150">
            <v>2134</v>
          </cell>
          <cell r="F150">
            <v>2134</v>
          </cell>
          <cell r="G150">
            <v>2134</v>
          </cell>
          <cell r="H150">
            <v>1</v>
          </cell>
        </row>
        <row r="151">
          <cell r="B151">
            <v>2135</v>
          </cell>
          <cell r="C151" t="str">
            <v>Brannock; Nicholas D</v>
          </cell>
          <cell r="D151" t="str">
            <v>1C</v>
          </cell>
          <cell r="E151" t="str">
            <v>IBEWOUT</v>
          </cell>
          <cell r="F151" t="str">
            <v>611</v>
          </cell>
          <cell r="G151" t="str">
            <v>15</v>
          </cell>
          <cell r="H151">
            <v>0</v>
          </cell>
        </row>
        <row r="152">
          <cell r="B152">
            <v>2136</v>
          </cell>
          <cell r="C152" t="str">
            <v>Boyd Jr.; Philip R.</v>
          </cell>
          <cell r="D152" t="str">
            <v>1C</v>
          </cell>
          <cell r="E152" t="str">
            <v>IBEWOUT</v>
          </cell>
          <cell r="F152" t="str">
            <v>1245</v>
          </cell>
          <cell r="G152" t="str">
            <v>8</v>
          </cell>
          <cell r="H152">
            <v>0</v>
          </cell>
        </row>
        <row r="153">
          <cell r="B153">
            <v>2140</v>
          </cell>
          <cell r="C153" t="str">
            <v>Brant; Justin</v>
          </cell>
          <cell r="D153" t="str">
            <v>1C</v>
          </cell>
          <cell r="E153">
            <v>2140</v>
          </cell>
          <cell r="F153">
            <v>2140</v>
          </cell>
          <cell r="G153">
            <v>2140</v>
          </cell>
          <cell r="H153">
            <v>0</v>
          </cell>
        </row>
        <row r="154">
          <cell r="B154">
            <v>2141</v>
          </cell>
          <cell r="C154" t="str">
            <v>Boyle; Kevin T.</v>
          </cell>
          <cell r="D154" t="str">
            <v>1C</v>
          </cell>
          <cell r="E154" t="str">
            <v>IBEWOUT</v>
          </cell>
          <cell r="F154" t="str">
            <v>125</v>
          </cell>
          <cell r="G154" t="str">
            <v>12</v>
          </cell>
          <cell r="H154">
            <v>0</v>
          </cell>
        </row>
        <row r="155">
          <cell r="B155">
            <v>2142</v>
          </cell>
          <cell r="C155" t="str">
            <v>Braun; Cody A</v>
          </cell>
          <cell r="D155" t="str">
            <v>1</v>
          </cell>
          <cell r="E155" t="str">
            <v>IBEWOUT</v>
          </cell>
          <cell r="F155" t="str">
            <v>47</v>
          </cell>
          <cell r="G155" t="str">
            <v>13</v>
          </cell>
          <cell r="H155">
            <v>0</v>
          </cell>
        </row>
        <row r="156">
          <cell r="B156">
            <v>2143</v>
          </cell>
          <cell r="C156" t="str">
            <v>Boyd; Nathan D</v>
          </cell>
          <cell r="D156" t="str">
            <v>1C</v>
          </cell>
          <cell r="E156" t="str">
            <v>IBEWOUT</v>
          </cell>
          <cell r="F156" t="str">
            <v>1245</v>
          </cell>
          <cell r="G156" t="str">
            <v>8</v>
          </cell>
          <cell r="H156">
            <v>0</v>
          </cell>
        </row>
        <row r="157">
          <cell r="B157">
            <v>2188</v>
          </cell>
          <cell r="C157" t="str">
            <v>Brennan; Michael D.</v>
          </cell>
          <cell r="D157" t="str">
            <v>1</v>
          </cell>
          <cell r="E157" t="str">
            <v>IBEWOUT</v>
          </cell>
          <cell r="F157" t="str">
            <v>611</v>
          </cell>
          <cell r="G157" t="str">
            <v>7</v>
          </cell>
          <cell r="H157">
            <v>0</v>
          </cell>
        </row>
        <row r="158">
          <cell r="B158">
            <v>2205</v>
          </cell>
          <cell r="C158" t="str">
            <v>Britton; Mark C</v>
          </cell>
          <cell r="D158" t="str">
            <v>1</v>
          </cell>
          <cell r="E158">
            <v>2205</v>
          </cell>
          <cell r="F158">
            <v>2205</v>
          </cell>
          <cell r="G158">
            <v>2205</v>
          </cell>
          <cell r="H158">
            <v>1</v>
          </cell>
        </row>
        <row r="159">
          <cell r="B159">
            <v>2210</v>
          </cell>
          <cell r="C159" t="str">
            <v>Brogdon; Case O</v>
          </cell>
          <cell r="D159" t="str">
            <v>1C</v>
          </cell>
          <cell r="E159" t="str">
            <v>IBEWOUT</v>
          </cell>
          <cell r="F159" t="str">
            <v>611</v>
          </cell>
          <cell r="G159" t="str">
            <v>11</v>
          </cell>
          <cell r="H159">
            <v>0</v>
          </cell>
        </row>
        <row r="160">
          <cell r="B160">
            <v>2213</v>
          </cell>
          <cell r="C160" t="str">
            <v>Bronson; Jeffrey Wayne</v>
          </cell>
          <cell r="D160" t="str">
            <v>1</v>
          </cell>
          <cell r="E160" t="str">
            <v>IBEWOUT</v>
          </cell>
          <cell r="F160" t="str">
            <v>1245</v>
          </cell>
          <cell r="G160" t="str">
            <v>1</v>
          </cell>
          <cell r="H160">
            <v>1</v>
          </cell>
        </row>
        <row r="161">
          <cell r="B161">
            <v>2221</v>
          </cell>
          <cell r="C161" t="str">
            <v>Brown; Zebulun M</v>
          </cell>
          <cell r="D161" t="str">
            <v>1</v>
          </cell>
          <cell r="E161" t="str">
            <v>IBEWOUT</v>
          </cell>
          <cell r="F161" t="str">
            <v>77</v>
          </cell>
          <cell r="G161" t="str">
            <v>16</v>
          </cell>
          <cell r="H161">
            <v>0</v>
          </cell>
        </row>
        <row r="162">
          <cell r="B162">
            <v>2223</v>
          </cell>
          <cell r="C162" t="str">
            <v>Childers; Clayton J</v>
          </cell>
          <cell r="D162" t="str">
            <v>1C</v>
          </cell>
          <cell r="E162" t="str">
            <v>IBEWOUT</v>
          </cell>
          <cell r="F162" t="str">
            <v>77</v>
          </cell>
          <cell r="G162" t="str">
            <v>8</v>
          </cell>
          <cell r="H162">
            <v>0</v>
          </cell>
        </row>
        <row r="163">
          <cell r="B163">
            <v>2243</v>
          </cell>
          <cell r="C163" t="str">
            <v>Brown; Kevin C.</v>
          </cell>
          <cell r="D163" t="str">
            <v>1C</v>
          </cell>
          <cell r="E163" t="str">
            <v>IBEWOUT</v>
          </cell>
          <cell r="F163" t="str">
            <v>1245</v>
          </cell>
          <cell r="G163" t="str">
            <v>7</v>
          </cell>
          <cell r="H163">
            <v>0</v>
          </cell>
        </row>
        <row r="164">
          <cell r="B164">
            <v>2265</v>
          </cell>
          <cell r="C164" t="str">
            <v>Brothers; John W</v>
          </cell>
          <cell r="D164" t="str">
            <v>1</v>
          </cell>
          <cell r="E164">
            <v>2265</v>
          </cell>
          <cell r="F164">
            <v>2265</v>
          </cell>
          <cell r="G164">
            <v>2265</v>
          </cell>
          <cell r="H164">
            <v>0</v>
          </cell>
        </row>
        <row r="165">
          <cell r="B165">
            <v>2268</v>
          </cell>
          <cell r="C165" t="str">
            <v>Brown; Richard R</v>
          </cell>
          <cell r="D165" t="str">
            <v>1C</v>
          </cell>
          <cell r="E165" t="str">
            <v>IBEWOUT</v>
          </cell>
          <cell r="F165" t="str">
            <v>126</v>
          </cell>
          <cell r="G165" t="str">
            <v>16</v>
          </cell>
          <cell r="H165">
            <v>0</v>
          </cell>
        </row>
        <row r="166">
          <cell r="B166">
            <v>2270</v>
          </cell>
          <cell r="C166" t="str">
            <v>Brown; Floyd W</v>
          </cell>
          <cell r="D166" t="str">
            <v>1C</v>
          </cell>
          <cell r="E166" t="str">
            <v>IBEWOUT</v>
          </cell>
          <cell r="F166" t="str">
            <v>769</v>
          </cell>
          <cell r="G166" t="str">
            <v>8</v>
          </cell>
          <cell r="H166">
            <v>0</v>
          </cell>
        </row>
        <row r="167">
          <cell r="B167">
            <v>2279</v>
          </cell>
          <cell r="C167" t="str">
            <v>Bruce; Carson L</v>
          </cell>
          <cell r="D167" t="str">
            <v>1C</v>
          </cell>
          <cell r="E167" t="str">
            <v>IBEWOUT</v>
          </cell>
          <cell r="F167" t="str">
            <v>1245</v>
          </cell>
          <cell r="G167" t="str">
            <v>7</v>
          </cell>
          <cell r="H167">
            <v>0</v>
          </cell>
        </row>
        <row r="168">
          <cell r="B168">
            <v>2341</v>
          </cell>
          <cell r="C168" t="str">
            <v>Buchanan; Jerrett S</v>
          </cell>
          <cell r="D168" t="str">
            <v>1C</v>
          </cell>
          <cell r="E168" t="str">
            <v>IBEWOUT</v>
          </cell>
          <cell r="F168" t="str">
            <v>125</v>
          </cell>
          <cell r="G168" t="str">
            <v>14</v>
          </cell>
          <cell r="H168">
            <v>0</v>
          </cell>
        </row>
        <row r="169">
          <cell r="B169">
            <v>2360</v>
          </cell>
          <cell r="C169" t="str">
            <v>Bunnell; Gregory L</v>
          </cell>
          <cell r="D169" t="str">
            <v>1C</v>
          </cell>
          <cell r="E169" t="str">
            <v>IBEWOUT</v>
          </cell>
          <cell r="F169" t="str">
            <v>1245</v>
          </cell>
          <cell r="G169" t="str">
            <v>8</v>
          </cell>
          <cell r="H169">
            <v>0</v>
          </cell>
        </row>
        <row r="170">
          <cell r="B170">
            <v>2366</v>
          </cell>
          <cell r="C170" t="str">
            <v>Burchett; Justin D.</v>
          </cell>
          <cell r="D170" t="str">
            <v>1C</v>
          </cell>
          <cell r="E170" t="str">
            <v>IBEWOUT</v>
          </cell>
          <cell r="F170" t="str">
            <v>769</v>
          </cell>
          <cell r="G170" t="str">
            <v>15</v>
          </cell>
          <cell r="H170">
            <v>0</v>
          </cell>
        </row>
        <row r="171">
          <cell r="B171">
            <v>2370</v>
          </cell>
          <cell r="C171" t="str">
            <v>Burgess; Derek A</v>
          </cell>
          <cell r="D171" t="str">
            <v>1</v>
          </cell>
          <cell r="E171">
            <v>2370</v>
          </cell>
          <cell r="F171">
            <v>2370</v>
          </cell>
          <cell r="G171">
            <v>2370</v>
          </cell>
          <cell r="H171">
            <v>0</v>
          </cell>
        </row>
        <row r="172">
          <cell r="B172">
            <v>2380</v>
          </cell>
          <cell r="C172" t="str">
            <v>Bush; Jeffrey W.</v>
          </cell>
          <cell r="D172" t="str">
            <v>1C</v>
          </cell>
          <cell r="E172" t="str">
            <v>IBEWOUT</v>
          </cell>
          <cell r="F172" t="str">
            <v>769</v>
          </cell>
          <cell r="G172" t="str">
            <v>16</v>
          </cell>
          <cell r="H172">
            <v>0</v>
          </cell>
        </row>
        <row r="173">
          <cell r="B173">
            <v>2388</v>
          </cell>
          <cell r="C173" t="str">
            <v>Buswell; Gannon B.</v>
          </cell>
          <cell r="D173" t="str">
            <v>1</v>
          </cell>
          <cell r="E173">
            <v>2388</v>
          </cell>
          <cell r="F173">
            <v>2388</v>
          </cell>
          <cell r="G173">
            <v>2388</v>
          </cell>
          <cell r="H173">
            <v>1</v>
          </cell>
        </row>
        <row r="174">
          <cell r="B174">
            <v>2406</v>
          </cell>
          <cell r="C174" t="str">
            <v>Burton; Joseph E</v>
          </cell>
          <cell r="D174" t="str">
            <v>1</v>
          </cell>
          <cell r="E174">
            <v>2406</v>
          </cell>
          <cell r="F174">
            <v>2406</v>
          </cell>
          <cell r="G174">
            <v>2406</v>
          </cell>
          <cell r="H174">
            <v>0</v>
          </cell>
        </row>
        <row r="175">
          <cell r="B175">
            <v>2420</v>
          </cell>
          <cell r="C175" t="str">
            <v>Butcher; Kody A.</v>
          </cell>
          <cell r="D175" t="str">
            <v>1C</v>
          </cell>
          <cell r="E175" t="str">
            <v>IBEWOUT</v>
          </cell>
          <cell r="F175" t="str">
            <v>1319</v>
          </cell>
          <cell r="G175" t="str">
            <v>12</v>
          </cell>
          <cell r="H175">
            <v>0</v>
          </cell>
        </row>
        <row r="176">
          <cell r="B176">
            <v>2555</v>
          </cell>
          <cell r="C176" t="str">
            <v>Cain; Jonathan B</v>
          </cell>
          <cell r="D176" t="str">
            <v>1C</v>
          </cell>
          <cell r="E176" t="str">
            <v>IBEWOUT</v>
          </cell>
          <cell r="F176" t="str">
            <v>1245</v>
          </cell>
          <cell r="G176" t="str">
            <v>8</v>
          </cell>
          <cell r="H176">
            <v>0</v>
          </cell>
        </row>
        <row r="177">
          <cell r="B177">
            <v>2556</v>
          </cell>
          <cell r="C177" t="str">
            <v>Calhoun; Anthony R</v>
          </cell>
          <cell r="D177" t="str">
            <v>1C</v>
          </cell>
          <cell r="E177" t="str">
            <v>IBEWOUT</v>
          </cell>
          <cell r="F177" t="str">
            <v>1245</v>
          </cell>
          <cell r="G177" t="str">
            <v>8</v>
          </cell>
          <cell r="H177">
            <v>0</v>
          </cell>
        </row>
        <row r="178">
          <cell r="B178">
            <v>2557</v>
          </cell>
          <cell r="C178" t="str">
            <v>Caldwell; Shawn D.</v>
          </cell>
          <cell r="D178" t="str">
            <v>1</v>
          </cell>
          <cell r="E178">
            <v>2557</v>
          </cell>
          <cell r="F178">
            <v>2557</v>
          </cell>
          <cell r="G178">
            <v>2557</v>
          </cell>
          <cell r="H178">
            <v>1</v>
          </cell>
        </row>
        <row r="179">
          <cell r="B179">
            <v>2558</v>
          </cell>
          <cell r="C179" t="str">
            <v>Calvillo; Ramon C</v>
          </cell>
          <cell r="D179" t="str">
            <v>1C</v>
          </cell>
          <cell r="E179" t="str">
            <v>IBEWOUT</v>
          </cell>
          <cell r="F179" t="str">
            <v>47</v>
          </cell>
          <cell r="G179" t="str">
            <v>17</v>
          </cell>
          <cell r="H179">
            <v>0</v>
          </cell>
        </row>
        <row r="180">
          <cell r="B180">
            <v>2559</v>
          </cell>
          <cell r="C180" t="str">
            <v>Caldwell; Brian J</v>
          </cell>
          <cell r="D180" t="str">
            <v>1C</v>
          </cell>
          <cell r="E180" t="str">
            <v>IBEWOUT</v>
          </cell>
          <cell r="F180" t="str">
            <v>104</v>
          </cell>
          <cell r="G180" t="str">
            <v>8</v>
          </cell>
          <cell r="H180">
            <v>0</v>
          </cell>
        </row>
        <row r="181">
          <cell r="B181">
            <v>2560</v>
          </cell>
          <cell r="C181" t="str">
            <v>Cage; Cody M</v>
          </cell>
          <cell r="D181" t="str">
            <v>1C</v>
          </cell>
          <cell r="E181" t="str">
            <v>IBEWOUT</v>
          </cell>
          <cell r="F181" t="str">
            <v>1245</v>
          </cell>
          <cell r="G181" t="str">
            <v>8</v>
          </cell>
          <cell r="H181">
            <v>0</v>
          </cell>
        </row>
        <row r="182">
          <cell r="B182">
            <v>2561</v>
          </cell>
          <cell r="C182" t="str">
            <v>Caldwell; Randy C</v>
          </cell>
          <cell r="D182" t="str">
            <v>1C</v>
          </cell>
          <cell r="E182" t="str">
            <v>IBEWOUT</v>
          </cell>
          <cell r="F182" t="str">
            <v>1245</v>
          </cell>
          <cell r="G182" t="str">
            <v>8</v>
          </cell>
          <cell r="H182">
            <v>0</v>
          </cell>
        </row>
        <row r="183">
          <cell r="B183">
            <v>2572</v>
          </cell>
          <cell r="C183" t="str">
            <v>Carbajal Jr.; Robert E</v>
          </cell>
          <cell r="D183" t="str">
            <v>1C</v>
          </cell>
          <cell r="E183" t="str">
            <v>IBEWOUT</v>
          </cell>
          <cell r="F183" t="str">
            <v>47</v>
          </cell>
          <cell r="G183" t="str">
            <v>8</v>
          </cell>
          <cell r="H183">
            <v>0</v>
          </cell>
        </row>
        <row r="184">
          <cell r="B184">
            <v>2573</v>
          </cell>
          <cell r="C184" t="str">
            <v>Cardenas; Eric J</v>
          </cell>
          <cell r="D184" t="str">
            <v>1</v>
          </cell>
          <cell r="E184" t="str">
            <v>IBEWOUT</v>
          </cell>
          <cell r="F184" t="str">
            <v>1245</v>
          </cell>
          <cell r="G184" t="str">
            <v>8</v>
          </cell>
          <cell r="H184">
            <v>0</v>
          </cell>
        </row>
        <row r="185">
          <cell r="B185">
            <v>2575</v>
          </cell>
          <cell r="C185" t="str">
            <v>Carlon; Ramy M.</v>
          </cell>
          <cell r="D185" t="str">
            <v>1C</v>
          </cell>
          <cell r="E185" t="str">
            <v>IBEWOUT</v>
          </cell>
          <cell r="F185" t="str">
            <v>769</v>
          </cell>
          <cell r="G185" t="str">
            <v>20</v>
          </cell>
          <cell r="H185">
            <v>0</v>
          </cell>
        </row>
        <row r="186">
          <cell r="B186">
            <v>2584</v>
          </cell>
          <cell r="C186" t="str">
            <v>Campas; Abdullah J.</v>
          </cell>
          <cell r="D186" t="str">
            <v>1C</v>
          </cell>
          <cell r="E186" t="str">
            <v>IBEWOUT</v>
          </cell>
          <cell r="F186" t="str">
            <v>769</v>
          </cell>
          <cell r="G186" t="str">
            <v>13</v>
          </cell>
          <cell r="H186">
            <v>0</v>
          </cell>
        </row>
        <row r="187">
          <cell r="B187">
            <v>2591</v>
          </cell>
          <cell r="C187" t="str">
            <v>Camacho II; Christopher B</v>
          </cell>
          <cell r="D187" t="str">
            <v>1C</v>
          </cell>
          <cell r="E187" t="str">
            <v>IBEWOUT</v>
          </cell>
          <cell r="F187" t="str">
            <v>47</v>
          </cell>
          <cell r="G187" t="str">
            <v>13</v>
          </cell>
          <cell r="H187">
            <v>0</v>
          </cell>
        </row>
        <row r="188">
          <cell r="B188">
            <v>2592</v>
          </cell>
          <cell r="C188" t="str">
            <v>Cammack; Connor J</v>
          </cell>
          <cell r="D188" t="str">
            <v>1C</v>
          </cell>
          <cell r="E188" t="str">
            <v>IBEWOUT</v>
          </cell>
          <cell r="F188" t="str">
            <v>47</v>
          </cell>
          <cell r="G188" t="str">
            <v>17</v>
          </cell>
          <cell r="H188">
            <v>0</v>
          </cell>
        </row>
        <row r="189">
          <cell r="B189">
            <v>2597</v>
          </cell>
          <cell r="C189" t="str">
            <v>Campos; Hector A.</v>
          </cell>
          <cell r="D189" t="str">
            <v>1C</v>
          </cell>
          <cell r="E189" t="str">
            <v>IBEWOUT</v>
          </cell>
          <cell r="F189" t="str">
            <v>769</v>
          </cell>
          <cell r="G189" t="str">
            <v>16</v>
          </cell>
          <cell r="H189">
            <v>0</v>
          </cell>
        </row>
        <row r="190">
          <cell r="B190">
            <v>2616</v>
          </cell>
          <cell r="C190" t="str">
            <v>Carr; Jeffrey A</v>
          </cell>
          <cell r="D190" t="str">
            <v>1C</v>
          </cell>
          <cell r="E190" t="str">
            <v>IBEWOUT</v>
          </cell>
          <cell r="F190" t="str">
            <v>1245</v>
          </cell>
          <cell r="G190" t="str">
            <v>9</v>
          </cell>
          <cell r="H190">
            <v>0</v>
          </cell>
        </row>
        <row r="191">
          <cell r="B191">
            <v>2623</v>
          </cell>
          <cell r="C191" t="str">
            <v>Carrillo; Kylie Dianne</v>
          </cell>
          <cell r="D191" t="str">
            <v>1C</v>
          </cell>
          <cell r="E191">
            <v>2623</v>
          </cell>
          <cell r="F191">
            <v>2623</v>
          </cell>
          <cell r="G191">
            <v>2623</v>
          </cell>
          <cell r="H191">
            <v>0</v>
          </cell>
        </row>
        <row r="192">
          <cell r="B192">
            <v>2626</v>
          </cell>
          <cell r="C192" t="str">
            <v>Carstensen; Joshua J</v>
          </cell>
          <cell r="D192" t="str">
            <v>1C</v>
          </cell>
          <cell r="E192" t="str">
            <v>IBEWOUT</v>
          </cell>
          <cell r="F192" t="str">
            <v>769</v>
          </cell>
          <cell r="G192" t="str">
            <v>8</v>
          </cell>
          <cell r="H192">
            <v>0</v>
          </cell>
        </row>
        <row r="193">
          <cell r="B193">
            <v>2627</v>
          </cell>
          <cell r="C193" t="str">
            <v>Carter; Andrew R.</v>
          </cell>
          <cell r="D193" t="str">
            <v>1C</v>
          </cell>
          <cell r="E193">
            <v>2627</v>
          </cell>
          <cell r="F193">
            <v>2627</v>
          </cell>
          <cell r="G193">
            <v>2627</v>
          </cell>
          <cell r="H193">
            <v>0</v>
          </cell>
        </row>
        <row r="194">
          <cell r="B194">
            <v>2628</v>
          </cell>
          <cell r="C194" t="str">
            <v>Carter; Craig A</v>
          </cell>
          <cell r="D194" t="str">
            <v>1C</v>
          </cell>
          <cell r="E194" t="str">
            <v>IBEWOUT</v>
          </cell>
          <cell r="F194" t="str">
            <v>602R</v>
          </cell>
          <cell r="G194" t="str">
            <v>10T</v>
          </cell>
          <cell r="H194">
            <v>0</v>
          </cell>
        </row>
        <row r="195">
          <cell r="B195">
            <v>2631</v>
          </cell>
          <cell r="C195" t="str">
            <v>Carter; Richard Ashley</v>
          </cell>
          <cell r="D195" t="str">
            <v>1</v>
          </cell>
          <cell r="E195">
            <v>2631</v>
          </cell>
          <cell r="F195">
            <v>2631</v>
          </cell>
          <cell r="G195">
            <v>2631</v>
          </cell>
          <cell r="H195">
            <v>0</v>
          </cell>
        </row>
        <row r="196">
          <cell r="B196">
            <v>2632</v>
          </cell>
          <cell r="C196" t="str">
            <v>Case; Austin R</v>
          </cell>
          <cell r="D196" t="str">
            <v>1</v>
          </cell>
          <cell r="E196" t="str">
            <v>IBEWOUT</v>
          </cell>
          <cell r="F196" t="str">
            <v>1245</v>
          </cell>
          <cell r="G196" t="str">
            <v>8</v>
          </cell>
          <cell r="H196">
            <v>0</v>
          </cell>
        </row>
        <row r="197">
          <cell r="B197">
            <v>2634</v>
          </cell>
          <cell r="C197" t="str">
            <v>Case; Kory V</v>
          </cell>
          <cell r="D197" t="str">
            <v>1C</v>
          </cell>
          <cell r="E197" t="str">
            <v>IBEWOUT</v>
          </cell>
          <cell r="F197" t="str">
            <v>1245</v>
          </cell>
          <cell r="G197" t="str">
            <v>7</v>
          </cell>
          <cell r="H197">
            <v>0</v>
          </cell>
        </row>
        <row r="198">
          <cell r="B198">
            <v>2635</v>
          </cell>
          <cell r="C198" t="str">
            <v>Case; Scott R</v>
          </cell>
          <cell r="D198" t="str">
            <v>1C</v>
          </cell>
          <cell r="E198" t="str">
            <v>IBEWOUT</v>
          </cell>
          <cell r="F198" t="str">
            <v>47</v>
          </cell>
          <cell r="G198" t="str">
            <v>8</v>
          </cell>
          <cell r="H198">
            <v>0</v>
          </cell>
        </row>
        <row r="199">
          <cell r="B199">
            <v>2637</v>
          </cell>
          <cell r="C199" t="str">
            <v>Casey; Justin B</v>
          </cell>
          <cell r="D199" t="str">
            <v>1C</v>
          </cell>
          <cell r="E199" t="str">
            <v>IBEWOUT</v>
          </cell>
          <cell r="F199" t="str">
            <v>1245</v>
          </cell>
          <cell r="G199" t="str">
            <v>12</v>
          </cell>
          <cell r="H199">
            <v>0</v>
          </cell>
        </row>
        <row r="200">
          <cell r="B200">
            <v>2638</v>
          </cell>
          <cell r="C200" t="str">
            <v>Cashman; William Brady</v>
          </cell>
          <cell r="D200" t="str">
            <v>1C</v>
          </cell>
          <cell r="E200">
            <v>2638</v>
          </cell>
          <cell r="F200">
            <v>2638</v>
          </cell>
          <cell r="G200">
            <v>2638</v>
          </cell>
          <cell r="H200">
            <v>0</v>
          </cell>
        </row>
        <row r="201">
          <cell r="B201">
            <v>2640</v>
          </cell>
          <cell r="C201" t="str">
            <v>Cavanaugh; Thomas</v>
          </cell>
          <cell r="D201" t="str">
            <v>1C</v>
          </cell>
          <cell r="E201" t="str">
            <v>IBEWOUT</v>
          </cell>
          <cell r="F201" t="str">
            <v>104</v>
          </cell>
          <cell r="G201" t="str">
            <v>33</v>
          </cell>
          <cell r="H201">
            <v>0</v>
          </cell>
        </row>
        <row r="202">
          <cell r="B202">
            <v>2641</v>
          </cell>
          <cell r="C202" t="str">
            <v>Caves; Dustan L</v>
          </cell>
          <cell r="D202" t="str">
            <v>1C</v>
          </cell>
          <cell r="E202" t="str">
            <v>IBEWOUT</v>
          </cell>
          <cell r="F202" t="str">
            <v>602R</v>
          </cell>
          <cell r="G202" t="str">
            <v>8</v>
          </cell>
          <cell r="H202">
            <v>0</v>
          </cell>
        </row>
        <row r="203">
          <cell r="B203">
            <v>2642</v>
          </cell>
          <cell r="C203" t="str">
            <v>Cavin; Brandon Michael</v>
          </cell>
          <cell r="D203" t="str">
            <v>1</v>
          </cell>
          <cell r="E203" t="str">
            <v>IBEWOUT</v>
          </cell>
          <cell r="F203" t="str">
            <v>611</v>
          </cell>
          <cell r="G203" t="str">
            <v>12</v>
          </cell>
          <cell r="H203">
            <v>0</v>
          </cell>
        </row>
        <row r="204">
          <cell r="B204">
            <v>2643</v>
          </cell>
          <cell r="C204" t="str">
            <v>Cedillo; Ceasar A</v>
          </cell>
          <cell r="D204" t="str">
            <v>1C</v>
          </cell>
          <cell r="E204" t="str">
            <v>IBEWOUT</v>
          </cell>
          <cell r="F204" t="str">
            <v>47</v>
          </cell>
          <cell r="G204" t="str">
            <v>15</v>
          </cell>
          <cell r="H204">
            <v>0</v>
          </cell>
        </row>
        <row r="205">
          <cell r="B205">
            <v>2644</v>
          </cell>
          <cell r="C205" t="str">
            <v>Cervantes; Ricardo</v>
          </cell>
          <cell r="D205" t="str">
            <v>1</v>
          </cell>
          <cell r="E205" t="str">
            <v>IBEWOUT</v>
          </cell>
          <cell r="F205" t="str">
            <v>47</v>
          </cell>
          <cell r="G205" t="str">
            <v>8</v>
          </cell>
          <cell r="H205">
            <v>0</v>
          </cell>
        </row>
        <row r="206">
          <cell r="B206">
            <v>2646</v>
          </cell>
          <cell r="C206" t="str">
            <v>Castillo; Rudy Remigio</v>
          </cell>
          <cell r="D206" t="str">
            <v>1C</v>
          </cell>
          <cell r="E206" t="str">
            <v>IBEWOUT</v>
          </cell>
          <cell r="F206" t="str">
            <v>47</v>
          </cell>
          <cell r="G206" t="str">
            <v>8</v>
          </cell>
          <cell r="H206">
            <v>0</v>
          </cell>
        </row>
        <row r="207">
          <cell r="B207">
            <v>2647</v>
          </cell>
          <cell r="C207" t="str">
            <v>Castellon; Luis R</v>
          </cell>
          <cell r="D207" t="str">
            <v>1C</v>
          </cell>
          <cell r="E207" t="str">
            <v>IBEWOUT</v>
          </cell>
          <cell r="F207" t="str">
            <v>1245</v>
          </cell>
          <cell r="G207" t="str">
            <v>17</v>
          </cell>
          <cell r="H207">
            <v>0</v>
          </cell>
        </row>
        <row r="208">
          <cell r="B208">
            <v>2651</v>
          </cell>
          <cell r="C208" t="str">
            <v>Catcheway; Melferd V</v>
          </cell>
          <cell r="D208" t="str">
            <v>1</v>
          </cell>
          <cell r="E208" t="str">
            <v>IBEWOUT</v>
          </cell>
          <cell r="F208" t="str">
            <v>160</v>
          </cell>
          <cell r="G208" t="str">
            <v>18</v>
          </cell>
          <cell r="H208">
            <v>0</v>
          </cell>
        </row>
        <row r="209">
          <cell r="B209">
            <v>2652</v>
          </cell>
          <cell r="C209" t="str">
            <v>Catlin; Jeffrey A</v>
          </cell>
          <cell r="D209" t="str">
            <v>1C</v>
          </cell>
          <cell r="E209" t="str">
            <v>IBEWOUT</v>
          </cell>
          <cell r="F209" t="str">
            <v>1245</v>
          </cell>
          <cell r="G209" t="str">
            <v>16</v>
          </cell>
          <cell r="H209">
            <v>0</v>
          </cell>
        </row>
        <row r="210">
          <cell r="B210">
            <v>2653</v>
          </cell>
          <cell r="C210" t="str">
            <v>Campbell; Aaron D</v>
          </cell>
          <cell r="D210" t="str">
            <v>1C</v>
          </cell>
          <cell r="E210" t="str">
            <v>IBEWOUT</v>
          </cell>
          <cell r="F210" t="str">
            <v>77</v>
          </cell>
          <cell r="G210" t="str">
            <v>8</v>
          </cell>
          <cell r="H210">
            <v>0</v>
          </cell>
        </row>
        <row r="211">
          <cell r="B211">
            <v>2658</v>
          </cell>
          <cell r="C211" t="str">
            <v>Casey; Austin J</v>
          </cell>
          <cell r="D211" t="str">
            <v>1C</v>
          </cell>
          <cell r="E211">
            <v>2658</v>
          </cell>
          <cell r="F211">
            <v>2658</v>
          </cell>
          <cell r="G211">
            <v>2658</v>
          </cell>
          <cell r="H211">
            <v>1</v>
          </cell>
        </row>
        <row r="212">
          <cell r="B212">
            <v>2662</v>
          </cell>
          <cell r="C212" t="str">
            <v>Castle; Nicholas C.</v>
          </cell>
          <cell r="D212" t="str">
            <v>1C</v>
          </cell>
          <cell r="E212" t="str">
            <v>IBEWOUT</v>
          </cell>
          <cell r="F212" t="str">
            <v>47</v>
          </cell>
          <cell r="G212" t="str">
            <v>8</v>
          </cell>
          <cell r="H212">
            <v>0</v>
          </cell>
        </row>
        <row r="213">
          <cell r="B213">
            <v>2670</v>
          </cell>
          <cell r="C213" t="str">
            <v>Cartwright; Brandon J</v>
          </cell>
          <cell r="D213" t="str">
            <v>1C</v>
          </cell>
          <cell r="E213" t="str">
            <v>IBEWOUT</v>
          </cell>
          <cell r="F213" t="str">
            <v>1245</v>
          </cell>
          <cell r="G213" t="str">
            <v>8</v>
          </cell>
          <cell r="H213">
            <v>0</v>
          </cell>
        </row>
        <row r="214">
          <cell r="B214">
            <v>2707</v>
          </cell>
          <cell r="C214" t="str">
            <v>Champion; Rusty D.</v>
          </cell>
          <cell r="D214" t="str">
            <v>1C</v>
          </cell>
          <cell r="E214" t="str">
            <v>IBEWOUT</v>
          </cell>
          <cell r="F214" t="str">
            <v>47</v>
          </cell>
          <cell r="G214" t="str">
            <v>17</v>
          </cell>
          <cell r="H214">
            <v>0</v>
          </cell>
        </row>
        <row r="215">
          <cell r="B215">
            <v>2709</v>
          </cell>
          <cell r="C215" t="str">
            <v>Champagne; Ronald R</v>
          </cell>
          <cell r="D215" t="str">
            <v>1C</v>
          </cell>
          <cell r="E215" t="str">
            <v>IBEWOUT</v>
          </cell>
          <cell r="F215" t="str">
            <v>47</v>
          </cell>
          <cell r="G215" t="str">
            <v>8</v>
          </cell>
          <cell r="H215">
            <v>0</v>
          </cell>
        </row>
        <row r="216">
          <cell r="B216">
            <v>2715</v>
          </cell>
          <cell r="C216" t="str">
            <v>Cheatham; Daryl T.</v>
          </cell>
          <cell r="D216" t="str">
            <v>1C</v>
          </cell>
          <cell r="E216" t="str">
            <v>IBEWOUT</v>
          </cell>
          <cell r="F216" t="str">
            <v>47</v>
          </cell>
          <cell r="G216" t="str">
            <v>8</v>
          </cell>
          <cell r="H216">
            <v>0</v>
          </cell>
        </row>
        <row r="217">
          <cell r="B217">
            <v>2718</v>
          </cell>
          <cell r="C217" t="str">
            <v>Chew; Seth D</v>
          </cell>
          <cell r="D217" t="str">
            <v>1C</v>
          </cell>
          <cell r="E217" t="str">
            <v>IBEWOUT</v>
          </cell>
          <cell r="F217" t="str">
            <v>1245</v>
          </cell>
          <cell r="G217" t="str">
            <v>8</v>
          </cell>
          <cell r="H217">
            <v>0</v>
          </cell>
        </row>
        <row r="218">
          <cell r="B218">
            <v>2722</v>
          </cell>
          <cell r="C218" t="str">
            <v>Chennault; Jacob</v>
          </cell>
          <cell r="D218" t="str">
            <v>1C</v>
          </cell>
          <cell r="E218" t="str">
            <v>IBEWOUT</v>
          </cell>
          <cell r="F218" t="str">
            <v>1245</v>
          </cell>
          <cell r="G218" t="str">
            <v>8</v>
          </cell>
          <cell r="H218">
            <v>0</v>
          </cell>
        </row>
        <row r="219">
          <cell r="B219">
            <v>2724</v>
          </cell>
          <cell r="C219" t="str">
            <v>Choron; Romuald Laurent</v>
          </cell>
          <cell r="D219" t="str">
            <v>1C</v>
          </cell>
          <cell r="E219" t="str">
            <v>IBEWOUT</v>
          </cell>
          <cell r="F219" t="str">
            <v>1245</v>
          </cell>
          <cell r="G219" t="str">
            <v>8</v>
          </cell>
          <cell r="H219">
            <v>0</v>
          </cell>
        </row>
        <row r="220">
          <cell r="B220">
            <v>2726</v>
          </cell>
          <cell r="C220" t="str">
            <v>Ciddio; Perez L</v>
          </cell>
          <cell r="D220" t="str">
            <v>1C</v>
          </cell>
          <cell r="E220" t="str">
            <v>IBEWOUT</v>
          </cell>
          <cell r="F220" t="str">
            <v>611</v>
          </cell>
          <cell r="G220" t="str">
            <v>1</v>
          </cell>
          <cell r="H220">
            <v>0</v>
          </cell>
        </row>
        <row r="221">
          <cell r="B221">
            <v>2751</v>
          </cell>
          <cell r="C221" t="str">
            <v>Clark; Benjamin F</v>
          </cell>
          <cell r="D221" t="str">
            <v>1C</v>
          </cell>
          <cell r="E221" t="str">
            <v>IBEWOUT</v>
          </cell>
          <cell r="F221" t="str">
            <v>1245</v>
          </cell>
          <cell r="G221" t="str">
            <v>8</v>
          </cell>
          <cell r="H221">
            <v>0</v>
          </cell>
        </row>
        <row r="222">
          <cell r="B222">
            <v>2753</v>
          </cell>
          <cell r="C222" t="str">
            <v>Clardy; Ryan R</v>
          </cell>
          <cell r="D222" t="str">
            <v>1C</v>
          </cell>
          <cell r="E222" t="str">
            <v>IBEWOUT</v>
          </cell>
          <cell r="F222" t="str">
            <v>602R</v>
          </cell>
          <cell r="G222" t="str">
            <v>8</v>
          </cell>
          <cell r="H222">
            <v>0</v>
          </cell>
        </row>
        <row r="223">
          <cell r="B223">
            <v>2761</v>
          </cell>
          <cell r="C223" t="str">
            <v>Cline; Luke Gordon</v>
          </cell>
          <cell r="D223" t="str">
            <v>1</v>
          </cell>
          <cell r="E223" t="str">
            <v>IBEWOUT</v>
          </cell>
          <cell r="F223" t="str">
            <v>47</v>
          </cell>
          <cell r="G223" t="str">
            <v>7</v>
          </cell>
          <cell r="H223">
            <v>0</v>
          </cell>
        </row>
        <row r="224">
          <cell r="B224">
            <v>2790</v>
          </cell>
          <cell r="C224" t="str">
            <v>Clawson; Robert R.</v>
          </cell>
          <cell r="D224" t="str">
            <v>1C</v>
          </cell>
          <cell r="E224" t="str">
            <v>IBEWOUT</v>
          </cell>
          <cell r="F224" t="str">
            <v>1245</v>
          </cell>
          <cell r="G224" t="str">
            <v>8</v>
          </cell>
          <cell r="H224">
            <v>0</v>
          </cell>
        </row>
        <row r="225">
          <cell r="B225">
            <v>2796</v>
          </cell>
          <cell r="C225" t="str">
            <v>Clay Jr.; Michael R.</v>
          </cell>
          <cell r="D225" t="str">
            <v>1C</v>
          </cell>
          <cell r="E225" t="str">
            <v>IBEWOUT</v>
          </cell>
          <cell r="F225" t="str">
            <v>47</v>
          </cell>
          <cell r="G225" t="str">
            <v>8</v>
          </cell>
          <cell r="H225">
            <v>0</v>
          </cell>
        </row>
        <row r="226">
          <cell r="B226">
            <v>2802</v>
          </cell>
          <cell r="C226" t="str">
            <v>Clements; Joshua J.</v>
          </cell>
          <cell r="D226" t="str">
            <v>1C</v>
          </cell>
          <cell r="E226" t="str">
            <v>IBEWOUT</v>
          </cell>
          <cell r="F226" t="str">
            <v>77</v>
          </cell>
          <cell r="G226" t="str">
            <v>7</v>
          </cell>
          <cell r="H226">
            <v>0</v>
          </cell>
        </row>
        <row r="227">
          <cell r="B227">
            <v>2803</v>
          </cell>
          <cell r="C227" t="str">
            <v>Chandler; Allen L</v>
          </cell>
          <cell r="D227" t="str">
            <v>1C</v>
          </cell>
          <cell r="E227" t="str">
            <v>IBEWOUT</v>
          </cell>
          <cell r="F227" t="str">
            <v>77</v>
          </cell>
          <cell r="G227" t="str">
            <v>17</v>
          </cell>
          <cell r="H227">
            <v>0</v>
          </cell>
        </row>
        <row r="228">
          <cell r="B228">
            <v>2804</v>
          </cell>
          <cell r="C228" t="str">
            <v>Cheever; Alexander J</v>
          </cell>
          <cell r="D228" t="str">
            <v>1</v>
          </cell>
          <cell r="E228">
            <v>2804</v>
          </cell>
          <cell r="F228">
            <v>2804</v>
          </cell>
          <cell r="G228">
            <v>2804</v>
          </cell>
          <cell r="H228">
            <v>0</v>
          </cell>
        </row>
        <row r="229">
          <cell r="B229">
            <v>2805</v>
          </cell>
          <cell r="C229" t="str">
            <v>Chavez; Eugene G</v>
          </cell>
          <cell r="D229" t="str">
            <v>1C</v>
          </cell>
          <cell r="E229" t="str">
            <v>IBEWOUT</v>
          </cell>
          <cell r="F229" t="str">
            <v>611</v>
          </cell>
          <cell r="G229" t="str">
            <v>17</v>
          </cell>
          <cell r="H229">
            <v>0</v>
          </cell>
        </row>
        <row r="230">
          <cell r="B230">
            <v>2807</v>
          </cell>
          <cell r="C230" t="str">
            <v>Chavez Herrara; Jared</v>
          </cell>
          <cell r="D230" t="str">
            <v>1C</v>
          </cell>
          <cell r="E230">
            <v>2807</v>
          </cell>
          <cell r="F230">
            <v>2807</v>
          </cell>
          <cell r="G230">
            <v>2807</v>
          </cell>
          <cell r="H230">
            <v>0</v>
          </cell>
        </row>
        <row r="231">
          <cell r="B231">
            <v>2808</v>
          </cell>
          <cell r="C231" t="str">
            <v>Chap; Joseph J</v>
          </cell>
          <cell r="D231" t="str">
            <v>1C</v>
          </cell>
          <cell r="E231" t="str">
            <v>IBEWOUT</v>
          </cell>
          <cell r="F231" t="str">
            <v>160</v>
          </cell>
          <cell r="G231" t="str">
            <v>14</v>
          </cell>
          <cell r="H231">
            <v>0</v>
          </cell>
        </row>
        <row r="232">
          <cell r="B232">
            <v>2815</v>
          </cell>
          <cell r="C232" t="str">
            <v>Christopherson; Stephanie M</v>
          </cell>
          <cell r="D232" t="str">
            <v>1</v>
          </cell>
          <cell r="E232">
            <v>2815</v>
          </cell>
          <cell r="F232">
            <v>2815</v>
          </cell>
          <cell r="G232">
            <v>2815</v>
          </cell>
          <cell r="H232">
            <v>1</v>
          </cell>
        </row>
        <row r="233">
          <cell r="B233">
            <v>2816</v>
          </cell>
          <cell r="C233" t="str">
            <v>Christopherson; Isaac Jo</v>
          </cell>
          <cell r="D233" t="str">
            <v>1</v>
          </cell>
          <cell r="E233" t="str">
            <v>IBEWOUT</v>
          </cell>
          <cell r="F233" t="str">
            <v>47</v>
          </cell>
          <cell r="G233" t="str">
            <v>1</v>
          </cell>
          <cell r="H233">
            <v>0</v>
          </cell>
        </row>
        <row r="234">
          <cell r="B234">
            <v>2817</v>
          </cell>
          <cell r="C234" t="str">
            <v>Christie; John Vincent</v>
          </cell>
          <cell r="D234" t="str">
            <v>1C</v>
          </cell>
          <cell r="E234" t="str">
            <v>IBEWOUT</v>
          </cell>
          <cell r="F234" t="str">
            <v>769</v>
          </cell>
          <cell r="G234" t="str">
            <v>8</v>
          </cell>
          <cell r="H234">
            <v>0</v>
          </cell>
        </row>
        <row r="235">
          <cell r="B235">
            <v>2820</v>
          </cell>
          <cell r="C235" t="str">
            <v>Chapman; Matthew Currin</v>
          </cell>
          <cell r="D235" t="str">
            <v>1</v>
          </cell>
          <cell r="E235" t="str">
            <v>IBEWOUT</v>
          </cell>
          <cell r="F235" t="str">
            <v>1049</v>
          </cell>
          <cell r="G235" t="str">
            <v>1</v>
          </cell>
          <cell r="H235">
            <v>1</v>
          </cell>
        </row>
        <row r="236">
          <cell r="B236">
            <v>2822</v>
          </cell>
          <cell r="C236" t="str">
            <v>Chaves Jr; Arthur R</v>
          </cell>
          <cell r="D236" t="str">
            <v>1C</v>
          </cell>
          <cell r="E236" t="str">
            <v>IBEWOUT</v>
          </cell>
          <cell r="F236" t="str">
            <v>47</v>
          </cell>
          <cell r="G236" t="str">
            <v>17</v>
          </cell>
          <cell r="H236">
            <v>0</v>
          </cell>
        </row>
        <row r="237">
          <cell r="B237">
            <v>2823</v>
          </cell>
          <cell r="C237" t="str">
            <v>Chavez; Anthony J</v>
          </cell>
          <cell r="D237" t="str">
            <v>1C</v>
          </cell>
          <cell r="E237" t="str">
            <v>IBEWOUT</v>
          </cell>
          <cell r="F237" t="str">
            <v>1245</v>
          </cell>
          <cell r="G237" t="str">
            <v>15</v>
          </cell>
          <cell r="H237">
            <v>0</v>
          </cell>
        </row>
        <row r="238">
          <cell r="B238">
            <v>2834</v>
          </cell>
          <cell r="C238" t="str">
            <v>Clause; Jason James</v>
          </cell>
          <cell r="D238" t="str">
            <v>1C</v>
          </cell>
          <cell r="E238" t="str">
            <v>IBEWOUT</v>
          </cell>
          <cell r="F238" t="str">
            <v>1245</v>
          </cell>
          <cell r="G238" t="str">
            <v>8</v>
          </cell>
          <cell r="H238">
            <v>0</v>
          </cell>
        </row>
        <row r="239">
          <cell r="B239">
            <v>2856</v>
          </cell>
          <cell r="C239" t="str">
            <v>Collins; John C</v>
          </cell>
          <cell r="D239" t="str">
            <v>1C</v>
          </cell>
          <cell r="E239">
            <v>2856</v>
          </cell>
          <cell r="F239">
            <v>2856</v>
          </cell>
          <cell r="G239">
            <v>2856</v>
          </cell>
          <cell r="H239">
            <v>0</v>
          </cell>
        </row>
        <row r="240">
          <cell r="B240">
            <v>2881</v>
          </cell>
          <cell r="C240" t="str">
            <v>Conner; Michael Joseph</v>
          </cell>
          <cell r="D240" t="str">
            <v>1C</v>
          </cell>
          <cell r="E240" t="str">
            <v>IBEWOUT</v>
          </cell>
          <cell r="F240" t="str">
            <v>47</v>
          </cell>
          <cell r="G240" t="str">
            <v>16</v>
          </cell>
          <cell r="H240">
            <v>0</v>
          </cell>
        </row>
        <row r="241">
          <cell r="B241">
            <v>2882</v>
          </cell>
          <cell r="C241" t="str">
            <v>Colby; David L</v>
          </cell>
          <cell r="D241" t="str">
            <v>1</v>
          </cell>
          <cell r="E241" t="str">
            <v>IBEWOUT</v>
          </cell>
          <cell r="F241" t="str">
            <v>160</v>
          </cell>
          <cell r="G241" t="str">
            <v>8</v>
          </cell>
          <cell r="H241">
            <v>0</v>
          </cell>
        </row>
        <row r="242">
          <cell r="B242">
            <v>2885</v>
          </cell>
          <cell r="C242" t="str">
            <v>Coleman; David L</v>
          </cell>
          <cell r="D242" t="str">
            <v>1C</v>
          </cell>
          <cell r="E242" t="str">
            <v>IBEWOUT</v>
          </cell>
          <cell r="F242" t="str">
            <v>1245</v>
          </cell>
          <cell r="G242" t="str">
            <v>7</v>
          </cell>
          <cell r="H242">
            <v>0</v>
          </cell>
        </row>
        <row r="243">
          <cell r="B243">
            <v>2886</v>
          </cell>
          <cell r="C243" t="str">
            <v>Coleman; David Scott</v>
          </cell>
          <cell r="D243" t="str">
            <v>1C</v>
          </cell>
          <cell r="E243" t="str">
            <v>IBEWOUT</v>
          </cell>
          <cell r="F243" t="str">
            <v>769</v>
          </cell>
          <cell r="G243" t="str">
            <v>16</v>
          </cell>
          <cell r="H243">
            <v>0</v>
          </cell>
        </row>
        <row r="244">
          <cell r="B244">
            <v>2889</v>
          </cell>
          <cell r="C244" t="str">
            <v>Condoll; Brenton K.</v>
          </cell>
          <cell r="D244" t="str">
            <v>1C</v>
          </cell>
          <cell r="E244" t="str">
            <v>IBEWOUT</v>
          </cell>
          <cell r="F244" t="str">
            <v>769</v>
          </cell>
          <cell r="G244" t="str">
            <v>8</v>
          </cell>
          <cell r="H244">
            <v>0</v>
          </cell>
        </row>
        <row r="245">
          <cell r="B245">
            <v>2890</v>
          </cell>
          <cell r="C245" t="str">
            <v>Connor; Phillip A.</v>
          </cell>
          <cell r="D245" t="str">
            <v>1</v>
          </cell>
          <cell r="E245">
            <v>2890</v>
          </cell>
          <cell r="F245">
            <v>2890</v>
          </cell>
          <cell r="G245">
            <v>2890</v>
          </cell>
          <cell r="H245">
            <v>1</v>
          </cell>
        </row>
        <row r="246">
          <cell r="B246">
            <v>2893</v>
          </cell>
          <cell r="C246" t="str">
            <v>Churchman; Garyn M</v>
          </cell>
          <cell r="D246" t="str">
            <v>1C</v>
          </cell>
          <cell r="E246" t="str">
            <v>IBEWOUT</v>
          </cell>
          <cell r="F246" t="str">
            <v>77</v>
          </cell>
          <cell r="G246" t="str">
            <v>11</v>
          </cell>
          <cell r="H246">
            <v>0</v>
          </cell>
        </row>
        <row r="247">
          <cell r="B247">
            <v>2894</v>
          </cell>
          <cell r="C247" t="str">
            <v>Coffelt; Kenneth</v>
          </cell>
          <cell r="D247" t="str">
            <v>1C</v>
          </cell>
          <cell r="E247">
            <v>2894</v>
          </cell>
          <cell r="F247">
            <v>2894</v>
          </cell>
          <cell r="G247">
            <v>2894</v>
          </cell>
          <cell r="H247">
            <v>0</v>
          </cell>
        </row>
        <row r="248">
          <cell r="B248">
            <v>2897</v>
          </cell>
          <cell r="C248" t="str">
            <v>Conrad; Pamela A</v>
          </cell>
          <cell r="D248" t="str">
            <v>1C</v>
          </cell>
          <cell r="E248" t="str">
            <v>IBEWOUT</v>
          </cell>
          <cell r="F248" t="str">
            <v>769</v>
          </cell>
          <cell r="G248" t="str">
            <v>7</v>
          </cell>
          <cell r="H248">
            <v>0</v>
          </cell>
        </row>
        <row r="249">
          <cell r="B249">
            <v>2899</v>
          </cell>
          <cell r="C249" t="str">
            <v>Conrad; Thomas H</v>
          </cell>
          <cell r="D249" t="str">
            <v>1C</v>
          </cell>
          <cell r="E249" t="str">
            <v>IBEWOUT</v>
          </cell>
          <cell r="F249" t="str">
            <v>769</v>
          </cell>
          <cell r="G249" t="str">
            <v>7</v>
          </cell>
          <cell r="H249">
            <v>0</v>
          </cell>
        </row>
        <row r="250">
          <cell r="B250">
            <v>2902</v>
          </cell>
          <cell r="C250" t="str">
            <v>Colvin; Brian M</v>
          </cell>
          <cell r="D250" t="str">
            <v>1C</v>
          </cell>
          <cell r="E250" t="str">
            <v>IBEWOUT</v>
          </cell>
          <cell r="F250" t="str">
            <v>1245</v>
          </cell>
          <cell r="G250" t="str">
            <v>8</v>
          </cell>
          <cell r="H250">
            <v>0</v>
          </cell>
        </row>
        <row r="251">
          <cell r="B251">
            <v>2903</v>
          </cell>
          <cell r="C251" t="str">
            <v>Conde; Carleton John</v>
          </cell>
          <cell r="D251" t="str">
            <v>1C</v>
          </cell>
          <cell r="E251" t="str">
            <v>IBEWOUT</v>
          </cell>
          <cell r="F251" t="str">
            <v>769</v>
          </cell>
          <cell r="G251" t="str">
            <v>22</v>
          </cell>
          <cell r="H251">
            <v>0</v>
          </cell>
        </row>
        <row r="252">
          <cell r="B252">
            <v>2904</v>
          </cell>
          <cell r="C252" t="str">
            <v>Cole Jr.; William C.</v>
          </cell>
          <cell r="D252" t="str">
            <v>1C</v>
          </cell>
          <cell r="E252">
            <v>2904</v>
          </cell>
          <cell r="F252">
            <v>2904</v>
          </cell>
          <cell r="G252">
            <v>2904</v>
          </cell>
          <cell r="H252">
            <v>0</v>
          </cell>
        </row>
        <row r="253">
          <cell r="B253">
            <v>2905</v>
          </cell>
          <cell r="C253" t="str">
            <v>Cocotis; Shayne G.</v>
          </cell>
          <cell r="D253" t="str">
            <v>1C</v>
          </cell>
          <cell r="E253" t="str">
            <v>IBEWOUT</v>
          </cell>
          <cell r="F253" t="str">
            <v>1245</v>
          </cell>
          <cell r="G253" t="str">
            <v>14</v>
          </cell>
          <cell r="H253">
            <v>0</v>
          </cell>
        </row>
        <row r="254">
          <cell r="B254">
            <v>2909</v>
          </cell>
          <cell r="C254" t="str">
            <v>Comer; James S</v>
          </cell>
          <cell r="D254" t="str">
            <v>1C</v>
          </cell>
          <cell r="E254" t="str">
            <v>IBEWOUT</v>
          </cell>
          <cell r="F254" t="str">
            <v>1049</v>
          </cell>
          <cell r="G254" t="str">
            <v>8</v>
          </cell>
          <cell r="H254">
            <v>0</v>
          </cell>
        </row>
        <row r="255">
          <cell r="B255">
            <v>2975</v>
          </cell>
          <cell r="C255" t="str">
            <v>Coolbaugh; Brandon S.</v>
          </cell>
          <cell r="D255" t="str">
            <v>1C</v>
          </cell>
          <cell r="E255" t="str">
            <v>IBEWOUT</v>
          </cell>
          <cell r="F255" t="str">
            <v>1319</v>
          </cell>
          <cell r="G255" t="str">
            <v>12</v>
          </cell>
          <cell r="H255">
            <v>0</v>
          </cell>
        </row>
        <row r="256">
          <cell r="B256">
            <v>2976</v>
          </cell>
          <cell r="C256" t="str">
            <v>Cooley; James C.</v>
          </cell>
          <cell r="D256" t="str">
            <v>1</v>
          </cell>
          <cell r="E256" t="str">
            <v>IBEWOUT</v>
          </cell>
          <cell r="F256" t="str">
            <v>1245</v>
          </cell>
          <cell r="G256" t="str">
            <v>1</v>
          </cell>
          <cell r="H256">
            <v>1</v>
          </cell>
        </row>
        <row r="257">
          <cell r="B257">
            <v>3002</v>
          </cell>
          <cell r="C257" t="str">
            <v>Cooper; Russell L</v>
          </cell>
          <cell r="D257" t="str">
            <v>1</v>
          </cell>
          <cell r="E257">
            <v>3002</v>
          </cell>
          <cell r="F257">
            <v>3002</v>
          </cell>
          <cell r="G257">
            <v>3002</v>
          </cell>
          <cell r="H257">
            <v>1</v>
          </cell>
        </row>
        <row r="258">
          <cell r="B258">
            <v>3004</v>
          </cell>
          <cell r="C258" t="str">
            <v>Cooper; Kelly D</v>
          </cell>
          <cell r="D258" t="str">
            <v>1C</v>
          </cell>
          <cell r="E258" t="str">
            <v>IBEWOUT</v>
          </cell>
          <cell r="F258" t="str">
            <v>1245</v>
          </cell>
          <cell r="G258" t="str">
            <v>17</v>
          </cell>
          <cell r="H258">
            <v>0</v>
          </cell>
        </row>
        <row r="259">
          <cell r="B259">
            <v>3010</v>
          </cell>
          <cell r="C259" t="str">
            <v>Copen; James R</v>
          </cell>
          <cell r="D259" t="str">
            <v>1C</v>
          </cell>
          <cell r="E259" t="str">
            <v>IBEWOUT</v>
          </cell>
          <cell r="F259" t="str">
            <v>1245</v>
          </cell>
          <cell r="G259" t="str">
            <v>8</v>
          </cell>
          <cell r="H259">
            <v>0</v>
          </cell>
        </row>
        <row r="260">
          <cell r="B260">
            <v>3020</v>
          </cell>
          <cell r="C260" t="str">
            <v>Corbin; Aaron</v>
          </cell>
          <cell r="D260" t="str">
            <v>1C</v>
          </cell>
          <cell r="E260" t="str">
            <v>IBEWOUT</v>
          </cell>
          <cell r="F260" t="str">
            <v>1245</v>
          </cell>
          <cell r="G260" t="str">
            <v>8</v>
          </cell>
          <cell r="H260">
            <v>0</v>
          </cell>
        </row>
        <row r="261">
          <cell r="B261">
            <v>3028</v>
          </cell>
          <cell r="C261" t="str">
            <v>Cornett; Michael J</v>
          </cell>
          <cell r="D261" t="str">
            <v>1C</v>
          </cell>
          <cell r="E261" t="str">
            <v>IBEWOUT</v>
          </cell>
          <cell r="F261" t="str">
            <v>47</v>
          </cell>
          <cell r="G261" t="str">
            <v>17</v>
          </cell>
          <cell r="H261">
            <v>0</v>
          </cell>
        </row>
        <row r="262">
          <cell r="B262">
            <v>3030</v>
          </cell>
          <cell r="C262" t="str">
            <v>Cordova; John J</v>
          </cell>
          <cell r="D262" t="str">
            <v>1C</v>
          </cell>
          <cell r="E262" t="str">
            <v>IBEWOUT</v>
          </cell>
          <cell r="F262" t="str">
            <v>602R</v>
          </cell>
          <cell r="G262" t="str">
            <v>8</v>
          </cell>
          <cell r="H262">
            <v>0</v>
          </cell>
        </row>
        <row r="263">
          <cell r="B263">
            <v>3034</v>
          </cell>
          <cell r="C263" t="str">
            <v>Corsetti; Michael A</v>
          </cell>
          <cell r="D263" t="str">
            <v>1C</v>
          </cell>
          <cell r="E263" t="str">
            <v>IBEWOUT</v>
          </cell>
          <cell r="F263" t="str">
            <v>126</v>
          </cell>
          <cell r="G263" t="str">
            <v>33</v>
          </cell>
          <cell r="H263">
            <v>0</v>
          </cell>
        </row>
        <row r="264">
          <cell r="B264">
            <v>3045</v>
          </cell>
          <cell r="C264" t="str">
            <v>Covey; Lawrence Peter</v>
          </cell>
          <cell r="D264" t="str">
            <v>1C</v>
          </cell>
          <cell r="E264" t="str">
            <v>IBEWOUT</v>
          </cell>
          <cell r="F264" t="str">
            <v>1245</v>
          </cell>
          <cell r="G264" t="str">
            <v>1</v>
          </cell>
          <cell r="H264">
            <v>0</v>
          </cell>
        </row>
        <row r="265">
          <cell r="B265">
            <v>3048</v>
          </cell>
          <cell r="C265" t="str">
            <v>Cousland; Peter D.</v>
          </cell>
          <cell r="D265" t="str">
            <v>1C</v>
          </cell>
          <cell r="E265" t="str">
            <v>IBEWOUT</v>
          </cell>
          <cell r="F265" t="str">
            <v>77</v>
          </cell>
          <cell r="G265" t="str">
            <v>8</v>
          </cell>
          <cell r="H265">
            <v>0</v>
          </cell>
        </row>
        <row r="266">
          <cell r="B266">
            <v>3049</v>
          </cell>
          <cell r="C266" t="str">
            <v>Coury; Andrew A</v>
          </cell>
          <cell r="D266" t="str">
            <v>1C</v>
          </cell>
          <cell r="E266" t="str">
            <v>IBEWOUT</v>
          </cell>
          <cell r="F266" t="str">
            <v>1245</v>
          </cell>
          <cell r="G266" t="str">
            <v>8</v>
          </cell>
          <cell r="H266">
            <v>0</v>
          </cell>
        </row>
        <row r="267">
          <cell r="B267">
            <v>3050</v>
          </cell>
          <cell r="C267" t="str">
            <v>Cortez; Daniel R</v>
          </cell>
          <cell r="D267" t="str">
            <v>1</v>
          </cell>
          <cell r="E267" t="str">
            <v>IBEWOUT</v>
          </cell>
          <cell r="F267" t="str">
            <v>47</v>
          </cell>
          <cell r="G267" t="str">
            <v>8</v>
          </cell>
          <cell r="H267">
            <v>0</v>
          </cell>
        </row>
        <row r="268">
          <cell r="B268">
            <v>3051</v>
          </cell>
          <cell r="C268" t="str">
            <v>Cortez; David Esteban</v>
          </cell>
          <cell r="D268" t="str">
            <v>1</v>
          </cell>
          <cell r="E268" t="str">
            <v>IBEWOUT</v>
          </cell>
          <cell r="F268" t="str">
            <v>47</v>
          </cell>
          <cell r="G268" t="str">
            <v>7</v>
          </cell>
          <cell r="H268">
            <v>0</v>
          </cell>
        </row>
        <row r="269">
          <cell r="B269">
            <v>3052</v>
          </cell>
          <cell r="C269" t="str">
            <v>Coscarart; Juan</v>
          </cell>
          <cell r="D269" t="str">
            <v>1C</v>
          </cell>
          <cell r="E269" t="str">
            <v>IBEWOUT</v>
          </cell>
          <cell r="F269" t="str">
            <v>47</v>
          </cell>
          <cell r="G269" t="str">
            <v>8</v>
          </cell>
          <cell r="H269">
            <v>0</v>
          </cell>
        </row>
        <row r="270">
          <cell r="B270">
            <v>3054</v>
          </cell>
          <cell r="C270" t="str">
            <v>Cowett; Shawn E</v>
          </cell>
          <cell r="D270" t="str">
            <v>1</v>
          </cell>
          <cell r="E270">
            <v>3054</v>
          </cell>
          <cell r="F270">
            <v>3054</v>
          </cell>
          <cell r="G270">
            <v>3054</v>
          </cell>
          <cell r="H270">
            <v>0</v>
          </cell>
        </row>
        <row r="271">
          <cell r="B271">
            <v>3062</v>
          </cell>
          <cell r="C271" t="str">
            <v>Cox; Jody F.</v>
          </cell>
          <cell r="D271" t="str">
            <v>1C</v>
          </cell>
          <cell r="E271" t="str">
            <v>IBEWOUT</v>
          </cell>
          <cell r="F271" t="str">
            <v>47</v>
          </cell>
          <cell r="G271" t="str">
            <v>7</v>
          </cell>
          <cell r="H271">
            <v>0</v>
          </cell>
        </row>
        <row r="272">
          <cell r="B272">
            <v>3064</v>
          </cell>
          <cell r="C272" t="str">
            <v>Cottelit; Christopher J.</v>
          </cell>
          <cell r="D272" t="str">
            <v>1C</v>
          </cell>
          <cell r="E272" t="str">
            <v>IBEWOUT</v>
          </cell>
          <cell r="F272" t="str">
            <v>47</v>
          </cell>
          <cell r="G272" t="str">
            <v>7</v>
          </cell>
          <cell r="H272">
            <v>0</v>
          </cell>
        </row>
        <row r="273">
          <cell r="B273">
            <v>3068</v>
          </cell>
          <cell r="C273" t="str">
            <v>Crabtree; Leroy J</v>
          </cell>
          <cell r="D273" t="str">
            <v>1C</v>
          </cell>
          <cell r="E273">
            <v>3068</v>
          </cell>
          <cell r="F273">
            <v>3068</v>
          </cell>
          <cell r="G273">
            <v>3068</v>
          </cell>
          <cell r="H273">
            <v>0</v>
          </cell>
        </row>
        <row r="274">
          <cell r="B274">
            <v>3077</v>
          </cell>
          <cell r="C274" t="str">
            <v>Crego Jr.; Joseph</v>
          </cell>
          <cell r="D274" t="str">
            <v>1</v>
          </cell>
          <cell r="E274" t="str">
            <v>IBEWOUT</v>
          </cell>
          <cell r="F274" t="str">
            <v>47</v>
          </cell>
          <cell r="G274" t="str">
            <v>7</v>
          </cell>
          <cell r="H274">
            <v>0</v>
          </cell>
        </row>
        <row r="275">
          <cell r="B275">
            <v>3079</v>
          </cell>
          <cell r="C275" t="str">
            <v>Creighton; Mark Jeffrey</v>
          </cell>
          <cell r="D275" t="str">
            <v>1C</v>
          </cell>
          <cell r="E275" t="str">
            <v>IBEWOUT</v>
          </cell>
          <cell r="F275" t="str">
            <v>125</v>
          </cell>
          <cell r="G275" t="str">
            <v>33</v>
          </cell>
          <cell r="H275">
            <v>0</v>
          </cell>
        </row>
        <row r="276">
          <cell r="B276">
            <v>3082</v>
          </cell>
          <cell r="C276" t="str">
            <v>Cross; Mitchel Dee</v>
          </cell>
          <cell r="D276" t="str">
            <v>1C</v>
          </cell>
          <cell r="E276" t="str">
            <v>IBEWOUT</v>
          </cell>
          <cell r="F276" t="str">
            <v>769</v>
          </cell>
          <cell r="G276" t="str">
            <v>7</v>
          </cell>
          <cell r="H276">
            <v>0</v>
          </cell>
        </row>
        <row r="277">
          <cell r="B277">
            <v>3084</v>
          </cell>
          <cell r="C277" t="str">
            <v>Crowder; Joseph Dennis</v>
          </cell>
          <cell r="D277" t="str">
            <v>1C</v>
          </cell>
          <cell r="E277" t="str">
            <v>IBEWOUT</v>
          </cell>
          <cell r="F277" t="str">
            <v>47</v>
          </cell>
          <cell r="G277" t="str">
            <v>16</v>
          </cell>
          <cell r="H277">
            <v>0</v>
          </cell>
        </row>
        <row r="278">
          <cell r="B278">
            <v>3085</v>
          </cell>
          <cell r="C278" t="str">
            <v>Crowder; Travis M</v>
          </cell>
          <cell r="D278" t="str">
            <v>1C</v>
          </cell>
          <cell r="E278" t="str">
            <v>IBEWOUT</v>
          </cell>
          <cell r="F278" t="str">
            <v>77</v>
          </cell>
          <cell r="G278" t="str">
            <v>8</v>
          </cell>
          <cell r="H278">
            <v>0</v>
          </cell>
        </row>
        <row r="279">
          <cell r="B279">
            <v>3087</v>
          </cell>
          <cell r="C279" t="str">
            <v>Crowley; Richard N</v>
          </cell>
          <cell r="D279" t="str">
            <v>1C</v>
          </cell>
          <cell r="E279" t="str">
            <v>IBEWOUT</v>
          </cell>
          <cell r="F279" t="str">
            <v>1245</v>
          </cell>
          <cell r="G279" t="str">
            <v>8</v>
          </cell>
          <cell r="H279">
            <v>0</v>
          </cell>
        </row>
        <row r="280">
          <cell r="B280">
            <v>3095</v>
          </cell>
          <cell r="C280" t="str">
            <v>Crites; Eric J</v>
          </cell>
          <cell r="D280" t="str">
            <v>1C</v>
          </cell>
          <cell r="E280" t="str">
            <v>IBEWOUT</v>
          </cell>
          <cell r="F280" t="str">
            <v>1245</v>
          </cell>
          <cell r="G280" t="str">
            <v>60</v>
          </cell>
          <cell r="H280">
            <v>0</v>
          </cell>
        </row>
        <row r="281">
          <cell r="B281">
            <v>3113</v>
          </cell>
          <cell r="C281" t="str">
            <v>Curry; Patrick Michael</v>
          </cell>
          <cell r="D281" t="str">
            <v>1C</v>
          </cell>
          <cell r="E281" t="str">
            <v>IBEWOUT</v>
          </cell>
          <cell r="F281" t="str">
            <v>77</v>
          </cell>
          <cell r="G281" t="str">
            <v>8</v>
          </cell>
          <cell r="H281">
            <v>0</v>
          </cell>
        </row>
        <row r="282">
          <cell r="B282">
            <v>3118</v>
          </cell>
          <cell r="C282" t="str">
            <v>Crupper; David Daniel</v>
          </cell>
          <cell r="D282" t="str">
            <v>1C</v>
          </cell>
          <cell r="E282">
            <v>3118</v>
          </cell>
          <cell r="F282">
            <v>3118</v>
          </cell>
          <cell r="G282">
            <v>3118</v>
          </cell>
          <cell r="H282">
            <v>0</v>
          </cell>
        </row>
        <row r="283">
          <cell r="B283">
            <v>3124</v>
          </cell>
          <cell r="C283" t="str">
            <v>Currie; Dean Anthony</v>
          </cell>
          <cell r="D283" t="str">
            <v>1C</v>
          </cell>
          <cell r="E283" t="str">
            <v>IBEWOUT</v>
          </cell>
          <cell r="F283" t="str">
            <v>77</v>
          </cell>
          <cell r="G283" t="str">
            <v>8</v>
          </cell>
          <cell r="H283">
            <v>0</v>
          </cell>
        </row>
        <row r="284">
          <cell r="B284">
            <v>3125</v>
          </cell>
          <cell r="C284" t="str">
            <v>Crouch; Daniel Jennings</v>
          </cell>
          <cell r="D284" t="str">
            <v>1C</v>
          </cell>
          <cell r="E284" t="str">
            <v>IBEWOUT</v>
          </cell>
          <cell r="F284" t="str">
            <v>47</v>
          </cell>
          <cell r="G284" t="str">
            <v>8</v>
          </cell>
          <cell r="H284">
            <v>0</v>
          </cell>
        </row>
        <row r="285">
          <cell r="B285">
            <v>3127</v>
          </cell>
          <cell r="C285" t="str">
            <v>Cummings; Mark R</v>
          </cell>
          <cell r="D285" t="str">
            <v>1C</v>
          </cell>
          <cell r="E285">
            <v>3127</v>
          </cell>
          <cell r="F285">
            <v>3127</v>
          </cell>
          <cell r="G285">
            <v>3127</v>
          </cell>
          <cell r="H285">
            <v>0</v>
          </cell>
        </row>
        <row r="286">
          <cell r="B286">
            <v>3128</v>
          </cell>
          <cell r="C286" t="str">
            <v>Crouch; Steven J</v>
          </cell>
          <cell r="D286" t="str">
            <v>1C</v>
          </cell>
          <cell r="E286">
            <v>3128</v>
          </cell>
          <cell r="F286">
            <v>3128</v>
          </cell>
          <cell r="G286">
            <v>3128</v>
          </cell>
          <cell r="H286">
            <v>1</v>
          </cell>
        </row>
        <row r="287">
          <cell r="B287">
            <v>3140</v>
          </cell>
          <cell r="C287" t="str">
            <v>Crosby; Paul S.</v>
          </cell>
          <cell r="D287" t="str">
            <v>1C</v>
          </cell>
          <cell r="E287" t="str">
            <v>IBEWOUT</v>
          </cell>
          <cell r="F287" t="str">
            <v>769</v>
          </cell>
          <cell r="G287" t="str">
            <v>16</v>
          </cell>
          <cell r="H287">
            <v>0</v>
          </cell>
        </row>
        <row r="288">
          <cell r="B288">
            <v>3301</v>
          </cell>
          <cell r="C288" t="str">
            <v>Daggett; Travis S.</v>
          </cell>
          <cell r="D288" t="str">
            <v>1C</v>
          </cell>
          <cell r="E288">
            <v>3301</v>
          </cell>
          <cell r="F288">
            <v>3301</v>
          </cell>
          <cell r="G288">
            <v>3301</v>
          </cell>
          <cell r="H288">
            <v>1</v>
          </cell>
        </row>
        <row r="289">
          <cell r="B289">
            <v>3310</v>
          </cell>
          <cell r="C289" t="str">
            <v>Dalman; Jerrod W</v>
          </cell>
          <cell r="D289" t="str">
            <v>1C</v>
          </cell>
          <cell r="E289" t="str">
            <v>IBEWOUT</v>
          </cell>
          <cell r="F289" t="str">
            <v>602R</v>
          </cell>
          <cell r="G289" t="str">
            <v>8</v>
          </cell>
          <cell r="H289">
            <v>0</v>
          </cell>
        </row>
        <row r="290">
          <cell r="B290">
            <v>3311</v>
          </cell>
          <cell r="C290" t="str">
            <v>Damery; William J.</v>
          </cell>
          <cell r="D290" t="str">
            <v>1C</v>
          </cell>
          <cell r="E290" t="str">
            <v>IBEWOUT</v>
          </cell>
          <cell r="F290" t="str">
            <v>47</v>
          </cell>
          <cell r="G290" t="str">
            <v>16</v>
          </cell>
          <cell r="H290">
            <v>0</v>
          </cell>
        </row>
        <row r="291">
          <cell r="B291">
            <v>3317</v>
          </cell>
          <cell r="C291" t="str">
            <v>Daniels; Dustin J.</v>
          </cell>
          <cell r="D291" t="str">
            <v>1C</v>
          </cell>
          <cell r="E291" t="str">
            <v>IBEWOUT</v>
          </cell>
          <cell r="F291" t="str">
            <v>77</v>
          </cell>
          <cell r="G291" t="str">
            <v>8</v>
          </cell>
          <cell r="H291">
            <v>0</v>
          </cell>
        </row>
        <row r="292">
          <cell r="B292">
            <v>3318</v>
          </cell>
          <cell r="C292" t="str">
            <v>Danielson; Ryan G.</v>
          </cell>
          <cell r="D292" t="str">
            <v>1C</v>
          </cell>
          <cell r="E292" t="str">
            <v>IBEWOUT</v>
          </cell>
          <cell r="F292" t="str">
            <v>769</v>
          </cell>
          <cell r="G292" t="str">
            <v>8</v>
          </cell>
          <cell r="H292">
            <v>0</v>
          </cell>
        </row>
        <row r="293">
          <cell r="B293">
            <v>3320</v>
          </cell>
          <cell r="C293" t="str">
            <v>Danner; Joshua S</v>
          </cell>
          <cell r="D293" t="str">
            <v>1C</v>
          </cell>
          <cell r="E293" t="str">
            <v>IBEWOUT</v>
          </cell>
          <cell r="F293" t="str">
            <v>126</v>
          </cell>
          <cell r="G293" t="str">
            <v>16</v>
          </cell>
          <cell r="H293">
            <v>0</v>
          </cell>
        </row>
        <row r="294">
          <cell r="B294">
            <v>3321</v>
          </cell>
          <cell r="C294" t="str">
            <v>Darr; Taylor W</v>
          </cell>
          <cell r="D294" t="str">
            <v>1C</v>
          </cell>
          <cell r="E294" t="str">
            <v>IBEWOUT</v>
          </cell>
          <cell r="F294" t="str">
            <v>1245</v>
          </cell>
          <cell r="G294" t="str">
            <v>8</v>
          </cell>
          <cell r="H294">
            <v>0</v>
          </cell>
        </row>
        <row r="295">
          <cell r="B295">
            <v>3322</v>
          </cell>
          <cell r="C295" t="str">
            <v>Daugs; Matthew J</v>
          </cell>
          <cell r="D295" t="str">
            <v>1C</v>
          </cell>
          <cell r="E295" t="str">
            <v>IBEWOUT</v>
          </cell>
          <cell r="F295" t="str">
            <v>1245</v>
          </cell>
          <cell r="G295" t="str">
            <v>8</v>
          </cell>
          <cell r="H295">
            <v>0</v>
          </cell>
        </row>
        <row r="296">
          <cell r="B296">
            <v>3324</v>
          </cell>
          <cell r="C296" t="str">
            <v>Daugherty; Jerry Lee</v>
          </cell>
          <cell r="D296" t="str">
            <v>1C</v>
          </cell>
          <cell r="E296" t="str">
            <v>IBEWOUT</v>
          </cell>
          <cell r="F296" t="str">
            <v>1245</v>
          </cell>
          <cell r="G296" t="str">
            <v>8</v>
          </cell>
          <cell r="H296">
            <v>0</v>
          </cell>
        </row>
        <row r="297">
          <cell r="B297">
            <v>3342</v>
          </cell>
          <cell r="C297" t="str">
            <v>Davis; Jayson A</v>
          </cell>
          <cell r="D297" t="str">
            <v>1C</v>
          </cell>
          <cell r="E297" t="str">
            <v>IBEWOUT</v>
          </cell>
          <cell r="F297" t="str">
            <v>126</v>
          </cell>
          <cell r="G297" t="str">
            <v>8</v>
          </cell>
          <cell r="H297">
            <v>0</v>
          </cell>
        </row>
        <row r="298">
          <cell r="B298">
            <v>3349</v>
          </cell>
          <cell r="C298" t="str">
            <v>Davis; Daniel J</v>
          </cell>
          <cell r="D298" t="str">
            <v>1C</v>
          </cell>
          <cell r="E298" t="str">
            <v>IBEWOUT</v>
          </cell>
          <cell r="F298" t="str">
            <v>160</v>
          </cell>
          <cell r="G298" t="str">
            <v>15</v>
          </cell>
          <cell r="H298">
            <v>0</v>
          </cell>
        </row>
        <row r="299">
          <cell r="B299">
            <v>3356</v>
          </cell>
          <cell r="C299" t="str">
            <v>Davis; Keane A</v>
          </cell>
          <cell r="D299" t="str">
            <v>1C</v>
          </cell>
          <cell r="E299" t="str">
            <v>IBEWOUT</v>
          </cell>
          <cell r="F299" t="str">
            <v>1245</v>
          </cell>
          <cell r="G299" t="str">
            <v>8</v>
          </cell>
          <cell r="H299">
            <v>0</v>
          </cell>
        </row>
        <row r="300">
          <cell r="B300">
            <v>3367</v>
          </cell>
          <cell r="C300" t="str">
            <v>De La Torre; Filimon V</v>
          </cell>
          <cell r="D300" t="str">
            <v>1C</v>
          </cell>
          <cell r="E300" t="str">
            <v>IBEWOUT</v>
          </cell>
          <cell r="F300" t="str">
            <v>47</v>
          </cell>
          <cell r="G300" t="str">
            <v>17</v>
          </cell>
          <cell r="H300">
            <v>0</v>
          </cell>
        </row>
        <row r="301">
          <cell r="B301">
            <v>3368</v>
          </cell>
          <cell r="C301" t="str">
            <v>Dees; Bradley A</v>
          </cell>
          <cell r="D301" t="str">
            <v>1C</v>
          </cell>
          <cell r="E301" t="str">
            <v>IBEWOUT</v>
          </cell>
          <cell r="F301" t="str">
            <v>1245</v>
          </cell>
          <cell r="G301" t="str">
            <v>8</v>
          </cell>
          <cell r="H301">
            <v>0</v>
          </cell>
        </row>
        <row r="302">
          <cell r="B302">
            <v>3370</v>
          </cell>
          <cell r="C302" t="str">
            <v>Dees; Spencer D</v>
          </cell>
          <cell r="D302" t="str">
            <v>1</v>
          </cell>
          <cell r="E302" t="str">
            <v>IBEWOUT</v>
          </cell>
          <cell r="F302" t="str">
            <v>769</v>
          </cell>
          <cell r="G302" t="str">
            <v>8</v>
          </cell>
          <cell r="H302">
            <v>0</v>
          </cell>
        </row>
        <row r="303">
          <cell r="B303">
            <v>3371</v>
          </cell>
          <cell r="C303" t="str">
            <v>DeBon; Mitchell C</v>
          </cell>
          <cell r="D303" t="str">
            <v>1C</v>
          </cell>
          <cell r="E303" t="str">
            <v>IBEWOUT</v>
          </cell>
          <cell r="F303" t="str">
            <v>1245</v>
          </cell>
          <cell r="G303" t="str">
            <v>17</v>
          </cell>
          <cell r="H303">
            <v>0</v>
          </cell>
        </row>
        <row r="304">
          <cell r="B304">
            <v>3372</v>
          </cell>
          <cell r="C304" t="str">
            <v>DeBruler; Daniel G</v>
          </cell>
          <cell r="D304" t="str">
            <v>1</v>
          </cell>
          <cell r="E304">
            <v>3372</v>
          </cell>
          <cell r="F304">
            <v>3372</v>
          </cell>
          <cell r="G304">
            <v>3372</v>
          </cell>
          <cell r="H304">
            <v>1</v>
          </cell>
        </row>
        <row r="305">
          <cell r="B305">
            <v>3373</v>
          </cell>
          <cell r="C305" t="str">
            <v>Dearing; Randy E</v>
          </cell>
          <cell r="D305" t="str">
            <v>1C</v>
          </cell>
          <cell r="E305" t="str">
            <v>IBEWOUT</v>
          </cell>
          <cell r="F305" t="str">
            <v>1245</v>
          </cell>
          <cell r="G305" t="str">
            <v>1</v>
          </cell>
          <cell r="H305">
            <v>0</v>
          </cell>
        </row>
        <row r="306">
          <cell r="B306">
            <v>3375</v>
          </cell>
          <cell r="C306" t="str">
            <v>Demeter III; Richard W</v>
          </cell>
          <cell r="D306" t="str">
            <v>1</v>
          </cell>
          <cell r="E306">
            <v>3375</v>
          </cell>
          <cell r="F306">
            <v>3375</v>
          </cell>
          <cell r="G306">
            <v>3375</v>
          </cell>
          <cell r="H306">
            <v>1</v>
          </cell>
        </row>
        <row r="307">
          <cell r="B307">
            <v>3377</v>
          </cell>
          <cell r="C307" t="str">
            <v>Deal; Nathan W.</v>
          </cell>
          <cell r="D307" t="str">
            <v>1C</v>
          </cell>
          <cell r="E307" t="str">
            <v>IBEWOUT</v>
          </cell>
          <cell r="F307" t="str">
            <v>125</v>
          </cell>
          <cell r="G307" t="str">
            <v>12</v>
          </cell>
          <cell r="H307">
            <v>0</v>
          </cell>
        </row>
        <row r="308">
          <cell r="B308">
            <v>3382</v>
          </cell>
          <cell r="C308" t="str">
            <v>Deitz; Steve Andrew</v>
          </cell>
          <cell r="D308" t="str">
            <v>1C</v>
          </cell>
          <cell r="E308" t="str">
            <v>IBEWOUT</v>
          </cell>
          <cell r="F308" t="str">
            <v>77</v>
          </cell>
          <cell r="G308" t="str">
            <v>16</v>
          </cell>
          <cell r="H308">
            <v>0</v>
          </cell>
        </row>
        <row r="309">
          <cell r="B309">
            <v>3383</v>
          </cell>
          <cell r="C309" t="str">
            <v>Delong; Joseph Henry</v>
          </cell>
          <cell r="D309" t="str">
            <v>1C</v>
          </cell>
          <cell r="E309">
            <v>3383</v>
          </cell>
          <cell r="F309">
            <v>3383</v>
          </cell>
          <cell r="G309">
            <v>3383</v>
          </cell>
          <cell r="H309">
            <v>0</v>
          </cell>
        </row>
        <row r="310">
          <cell r="B310">
            <v>3386</v>
          </cell>
          <cell r="C310" t="str">
            <v>Denestan; Hector</v>
          </cell>
          <cell r="D310" t="str">
            <v>1C</v>
          </cell>
          <cell r="E310" t="str">
            <v>IBEWOUT</v>
          </cell>
          <cell r="F310" t="str">
            <v>602R</v>
          </cell>
          <cell r="G310" t="str">
            <v>8</v>
          </cell>
          <cell r="H310">
            <v>0</v>
          </cell>
        </row>
        <row r="311">
          <cell r="B311">
            <v>3387</v>
          </cell>
          <cell r="C311" t="str">
            <v>DeWitt; Craig R</v>
          </cell>
          <cell r="D311" t="str">
            <v>1</v>
          </cell>
          <cell r="E311">
            <v>3387</v>
          </cell>
          <cell r="F311">
            <v>3387</v>
          </cell>
          <cell r="G311">
            <v>3387</v>
          </cell>
          <cell r="H311">
            <v>1</v>
          </cell>
        </row>
        <row r="312">
          <cell r="B312">
            <v>3388</v>
          </cell>
          <cell r="C312" t="str">
            <v>Del Pizzo; Scott</v>
          </cell>
          <cell r="D312" t="str">
            <v>1</v>
          </cell>
          <cell r="E312" t="str">
            <v>IBEWOUT</v>
          </cell>
          <cell r="F312" t="str">
            <v>1245</v>
          </cell>
          <cell r="G312" t="str">
            <v>7</v>
          </cell>
          <cell r="H312">
            <v>0</v>
          </cell>
        </row>
        <row r="313">
          <cell r="B313">
            <v>3389</v>
          </cell>
          <cell r="C313" t="str">
            <v>Deluna; Ricardo</v>
          </cell>
          <cell r="D313" t="str">
            <v>1</v>
          </cell>
          <cell r="E313">
            <v>3389</v>
          </cell>
          <cell r="F313">
            <v>3389</v>
          </cell>
          <cell r="G313">
            <v>3389</v>
          </cell>
          <cell r="H313">
            <v>0</v>
          </cell>
        </row>
        <row r="314">
          <cell r="B314">
            <v>3407</v>
          </cell>
          <cell r="C314" t="str">
            <v>Devine; Chad Emery</v>
          </cell>
          <cell r="D314" t="str">
            <v>1</v>
          </cell>
          <cell r="E314" t="str">
            <v>IBEWOUT</v>
          </cell>
          <cell r="F314" t="str">
            <v>77</v>
          </cell>
          <cell r="G314" t="str">
            <v>1</v>
          </cell>
          <cell r="H314">
            <v>1</v>
          </cell>
        </row>
        <row r="315">
          <cell r="B315">
            <v>3413</v>
          </cell>
          <cell r="C315" t="str">
            <v>Denk; Dean L.</v>
          </cell>
          <cell r="D315" t="str">
            <v>1C</v>
          </cell>
          <cell r="E315" t="str">
            <v>IBEWOUT</v>
          </cell>
          <cell r="F315" t="str">
            <v>769</v>
          </cell>
          <cell r="G315" t="str">
            <v>8</v>
          </cell>
          <cell r="H315">
            <v>0</v>
          </cell>
        </row>
        <row r="316">
          <cell r="B316">
            <v>3417</v>
          </cell>
          <cell r="C316" t="str">
            <v>Domenick; James A</v>
          </cell>
          <cell r="D316" t="str">
            <v>1C</v>
          </cell>
          <cell r="E316" t="str">
            <v>IBEWOUT</v>
          </cell>
          <cell r="F316" t="str">
            <v>396</v>
          </cell>
          <cell r="G316" t="str">
            <v>18</v>
          </cell>
          <cell r="H316">
            <v>0</v>
          </cell>
        </row>
        <row r="317">
          <cell r="B317">
            <v>3425</v>
          </cell>
          <cell r="C317" t="str">
            <v>Dyer; Hailey M</v>
          </cell>
          <cell r="D317" t="str">
            <v>1</v>
          </cell>
          <cell r="E317">
            <v>3425</v>
          </cell>
          <cell r="F317">
            <v>3425</v>
          </cell>
          <cell r="G317">
            <v>3425</v>
          </cell>
          <cell r="H317">
            <v>1</v>
          </cell>
        </row>
        <row r="318">
          <cell r="B318">
            <v>3435</v>
          </cell>
          <cell r="C318" t="str">
            <v>Diaz; Robert H.</v>
          </cell>
          <cell r="D318" t="str">
            <v>1C</v>
          </cell>
          <cell r="E318" t="str">
            <v>IBEWOUT</v>
          </cell>
          <cell r="F318" t="str">
            <v>47</v>
          </cell>
          <cell r="G318" t="str">
            <v>16</v>
          </cell>
          <cell r="H318">
            <v>0</v>
          </cell>
        </row>
        <row r="319">
          <cell r="B319">
            <v>3438</v>
          </cell>
          <cell r="C319" t="str">
            <v>Andrade Diaz; Jose Rolando</v>
          </cell>
          <cell r="D319" t="str">
            <v>1C</v>
          </cell>
          <cell r="E319" t="str">
            <v>IBEWOUT</v>
          </cell>
          <cell r="F319" t="str">
            <v>1245</v>
          </cell>
          <cell r="G319" t="str">
            <v>70</v>
          </cell>
          <cell r="H319">
            <v>0</v>
          </cell>
        </row>
        <row r="320">
          <cell r="B320">
            <v>3439</v>
          </cell>
          <cell r="C320" t="str">
            <v>Diaz; Albert J.</v>
          </cell>
          <cell r="D320" t="str">
            <v>1C</v>
          </cell>
          <cell r="E320" t="str">
            <v>IBEWOUT</v>
          </cell>
          <cell r="F320" t="str">
            <v>47</v>
          </cell>
          <cell r="G320" t="str">
            <v>8</v>
          </cell>
          <cell r="H320">
            <v>0</v>
          </cell>
        </row>
        <row r="321">
          <cell r="B321">
            <v>3465</v>
          </cell>
          <cell r="C321" t="str">
            <v>Dineen; Timothy J.</v>
          </cell>
          <cell r="D321" t="str">
            <v>1C</v>
          </cell>
          <cell r="E321" t="str">
            <v>IBEWOUT</v>
          </cell>
          <cell r="F321" t="str">
            <v>1319</v>
          </cell>
          <cell r="G321" t="str">
            <v>8</v>
          </cell>
          <cell r="H321">
            <v>0</v>
          </cell>
        </row>
        <row r="322">
          <cell r="B322">
            <v>3470</v>
          </cell>
          <cell r="C322" t="str">
            <v>Dixon; Dustin M.</v>
          </cell>
          <cell r="D322" t="str">
            <v>1C</v>
          </cell>
          <cell r="E322" t="str">
            <v>IBEWOUT</v>
          </cell>
          <cell r="F322" t="str">
            <v>1245</v>
          </cell>
          <cell r="G322" t="str">
            <v>8</v>
          </cell>
          <cell r="H322">
            <v>0</v>
          </cell>
        </row>
        <row r="323">
          <cell r="B323">
            <v>3532</v>
          </cell>
          <cell r="C323" t="str">
            <v>Dodd; Richard L</v>
          </cell>
          <cell r="D323" t="str">
            <v>1C</v>
          </cell>
          <cell r="E323" t="str">
            <v>IBEWOUT</v>
          </cell>
          <cell r="F323" t="str">
            <v>77</v>
          </cell>
          <cell r="G323" t="str">
            <v>60</v>
          </cell>
          <cell r="H323">
            <v>0</v>
          </cell>
        </row>
        <row r="324">
          <cell r="B324">
            <v>3537</v>
          </cell>
          <cell r="C324" t="str">
            <v>Dotson; David Lee</v>
          </cell>
          <cell r="D324" t="str">
            <v>1C</v>
          </cell>
          <cell r="E324">
            <v>3537</v>
          </cell>
          <cell r="F324">
            <v>3537</v>
          </cell>
          <cell r="G324">
            <v>3537</v>
          </cell>
          <cell r="H324">
            <v>0</v>
          </cell>
        </row>
        <row r="325">
          <cell r="B325">
            <v>3548</v>
          </cell>
          <cell r="C325" t="str">
            <v>Douglas; Wyatt J</v>
          </cell>
          <cell r="D325" t="str">
            <v>1</v>
          </cell>
          <cell r="E325">
            <v>3548</v>
          </cell>
          <cell r="F325">
            <v>3548</v>
          </cell>
          <cell r="G325">
            <v>3548</v>
          </cell>
          <cell r="H325">
            <v>1</v>
          </cell>
        </row>
        <row r="326">
          <cell r="B326">
            <v>3549</v>
          </cell>
          <cell r="C326" t="str">
            <v>Early; Darren M</v>
          </cell>
          <cell r="D326" t="str">
            <v>1C</v>
          </cell>
          <cell r="E326">
            <v>3549</v>
          </cell>
          <cell r="F326">
            <v>3549</v>
          </cell>
          <cell r="G326">
            <v>3549</v>
          </cell>
          <cell r="H326">
            <v>0</v>
          </cell>
        </row>
        <row r="327">
          <cell r="B327">
            <v>3550</v>
          </cell>
          <cell r="C327" t="str">
            <v>Giles; Martinez A.</v>
          </cell>
          <cell r="D327" t="str">
            <v>1C</v>
          </cell>
          <cell r="E327" t="str">
            <v>IBEWOUT</v>
          </cell>
          <cell r="F327" t="str">
            <v>1245</v>
          </cell>
          <cell r="G327" t="str">
            <v>8</v>
          </cell>
          <cell r="H327">
            <v>0</v>
          </cell>
        </row>
        <row r="328">
          <cell r="B328">
            <v>3551</v>
          </cell>
          <cell r="C328" t="str">
            <v>Dominguez; Ruben</v>
          </cell>
          <cell r="D328" t="str">
            <v>1</v>
          </cell>
          <cell r="E328" t="str">
            <v>IBEWOUT</v>
          </cell>
          <cell r="F328" t="str">
            <v>611</v>
          </cell>
          <cell r="G328" t="str">
            <v>8</v>
          </cell>
          <cell r="H328">
            <v>0</v>
          </cell>
        </row>
        <row r="329">
          <cell r="B329">
            <v>3556</v>
          </cell>
          <cell r="C329" t="str">
            <v>Dorado; Jesus F</v>
          </cell>
          <cell r="D329" t="str">
            <v>1</v>
          </cell>
          <cell r="E329" t="str">
            <v>IBEWOUT</v>
          </cell>
          <cell r="F329" t="str">
            <v>47</v>
          </cell>
          <cell r="G329" t="str">
            <v>15</v>
          </cell>
          <cell r="H329">
            <v>0</v>
          </cell>
        </row>
        <row r="330">
          <cell r="B330">
            <v>3561</v>
          </cell>
          <cell r="C330" t="str">
            <v>Dirks; Kyle A</v>
          </cell>
          <cell r="D330" t="str">
            <v>1</v>
          </cell>
          <cell r="E330" t="str">
            <v>IBEWOUT</v>
          </cell>
          <cell r="F330" t="str">
            <v>1245</v>
          </cell>
          <cell r="G330" t="str">
            <v>13</v>
          </cell>
          <cell r="H330">
            <v>0</v>
          </cell>
        </row>
        <row r="331">
          <cell r="B331">
            <v>3585</v>
          </cell>
          <cell r="C331" t="str">
            <v>Dudley; Eric L</v>
          </cell>
          <cell r="D331" t="str">
            <v>1C</v>
          </cell>
          <cell r="E331" t="str">
            <v>IBEWOUT</v>
          </cell>
          <cell r="F331" t="str">
            <v>125</v>
          </cell>
          <cell r="G331" t="str">
            <v>16</v>
          </cell>
          <cell r="H331">
            <v>0</v>
          </cell>
        </row>
        <row r="332">
          <cell r="B332">
            <v>3588</v>
          </cell>
          <cell r="C332" t="str">
            <v>Duffer; Taylor L</v>
          </cell>
          <cell r="D332" t="str">
            <v>1C</v>
          </cell>
          <cell r="E332" t="str">
            <v>IBEWOUT</v>
          </cell>
          <cell r="F332" t="str">
            <v>769</v>
          </cell>
          <cell r="G332" t="str">
            <v>8</v>
          </cell>
          <cell r="H332">
            <v>0</v>
          </cell>
        </row>
        <row r="333">
          <cell r="B333">
            <v>3589</v>
          </cell>
          <cell r="C333" t="str">
            <v>Duino; Justin R</v>
          </cell>
          <cell r="D333" t="str">
            <v>1</v>
          </cell>
          <cell r="E333" t="str">
            <v>IBEWOUT</v>
          </cell>
          <cell r="F333" t="str">
            <v>1245</v>
          </cell>
          <cell r="G333" t="str">
            <v>8</v>
          </cell>
          <cell r="H333">
            <v>0</v>
          </cell>
        </row>
        <row r="334">
          <cell r="B334">
            <v>3592</v>
          </cell>
          <cell r="C334" t="str">
            <v>Dunne; Liam G</v>
          </cell>
          <cell r="D334" t="str">
            <v>1</v>
          </cell>
          <cell r="E334" t="str">
            <v>IBEWOUT</v>
          </cell>
          <cell r="F334" t="str">
            <v>47</v>
          </cell>
          <cell r="G334" t="str">
            <v>15</v>
          </cell>
          <cell r="H334">
            <v>0</v>
          </cell>
        </row>
        <row r="335">
          <cell r="B335">
            <v>3594</v>
          </cell>
          <cell r="C335" t="str">
            <v>Duncan; Jerry</v>
          </cell>
          <cell r="D335" t="str">
            <v>1C</v>
          </cell>
          <cell r="E335" t="str">
            <v>IBEWOUT</v>
          </cell>
          <cell r="F335" t="str">
            <v>126</v>
          </cell>
          <cell r="G335" t="str">
            <v>8</v>
          </cell>
          <cell r="H335">
            <v>0</v>
          </cell>
        </row>
        <row r="336">
          <cell r="B336">
            <v>3595</v>
          </cell>
          <cell r="C336" t="str">
            <v>Dungan; Joshua</v>
          </cell>
          <cell r="D336" t="str">
            <v>1C</v>
          </cell>
          <cell r="E336" t="str">
            <v>IBEWOUT</v>
          </cell>
          <cell r="F336" t="str">
            <v>1245</v>
          </cell>
          <cell r="G336" t="str">
            <v>8</v>
          </cell>
          <cell r="H336">
            <v>0</v>
          </cell>
        </row>
        <row r="337">
          <cell r="B337">
            <v>3596</v>
          </cell>
          <cell r="C337" t="str">
            <v>Dunn; Bradley C</v>
          </cell>
          <cell r="D337" t="str">
            <v>1C</v>
          </cell>
          <cell r="E337" t="str">
            <v>IBEWOUT</v>
          </cell>
          <cell r="F337" t="str">
            <v>611</v>
          </cell>
          <cell r="G337" t="str">
            <v>15</v>
          </cell>
          <cell r="H337">
            <v>0</v>
          </cell>
        </row>
        <row r="338">
          <cell r="B338">
            <v>3597</v>
          </cell>
          <cell r="C338" t="str">
            <v>Duncan Jr.; Ronald B</v>
          </cell>
          <cell r="D338" t="str">
            <v>1C</v>
          </cell>
          <cell r="E338" t="str">
            <v>IBEWOUT</v>
          </cell>
          <cell r="F338" t="str">
            <v>77</v>
          </cell>
          <cell r="G338" t="str">
            <v>8</v>
          </cell>
          <cell r="H338">
            <v>0</v>
          </cell>
        </row>
        <row r="339">
          <cell r="B339">
            <v>3598</v>
          </cell>
          <cell r="C339" t="str">
            <v>Dunton; Lewis R</v>
          </cell>
          <cell r="D339" t="str">
            <v>1C</v>
          </cell>
          <cell r="E339" t="str">
            <v>IBEWOUT</v>
          </cell>
          <cell r="F339" t="str">
            <v>77</v>
          </cell>
          <cell r="G339" t="str">
            <v>13</v>
          </cell>
          <cell r="H339">
            <v>0</v>
          </cell>
        </row>
        <row r="340">
          <cell r="B340">
            <v>3600</v>
          </cell>
          <cell r="C340" t="str">
            <v>Dunlap; Chad J</v>
          </cell>
          <cell r="D340" t="str">
            <v>1C</v>
          </cell>
          <cell r="E340">
            <v>3600</v>
          </cell>
          <cell r="F340">
            <v>3600</v>
          </cell>
          <cell r="G340">
            <v>3600</v>
          </cell>
          <cell r="H340">
            <v>0</v>
          </cell>
        </row>
        <row r="341">
          <cell r="B341">
            <v>3604</v>
          </cell>
          <cell r="C341" t="str">
            <v>Dove; Noah C.</v>
          </cell>
          <cell r="D341" t="str">
            <v>1C</v>
          </cell>
          <cell r="E341" t="str">
            <v>IBEWOUT</v>
          </cell>
          <cell r="F341" t="str">
            <v>77</v>
          </cell>
          <cell r="G341" t="str">
            <v>8</v>
          </cell>
          <cell r="H341">
            <v>0</v>
          </cell>
        </row>
        <row r="342">
          <cell r="B342">
            <v>3608</v>
          </cell>
          <cell r="C342" t="str">
            <v>Dovichi; Gregory D</v>
          </cell>
          <cell r="D342" t="str">
            <v>1C</v>
          </cell>
          <cell r="E342" t="str">
            <v>IBEWOUT</v>
          </cell>
          <cell r="F342" t="str">
            <v>1245</v>
          </cell>
          <cell r="G342" t="str">
            <v>9</v>
          </cell>
          <cell r="H342">
            <v>0</v>
          </cell>
        </row>
        <row r="343">
          <cell r="B343">
            <v>3610</v>
          </cell>
          <cell r="C343" t="str">
            <v>Driver; Kenneth R</v>
          </cell>
          <cell r="D343" t="str">
            <v>1C</v>
          </cell>
          <cell r="E343" t="str">
            <v>IBEWOUT</v>
          </cell>
          <cell r="F343" t="str">
            <v>1245</v>
          </cell>
          <cell r="G343" t="str">
            <v>17</v>
          </cell>
          <cell r="H343">
            <v>0</v>
          </cell>
        </row>
        <row r="344">
          <cell r="B344">
            <v>3612</v>
          </cell>
          <cell r="C344" t="str">
            <v>Drauschak; Joseph D</v>
          </cell>
          <cell r="D344" t="str">
            <v>1C</v>
          </cell>
          <cell r="E344" t="str">
            <v>IBEWOUT</v>
          </cell>
          <cell r="F344" t="str">
            <v>1319</v>
          </cell>
          <cell r="G344" t="str">
            <v>21</v>
          </cell>
          <cell r="H344">
            <v>0</v>
          </cell>
        </row>
        <row r="345">
          <cell r="B345">
            <v>3615</v>
          </cell>
          <cell r="C345" t="str">
            <v>Durkin; Patrick J</v>
          </cell>
          <cell r="D345" t="str">
            <v>1C</v>
          </cell>
          <cell r="E345" t="str">
            <v>IBEWOUT</v>
          </cell>
          <cell r="F345" t="str">
            <v>104</v>
          </cell>
          <cell r="G345" t="str">
            <v>15</v>
          </cell>
          <cell r="H345">
            <v>0</v>
          </cell>
        </row>
        <row r="346">
          <cell r="B346">
            <v>3616</v>
          </cell>
          <cell r="C346" t="str">
            <v>Dobry; Casey A</v>
          </cell>
          <cell r="D346" t="str">
            <v>1C</v>
          </cell>
          <cell r="E346" t="str">
            <v>IBEWOUT</v>
          </cell>
          <cell r="F346" t="str">
            <v>1245</v>
          </cell>
          <cell r="G346" t="str">
            <v>7</v>
          </cell>
          <cell r="H346">
            <v>0</v>
          </cell>
        </row>
        <row r="347">
          <cell r="B347">
            <v>3617</v>
          </cell>
          <cell r="C347" t="str">
            <v>Durbano; David L</v>
          </cell>
          <cell r="D347" t="str">
            <v>1</v>
          </cell>
          <cell r="E347">
            <v>3617</v>
          </cell>
          <cell r="F347">
            <v>3617</v>
          </cell>
          <cell r="G347">
            <v>3617</v>
          </cell>
          <cell r="H347">
            <v>1</v>
          </cell>
        </row>
        <row r="348">
          <cell r="B348">
            <v>3618</v>
          </cell>
          <cell r="C348" t="str">
            <v>Doan; Christopher P</v>
          </cell>
          <cell r="D348" t="str">
            <v>1C</v>
          </cell>
          <cell r="E348" t="str">
            <v>IBEWOUT</v>
          </cell>
          <cell r="F348" t="str">
            <v>126</v>
          </cell>
          <cell r="G348" t="str">
            <v>33</v>
          </cell>
          <cell r="H348">
            <v>0</v>
          </cell>
        </row>
        <row r="349">
          <cell r="B349">
            <v>3622</v>
          </cell>
          <cell r="C349" t="str">
            <v>Eberhart; Bradley D</v>
          </cell>
          <cell r="D349" t="str">
            <v>1C</v>
          </cell>
          <cell r="E349" t="str">
            <v>IBEWOUT</v>
          </cell>
          <cell r="F349" t="str">
            <v>77</v>
          </cell>
          <cell r="G349" t="str">
            <v>16</v>
          </cell>
          <cell r="H349">
            <v>0</v>
          </cell>
        </row>
        <row r="350">
          <cell r="B350">
            <v>3623</v>
          </cell>
          <cell r="C350" t="str">
            <v>Eckstein; Blake Robert</v>
          </cell>
          <cell r="D350" t="str">
            <v>1C</v>
          </cell>
          <cell r="E350" t="str">
            <v>IBEWOUT</v>
          </cell>
          <cell r="F350" t="str">
            <v>1245</v>
          </cell>
          <cell r="G350" t="str">
            <v>7</v>
          </cell>
          <cell r="H350">
            <v>0</v>
          </cell>
        </row>
        <row r="351">
          <cell r="B351">
            <v>3625</v>
          </cell>
          <cell r="C351" t="str">
            <v>Edwards; Cole</v>
          </cell>
          <cell r="D351" t="str">
            <v>1C</v>
          </cell>
          <cell r="E351" t="str">
            <v>IBEWOUT</v>
          </cell>
          <cell r="F351" t="str">
            <v>1245</v>
          </cell>
          <cell r="G351" t="str">
            <v>12</v>
          </cell>
          <cell r="H351">
            <v>0</v>
          </cell>
        </row>
        <row r="352">
          <cell r="B352">
            <v>3630</v>
          </cell>
          <cell r="C352" t="str">
            <v>Egress Jr; Frank</v>
          </cell>
          <cell r="D352" t="str">
            <v>1C</v>
          </cell>
          <cell r="E352" t="str">
            <v>IBEWOUT</v>
          </cell>
          <cell r="F352" t="str">
            <v>1245</v>
          </cell>
          <cell r="G352" t="str">
            <v>8</v>
          </cell>
          <cell r="H352">
            <v>0</v>
          </cell>
        </row>
        <row r="353">
          <cell r="B353">
            <v>3647</v>
          </cell>
          <cell r="C353" t="str">
            <v>Elliott; Charles M</v>
          </cell>
          <cell r="D353" t="str">
            <v>1</v>
          </cell>
          <cell r="E353" t="str">
            <v>IBEWOUT</v>
          </cell>
          <cell r="F353" t="str">
            <v>1245</v>
          </cell>
          <cell r="G353" t="str">
            <v>11</v>
          </cell>
          <cell r="H353">
            <v>0</v>
          </cell>
        </row>
        <row r="354">
          <cell r="B354">
            <v>3659</v>
          </cell>
          <cell r="C354" t="str">
            <v>Eldredge; Steven Henry</v>
          </cell>
          <cell r="D354" t="str">
            <v>1</v>
          </cell>
          <cell r="E354" t="str">
            <v>IBEWOUT</v>
          </cell>
          <cell r="F354" t="str">
            <v>1245</v>
          </cell>
          <cell r="G354" t="str">
            <v>59</v>
          </cell>
          <cell r="H354">
            <v>0</v>
          </cell>
        </row>
        <row r="355">
          <cell r="B355">
            <v>3662</v>
          </cell>
          <cell r="C355" t="str">
            <v>Elder; John J</v>
          </cell>
          <cell r="D355" t="str">
            <v>1C</v>
          </cell>
          <cell r="E355" t="str">
            <v>IBEWOUT</v>
          </cell>
          <cell r="F355" t="str">
            <v>47</v>
          </cell>
          <cell r="G355" t="str">
            <v>8</v>
          </cell>
          <cell r="H355">
            <v>0</v>
          </cell>
        </row>
        <row r="356">
          <cell r="B356">
            <v>3767</v>
          </cell>
          <cell r="C356" t="str">
            <v>Ellis; Shawn P</v>
          </cell>
          <cell r="D356" t="str">
            <v>1C</v>
          </cell>
          <cell r="E356" t="str">
            <v>IBEWOUT</v>
          </cell>
          <cell r="F356" t="str">
            <v>47</v>
          </cell>
          <cell r="G356" t="str">
            <v>8</v>
          </cell>
          <cell r="H356">
            <v>0</v>
          </cell>
        </row>
        <row r="357">
          <cell r="B357">
            <v>3768</v>
          </cell>
          <cell r="C357" t="str">
            <v>Elkan; Alston A</v>
          </cell>
          <cell r="D357" t="str">
            <v>1</v>
          </cell>
          <cell r="E357" t="str">
            <v>IBEWOUT</v>
          </cell>
          <cell r="F357" t="str">
            <v>769</v>
          </cell>
          <cell r="G357" t="str">
            <v>8</v>
          </cell>
          <cell r="H357">
            <v>0</v>
          </cell>
        </row>
        <row r="358">
          <cell r="B358">
            <v>3769</v>
          </cell>
          <cell r="C358" t="str">
            <v>Emery Jr; William L</v>
          </cell>
          <cell r="D358" t="str">
            <v>1C</v>
          </cell>
          <cell r="E358" t="str">
            <v>IBEWOUT</v>
          </cell>
          <cell r="F358" t="str">
            <v>769</v>
          </cell>
          <cell r="G358" t="str">
            <v>8</v>
          </cell>
          <cell r="H358">
            <v>0</v>
          </cell>
        </row>
        <row r="359">
          <cell r="B359">
            <v>3780</v>
          </cell>
          <cell r="C359" t="str">
            <v>Enders; Rodney J.</v>
          </cell>
          <cell r="D359" t="str">
            <v>1</v>
          </cell>
          <cell r="E359">
            <v>3780</v>
          </cell>
          <cell r="F359">
            <v>3780</v>
          </cell>
          <cell r="G359">
            <v>3780</v>
          </cell>
          <cell r="H359">
            <v>0</v>
          </cell>
        </row>
        <row r="360">
          <cell r="B360">
            <v>3781</v>
          </cell>
          <cell r="C360" t="str">
            <v>English II; Alfred Charles</v>
          </cell>
          <cell r="D360" t="str">
            <v>1</v>
          </cell>
          <cell r="E360">
            <v>3781</v>
          </cell>
          <cell r="F360">
            <v>3781</v>
          </cell>
          <cell r="G360">
            <v>3781</v>
          </cell>
          <cell r="H360">
            <v>1</v>
          </cell>
        </row>
        <row r="361">
          <cell r="B361">
            <v>3785</v>
          </cell>
          <cell r="C361" t="str">
            <v>English; Richard R</v>
          </cell>
          <cell r="D361" t="str">
            <v>1C</v>
          </cell>
          <cell r="E361" t="str">
            <v>IBEWOUT</v>
          </cell>
          <cell r="F361" t="str">
            <v>77</v>
          </cell>
          <cell r="G361" t="str">
            <v>15</v>
          </cell>
          <cell r="H361">
            <v>0</v>
          </cell>
        </row>
        <row r="362">
          <cell r="B362">
            <v>3942</v>
          </cell>
          <cell r="C362" t="str">
            <v>Erickson; Clancy W</v>
          </cell>
          <cell r="D362" t="str">
            <v>1C</v>
          </cell>
          <cell r="E362" t="str">
            <v>IBEWOUT</v>
          </cell>
          <cell r="F362" t="str">
            <v>1245</v>
          </cell>
          <cell r="G362" t="str">
            <v>8</v>
          </cell>
          <cell r="H362">
            <v>0</v>
          </cell>
        </row>
        <row r="363">
          <cell r="B363">
            <v>3944</v>
          </cell>
          <cell r="C363" t="str">
            <v>Erickson; Mitchell</v>
          </cell>
          <cell r="D363" t="str">
            <v>1C</v>
          </cell>
          <cell r="E363" t="str">
            <v>IBEWOUT</v>
          </cell>
          <cell r="F363" t="str">
            <v>77</v>
          </cell>
          <cell r="G363" t="str">
            <v>17</v>
          </cell>
          <cell r="H363">
            <v>0</v>
          </cell>
        </row>
        <row r="364">
          <cell r="B364">
            <v>3990</v>
          </cell>
          <cell r="C364" t="str">
            <v>Esparza; Joel S.</v>
          </cell>
          <cell r="D364" t="str">
            <v>1C</v>
          </cell>
          <cell r="E364" t="str">
            <v>IBEWOUT</v>
          </cell>
          <cell r="F364" t="str">
            <v>396</v>
          </cell>
          <cell r="G364" t="str">
            <v>8</v>
          </cell>
          <cell r="H364">
            <v>0</v>
          </cell>
        </row>
        <row r="365">
          <cell r="B365">
            <v>4005</v>
          </cell>
          <cell r="C365" t="str">
            <v>Espinoza; Joseph A.</v>
          </cell>
          <cell r="D365" t="str">
            <v>1C</v>
          </cell>
          <cell r="E365" t="str">
            <v>IBEWOUT</v>
          </cell>
          <cell r="F365" t="str">
            <v>47</v>
          </cell>
          <cell r="G365" t="str">
            <v>8</v>
          </cell>
          <cell r="H365">
            <v>0</v>
          </cell>
        </row>
        <row r="366">
          <cell r="B366">
            <v>4032</v>
          </cell>
          <cell r="C366" t="str">
            <v>Fahlund; Adam S</v>
          </cell>
          <cell r="D366" t="str">
            <v>1C</v>
          </cell>
          <cell r="E366" t="str">
            <v>IBEWOUT</v>
          </cell>
          <cell r="F366" t="str">
            <v>1049</v>
          </cell>
          <cell r="G366" t="str">
            <v>17</v>
          </cell>
          <cell r="H366">
            <v>0</v>
          </cell>
        </row>
        <row r="367">
          <cell r="B367">
            <v>4051</v>
          </cell>
          <cell r="C367" t="str">
            <v>Farmer; Keith A</v>
          </cell>
          <cell r="D367" t="str">
            <v>1C</v>
          </cell>
          <cell r="E367" t="str">
            <v>IBEWOUT</v>
          </cell>
          <cell r="F367" t="str">
            <v>1245</v>
          </cell>
          <cell r="G367" t="str">
            <v>16</v>
          </cell>
          <cell r="H367">
            <v>0</v>
          </cell>
        </row>
        <row r="368">
          <cell r="B368">
            <v>4061</v>
          </cell>
          <cell r="C368" t="str">
            <v>Farris; Christopher J</v>
          </cell>
          <cell r="D368" t="str">
            <v>1C</v>
          </cell>
          <cell r="E368" t="str">
            <v>IBEWOUT</v>
          </cell>
          <cell r="F368" t="str">
            <v>1245</v>
          </cell>
          <cell r="G368" t="str">
            <v>7</v>
          </cell>
          <cell r="H368">
            <v>0</v>
          </cell>
        </row>
        <row r="369">
          <cell r="B369">
            <v>4062</v>
          </cell>
          <cell r="C369" t="str">
            <v>Farrier; Matthew J</v>
          </cell>
          <cell r="D369" t="str">
            <v>1</v>
          </cell>
          <cell r="E369" t="str">
            <v>IBEWOUT</v>
          </cell>
          <cell r="F369" t="str">
            <v>1245</v>
          </cell>
          <cell r="G369" t="str">
            <v>11</v>
          </cell>
          <cell r="H369">
            <v>0</v>
          </cell>
        </row>
        <row r="370">
          <cell r="B370">
            <v>4065</v>
          </cell>
          <cell r="C370" t="str">
            <v>Farwell; Seth D</v>
          </cell>
          <cell r="D370" t="str">
            <v>1</v>
          </cell>
          <cell r="E370">
            <v>4065</v>
          </cell>
          <cell r="F370">
            <v>4065</v>
          </cell>
          <cell r="G370">
            <v>4065</v>
          </cell>
          <cell r="H370">
            <v>1</v>
          </cell>
        </row>
        <row r="371">
          <cell r="B371">
            <v>4067</v>
          </cell>
          <cell r="C371" t="str">
            <v>Fazio; Joseph A.</v>
          </cell>
          <cell r="D371" t="str">
            <v>1C</v>
          </cell>
          <cell r="E371">
            <v>4067</v>
          </cell>
          <cell r="F371">
            <v>4067</v>
          </cell>
          <cell r="G371">
            <v>4067</v>
          </cell>
          <cell r="H371">
            <v>0</v>
          </cell>
        </row>
        <row r="372">
          <cell r="B372">
            <v>4071</v>
          </cell>
          <cell r="C372" t="str">
            <v>Fell; Jeffrey C</v>
          </cell>
          <cell r="D372" t="str">
            <v>1C</v>
          </cell>
          <cell r="E372" t="str">
            <v>IBEWOUT</v>
          </cell>
          <cell r="F372" t="str">
            <v>77</v>
          </cell>
          <cell r="G372" t="str">
            <v>7</v>
          </cell>
          <cell r="H372">
            <v>0</v>
          </cell>
        </row>
        <row r="373">
          <cell r="B373">
            <v>4072</v>
          </cell>
          <cell r="C373" t="str">
            <v>Felts; Dallas Z.</v>
          </cell>
          <cell r="D373" t="str">
            <v>1C</v>
          </cell>
          <cell r="E373" t="str">
            <v>IBEWOUT</v>
          </cell>
          <cell r="F373" t="str">
            <v>47</v>
          </cell>
          <cell r="G373" t="str">
            <v>8</v>
          </cell>
          <cell r="H373">
            <v>0</v>
          </cell>
        </row>
        <row r="374">
          <cell r="B374">
            <v>4075</v>
          </cell>
          <cell r="C374" t="str">
            <v>Ferrara; Jeffrey C.</v>
          </cell>
          <cell r="D374" t="str">
            <v>1C</v>
          </cell>
          <cell r="E374" t="str">
            <v>IBEWOUT</v>
          </cell>
          <cell r="F374" t="str">
            <v>47</v>
          </cell>
          <cell r="G374" t="str">
            <v>17</v>
          </cell>
          <cell r="H374">
            <v>0</v>
          </cell>
        </row>
        <row r="375">
          <cell r="B375">
            <v>4076</v>
          </cell>
          <cell r="C375" t="str">
            <v>Ferrari; Michael T</v>
          </cell>
          <cell r="D375" t="str">
            <v>1C</v>
          </cell>
          <cell r="E375" t="str">
            <v>IBEWOUT</v>
          </cell>
          <cell r="F375" t="str">
            <v>769</v>
          </cell>
          <cell r="G375" t="str">
            <v>10</v>
          </cell>
          <cell r="H375">
            <v>0</v>
          </cell>
        </row>
        <row r="376">
          <cell r="B376">
            <v>4079</v>
          </cell>
          <cell r="C376" t="str">
            <v>Fergus; Jeffrey</v>
          </cell>
          <cell r="D376" t="str">
            <v>1C</v>
          </cell>
          <cell r="E376" t="str">
            <v>IBEWOUT</v>
          </cell>
          <cell r="F376" t="str">
            <v>47</v>
          </cell>
          <cell r="G376" t="str">
            <v>60</v>
          </cell>
          <cell r="H376">
            <v>0</v>
          </cell>
        </row>
        <row r="377">
          <cell r="B377">
            <v>4097</v>
          </cell>
          <cell r="C377" t="str">
            <v>Fischer; Darell Gene</v>
          </cell>
          <cell r="D377" t="str">
            <v>1</v>
          </cell>
          <cell r="E377">
            <v>4097</v>
          </cell>
          <cell r="F377">
            <v>4097</v>
          </cell>
          <cell r="G377">
            <v>4097</v>
          </cell>
          <cell r="H377">
            <v>1</v>
          </cell>
        </row>
        <row r="378">
          <cell r="B378">
            <v>4098</v>
          </cell>
          <cell r="C378" t="str">
            <v>Fitzgerald; Thomas L.</v>
          </cell>
          <cell r="D378" t="str">
            <v>1</v>
          </cell>
          <cell r="E378" t="str">
            <v>IBEWOUT</v>
          </cell>
          <cell r="F378" t="str">
            <v>77</v>
          </cell>
          <cell r="G378" t="str">
            <v>7</v>
          </cell>
          <cell r="H378">
            <v>0</v>
          </cell>
        </row>
        <row r="379">
          <cell r="B379">
            <v>4103</v>
          </cell>
          <cell r="C379" t="str">
            <v>Fitzpatrick; John Michael</v>
          </cell>
          <cell r="D379" t="str">
            <v>1C</v>
          </cell>
          <cell r="E379" t="str">
            <v>IBEWOUT</v>
          </cell>
          <cell r="F379" t="str">
            <v>1245</v>
          </cell>
          <cell r="G379" t="str">
            <v>7</v>
          </cell>
          <cell r="H379">
            <v>0</v>
          </cell>
        </row>
        <row r="380">
          <cell r="B380">
            <v>4104</v>
          </cell>
          <cell r="C380" t="str">
            <v>Fisher; Donald J</v>
          </cell>
          <cell r="D380" t="str">
            <v>1C</v>
          </cell>
          <cell r="E380" t="str">
            <v>IBEWOUT</v>
          </cell>
          <cell r="F380" t="str">
            <v>1245</v>
          </cell>
          <cell r="G380" t="str">
            <v>8</v>
          </cell>
          <cell r="H380">
            <v>0</v>
          </cell>
        </row>
        <row r="381">
          <cell r="B381">
            <v>4107</v>
          </cell>
          <cell r="C381" t="str">
            <v>Fisher; Lucas M.</v>
          </cell>
          <cell r="D381" t="str">
            <v>1</v>
          </cell>
          <cell r="E381" t="str">
            <v>IBEWOUT</v>
          </cell>
          <cell r="F381" t="str">
            <v>77</v>
          </cell>
          <cell r="G381" t="str">
            <v>8</v>
          </cell>
          <cell r="H381">
            <v>0</v>
          </cell>
        </row>
        <row r="382">
          <cell r="B382">
            <v>4110</v>
          </cell>
          <cell r="C382" t="str">
            <v>Flanagan; Christopher M</v>
          </cell>
          <cell r="D382" t="str">
            <v>1C</v>
          </cell>
          <cell r="E382" t="str">
            <v>IBEWOUT</v>
          </cell>
          <cell r="F382" t="str">
            <v>47</v>
          </cell>
          <cell r="G382" t="str">
            <v>17</v>
          </cell>
          <cell r="H382">
            <v>0</v>
          </cell>
        </row>
        <row r="383">
          <cell r="B383">
            <v>4115</v>
          </cell>
          <cell r="C383" t="str">
            <v>Flores; Raul D</v>
          </cell>
          <cell r="D383" t="str">
            <v>1</v>
          </cell>
          <cell r="E383" t="str">
            <v>IBEWOUT</v>
          </cell>
          <cell r="F383" t="str">
            <v>1245</v>
          </cell>
          <cell r="G383" t="str">
            <v>8</v>
          </cell>
          <cell r="H383">
            <v>0</v>
          </cell>
        </row>
        <row r="384">
          <cell r="B384">
            <v>4122</v>
          </cell>
          <cell r="C384" t="str">
            <v>Fierro; Anthony</v>
          </cell>
          <cell r="D384" t="str">
            <v>1C</v>
          </cell>
          <cell r="E384" t="str">
            <v>IBEWOUT</v>
          </cell>
          <cell r="F384" t="str">
            <v>1245</v>
          </cell>
          <cell r="G384" t="str">
            <v>8</v>
          </cell>
          <cell r="H384">
            <v>0</v>
          </cell>
        </row>
        <row r="385">
          <cell r="B385">
            <v>4123</v>
          </cell>
          <cell r="C385" t="str">
            <v>Fierro; Abraham M.</v>
          </cell>
          <cell r="D385" t="str">
            <v>1C</v>
          </cell>
          <cell r="E385" t="str">
            <v>IBEWOUT</v>
          </cell>
          <cell r="F385" t="str">
            <v>47</v>
          </cell>
          <cell r="G385" t="str">
            <v>8</v>
          </cell>
          <cell r="H385">
            <v>0</v>
          </cell>
        </row>
        <row r="386">
          <cell r="B386">
            <v>4127</v>
          </cell>
          <cell r="C386" t="str">
            <v>Filkins; Shane K</v>
          </cell>
          <cell r="D386" t="str">
            <v>1C</v>
          </cell>
          <cell r="E386" t="str">
            <v>IBEWOUT</v>
          </cell>
          <cell r="F386" t="str">
            <v>1245</v>
          </cell>
          <cell r="G386" t="str">
            <v>8</v>
          </cell>
          <cell r="H386">
            <v>0</v>
          </cell>
        </row>
        <row r="387">
          <cell r="B387">
            <v>4128</v>
          </cell>
          <cell r="C387" t="str">
            <v>Fike; Keith A</v>
          </cell>
          <cell r="D387" t="str">
            <v>1</v>
          </cell>
          <cell r="E387" t="str">
            <v>IBEWOUT</v>
          </cell>
          <cell r="F387" t="str">
            <v>1245</v>
          </cell>
          <cell r="G387" t="str">
            <v>15</v>
          </cell>
          <cell r="H387">
            <v>0</v>
          </cell>
        </row>
        <row r="388">
          <cell r="B388">
            <v>4129</v>
          </cell>
          <cell r="C388" t="str">
            <v>Flynn; Daniel T.</v>
          </cell>
          <cell r="D388" t="str">
            <v>1C</v>
          </cell>
          <cell r="E388" t="str">
            <v>IBEWOUT</v>
          </cell>
          <cell r="F388" t="str">
            <v>47</v>
          </cell>
          <cell r="G388" t="str">
            <v>8</v>
          </cell>
          <cell r="H388">
            <v>0</v>
          </cell>
        </row>
        <row r="389">
          <cell r="B389">
            <v>4130</v>
          </cell>
          <cell r="C389" t="str">
            <v>Filippini; Lucas V</v>
          </cell>
          <cell r="D389" t="str">
            <v>1C</v>
          </cell>
          <cell r="E389" t="str">
            <v>IBEWOUT</v>
          </cell>
          <cell r="F389" t="str">
            <v>47</v>
          </cell>
          <cell r="G389" t="str">
            <v>15</v>
          </cell>
          <cell r="H389">
            <v>0</v>
          </cell>
        </row>
        <row r="390">
          <cell r="B390">
            <v>4131</v>
          </cell>
          <cell r="C390" t="str">
            <v>Fisk; Cory W</v>
          </cell>
          <cell r="D390" t="str">
            <v>1</v>
          </cell>
          <cell r="E390" t="str">
            <v>IBEWOUT</v>
          </cell>
          <cell r="F390" t="str">
            <v>47</v>
          </cell>
          <cell r="G390" t="str">
            <v>8</v>
          </cell>
          <cell r="H390">
            <v>0</v>
          </cell>
        </row>
        <row r="391">
          <cell r="B391">
            <v>4135</v>
          </cell>
          <cell r="C391" t="str">
            <v>Fernandez; Jose A.</v>
          </cell>
          <cell r="D391" t="str">
            <v>1C</v>
          </cell>
          <cell r="E391" t="str">
            <v>IBEWOUT</v>
          </cell>
          <cell r="F391" t="str">
            <v>47</v>
          </cell>
          <cell r="G391" t="str">
            <v>8</v>
          </cell>
          <cell r="H391">
            <v>0</v>
          </cell>
        </row>
        <row r="392">
          <cell r="B392">
            <v>4137</v>
          </cell>
          <cell r="C392" t="str">
            <v>Finch; David P</v>
          </cell>
          <cell r="D392" t="str">
            <v>1</v>
          </cell>
          <cell r="E392" t="str">
            <v>IBEWOUT</v>
          </cell>
          <cell r="F392" t="str">
            <v>47</v>
          </cell>
          <cell r="G392" t="str">
            <v>17</v>
          </cell>
          <cell r="H392">
            <v>0</v>
          </cell>
        </row>
        <row r="393">
          <cell r="B393">
            <v>4138</v>
          </cell>
          <cell r="C393" t="str">
            <v>Finfrock; Scott W</v>
          </cell>
          <cell r="D393" t="str">
            <v>1</v>
          </cell>
          <cell r="E393" t="str">
            <v>IBEWOUT</v>
          </cell>
          <cell r="F393" t="str">
            <v>47</v>
          </cell>
          <cell r="G393" t="str">
            <v>8</v>
          </cell>
          <cell r="H393">
            <v>0</v>
          </cell>
        </row>
        <row r="394">
          <cell r="B394">
            <v>4141</v>
          </cell>
          <cell r="C394" t="str">
            <v>Fitzpatrick; Ryan C.</v>
          </cell>
          <cell r="D394" t="str">
            <v>1C</v>
          </cell>
          <cell r="E394" t="str">
            <v>IBEWOUT</v>
          </cell>
          <cell r="F394" t="str">
            <v>77</v>
          </cell>
          <cell r="G394" t="str">
            <v>10</v>
          </cell>
          <cell r="H394">
            <v>0</v>
          </cell>
        </row>
        <row r="395">
          <cell r="B395">
            <v>4142</v>
          </cell>
          <cell r="C395" t="str">
            <v>Finley; Jerry L</v>
          </cell>
          <cell r="D395" t="str">
            <v>1C</v>
          </cell>
          <cell r="E395" t="str">
            <v>IBEWOUT</v>
          </cell>
          <cell r="F395" t="str">
            <v>602R</v>
          </cell>
          <cell r="G395" t="str">
            <v>18</v>
          </cell>
          <cell r="H395">
            <v>0</v>
          </cell>
        </row>
        <row r="396">
          <cell r="B396">
            <v>4153</v>
          </cell>
          <cell r="C396" t="str">
            <v>Foreman; Shane M</v>
          </cell>
          <cell r="D396" t="str">
            <v>1C</v>
          </cell>
          <cell r="E396" t="str">
            <v>IBEWOUT</v>
          </cell>
          <cell r="F396" t="str">
            <v>769</v>
          </cell>
          <cell r="G396" t="str">
            <v>9</v>
          </cell>
          <cell r="H396">
            <v>0</v>
          </cell>
        </row>
        <row r="397">
          <cell r="B397">
            <v>4155</v>
          </cell>
          <cell r="C397" t="str">
            <v>Fondon; John W</v>
          </cell>
          <cell r="D397" t="str">
            <v>1C</v>
          </cell>
          <cell r="E397" t="str">
            <v>IBEWOUT</v>
          </cell>
          <cell r="F397" t="str">
            <v>1245</v>
          </cell>
          <cell r="G397" t="str">
            <v>8</v>
          </cell>
          <cell r="H397">
            <v>0</v>
          </cell>
        </row>
        <row r="398">
          <cell r="B398">
            <v>4158</v>
          </cell>
          <cell r="C398" t="str">
            <v>Forester; Gilbert R</v>
          </cell>
          <cell r="D398" t="str">
            <v>1C</v>
          </cell>
          <cell r="E398" t="str">
            <v>IBEWOUT</v>
          </cell>
          <cell r="F398" t="str">
            <v>602R</v>
          </cell>
          <cell r="G398" t="str">
            <v>33</v>
          </cell>
          <cell r="H398">
            <v>0</v>
          </cell>
        </row>
        <row r="399">
          <cell r="B399">
            <v>4179</v>
          </cell>
          <cell r="C399" t="str">
            <v>Foster; Kyle A.</v>
          </cell>
          <cell r="D399" t="str">
            <v>1C</v>
          </cell>
          <cell r="E399" t="str">
            <v>IBEWOUT</v>
          </cell>
          <cell r="F399" t="str">
            <v>1245</v>
          </cell>
          <cell r="G399" t="str">
            <v>17</v>
          </cell>
          <cell r="H399">
            <v>0</v>
          </cell>
        </row>
        <row r="400">
          <cell r="B400">
            <v>4194</v>
          </cell>
          <cell r="C400" t="str">
            <v>Francis; Adam J</v>
          </cell>
          <cell r="D400" t="str">
            <v>1C</v>
          </cell>
          <cell r="E400" t="str">
            <v>IBEWOUT</v>
          </cell>
          <cell r="F400" t="str">
            <v>47</v>
          </cell>
          <cell r="G400" t="str">
            <v>7</v>
          </cell>
          <cell r="H400">
            <v>0</v>
          </cell>
        </row>
        <row r="401">
          <cell r="B401">
            <v>4196</v>
          </cell>
          <cell r="C401" t="str">
            <v>Francis; Jonathan P</v>
          </cell>
          <cell r="D401" t="str">
            <v>1</v>
          </cell>
          <cell r="E401">
            <v>4196</v>
          </cell>
          <cell r="F401">
            <v>4196</v>
          </cell>
          <cell r="G401">
            <v>4196</v>
          </cell>
          <cell r="H401">
            <v>1</v>
          </cell>
        </row>
        <row r="402">
          <cell r="B402">
            <v>4200</v>
          </cell>
          <cell r="C402" t="str">
            <v>Franks; Curtis A.</v>
          </cell>
          <cell r="D402" t="str">
            <v>1C</v>
          </cell>
          <cell r="E402" t="str">
            <v>IBEWOUT</v>
          </cell>
          <cell r="F402" t="str">
            <v>1245</v>
          </cell>
          <cell r="G402" t="str">
            <v>8</v>
          </cell>
          <cell r="H402">
            <v>0</v>
          </cell>
        </row>
        <row r="403">
          <cell r="B403">
            <v>4202</v>
          </cell>
          <cell r="C403" t="str">
            <v>Fratzke; Jason M</v>
          </cell>
          <cell r="D403" t="str">
            <v>1</v>
          </cell>
          <cell r="E403" t="str">
            <v>IBEWOUT</v>
          </cell>
          <cell r="F403" t="str">
            <v>1245</v>
          </cell>
          <cell r="G403" t="str">
            <v>8</v>
          </cell>
          <cell r="H403">
            <v>0</v>
          </cell>
        </row>
        <row r="404">
          <cell r="B404">
            <v>4232</v>
          </cell>
          <cell r="C404" t="str">
            <v>Frederiksen; Shawn A.</v>
          </cell>
          <cell r="D404" t="str">
            <v>1C</v>
          </cell>
          <cell r="E404" t="str">
            <v>IBEWOUT</v>
          </cell>
          <cell r="F404" t="str">
            <v>396</v>
          </cell>
          <cell r="G404" t="str">
            <v>8</v>
          </cell>
          <cell r="H404">
            <v>0</v>
          </cell>
        </row>
        <row r="405">
          <cell r="B405">
            <v>4239</v>
          </cell>
          <cell r="C405" t="str">
            <v>Frazee; Darren R</v>
          </cell>
          <cell r="D405" t="str">
            <v>1C</v>
          </cell>
          <cell r="E405" t="str">
            <v>IBEWOUT</v>
          </cell>
          <cell r="F405" t="str">
            <v>602R</v>
          </cell>
          <cell r="G405" t="str">
            <v>33</v>
          </cell>
          <cell r="H405">
            <v>0</v>
          </cell>
        </row>
        <row r="406">
          <cell r="B406">
            <v>4240</v>
          </cell>
          <cell r="C406" t="str">
            <v>Frazier; Brad L.</v>
          </cell>
          <cell r="D406" t="str">
            <v>1C</v>
          </cell>
          <cell r="E406" t="str">
            <v>IBEWOUT</v>
          </cell>
          <cell r="F406" t="str">
            <v>77</v>
          </cell>
          <cell r="G406" t="str">
            <v>1</v>
          </cell>
          <cell r="H406">
            <v>1</v>
          </cell>
        </row>
        <row r="407">
          <cell r="B407">
            <v>4241</v>
          </cell>
          <cell r="C407" t="str">
            <v>Freeman; Christopher Shane</v>
          </cell>
          <cell r="D407" t="str">
            <v>1C</v>
          </cell>
          <cell r="E407" t="str">
            <v>IBEWOUT</v>
          </cell>
          <cell r="F407" t="str">
            <v>769</v>
          </cell>
          <cell r="G407" t="str">
            <v>8</v>
          </cell>
          <cell r="H407">
            <v>0</v>
          </cell>
        </row>
        <row r="408">
          <cell r="B408">
            <v>4243</v>
          </cell>
          <cell r="C408" t="str">
            <v>Frazier; Forrest F</v>
          </cell>
          <cell r="D408" t="str">
            <v>1</v>
          </cell>
          <cell r="E408">
            <v>4243</v>
          </cell>
          <cell r="F408">
            <v>4243</v>
          </cell>
          <cell r="G408">
            <v>4243</v>
          </cell>
          <cell r="H408">
            <v>0</v>
          </cell>
        </row>
        <row r="409">
          <cell r="B409">
            <v>4249</v>
          </cell>
          <cell r="C409" t="str">
            <v>Hudson; Freeman L.</v>
          </cell>
          <cell r="D409" t="str">
            <v>1C</v>
          </cell>
          <cell r="E409" t="str">
            <v>IBEWOUT</v>
          </cell>
          <cell r="F409" t="str">
            <v>47</v>
          </cell>
          <cell r="G409" t="str">
            <v>8</v>
          </cell>
          <cell r="H409">
            <v>0</v>
          </cell>
        </row>
        <row r="410">
          <cell r="B410">
            <v>4250</v>
          </cell>
          <cell r="C410" t="str">
            <v>French; Steve K</v>
          </cell>
          <cell r="D410" t="str">
            <v>1</v>
          </cell>
          <cell r="E410" t="str">
            <v>IBEWOUT</v>
          </cell>
          <cell r="F410" t="str">
            <v>77</v>
          </cell>
          <cell r="G410" t="str">
            <v>1</v>
          </cell>
          <cell r="H410">
            <v>0</v>
          </cell>
        </row>
        <row r="411">
          <cell r="B411">
            <v>4251</v>
          </cell>
          <cell r="C411" t="str">
            <v>Freismuth; Edward J</v>
          </cell>
          <cell r="D411" t="str">
            <v>1C</v>
          </cell>
          <cell r="E411" t="str">
            <v>IBEWOUT</v>
          </cell>
          <cell r="F411" t="str">
            <v>769</v>
          </cell>
          <cell r="G411" t="str">
            <v>8</v>
          </cell>
          <cell r="H411">
            <v>0</v>
          </cell>
        </row>
        <row r="412">
          <cell r="B412">
            <v>4259</v>
          </cell>
          <cell r="C412" t="str">
            <v>Frias; Ronald</v>
          </cell>
          <cell r="D412" t="str">
            <v>1C</v>
          </cell>
          <cell r="E412" t="str">
            <v>IBEWOUT</v>
          </cell>
          <cell r="F412" t="str">
            <v>47</v>
          </cell>
          <cell r="G412" t="str">
            <v>17</v>
          </cell>
          <cell r="H412">
            <v>0</v>
          </cell>
        </row>
        <row r="413">
          <cell r="B413">
            <v>4270</v>
          </cell>
          <cell r="C413" t="str">
            <v>Fuge; Daniel S</v>
          </cell>
          <cell r="D413" t="str">
            <v>1</v>
          </cell>
          <cell r="E413">
            <v>4270</v>
          </cell>
          <cell r="F413">
            <v>4270</v>
          </cell>
          <cell r="G413">
            <v>4270</v>
          </cell>
          <cell r="H413">
            <v>0</v>
          </cell>
        </row>
        <row r="414">
          <cell r="B414">
            <v>4285</v>
          </cell>
          <cell r="C414" t="str">
            <v>Funez; Marcial</v>
          </cell>
          <cell r="D414" t="str">
            <v>1C</v>
          </cell>
          <cell r="E414" t="str">
            <v>IBEWOUT</v>
          </cell>
          <cell r="F414" t="str">
            <v>769</v>
          </cell>
          <cell r="G414" t="str">
            <v>22</v>
          </cell>
          <cell r="H414">
            <v>0</v>
          </cell>
        </row>
        <row r="415">
          <cell r="B415">
            <v>4330</v>
          </cell>
          <cell r="C415" t="str">
            <v>Gameng; Marlon G.</v>
          </cell>
          <cell r="D415" t="str">
            <v>1C</v>
          </cell>
          <cell r="E415" t="str">
            <v>IBEWOUT</v>
          </cell>
          <cell r="F415" t="str">
            <v>47</v>
          </cell>
          <cell r="G415" t="str">
            <v>60</v>
          </cell>
          <cell r="H415">
            <v>0</v>
          </cell>
        </row>
        <row r="416">
          <cell r="B416">
            <v>4340</v>
          </cell>
          <cell r="C416" t="str">
            <v>Garcia; John A</v>
          </cell>
          <cell r="D416" t="str">
            <v>1C</v>
          </cell>
          <cell r="E416" t="str">
            <v>IBEWOUT</v>
          </cell>
          <cell r="F416" t="str">
            <v>611</v>
          </cell>
          <cell r="G416" t="str">
            <v>18</v>
          </cell>
          <cell r="H416">
            <v>0</v>
          </cell>
        </row>
        <row r="417">
          <cell r="B417">
            <v>4341</v>
          </cell>
          <cell r="C417" t="str">
            <v>Fyfe; Dusty John</v>
          </cell>
          <cell r="D417" t="str">
            <v>1</v>
          </cell>
          <cell r="E417" t="str">
            <v>IBEWOUT</v>
          </cell>
          <cell r="F417" t="str">
            <v>160</v>
          </cell>
          <cell r="G417" t="str">
            <v>1</v>
          </cell>
          <cell r="H417">
            <v>0</v>
          </cell>
        </row>
        <row r="418">
          <cell r="B418">
            <v>4342</v>
          </cell>
          <cell r="C418" t="str">
            <v>Fye; Scott R</v>
          </cell>
          <cell r="D418" t="str">
            <v>1C</v>
          </cell>
          <cell r="E418" t="str">
            <v>IBEWOUT</v>
          </cell>
          <cell r="F418" t="str">
            <v>1245</v>
          </cell>
          <cell r="G418" t="str">
            <v>8</v>
          </cell>
          <cell r="H418">
            <v>0</v>
          </cell>
        </row>
        <row r="419">
          <cell r="B419">
            <v>4345</v>
          </cell>
          <cell r="C419" t="str">
            <v>Frolov; Gleb</v>
          </cell>
          <cell r="D419" t="str">
            <v>1C</v>
          </cell>
          <cell r="E419" t="str">
            <v>IBEWOUT</v>
          </cell>
          <cell r="F419" t="str">
            <v>47</v>
          </cell>
          <cell r="G419" t="str">
            <v>8</v>
          </cell>
          <cell r="H419">
            <v>0</v>
          </cell>
        </row>
        <row r="420">
          <cell r="B420">
            <v>4348</v>
          </cell>
          <cell r="C420" t="str">
            <v>Fuhs; Kirt R.</v>
          </cell>
          <cell r="D420" t="str">
            <v>1C</v>
          </cell>
          <cell r="E420">
            <v>4348</v>
          </cell>
          <cell r="F420">
            <v>4348</v>
          </cell>
          <cell r="G420">
            <v>4348</v>
          </cell>
          <cell r="H420">
            <v>0</v>
          </cell>
        </row>
        <row r="421">
          <cell r="B421">
            <v>4350</v>
          </cell>
          <cell r="C421" t="str">
            <v>Full; Laramie M</v>
          </cell>
          <cell r="D421" t="str">
            <v>1C</v>
          </cell>
          <cell r="E421" t="str">
            <v>IBEWOUT</v>
          </cell>
          <cell r="F421" t="str">
            <v>47</v>
          </cell>
          <cell r="G421" t="str">
            <v>8</v>
          </cell>
          <cell r="H421">
            <v>0</v>
          </cell>
        </row>
        <row r="422">
          <cell r="B422">
            <v>4357</v>
          </cell>
          <cell r="C422" t="str">
            <v>Gage; Matthew Loren</v>
          </cell>
          <cell r="D422" t="str">
            <v>1C</v>
          </cell>
          <cell r="E422" t="str">
            <v>IBEWOUT</v>
          </cell>
          <cell r="F422" t="str">
            <v>125</v>
          </cell>
          <cell r="G422" t="str">
            <v>8</v>
          </cell>
          <cell r="H422">
            <v>0</v>
          </cell>
        </row>
        <row r="423">
          <cell r="B423">
            <v>4358</v>
          </cell>
          <cell r="C423" t="str">
            <v>Gadsby; Terrence P</v>
          </cell>
          <cell r="D423" t="str">
            <v>1C</v>
          </cell>
          <cell r="E423" t="str">
            <v>IBEWOUT</v>
          </cell>
          <cell r="F423" t="str">
            <v>126</v>
          </cell>
          <cell r="G423" t="str">
            <v>10</v>
          </cell>
          <cell r="H423">
            <v>0</v>
          </cell>
        </row>
        <row r="424">
          <cell r="B424">
            <v>4359</v>
          </cell>
          <cell r="C424" t="str">
            <v>Gannon; Jon B.</v>
          </cell>
          <cell r="D424" t="str">
            <v>1</v>
          </cell>
          <cell r="E424" t="str">
            <v>IBEWOUT</v>
          </cell>
          <cell r="F424" t="str">
            <v>47</v>
          </cell>
          <cell r="G424" t="str">
            <v>1</v>
          </cell>
          <cell r="H424">
            <v>0</v>
          </cell>
        </row>
        <row r="425">
          <cell r="B425">
            <v>4360</v>
          </cell>
          <cell r="C425" t="str">
            <v>Galves; Michael C</v>
          </cell>
          <cell r="D425" t="str">
            <v>1</v>
          </cell>
          <cell r="E425" t="str">
            <v>IBEWOUT</v>
          </cell>
          <cell r="F425" t="str">
            <v>1245</v>
          </cell>
          <cell r="G425" t="str">
            <v>8</v>
          </cell>
          <cell r="H425">
            <v>0</v>
          </cell>
        </row>
        <row r="426">
          <cell r="B426">
            <v>4370</v>
          </cell>
          <cell r="C426" t="str">
            <v>Gardner; Michael Lynn</v>
          </cell>
          <cell r="D426" t="str">
            <v>1C</v>
          </cell>
          <cell r="E426" t="str">
            <v>IBEWOUT</v>
          </cell>
          <cell r="F426" t="str">
            <v>125</v>
          </cell>
          <cell r="G426" t="str">
            <v>33</v>
          </cell>
          <cell r="H426">
            <v>0</v>
          </cell>
        </row>
        <row r="427">
          <cell r="B427">
            <v>4371</v>
          </cell>
          <cell r="C427" t="str">
            <v>Garcia; Nathan M.</v>
          </cell>
          <cell r="D427" t="str">
            <v>1C</v>
          </cell>
          <cell r="E427" t="str">
            <v>IBEWOUT</v>
          </cell>
          <cell r="F427" t="str">
            <v>611</v>
          </cell>
          <cell r="G427" t="str">
            <v>17</v>
          </cell>
          <cell r="H427">
            <v>0</v>
          </cell>
        </row>
        <row r="428">
          <cell r="B428">
            <v>4372</v>
          </cell>
          <cell r="C428" t="str">
            <v>Gardapee; Cory D</v>
          </cell>
          <cell r="D428" t="str">
            <v>1C</v>
          </cell>
          <cell r="E428" t="str">
            <v>IBEWOUT</v>
          </cell>
          <cell r="F428" t="str">
            <v>160</v>
          </cell>
          <cell r="G428" t="str">
            <v>8</v>
          </cell>
          <cell r="H428">
            <v>0</v>
          </cell>
        </row>
        <row r="429">
          <cell r="B429">
            <v>4373</v>
          </cell>
          <cell r="C429" t="str">
            <v>Gardner; Mitchell T.</v>
          </cell>
          <cell r="D429" t="str">
            <v>1C</v>
          </cell>
          <cell r="E429" t="str">
            <v>IBEWOUT</v>
          </cell>
          <cell r="F429" t="str">
            <v>1245</v>
          </cell>
          <cell r="G429" t="str">
            <v>8</v>
          </cell>
          <cell r="H429">
            <v>0</v>
          </cell>
        </row>
        <row r="430">
          <cell r="B430">
            <v>4375</v>
          </cell>
          <cell r="C430" t="str">
            <v>Gardner; Jacob W.</v>
          </cell>
          <cell r="D430" t="str">
            <v>1C</v>
          </cell>
          <cell r="E430" t="str">
            <v>IBEWOUT</v>
          </cell>
          <cell r="F430" t="str">
            <v>602R</v>
          </cell>
          <cell r="G430" t="str">
            <v>8</v>
          </cell>
          <cell r="H430">
            <v>0</v>
          </cell>
        </row>
        <row r="431">
          <cell r="B431">
            <v>4381</v>
          </cell>
          <cell r="C431" t="str">
            <v>Garcia; David D.</v>
          </cell>
          <cell r="D431" t="str">
            <v>1C</v>
          </cell>
          <cell r="E431" t="str">
            <v>IBEWOUT</v>
          </cell>
          <cell r="F431" t="str">
            <v>769</v>
          </cell>
          <cell r="G431" t="str">
            <v>8</v>
          </cell>
          <cell r="H431">
            <v>0</v>
          </cell>
        </row>
        <row r="432">
          <cell r="B432">
            <v>4382</v>
          </cell>
          <cell r="C432" t="str">
            <v>Garcia; Edmundo</v>
          </cell>
          <cell r="D432" t="str">
            <v>1C</v>
          </cell>
          <cell r="E432" t="str">
            <v>IBEWOUT</v>
          </cell>
          <cell r="F432" t="str">
            <v>160</v>
          </cell>
          <cell r="G432" t="str">
            <v>8</v>
          </cell>
          <cell r="H432">
            <v>0</v>
          </cell>
        </row>
        <row r="433">
          <cell r="B433">
            <v>4387</v>
          </cell>
          <cell r="C433" t="str">
            <v>Gallegos; Jose I</v>
          </cell>
          <cell r="D433" t="str">
            <v>1C</v>
          </cell>
          <cell r="E433" t="str">
            <v>IBEWOUT</v>
          </cell>
          <cell r="F433" t="str">
            <v>602R</v>
          </cell>
          <cell r="G433" t="str">
            <v>11T</v>
          </cell>
          <cell r="H433">
            <v>0</v>
          </cell>
        </row>
        <row r="434">
          <cell r="B434">
            <v>4389</v>
          </cell>
          <cell r="C434" t="str">
            <v>Garceau; Tristan J</v>
          </cell>
          <cell r="D434" t="str">
            <v>1C</v>
          </cell>
          <cell r="E434" t="str">
            <v>IBEWOUT</v>
          </cell>
          <cell r="F434" t="str">
            <v>1245</v>
          </cell>
          <cell r="G434" t="str">
            <v>8</v>
          </cell>
          <cell r="H434">
            <v>0</v>
          </cell>
        </row>
        <row r="435">
          <cell r="B435">
            <v>4390</v>
          </cell>
          <cell r="C435" t="str">
            <v>Gallaher; Adam C</v>
          </cell>
          <cell r="D435" t="str">
            <v>1C</v>
          </cell>
          <cell r="E435" t="str">
            <v>IBEWOUT</v>
          </cell>
          <cell r="F435" t="str">
            <v>126</v>
          </cell>
          <cell r="G435" t="str">
            <v>8</v>
          </cell>
          <cell r="H435">
            <v>0</v>
          </cell>
        </row>
        <row r="436">
          <cell r="B436">
            <v>4392</v>
          </cell>
          <cell r="C436" t="str">
            <v>Garcia; Albert A</v>
          </cell>
          <cell r="D436" t="str">
            <v>1C</v>
          </cell>
          <cell r="E436" t="str">
            <v>IBEWOUT</v>
          </cell>
          <cell r="F436" t="str">
            <v>47</v>
          </cell>
          <cell r="G436" t="str">
            <v>12</v>
          </cell>
          <cell r="H436">
            <v>0</v>
          </cell>
        </row>
        <row r="437">
          <cell r="B437">
            <v>4394</v>
          </cell>
          <cell r="C437" t="str">
            <v>Garcia; Kris</v>
          </cell>
          <cell r="D437" t="str">
            <v>1C</v>
          </cell>
          <cell r="E437" t="str">
            <v>IBEWOUT</v>
          </cell>
          <cell r="F437" t="str">
            <v>611</v>
          </cell>
          <cell r="G437" t="str">
            <v>10</v>
          </cell>
          <cell r="H437">
            <v>0</v>
          </cell>
        </row>
        <row r="438">
          <cell r="B438">
            <v>4398</v>
          </cell>
          <cell r="C438" t="str">
            <v>Garcia; Hafid</v>
          </cell>
          <cell r="D438" t="str">
            <v>1C</v>
          </cell>
          <cell r="E438" t="str">
            <v>IBEWOUT</v>
          </cell>
          <cell r="F438" t="str">
            <v>1245</v>
          </cell>
          <cell r="G438" t="str">
            <v>8</v>
          </cell>
          <cell r="H438">
            <v>0</v>
          </cell>
        </row>
        <row r="439">
          <cell r="B439">
            <v>4402</v>
          </cell>
          <cell r="C439" t="str">
            <v>Garcia; Israel J</v>
          </cell>
          <cell r="D439" t="str">
            <v>1C</v>
          </cell>
          <cell r="E439" t="str">
            <v>IBEWOUT</v>
          </cell>
          <cell r="F439" t="str">
            <v>611</v>
          </cell>
          <cell r="G439" t="str">
            <v>13</v>
          </cell>
          <cell r="H439">
            <v>0</v>
          </cell>
        </row>
        <row r="440">
          <cell r="B440">
            <v>4405</v>
          </cell>
          <cell r="C440" t="str">
            <v>Gatlin; Brian R</v>
          </cell>
          <cell r="D440" t="str">
            <v>1C</v>
          </cell>
          <cell r="E440" t="str">
            <v>IBEWOUT</v>
          </cell>
          <cell r="F440" t="str">
            <v>125</v>
          </cell>
          <cell r="G440" t="str">
            <v>15</v>
          </cell>
          <cell r="H440">
            <v>0</v>
          </cell>
        </row>
        <row r="441">
          <cell r="B441">
            <v>4408</v>
          </cell>
          <cell r="C441" t="str">
            <v>Gauer; Jeremy S</v>
          </cell>
          <cell r="D441" t="str">
            <v>1</v>
          </cell>
          <cell r="E441" t="str">
            <v>IBEWOUT</v>
          </cell>
          <cell r="F441" t="str">
            <v>1245</v>
          </cell>
          <cell r="G441" t="str">
            <v>8</v>
          </cell>
          <cell r="H441">
            <v>0</v>
          </cell>
        </row>
        <row r="442">
          <cell r="B442">
            <v>4411</v>
          </cell>
          <cell r="C442" t="str">
            <v>Garcia; Ivan</v>
          </cell>
          <cell r="D442" t="str">
            <v>1</v>
          </cell>
          <cell r="E442" t="str">
            <v>IBEWOUT</v>
          </cell>
          <cell r="F442" t="str">
            <v>47</v>
          </cell>
          <cell r="G442" t="str">
            <v>8</v>
          </cell>
          <cell r="H442">
            <v>0</v>
          </cell>
        </row>
        <row r="443">
          <cell r="B443">
            <v>4420</v>
          </cell>
          <cell r="C443" t="str">
            <v>Garcia; Leonel V.</v>
          </cell>
          <cell r="D443" t="str">
            <v>1C</v>
          </cell>
          <cell r="E443" t="str">
            <v>IBEWOUT</v>
          </cell>
          <cell r="F443" t="str">
            <v>47</v>
          </cell>
          <cell r="G443" t="str">
            <v>8</v>
          </cell>
          <cell r="H443">
            <v>0</v>
          </cell>
        </row>
        <row r="444">
          <cell r="B444">
            <v>4424</v>
          </cell>
          <cell r="C444" t="str">
            <v>Garner; David C</v>
          </cell>
          <cell r="D444" t="str">
            <v>1C</v>
          </cell>
          <cell r="E444" t="str">
            <v>IBEWOUT</v>
          </cell>
          <cell r="F444" t="str">
            <v>396</v>
          </cell>
          <cell r="G444" t="str">
            <v>8</v>
          </cell>
          <cell r="H444">
            <v>0</v>
          </cell>
        </row>
        <row r="445">
          <cell r="B445">
            <v>4431</v>
          </cell>
          <cell r="C445" t="str">
            <v>Gebhart; Tanner A</v>
          </cell>
          <cell r="D445" t="str">
            <v>1C</v>
          </cell>
          <cell r="E445" t="str">
            <v>IBEWOUT</v>
          </cell>
          <cell r="F445" t="str">
            <v>602R</v>
          </cell>
          <cell r="G445" t="str">
            <v>8</v>
          </cell>
          <cell r="H445">
            <v>0</v>
          </cell>
        </row>
        <row r="446">
          <cell r="B446">
            <v>4432</v>
          </cell>
          <cell r="C446" t="str">
            <v>Ghering; Tadd P</v>
          </cell>
          <cell r="D446" t="str">
            <v>1C</v>
          </cell>
          <cell r="E446" t="str">
            <v>IBEWOUT</v>
          </cell>
          <cell r="F446" t="str">
            <v>1245</v>
          </cell>
          <cell r="G446" t="str">
            <v>8</v>
          </cell>
          <cell r="H446">
            <v>0</v>
          </cell>
        </row>
        <row r="447">
          <cell r="B447">
            <v>4440</v>
          </cell>
          <cell r="C447" t="str">
            <v>Gerber Jr; Christian</v>
          </cell>
          <cell r="D447" t="str">
            <v>1C</v>
          </cell>
          <cell r="E447" t="str">
            <v>IBEWOUT</v>
          </cell>
          <cell r="F447" t="str">
            <v>126</v>
          </cell>
          <cell r="G447" t="str">
            <v>14</v>
          </cell>
          <cell r="H447">
            <v>0</v>
          </cell>
        </row>
        <row r="448">
          <cell r="B448">
            <v>4441</v>
          </cell>
          <cell r="C448" t="str">
            <v>Germany; Micah K</v>
          </cell>
          <cell r="D448" t="str">
            <v>1C</v>
          </cell>
          <cell r="E448" t="str">
            <v>IBEWOUT</v>
          </cell>
          <cell r="F448" t="str">
            <v>1245</v>
          </cell>
          <cell r="G448" t="str">
            <v>16</v>
          </cell>
          <cell r="H448">
            <v>0</v>
          </cell>
        </row>
        <row r="449">
          <cell r="B449">
            <v>4442</v>
          </cell>
          <cell r="C449" t="str">
            <v>Germany; Sammy R</v>
          </cell>
          <cell r="D449" t="str">
            <v>1C</v>
          </cell>
          <cell r="E449" t="str">
            <v>IBEWOUT</v>
          </cell>
          <cell r="F449" t="str">
            <v>1245</v>
          </cell>
          <cell r="G449" t="str">
            <v>8</v>
          </cell>
          <cell r="H449">
            <v>0</v>
          </cell>
        </row>
        <row r="450">
          <cell r="B450">
            <v>4445</v>
          </cell>
          <cell r="C450" t="str">
            <v>Geronimo; Dionicio</v>
          </cell>
          <cell r="D450" t="str">
            <v>1C</v>
          </cell>
          <cell r="E450" t="str">
            <v>IBEWOUT</v>
          </cell>
          <cell r="F450" t="str">
            <v>1245</v>
          </cell>
          <cell r="G450" t="str">
            <v>8</v>
          </cell>
          <cell r="H450">
            <v>0</v>
          </cell>
        </row>
        <row r="451">
          <cell r="B451">
            <v>4500</v>
          </cell>
          <cell r="C451" t="str">
            <v>Gesiriech; Gustin W</v>
          </cell>
          <cell r="D451" t="str">
            <v>1C</v>
          </cell>
          <cell r="E451" t="str">
            <v>IBEWOUT</v>
          </cell>
          <cell r="F451" t="str">
            <v>1245</v>
          </cell>
          <cell r="G451" t="str">
            <v>8</v>
          </cell>
          <cell r="H451">
            <v>0</v>
          </cell>
        </row>
        <row r="452">
          <cell r="B452">
            <v>4525</v>
          </cell>
          <cell r="C452" t="str">
            <v>Gnall Jr.; John A</v>
          </cell>
          <cell r="D452" t="str">
            <v>1C</v>
          </cell>
          <cell r="E452" t="str">
            <v>IBEWOUT</v>
          </cell>
          <cell r="F452" t="str">
            <v>1319</v>
          </cell>
          <cell r="G452" t="str">
            <v>8</v>
          </cell>
          <cell r="H452">
            <v>0</v>
          </cell>
        </row>
        <row r="453">
          <cell r="B453">
            <v>4526</v>
          </cell>
          <cell r="C453" t="str">
            <v>Godeke; Joel</v>
          </cell>
          <cell r="D453" t="str">
            <v>1C</v>
          </cell>
          <cell r="E453" t="str">
            <v>IBEWOUT</v>
          </cell>
          <cell r="F453" t="str">
            <v>47</v>
          </cell>
          <cell r="G453" t="str">
            <v>60</v>
          </cell>
          <cell r="H453">
            <v>0</v>
          </cell>
        </row>
        <row r="454">
          <cell r="B454">
            <v>4527</v>
          </cell>
          <cell r="C454" t="str">
            <v>Goldade; Wyatt L</v>
          </cell>
          <cell r="D454" t="str">
            <v>1</v>
          </cell>
          <cell r="E454" t="str">
            <v>IBEWOUT</v>
          </cell>
          <cell r="F454" t="str">
            <v>160</v>
          </cell>
          <cell r="G454" t="str">
            <v>15</v>
          </cell>
          <cell r="H454">
            <v>0</v>
          </cell>
        </row>
        <row r="455">
          <cell r="B455">
            <v>4535</v>
          </cell>
          <cell r="C455" t="str">
            <v>Goodrich; Thadeus J.</v>
          </cell>
          <cell r="D455" t="str">
            <v>1C</v>
          </cell>
          <cell r="E455" t="str">
            <v>IBEWOUT</v>
          </cell>
          <cell r="F455" t="str">
            <v>77</v>
          </cell>
          <cell r="G455" t="str">
            <v>17</v>
          </cell>
          <cell r="H455">
            <v>0</v>
          </cell>
        </row>
        <row r="456">
          <cell r="B456">
            <v>4538</v>
          </cell>
          <cell r="C456" t="str">
            <v>Goodman; Tim L</v>
          </cell>
          <cell r="D456" t="str">
            <v>1C</v>
          </cell>
          <cell r="E456" t="str">
            <v>IBEWOUT</v>
          </cell>
          <cell r="F456" t="str">
            <v>611</v>
          </cell>
          <cell r="G456" t="str">
            <v>15</v>
          </cell>
          <cell r="H456">
            <v>0</v>
          </cell>
        </row>
        <row r="457">
          <cell r="B457">
            <v>4539</v>
          </cell>
          <cell r="C457" t="str">
            <v>Goodman; Bryce T</v>
          </cell>
          <cell r="D457" t="str">
            <v>1</v>
          </cell>
          <cell r="E457" t="str">
            <v>IBEWOUT</v>
          </cell>
          <cell r="F457" t="str">
            <v>769</v>
          </cell>
          <cell r="G457" t="str">
            <v>15</v>
          </cell>
          <cell r="H457">
            <v>0</v>
          </cell>
        </row>
        <row r="458">
          <cell r="B458">
            <v>4542</v>
          </cell>
          <cell r="C458" t="str">
            <v>Gordon; Robert S</v>
          </cell>
          <cell r="D458" t="str">
            <v>1C</v>
          </cell>
          <cell r="E458" t="str">
            <v>IBEWOUT</v>
          </cell>
          <cell r="F458" t="str">
            <v>1245</v>
          </cell>
          <cell r="G458" t="str">
            <v>17</v>
          </cell>
          <cell r="H458">
            <v>0</v>
          </cell>
        </row>
        <row r="459">
          <cell r="B459">
            <v>4554</v>
          </cell>
          <cell r="C459" t="str">
            <v>Gomes; Brian L</v>
          </cell>
          <cell r="D459" t="str">
            <v>1C</v>
          </cell>
          <cell r="E459" t="str">
            <v>IBEWOUT</v>
          </cell>
          <cell r="F459" t="str">
            <v>47</v>
          </cell>
          <cell r="G459" t="str">
            <v>14</v>
          </cell>
          <cell r="H459">
            <v>0</v>
          </cell>
        </row>
        <row r="460">
          <cell r="B460">
            <v>4556</v>
          </cell>
          <cell r="C460" t="str">
            <v>Gonzales; Isaiah C.</v>
          </cell>
          <cell r="D460" t="str">
            <v>1C</v>
          </cell>
          <cell r="E460" t="str">
            <v>IBEWOUT</v>
          </cell>
          <cell r="F460" t="str">
            <v>769</v>
          </cell>
          <cell r="G460" t="str">
            <v>14</v>
          </cell>
          <cell r="H460">
            <v>0</v>
          </cell>
        </row>
        <row r="461">
          <cell r="B461">
            <v>4557</v>
          </cell>
          <cell r="C461" t="str">
            <v>Gordon; Austin K</v>
          </cell>
          <cell r="D461" t="str">
            <v>1C</v>
          </cell>
          <cell r="E461">
            <v>4557</v>
          </cell>
          <cell r="F461">
            <v>4557</v>
          </cell>
          <cell r="G461">
            <v>4557</v>
          </cell>
          <cell r="H461">
            <v>0</v>
          </cell>
        </row>
        <row r="462">
          <cell r="B462">
            <v>4558</v>
          </cell>
          <cell r="C462" t="str">
            <v>Gordon; Cody Richard</v>
          </cell>
          <cell r="D462" t="str">
            <v>1C</v>
          </cell>
          <cell r="E462" t="str">
            <v>IBEWOUT</v>
          </cell>
          <cell r="F462" t="str">
            <v>1245</v>
          </cell>
          <cell r="G462" t="str">
            <v>8</v>
          </cell>
          <cell r="H462">
            <v>0</v>
          </cell>
        </row>
        <row r="463">
          <cell r="B463">
            <v>4563</v>
          </cell>
          <cell r="C463" t="str">
            <v>Gordon; Seth</v>
          </cell>
          <cell r="D463" t="str">
            <v>1C</v>
          </cell>
          <cell r="E463">
            <v>4563</v>
          </cell>
          <cell r="F463">
            <v>4563</v>
          </cell>
          <cell r="G463">
            <v>4563</v>
          </cell>
          <cell r="H463">
            <v>1</v>
          </cell>
        </row>
        <row r="464">
          <cell r="B464">
            <v>4564</v>
          </cell>
          <cell r="C464" t="str">
            <v>Gomez; Angel S.</v>
          </cell>
          <cell r="D464" t="str">
            <v>1C</v>
          </cell>
          <cell r="E464" t="str">
            <v>IBEWOUT</v>
          </cell>
          <cell r="F464" t="str">
            <v>1319</v>
          </cell>
          <cell r="G464" t="str">
            <v>20</v>
          </cell>
          <cell r="H464">
            <v>0</v>
          </cell>
        </row>
        <row r="465">
          <cell r="B465">
            <v>4565</v>
          </cell>
          <cell r="C465" t="str">
            <v>Gorst; Quinn R</v>
          </cell>
          <cell r="D465" t="str">
            <v>1C</v>
          </cell>
          <cell r="E465" t="str">
            <v>IBEWOUT</v>
          </cell>
          <cell r="F465" t="str">
            <v>1245</v>
          </cell>
          <cell r="G465" t="str">
            <v>8</v>
          </cell>
          <cell r="H465">
            <v>0</v>
          </cell>
        </row>
        <row r="466">
          <cell r="B466">
            <v>4567</v>
          </cell>
          <cell r="C466" t="str">
            <v>Gonzales; Francisco</v>
          </cell>
          <cell r="D466" t="str">
            <v>1C</v>
          </cell>
          <cell r="E466" t="str">
            <v>IBEWOUT</v>
          </cell>
          <cell r="F466" t="str">
            <v>769</v>
          </cell>
          <cell r="G466" t="str">
            <v>22</v>
          </cell>
          <cell r="H466">
            <v>0</v>
          </cell>
        </row>
        <row r="467">
          <cell r="B467">
            <v>4568</v>
          </cell>
          <cell r="C467" t="str">
            <v>Gonzales; Danny S</v>
          </cell>
          <cell r="D467" t="str">
            <v>1C</v>
          </cell>
          <cell r="E467" t="str">
            <v>IBEWOUT</v>
          </cell>
          <cell r="F467" t="str">
            <v>47</v>
          </cell>
          <cell r="G467" t="str">
            <v>17</v>
          </cell>
          <cell r="H467">
            <v>0</v>
          </cell>
        </row>
        <row r="468">
          <cell r="B468">
            <v>4590</v>
          </cell>
          <cell r="C468" t="str">
            <v>Gowdy; Arthur S.</v>
          </cell>
          <cell r="D468" t="str">
            <v>1C</v>
          </cell>
          <cell r="E468" t="str">
            <v>IBEWOUT</v>
          </cell>
          <cell r="F468" t="str">
            <v>77</v>
          </cell>
          <cell r="G468" t="str">
            <v>33</v>
          </cell>
          <cell r="H468">
            <v>0</v>
          </cell>
        </row>
        <row r="469">
          <cell r="B469">
            <v>4630</v>
          </cell>
          <cell r="C469" t="str">
            <v>Gibby; Geoffrey S.</v>
          </cell>
          <cell r="D469" t="str">
            <v>1C</v>
          </cell>
          <cell r="E469" t="str">
            <v>IBEWOUT</v>
          </cell>
          <cell r="F469" t="str">
            <v>47</v>
          </cell>
          <cell r="G469" t="str">
            <v>8</v>
          </cell>
          <cell r="H469">
            <v>0</v>
          </cell>
        </row>
        <row r="470">
          <cell r="B470">
            <v>4640</v>
          </cell>
          <cell r="C470" t="str">
            <v>Gilman Jr.; David G.</v>
          </cell>
          <cell r="D470" t="str">
            <v>1C</v>
          </cell>
          <cell r="E470" t="str">
            <v>IBEWOUT</v>
          </cell>
          <cell r="F470" t="str">
            <v>611</v>
          </cell>
          <cell r="G470" t="str">
            <v>8</v>
          </cell>
          <cell r="H470">
            <v>0</v>
          </cell>
        </row>
        <row r="471">
          <cell r="B471">
            <v>4642</v>
          </cell>
          <cell r="C471" t="str">
            <v>Gillmore; James M</v>
          </cell>
          <cell r="D471" t="str">
            <v>1C</v>
          </cell>
          <cell r="E471" t="str">
            <v>IBEWOUT</v>
          </cell>
          <cell r="F471" t="str">
            <v>77</v>
          </cell>
          <cell r="G471" t="str">
            <v>8</v>
          </cell>
          <cell r="H471">
            <v>0</v>
          </cell>
        </row>
        <row r="472">
          <cell r="B472">
            <v>4645</v>
          </cell>
          <cell r="C472" t="str">
            <v>Gilkison; Glen W.</v>
          </cell>
          <cell r="D472" t="str">
            <v>1</v>
          </cell>
          <cell r="E472">
            <v>4645</v>
          </cell>
          <cell r="F472">
            <v>4645</v>
          </cell>
          <cell r="G472">
            <v>4645</v>
          </cell>
          <cell r="H472">
            <v>1</v>
          </cell>
        </row>
        <row r="473">
          <cell r="B473">
            <v>4648</v>
          </cell>
          <cell r="C473" t="str">
            <v>Gillis Thorstad; Christian T</v>
          </cell>
          <cell r="D473" t="str">
            <v>1</v>
          </cell>
          <cell r="E473">
            <v>4648</v>
          </cell>
          <cell r="F473">
            <v>4648</v>
          </cell>
          <cell r="G473">
            <v>4648</v>
          </cell>
          <cell r="H473">
            <v>1</v>
          </cell>
        </row>
        <row r="474">
          <cell r="B474">
            <v>4671</v>
          </cell>
          <cell r="C474" t="str">
            <v>Giancola; Jacob F</v>
          </cell>
          <cell r="D474" t="str">
            <v>1C</v>
          </cell>
          <cell r="E474" t="str">
            <v>IBEWOUT</v>
          </cell>
          <cell r="F474" t="str">
            <v>1319</v>
          </cell>
          <cell r="G474" t="str">
            <v>8</v>
          </cell>
          <cell r="H474">
            <v>0</v>
          </cell>
        </row>
        <row r="475">
          <cell r="B475">
            <v>4673</v>
          </cell>
          <cell r="C475" t="str">
            <v>Gibbs; Bruce Everett</v>
          </cell>
          <cell r="D475" t="str">
            <v>1C</v>
          </cell>
          <cell r="E475" t="str">
            <v>IBEWOUT</v>
          </cell>
          <cell r="F475" t="str">
            <v>396</v>
          </cell>
          <cell r="G475" t="str">
            <v>33</v>
          </cell>
          <cell r="H475">
            <v>0</v>
          </cell>
        </row>
        <row r="476">
          <cell r="B476">
            <v>4674</v>
          </cell>
          <cell r="C476" t="str">
            <v>George; Benjamin A</v>
          </cell>
          <cell r="D476" t="str">
            <v>1C</v>
          </cell>
          <cell r="E476">
            <v>4674</v>
          </cell>
          <cell r="F476">
            <v>4674</v>
          </cell>
          <cell r="G476">
            <v>4674</v>
          </cell>
          <cell r="H476">
            <v>0</v>
          </cell>
        </row>
        <row r="477">
          <cell r="B477">
            <v>4675</v>
          </cell>
          <cell r="C477" t="str">
            <v>George; Marcus</v>
          </cell>
          <cell r="D477" t="str">
            <v>1C</v>
          </cell>
          <cell r="E477" t="str">
            <v>IBEWOUT</v>
          </cell>
          <cell r="F477" t="str">
            <v>769</v>
          </cell>
          <cell r="G477" t="str">
            <v>22</v>
          </cell>
          <cell r="H477">
            <v>0</v>
          </cell>
        </row>
        <row r="478">
          <cell r="B478">
            <v>4680</v>
          </cell>
          <cell r="C478" t="str">
            <v>Gibson; Nicholas A</v>
          </cell>
          <cell r="D478" t="str">
            <v>1</v>
          </cell>
          <cell r="E478">
            <v>4680</v>
          </cell>
          <cell r="F478">
            <v>4680</v>
          </cell>
          <cell r="G478">
            <v>4680</v>
          </cell>
          <cell r="H478">
            <v>1</v>
          </cell>
        </row>
        <row r="479">
          <cell r="B479">
            <v>4681</v>
          </cell>
          <cell r="C479" t="str">
            <v>Girnus IV; Gustav A</v>
          </cell>
          <cell r="D479" t="str">
            <v>1C</v>
          </cell>
          <cell r="E479" t="str">
            <v>IBEWOUT</v>
          </cell>
          <cell r="F479" t="str">
            <v>1245</v>
          </cell>
          <cell r="G479" t="str">
            <v>8</v>
          </cell>
          <cell r="H479">
            <v>0</v>
          </cell>
        </row>
        <row r="480">
          <cell r="B480">
            <v>4694</v>
          </cell>
          <cell r="C480" t="str">
            <v>Gitts; Gary W</v>
          </cell>
          <cell r="D480" t="str">
            <v>1</v>
          </cell>
          <cell r="E480">
            <v>4694</v>
          </cell>
          <cell r="F480">
            <v>4694</v>
          </cell>
          <cell r="G480">
            <v>4694</v>
          </cell>
          <cell r="H480">
            <v>0</v>
          </cell>
        </row>
        <row r="481">
          <cell r="B481">
            <v>4695</v>
          </cell>
          <cell r="C481" t="str">
            <v>Givens; David N</v>
          </cell>
          <cell r="D481" t="str">
            <v>1C</v>
          </cell>
          <cell r="E481" t="str">
            <v>IBEWOUT</v>
          </cell>
          <cell r="F481" t="str">
            <v>1049</v>
          </cell>
          <cell r="G481" t="str">
            <v>11</v>
          </cell>
          <cell r="H481">
            <v>0</v>
          </cell>
        </row>
        <row r="482">
          <cell r="B482">
            <v>4698</v>
          </cell>
          <cell r="C482" t="str">
            <v>Giguere; Jacob Robert</v>
          </cell>
          <cell r="D482" t="str">
            <v>1</v>
          </cell>
          <cell r="E482" t="str">
            <v>IBEWOUT</v>
          </cell>
          <cell r="F482" t="str">
            <v>47</v>
          </cell>
          <cell r="G482" t="str">
            <v>7</v>
          </cell>
          <cell r="H482">
            <v>0</v>
          </cell>
        </row>
        <row r="483">
          <cell r="B483">
            <v>4709</v>
          </cell>
          <cell r="C483" t="str">
            <v>Glasser; James T</v>
          </cell>
          <cell r="D483" t="str">
            <v>1C</v>
          </cell>
          <cell r="E483" t="str">
            <v>IBEWOUT</v>
          </cell>
          <cell r="F483" t="str">
            <v>47</v>
          </cell>
          <cell r="G483" t="str">
            <v>16</v>
          </cell>
          <cell r="H483">
            <v>0</v>
          </cell>
        </row>
        <row r="484">
          <cell r="B484">
            <v>4718</v>
          </cell>
          <cell r="C484" t="str">
            <v>Gravos; Jason D.</v>
          </cell>
          <cell r="D484" t="str">
            <v>1C</v>
          </cell>
          <cell r="E484" t="str">
            <v>IBEWOUT</v>
          </cell>
          <cell r="F484" t="str">
            <v>77</v>
          </cell>
          <cell r="G484" t="str">
            <v>8</v>
          </cell>
          <cell r="H484">
            <v>0</v>
          </cell>
        </row>
        <row r="485">
          <cell r="B485">
            <v>4721</v>
          </cell>
          <cell r="C485" t="str">
            <v>Graham; Zachary T</v>
          </cell>
          <cell r="D485" t="str">
            <v>1C</v>
          </cell>
          <cell r="E485" t="str">
            <v>IBEWOUT</v>
          </cell>
          <cell r="F485" t="str">
            <v>47</v>
          </cell>
          <cell r="G485" t="str">
            <v>8</v>
          </cell>
          <cell r="H485">
            <v>0</v>
          </cell>
        </row>
        <row r="486">
          <cell r="B486">
            <v>4722</v>
          </cell>
          <cell r="C486" t="str">
            <v>Graham; Wesley D</v>
          </cell>
          <cell r="D486" t="str">
            <v>1C</v>
          </cell>
          <cell r="E486" t="str">
            <v>IBEWOUT</v>
          </cell>
          <cell r="F486" t="str">
            <v>1245</v>
          </cell>
          <cell r="G486" t="str">
            <v>1</v>
          </cell>
          <cell r="H486">
            <v>0</v>
          </cell>
        </row>
        <row r="487">
          <cell r="B487">
            <v>4723</v>
          </cell>
          <cell r="C487" t="str">
            <v>Graebel; Pascal Ferling</v>
          </cell>
          <cell r="D487" t="str">
            <v>1C</v>
          </cell>
          <cell r="E487" t="str">
            <v>IBEWOUT</v>
          </cell>
          <cell r="F487" t="str">
            <v>1245</v>
          </cell>
          <cell r="G487" t="str">
            <v>8</v>
          </cell>
          <cell r="H487">
            <v>0</v>
          </cell>
        </row>
        <row r="488">
          <cell r="B488">
            <v>4724</v>
          </cell>
          <cell r="C488" t="str">
            <v>Grantham; Joshua O</v>
          </cell>
          <cell r="D488" t="str">
            <v>1C</v>
          </cell>
          <cell r="E488" t="str">
            <v>IBEWOUT</v>
          </cell>
          <cell r="F488" t="str">
            <v>1245</v>
          </cell>
          <cell r="G488" t="str">
            <v>8</v>
          </cell>
          <cell r="H488">
            <v>0</v>
          </cell>
        </row>
        <row r="489">
          <cell r="B489">
            <v>4725</v>
          </cell>
          <cell r="C489" t="str">
            <v>Grantham; Benjamin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8</v>
          </cell>
          <cell r="H489">
            <v>0</v>
          </cell>
        </row>
        <row r="490">
          <cell r="B490">
            <v>4727</v>
          </cell>
          <cell r="C490" t="str">
            <v>Graff; Scott A</v>
          </cell>
          <cell r="D490" t="str">
            <v>1</v>
          </cell>
          <cell r="E490" t="str">
            <v>IBEWOUT</v>
          </cell>
          <cell r="F490" t="str">
            <v>47</v>
          </cell>
          <cell r="G490" t="str">
            <v>7</v>
          </cell>
          <cell r="H490">
            <v>0</v>
          </cell>
        </row>
        <row r="491">
          <cell r="B491">
            <v>4733</v>
          </cell>
          <cell r="C491" t="str">
            <v>Gray; Michael W</v>
          </cell>
          <cell r="D491" t="str">
            <v>1C</v>
          </cell>
          <cell r="E491" t="str">
            <v>IBEWOUT</v>
          </cell>
          <cell r="F491" t="str">
            <v>1245</v>
          </cell>
          <cell r="G491" t="str">
            <v>7</v>
          </cell>
          <cell r="H491">
            <v>0</v>
          </cell>
        </row>
        <row r="492">
          <cell r="B492">
            <v>4735</v>
          </cell>
          <cell r="C492" t="str">
            <v>Gray; Christopher N</v>
          </cell>
          <cell r="D492" t="str">
            <v>1C</v>
          </cell>
          <cell r="E492" t="str">
            <v>IBEWOUT</v>
          </cell>
          <cell r="F492" t="str">
            <v>1245</v>
          </cell>
          <cell r="G492" t="str">
            <v>8</v>
          </cell>
          <cell r="H492">
            <v>0</v>
          </cell>
        </row>
        <row r="493">
          <cell r="B493">
            <v>4736</v>
          </cell>
          <cell r="C493" t="str">
            <v>Gravelle; Joshua A</v>
          </cell>
          <cell r="D493" t="str">
            <v>1C</v>
          </cell>
          <cell r="E493" t="str">
            <v>IBEWOUT</v>
          </cell>
          <cell r="F493" t="str">
            <v>160</v>
          </cell>
          <cell r="G493" t="str">
            <v>8</v>
          </cell>
          <cell r="H493">
            <v>0</v>
          </cell>
        </row>
        <row r="494">
          <cell r="B494">
            <v>4737</v>
          </cell>
          <cell r="C494" t="str">
            <v>Gravil II; James F</v>
          </cell>
          <cell r="D494" t="str">
            <v>1C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4745</v>
          </cell>
          <cell r="C495" t="str">
            <v>Green; Christopher A</v>
          </cell>
          <cell r="D495" t="str">
            <v>1C</v>
          </cell>
          <cell r="E495" t="str">
            <v>IBEWOUT</v>
          </cell>
          <cell r="F495" t="str">
            <v>47</v>
          </cell>
          <cell r="G495" t="str">
            <v>14</v>
          </cell>
          <cell r="H495">
            <v>0</v>
          </cell>
        </row>
        <row r="496">
          <cell r="B496">
            <v>4746</v>
          </cell>
          <cell r="C496" t="str">
            <v>Green; Michael R</v>
          </cell>
          <cell r="D496" t="str">
            <v>1C</v>
          </cell>
          <cell r="E496" t="str">
            <v>IBEWOUT</v>
          </cell>
          <cell r="F496" t="str">
            <v>77</v>
          </cell>
          <cell r="G496" t="str">
            <v>9</v>
          </cell>
          <cell r="H496">
            <v>0</v>
          </cell>
        </row>
        <row r="497">
          <cell r="B497">
            <v>4749</v>
          </cell>
          <cell r="C497" t="str">
            <v>Green; Jacob E.</v>
          </cell>
          <cell r="D497" t="str">
            <v>1C</v>
          </cell>
          <cell r="E497" t="str">
            <v>IBEWOUT</v>
          </cell>
          <cell r="F497" t="str">
            <v>1245</v>
          </cell>
          <cell r="G497" t="str">
            <v>8</v>
          </cell>
          <cell r="H497">
            <v>0</v>
          </cell>
        </row>
        <row r="498">
          <cell r="B498">
            <v>4752</v>
          </cell>
          <cell r="C498" t="str">
            <v>Gutierrez; Fernando N</v>
          </cell>
          <cell r="D498" t="str">
            <v>1C</v>
          </cell>
          <cell r="E498" t="str">
            <v>IBEWOUT</v>
          </cell>
          <cell r="F498" t="str">
            <v>1245</v>
          </cell>
          <cell r="G498" t="str">
            <v>8</v>
          </cell>
          <cell r="H498">
            <v>0</v>
          </cell>
        </row>
        <row r="499">
          <cell r="B499">
            <v>4754</v>
          </cell>
          <cell r="C499" t="str">
            <v>Greer; Rebecca J.</v>
          </cell>
          <cell r="D499" t="str">
            <v>1C</v>
          </cell>
          <cell r="E499">
            <v>4754</v>
          </cell>
          <cell r="F499">
            <v>4754</v>
          </cell>
          <cell r="G499">
            <v>4754</v>
          </cell>
          <cell r="H499">
            <v>1</v>
          </cell>
        </row>
        <row r="500">
          <cell r="B500">
            <v>4764</v>
          </cell>
          <cell r="C500" t="str">
            <v>Greer; Arnold Joseph Jay</v>
          </cell>
          <cell r="D500" t="str">
            <v>1C</v>
          </cell>
          <cell r="E500" t="str">
            <v>IBEWOUT</v>
          </cell>
          <cell r="F500" t="str">
            <v>1245</v>
          </cell>
          <cell r="G500" t="str">
            <v>8</v>
          </cell>
          <cell r="H500">
            <v>0</v>
          </cell>
        </row>
        <row r="501">
          <cell r="B501">
            <v>4771</v>
          </cell>
          <cell r="C501" t="str">
            <v>Griffin; Steven D</v>
          </cell>
          <cell r="D501" t="str">
            <v>1</v>
          </cell>
          <cell r="E501" t="str">
            <v>IBEWOUT</v>
          </cell>
          <cell r="F501" t="str">
            <v>47</v>
          </cell>
          <cell r="G501" t="str">
            <v>8</v>
          </cell>
          <cell r="H501">
            <v>0</v>
          </cell>
        </row>
        <row r="502">
          <cell r="B502">
            <v>4782</v>
          </cell>
          <cell r="C502" t="str">
            <v>Grose; Robert Douglas</v>
          </cell>
          <cell r="D502" t="str">
            <v>1C</v>
          </cell>
          <cell r="E502" t="str">
            <v>IBEWOUT</v>
          </cell>
          <cell r="F502" t="str">
            <v>125</v>
          </cell>
          <cell r="G502" t="str">
            <v>16</v>
          </cell>
          <cell r="H502">
            <v>0</v>
          </cell>
        </row>
        <row r="503">
          <cell r="B503">
            <v>4785</v>
          </cell>
          <cell r="C503" t="str">
            <v>Gross; Michael B</v>
          </cell>
          <cell r="D503" t="str">
            <v>1C</v>
          </cell>
          <cell r="E503" t="str">
            <v>IBEWOUT</v>
          </cell>
          <cell r="F503" t="str">
            <v>602R</v>
          </cell>
          <cell r="G503" t="str">
            <v>8</v>
          </cell>
          <cell r="H503">
            <v>0</v>
          </cell>
        </row>
        <row r="504">
          <cell r="B504">
            <v>4786</v>
          </cell>
          <cell r="C504" t="str">
            <v>Grossmann; Michael A</v>
          </cell>
          <cell r="D504" t="str">
            <v>1</v>
          </cell>
          <cell r="E504" t="str">
            <v>IBEWOUT</v>
          </cell>
          <cell r="F504" t="str">
            <v>1245</v>
          </cell>
          <cell r="G504" t="str">
            <v>13</v>
          </cell>
          <cell r="H504">
            <v>0</v>
          </cell>
        </row>
        <row r="505">
          <cell r="B505">
            <v>4807</v>
          </cell>
          <cell r="C505" t="str">
            <v>Gummig; Zechariah A</v>
          </cell>
          <cell r="D505" t="str">
            <v>1C</v>
          </cell>
          <cell r="E505" t="str">
            <v>IBEWOUT</v>
          </cell>
          <cell r="F505" t="str">
            <v>47</v>
          </cell>
          <cell r="G505" t="str">
            <v>8</v>
          </cell>
          <cell r="H505">
            <v>0</v>
          </cell>
        </row>
        <row r="506">
          <cell r="B506">
            <v>4815</v>
          </cell>
          <cell r="C506" t="str">
            <v>Gunderson; Eric C</v>
          </cell>
          <cell r="D506" t="str">
            <v>1C</v>
          </cell>
          <cell r="E506" t="str">
            <v>IBEWOUT</v>
          </cell>
          <cell r="F506" t="str">
            <v>77</v>
          </cell>
          <cell r="G506" t="str">
            <v>16</v>
          </cell>
          <cell r="H506">
            <v>0</v>
          </cell>
        </row>
        <row r="507">
          <cell r="B507">
            <v>4817</v>
          </cell>
          <cell r="C507" t="str">
            <v>Grunst; Gary C.</v>
          </cell>
          <cell r="D507" t="str">
            <v>1</v>
          </cell>
          <cell r="E507">
            <v>4817</v>
          </cell>
          <cell r="F507">
            <v>4817</v>
          </cell>
          <cell r="G507">
            <v>4817</v>
          </cell>
          <cell r="H507">
            <v>1</v>
          </cell>
        </row>
        <row r="508">
          <cell r="B508">
            <v>4821</v>
          </cell>
          <cell r="C508" t="str">
            <v>Gunn; Larry O</v>
          </cell>
          <cell r="D508" t="str">
            <v>1</v>
          </cell>
          <cell r="E508">
            <v>4821</v>
          </cell>
          <cell r="F508">
            <v>4821</v>
          </cell>
          <cell r="G508">
            <v>4821</v>
          </cell>
          <cell r="H508">
            <v>1</v>
          </cell>
        </row>
        <row r="509">
          <cell r="B509">
            <v>4829</v>
          </cell>
          <cell r="C509" t="str">
            <v>Haase; Eric N</v>
          </cell>
          <cell r="D509" t="str">
            <v>1C</v>
          </cell>
          <cell r="E509" t="str">
            <v>IBEWOUT</v>
          </cell>
          <cell r="F509" t="str">
            <v>125</v>
          </cell>
          <cell r="G509" t="str">
            <v>16</v>
          </cell>
          <cell r="H509">
            <v>0</v>
          </cell>
        </row>
        <row r="510">
          <cell r="B510">
            <v>4830</v>
          </cell>
          <cell r="C510" t="str">
            <v>Guevara; Ruben</v>
          </cell>
          <cell r="D510" t="str">
            <v>1</v>
          </cell>
          <cell r="E510" t="str">
            <v>IBEWOUT</v>
          </cell>
          <cell r="F510" t="str">
            <v>1245</v>
          </cell>
          <cell r="G510" t="str">
            <v>7</v>
          </cell>
          <cell r="H510">
            <v>0</v>
          </cell>
        </row>
        <row r="511">
          <cell r="B511">
            <v>4832</v>
          </cell>
          <cell r="C511" t="str">
            <v>Guffey; Jess B</v>
          </cell>
          <cell r="D511" t="str">
            <v>1C</v>
          </cell>
          <cell r="E511" t="str">
            <v>IBEWOUT</v>
          </cell>
          <cell r="F511" t="str">
            <v>47</v>
          </cell>
          <cell r="G511" t="str">
            <v>15</v>
          </cell>
          <cell r="H511">
            <v>0</v>
          </cell>
        </row>
        <row r="512">
          <cell r="B512">
            <v>4833</v>
          </cell>
          <cell r="C512" t="str">
            <v>Gunia; Michael D</v>
          </cell>
          <cell r="D512" t="str">
            <v>1C</v>
          </cell>
          <cell r="E512" t="str">
            <v>IBEWOUT</v>
          </cell>
          <cell r="F512" t="str">
            <v>47</v>
          </cell>
          <cell r="G512" t="str">
            <v>8</v>
          </cell>
          <cell r="H512">
            <v>0</v>
          </cell>
        </row>
        <row r="513">
          <cell r="B513">
            <v>4834</v>
          </cell>
          <cell r="C513" t="str">
            <v>Hacker; Travis K</v>
          </cell>
          <cell r="D513" t="str">
            <v>1C</v>
          </cell>
          <cell r="E513" t="str">
            <v>IBEWOUT</v>
          </cell>
          <cell r="F513" t="str">
            <v>47</v>
          </cell>
          <cell r="G513" t="str">
            <v>8</v>
          </cell>
          <cell r="H513">
            <v>0</v>
          </cell>
        </row>
        <row r="514">
          <cell r="B514">
            <v>4836</v>
          </cell>
          <cell r="C514" t="str">
            <v>Guerrero; Rene J</v>
          </cell>
          <cell r="D514" t="str">
            <v>1C</v>
          </cell>
          <cell r="E514" t="str">
            <v>IBEWOUT</v>
          </cell>
          <cell r="F514" t="str">
            <v>47</v>
          </cell>
          <cell r="G514" t="str">
            <v>17</v>
          </cell>
          <cell r="H514">
            <v>0</v>
          </cell>
        </row>
        <row r="515">
          <cell r="B515">
            <v>4876</v>
          </cell>
          <cell r="C515" t="str">
            <v>Hall; Peter Joe</v>
          </cell>
          <cell r="D515" t="str">
            <v>1</v>
          </cell>
          <cell r="E515">
            <v>4876</v>
          </cell>
          <cell r="F515">
            <v>4876</v>
          </cell>
          <cell r="G515">
            <v>4876</v>
          </cell>
          <cell r="H515">
            <v>1</v>
          </cell>
        </row>
        <row r="516">
          <cell r="B516">
            <v>4882</v>
          </cell>
          <cell r="C516" t="str">
            <v>Hankins; Austin Allan</v>
          </cell>
          <cell r="D516" t="str">
            <v>1C</v>
          </cell>
          <cell r="E516" t="str">
            <v>IBEWOUT</v>
          </cell>
          <cell r="F516" t="str">
            <v>769</v>
          </cell>
          <cell r="G516" t="str">
            <v>22</v>
          </cell>
          <cell r="H516">
            <v>0</v>
          </cell>
        </row>
        <row r="517">
          <cell r="B517">
            <v>4892</v>
          </cell>
          <cell r="C517" t="str">
            <v>Hall; Adam J</v>
          </cell>
          <cell r="D517" t="str">
            <v>1C</v>
          </cell>
          <cell r="E517" t="str">
            <v>IBEWOUT</v>
          </cell>
          <cell r="F517" t="str">
            <v>160</v>
          </cell>
          <cell r="G517" t="str">
            <v>8</v>
          </cell>
          <cell r="H517">
            <v>0</v>
          </cell>
        </row>
        <row r="518">
          <cell r="B518">
            <v>4895</v>
          </cell>
          <cell r="C518" t="str">
            <v>Harding; Grant l</v>
          </cell>
          <cell r="D518" t="str">
            <v>1C</v>
          </cell>
          <cell r="E518" t="str">
            <v>IBEWOUT</v>
          </cell>
          <cell r="F518" t="str">
            <v>47</v>
          </cell>
          <cell r="G518" t="str">
            <v>8</v>
          </cell>
          <cell r="H518">
            <v>0</v>
          </cell>
        </row>
        <row r="519">
          <cell r="B519">
            <v>4898</v>
          </cell>
          <cell r="C519" t="str">
            <v>Hall; Levi R</v>
          </cell>
          <cell r="D519" t="str">
            <v>1C</v>
          </cell>
          <cell r="E519" t="str">
            <v>IBEWOUT</v>
          </cell>
          <cell r="F519" t="str">
            <v>125</v>
          </cell>
          <cell r="G519" t="str">
            <v>10</v>
          </cell>
          <cell r="H519">
            <v>0</v>
          </cell>
        </row>
        <row r="520">
          <cell r="B520">
            <v>4899</v>
          </cell>
          <cell r="C520" t="str">
            <v>Hamelin; Kenneth L</v>
          </cell>
          <cell r="D520" t="str">
            <v>1C</v>
          </cell>
          <cell r="E520" t="str">
            <v>IBEWOUT</v>
          </cell>
          <cell r="F520" t="str">
            <v>77</v>
          </cell>
          <cell r="G520" t="str">
            <v>7</v>
          </cell>
          <cell r="H520">
            <v>0</v>
          </cell>
        </row>
        <row r="521">
          <cell r="B521">
            <v>4901</v>
          </cell>
          <cell r="C521" t="str">
            <v>Hall; Erik S</v>
          </cell>
          <cell r="D521" t="str">
            <v>1C</v>
          </cell>
          <cell r="E521" t="str">
            <v>IBEWOUT</v>
          </cell>
          <cell r="F521" t="str">
            <v>1245</v>
          </cell>
          <cell r="G521" t="str">
            <v>8</v>
          </cell>
          <cell r="H521">
            <v>0</v>
          </cell>
        </row>
        <row r="522">
          <cell r="B522">
            <v>4902</v>
          </cell>
          <cell r="C522" t="str">
            <v>Hamner; Brant S</v>
          </cell>
          <cell r="D522" t="str">
            <v>1C</v>
          </cell>
          <cell r="E522" t="str">
            <v>IBEWOUT</v>
          </cell>
          <cell r="F522" t="str">
            <v>1245</v>
          </cell>
          <cell r="G522" t="str">
            <v>15</v>
          </cell>
          <cell r="H522">
            <v>0</v>
          </cell>
        </row>
        <row r="523">
          <cell r="B523">
            <v>4905</v>
          </cell>
          <cell r="C523" t="str">
            <v>Hancock; James A</v>
          </cell>
          <cell r="D523" t="str">
            <v>1C</v>
          </cell>
          <cell r="E523" t="str">
            <v>IBEWOUT</v>
          </cell>
          <cell r="F523" t="str">
            <v>125</v>
          </cell>
          <cell r="G523" t="str">
            <v>8</v>
          </cell>
          <cell r="H523">
            <v>0</v>
          </cell>
        </row>
        <row r="524">
          <cell r="B524">
            <v>4930</v>
          </cell>
          <cell r="C524" t="str">
            <v>Hathaway; Phillip J</v>
          </cell>
          <cell r="D524" t="str">
            <v>1C</v>
          </cell>
          <cell r="E524" t="str">
            <v>IBEWOUT</v>
          </cell>
          <cell r="F524" t="str">
            <v>769</v>
          </cell>
          <cell r="G524" t="str">
            <v>8</v>
          </cell>
          <cell r="H524">
            <v>0</v>
          </cell>
        </row>
        <row r="525">
          <cell r="B525">
            <v>4946</v>
          </cell>
          <cell r="C525" t="str">
            <v>Hawkins; Christopher D.</v>
          </cell>
          <cell r="D525" t="str">
            <v>1C</v>
          </cell>
          <cell r="E525" t="str">
            <v>IBEWOUT</v>
          </cell>
          <cell r="F525" t="str">
            <v>1245</v>
          </cell>
          <cell r="G525" t="str">
            <v>8</v>
          </cell>
          <cell r="H525">
            <v>0</v>
          </cell>
        </row>
        <row r="526">
          <cell r="B526">
            <v>4950</v>
          </cell>
          <cell r="C526" t="str">
            <v>Hawkins; Shawn C.</v>
          </cell>
          <cell r="D526" t="str">
            <v>1C</v>
          </cell>
          <cell r="E526" t="str">
            <v>IBEWOUT</v>
          </cell>
          <cell r="F526" t="str">
            <v>47</v>
          </cell>
          <cell r="G526" t="str">
            <v>8</v>
          </cell>
          <cell r="H526">
            <v>0</v>
          </cell>
        </row>
        <row r="527">
          <cell r="B527">
            <v>4963</v>
          </cell>
          <cell r="C527" t="str">
            <v>Hairell; Ronald W</v>
          </cell>
          <cell r="D527" t="str">
            <v>1C</v>
          </cell>
          <cell r="E527" t="str">
            <v>IBEWOUT</v>
          </cell>
          <cell r="F527" t="str">
            <v>1245</v>
          </cell>
          <cell r="G527" t="str">
            <v>17</v>
          </cell>
          <cell r="H527">
            <v>0</v>
          </cell>
        </row>
        <row r="528">
          <cell r="B528">
            <v>4967</v>
          </cell>
          <cell r="C528" t="str">
            <v>Hansen; David L</v>
          </cell>
          <cell r="D528" t="str">
            <v>1C</v>
          </cell>
          <cell r="E528" t="str">
            <v>IBEWOUT</v>
          </cell>
          <cell r="F528" t="str">
            <v>47</v>
          </cell>
          <cell r="G528" t="str">
            <v>17</v>
          </cell>
          <cell r="H528">
            <v>0</v>
          </cell>
        </row>
        <row r="529">
          <cell r="B529">
            <v>4969</v>
          </cell>
          <cell r="C529" t="str">
            <v>Hartman; Matthew J.</v>
          </cell>
          <cell r="D529" t="str">
            <v>1C</v>
          </cell>
          <cell r="E529" t="str">
            <v>IBEWOUT</v>
          </cell>
          <cell r="F529" t="str">
            <v>125</v>
          </cell>
          <cell r="G529" t="str">
            <v>13</v>
          </cell>
          <cell r="H529">
            <v>0</v>
          </cell>
        </row>
        <row r="530">
          <cell r="B530">
            <v>4972</v>
          </cell>
          <cell r="C530" t="str">
            <v>Hayman; Cody A</v>
          </cell>
          <cell r="D530" t="str">
            <v>1C</v>
          </cell>
          <cell r="E530" t="str">
            <v>IBEWOUT</v>
          </cell>
          <cell r="F530" t="str">
            <v>1319</v>
          </cell>
          <cell r="G530" t="str">
            <v>17</v>
          </cell>
          <cell r="H530">
            <v>0</v>
          </cell>
        </row>
        <row r="531">
          <cell r="B531">
            <v>4973</v>
          </cell>
          <cell r="C531" t="str">
            <v>Harroun; Steven C</v>
          </cell>
          <cell r="D531" t="str">
            <v>1C</v>
          </cell>
          <cell r="E531" t="str">
            <v>IBEWOUT</v>
          </cell>
          <cell r="F531" t="str">
            <v>611</v>
          </cell>
          <cell r="G531" t="str">
            <v>13</v>
          </cell>
          <cell r="H531">
            <v>0</v>
          </cell>
        </row>
        <row r="532">
          <cell r="B532">
            <v>4974</v>
          </cell>
          <cell r="C532" t="str">
            <v>Hartley; Walter M</v>
          </cell>
          <cell r="D532" t="str">
            <v>1C</v>
          </cell>
          <cell r="E532" t="str">
            <v>IBEWOUT</v>
          </cell>
          <cell r="F532" t="str">
            <v>1245</v>
          </cell>
          <cell r="G532" t="str">
            <v>7</v>
          </cell>
          <cell r="H532">
            <v>0</v>
          </cell>
        </row>
        <row r="533">
          <cell r="B533">
            <v>4979</v>
          </cell>
          <cell r="C533" t="str">
            <v>Hathcock; Steven Heath</v>
          </cell>
          <cell r="D533" t="str">
            <v>1C</v>
          </cell>
          <cell r="E533" t="str">
            <v>IBEWOUT</v>
          </cell>
          <cell r="F533" t="str">
            <v>769</v>
          </cell>
          <cell r="G533" t="str">
            <v>7</v>
          </cell>
          <cell r="H533">
            <v>0</v>
          </cell>
        </row>
        <row r="534">
          <cell r="B534">
            <v>4981</v>
          </cell>
          <cell r="C534" t="str">
            <v>Hivner; Nicholas S</v>
          </cell>
          <cell r="D534" t="str">
            <v>1C</v>
          </cell>
          <cell r="E534" t="str">
            <v>IBEWOUT</v>
          </cell>
          <cell r="F534" t="str">
            <v>126</v>
          </cell>
          <cell r="G534" t="str">
            <v>15</v>
          </cell>
          <cell r="H534">
            <v>0</v>
          </cell>
        </row>
        <row r="535">
          <cell r="B535">
            <v>4983</v>
          </cell>
          <cell r="C535" t="str">
            <v>Harmon; Darren L</v>
          </cell>
          <cell r="D535" t="str">
            <v>1C</v>
          </cell>
          <cell r="E535" t="str">
            <v>IBEWOUT</v>
          </cell>
          <cell r="F535" t="str">
            <v>396</v>
          </cell>
          <cell r="G535" t="str">
            <v>7</v>
          </cell>
          <cell r="H535">
            <v>0</v>
          </cell>
        </row>
        <row r="536">
          <cell r="B536">
            <v>4984</v>
          </cell>
          <cell r="C536" t="str">
            <v>Harshman; Douglas P</v>
          </cell>
          <cell r="D536" t="str">
            <v>1</v>
          </cell>
          <cell r="E536" t="str">
            <v>IBEWOUT</v>
          </cell>
          <cell r="F536" t="str">
            <v>47</v>
          </cell>
          <cell r="G536" t="str">
            <v>8</v>
          </cell>
          <cell r="H536">
            <v>0</v>
          </cell>
        </row>
        <row r="537">
          <cell r="B537">
            <v>4989</v>
          </cell>
          <cell r="C537" t="str">
            <v>Hankins; Clifford Lee</v>
          </cell>
          <cell r="D537" t="str">
            <v>1C</v>
          </cell>
          <cell r="E537" t="str">
            <v>IBEWOUT</v>
          </cell>
          <cell r="F537" t="str">
            <v>769</v>
          </cell>
          <cell r="G537" t="str">
            <v>8</v>
          </cell>
          <cell r="H537">
            <v>0</v>
          </cell>
        </row>
        <row r="538">
          <cell r="B538">
            <v>4990</v>
          </cell>
          <cell r="C538" t="str">
            <v>Hinch; Casto Steve</v>
          </cell>
          <cell r="D538" t="str">
            <v>1</v>
          </cell>
          <cell r="E538" t="str">
            <v>IBEWOUT</v>
          </cell>
          <cell r="F538" t="str">
            <v>1245</v>
          </cell>
          <cell r="G538" t="str">
            <v>7</v>
          </cell>
          <cell r="H538">
            <v>0</v>
          </cell>
        </row>
        <row r="539">
          <cell r="B539">
            <v>4993</v>
          </cell>
          <cell r="C539" t="str">
            <v>Harkins; Michael J</v>
          </cell>
          <cell r="D539" t="str">
            <v>1C</v>
          </cell>
          <cell r="E539" t="str">
            <v>IBEWOUT</v>
          </cell>
          <cell r="F539" t="str">
            <v>1319</v>
          </cell>
          <cell r="G539" t="str">
            <v>16</v>
          </cell>
          <cell r="H539">
            <v>0</v>
          </cell>
        </row>
        <row r="540">
          <cell r="B540">
            <v>4994</v>
          </cell>
          <cell r="C540" t="str">
            <v>Hinch; Dustin T</v>
          </cell>
          <cell r="D540" t="str">
            <v>1</v>
          </cell>
          <cell r="E540" t="str">
            <v>IBEWOUT</v>
          </cell>
          <cell r="F540" t="str">
            <v>1245</v>
          </cell>
          <cell r="G540" t="str">
            <v>8</v>
          </cell>
          <cell r="H540">
            <v>0</v>
          </cell>
        </row>
        <row r="541">
          <cell r="B541">
            <v>4995</v>
          </cell>
          <cell r="C541" t="str">
            <v>Hinch; Anthony T.</v>
          </cell>
          <cell r="D541" t="str">
            <v>1C</v>
          </cell>
          <cell r="E541" t="str">
            <v>IBEWOUT</v>
          </cell>
          <cell r="F541" t="str">
            <v>1245</v>
          </cell>
          <cell r="G541" t="str">
            <v>8</v>
          </cell>
          <cell r="H541">
            <v>0</v>
          </cell>
        </row>
        <row r="542">
          <cell r="B542">
            <v>4998</v>
          </cell>
          <cell r="C542" t="str">
            <v>Geiser; Robert A</v>
          </cell>
          <cell r="D542" t="str">
            <v>1C</v>
          </cell>
          <cell r="E542" t="str">
            <v>IBEWOUT</v>
          </cell>
          <cell r="F542" t="str">
            <v>602R</v>
          </cell>
          <cell r="G542" t="str">
            <v>8</v>
          </cell>
          <cell r="H542">
            <v>0</v>
          </cell>
        </row>
        <row r="543">
          <cell r="B543">
            <v>4999</v>
          </cell>
          <cell r="C543" t="str">
            <v>Geyer; Tyler W</v>
          </cell>
          <cell r="D543" t="str">
            <v>1</v>
          </cell>
          <cell r="E543" t="str">
            <v>IBEWOUT</v>
          </cell>
          <cell r="F543" t="str">
            <v>47</v>
          </cell>
          <cell r="G543" t="str">
            <v>8</v>
          </cell>
          <cell r="H543">
            <v>0</v>
          </cell>
        </row>
        <row r="544">
          <cell r="B544">
            <v>5012</v>
          </cell>
          <cell r="C544" t="str">
            <v>Haagen; Adam E</v>
          </cell>
          <cell r="D544" t="str">
            <v>1C</v>
          </cell>
          <cell r="E544" t="str">
            <v>IBEWOUT</v>
          </cell>
          <cell r="F544" t="str">
            <v>77</v>
          </cell>
          <cell r="G544" t="str">
            <v>11</v>
          </cell>
          <cell r="H544">
            <v>0</v>
          </cell>
        </row>
        <row r="545">
          <cell r="B545">
            <v>5013</v>
          </cell>
          <cell r="C545" t="str">
            <v>Harrah; Robert Fred</v>
          </cell>
          <cell r="D545" t="str">
            <v>1C</v>
          </cell>
          <cell r="E545">
            <v>5013</v>
          </cell>
          <cell r="F545">
            <v>5013</v>
          </cell>
          <cell r="G545">
            <v>5013</v>
          </cell>
          <cell r="H545">
            <v>1</v>
          </cell>
        </row>
        <row r="546">
          <cell r="B546">
            <v>5015</v>
          </cell>
          <cell r="C546" t="str">
            <v>Haar; Ryan J</v>
          </cell>
          <cell r="D546" t="str">
            <v>1C</v>
          </cell>
          <cell r="E546" t="str">
            <v>IBEWOUT</v>
          </cell>
          <cell r="F546" t="str">
            <v>47</v>
          </cell>
          <cell r="G546" t="str">
            <v>8</v>
          </cell>
          <cell r="H546">
            <v>0</v>
          </cell>
        </row>
        <row r="547">
          <cell r="B547">
            <v>5016</v>
          </cell>
          <cell r="C547" t="str">
            <v>Harris; Jason B</v>
          </cell>
          <cell r="D547" t="str">
            <v>1C</v>
          </cell>
          <cell r="E547" t="str">
            <v>IBEWOUT</v>
          </cell>
          <cell r="F547" t="str">
            <v>126</v>
          </cell>
          <cell r="G547" t="str">
            <v>8</v>
          </cell>
          <cell r="H547">
            <v>0</v>
          </cell>
        </row>
        <row r="548">
          <cell r="B548">
            <v>5017</v>
          </cell>
          <cell r="C548" t="str">
            <v>Harrison; John Wesley</v>
          </cell>
          <cell r="D548" t="str">
            <v>1C</v>
          </cell>
          <cell r="E548" t="str">
            <v>IBEWOUT</v>
          </cell>
          <cell r="F548" t="str">
            <v>1245</v>
          </cell>
          <cell r="G548" t="str">
            <v>8</v>
          </cell>
          <cell r="H548">
            <v>0</v>
          </cell>
        </row>
        <row r="549">
          <cell r="B549">
            <v>5018</v>
          </cell>
          <cell r="C549" t="str">
            <v>Harris; Tyler J</v>
          </cell>
          <cell r="D549" t="str">
            <v>1</v>
          </cell>
          <cell r="E549" t="str">
            <v>IBEWOUT</v>
          </cell>
          <cell r="F549" t="str">
            <v>1245</v>
          </cell>
          <cell r="G549" t="str">
            <v>8</v>
          </cell>
          <cell r="H549">
            <v>0</v>
          </cell>
        </row>
        <row r="550">
          <cell r="B550">
            <v>5040</v>
          </cell>
          <cell r="C550" t="str">
            <v>Hauff; James FL</v>
          </cell>
          <cell r="D550" t="str">
            <v>1C</v>
          </cell>
          <cell r="E550" t="str">
            <v>IBEWOUT</v>
          </cell>
          <cell r="F550" t="str">
            <v>77</v>
          </cell>
          <cell r="G550" t="str">
            <v>8</v>
          </cell>
          <cell r="H550">
            <v>0</v>
          </cell>
        </row>
        <row r="551">
          <cell r="B551">
            <v>5056</v>
          </cell>
          <cell r="C551" t="str">
            <v>Hatchett; Terry V</v>
          </cell>
          <cell r="D551" t="str">
            <v>1C</v>
          </cell>
          <cell r="E551" t="str">
            <v>IBEWOUT</v>
          </cell>
          <cell r="F551" t="str">
            <v>769</v>
          </cell>
          <cell r="G551" t="str">
            <v>8</v>
          </cell>
          <cell r="H551">
            <v>0</v>
          </cell>
        </row>
        <row r="552">
          <cell r="B552">
            <v>5067</v>
          </cell>
          <cell r="C552" t="str">
            <v>Heller; Erik C</v>
          </cell>
          <cell r="D552" t="str">
            <v>1C</v>
          </cell>
          <cell r="E552" t="str">
            <v>IBEWOUT</v>
          </cell>
          <cell r="F552" t="str">
            <v>47</v>
          </cell>
          <cell r="G552" t="str">
            <v>8</v>
          </cell>
          <cell r="H552">
            <v>0</v>
          </cell>
        </row>
        <row r="553">
          <cell r="B553">
            <v>5070</v>
          </cell>
          <cell r="C553" t="str">
            <v>Henderson; James R</v>
          </cell>
          <cell r="D553" t="str">
            <v>1</v>
          </cell>
          <cell r="E553" t="str">
            <v>IBEWOUT</v>
          </cell>
          <cell r="F553" t="str">
            <v>77</v>
          </cell>
          <cell r="G553" t="str">
            <v>7</v>
          </cell>
          <cell r="H553">
            <v>0</v>
          </cell>
        </row>
        <row r="554">
          <cell r="B554">
            <v>5071</v>
          </cell>
          <cell r="C554" t="str">
            <v>Henderson; Steven M.</v>
          </cell>
          <cell r="D554" t="str">
            <v>1C</v>
          </cell>
          <cell r="E554" t="str">
            <v>IBEWOUT</v>
          </cell>
          <cell r="F554" t="str">
            <v>1245</v>
          </cell>
          <cell r="G554" t="str">
            <v>8</v>
          </cell>
          <cell r="H554">
            <v>0</v>
          </cell>
        </row>
        <row r="555">
          <cell r="B555">
            <v>5076</v>
          </cell>
          <cell r="C555" t="str">
            <v>Henderson; Levi A</v>
          </cell>
          <cell r="D555" t="str">
            <v>1C</v>
          </cell>
          <cell r="E555" t="str">
            <v>IBEWOUT</v>
          </cell>
          <cell r="F555" t="str">
            <v>47</v>
          </cell>
          <cell r="G555" t="str">
            <v>8</v>
          </cell>
          <cell r="H555">
            <v>0</v>
          </cell>
        </row>
        <row r="556">
          <cell r="B556">
            <v>5091</v>
          </cell>
          <cell r="C556" t="str">
            <v>Hendrickson; Scott D</v>
          </cell>
          <cell r="D556" t="str">
            <v>1C</v>
          </cell>
          <cell r="E556" t="str">
            <v>IBEWOUT</v>
          </cell>
          <cell r="F556" t="str">
            <v>77</v>
          </cell>
          <cell r="G556" t="str">
            <v>7</v>
          </cell>
          <cell r="H556">
            <v>0</v>
          </cell>
        </row>
        <row r="557">
          <cell r="B557">
            <v>5098</v>
          </cell>
          <cell r="C557" t="str">
            <v>Hartman; George W.</v>
          </cell>
          <cell r="D557" t="str">
            <v>1C</v>
          </cell>
          <cell r="E557" t="str">
            <v>IBEWOUT</v>
          </cell>
          <cell r="F557" t="str">
            <v>769</v>
          </cell>
          <cell r="G557" t="str">
            <v>12</v>
          </cell>
          <cell r="H557">
            <v>0</v>
          </cell>
        </row>
        <row r="558">
          <cell r="B558">
            <v>5100</v>
          </cell>
          <cell r="C558" t="str">
            <v>Hegdahl; Andres J</v>
          </cell>
          <cell r="D558" t="str">
            <v>1C</v>
          </cell>
          <cell r="E558" t="str">
            <v>IBEWOUT</v>
          </cell>
          <cell r="F558" t="str">
            <v>125</v>
          </cell>
          <cell r="G558" t="str">
            <v>16</v>
          </cell>
          <cell r="H558">
            <v>0</v>
          </cell>
        </row>
        <row r="559">
          <cell r="B559">
            <v>5102</v>
          </cell>
          <cell r="C559" t="str">
            <v>Heil; Allen A.</v>
          </cell>
          <cell r="D559" t="str">
            <v>1C</v>
          </cell>
          <cell r="E559" t="str">
            <v>IBEWOUT</v>
          </cell>
          <cell r="F559" t="str">
            <v>1245</v>
          </cell>
          <cell r="G559" t="str">
            <v>8</v>
          </cell>
          <cell r="H559">
            <v>0</v>
          </cell>
        </row>
        <row r="560">
          <cell r="B560">
            <v>5103</v>
          </cell>
          <cell r="C560" t="str">
            <v>Heinze; Steve F</v>
          </cell>
          <cell r="D560" t="str">
            <v>1</v>
          </cell>
          <cell r="E560">
            <v>5103</v>
          </cell>
          <cell r="F560">
            <v>5103</v>
          </cell>
          <cell r="G560">
            <v>5103</v>
          </cell>
          <cell r="H560">
            <v>0</v>
          </cell>
        </row>
        <row r="561">
          <cell r="B561">
            <v>5104</v>
          </cell>
          <cell r="C561" t="str">
            <v>Hedleston; Shawn</v>
          </cell>
          <cell r="D561" t="str">
            <v>1</v>
          </cell>
          <cell r="E561">
            <v>5104</v>
          </cell>
          <cell r="F561">
            <v>5104</v>
          </cell>
          <cell r="G561">
            <v>5104</v>
          </cell>
          <cell r="H561">
            <v>0</v>
          </cell>
        </row>
        <row r="562">
          <cell r="B562">
            <v>5105</v>
          </cell>
          <cell r="C562" t="str">
            <v>Healy; Justin M.</v>
          </cell>
          <cell r="D562" t="str">
            <v>1C</v>
          </cell>
          <cell r="E562" t="str">
            <v>IBEWOUT</v>
          </cell>
          <cell r="F562" t="str">
            <v>125</v>
          </cell>
          <cell r="G562" t="str">
            <v>8</v>
          </cell>
          <cell r="H562">
            <v>0</v>
          </cell>
        </row>
        <row r="563">
          <cell r="B563">
            <v>5107</v>
          </cell>
          <cell r="C563" t="str">
            <v>Hedburg; Arthur J</v>
          </cell>
          <cell r="D563" t="str">
            <v>1C</v>
          </cell>
          <cell r="E563" t="str">
            <v>IBEWOUT</v>
          </cell>
          <cell r="F563" t="str">
            <v>47</v>
          </cell>
          <cell r="G563" t="str">
            <v>8</v>
          </cell>
          <cell r="H563">
            <v>0</v>
          </cell>
        </row>
        <row r="564">
          <cell r="B564">
            <v>5108</v>
          </cell>
          <cell r="C564" t="str">
            <v>Hedtke; Bruce R</v>
          </cell>
          <cell r="D564" t="str">
            <v>1</v>
          </cell>
          <cell r="E564" t="str">
            <v>IBEWOUT</v>
          </cell>
          <cell r="F564" t="str">
            <v>160</v>
          </cell>
          <cell r="G564" t="str">
            <v>7</v>
          </cell>
          <cell r="H564">
            <v>0</v>
          </cell>
        </row>
        <row r="565">
          <cell r="B565">
            <v>5115</v>
          </cell>
          <cell r="C565" t="str">
            <v>Heredia; Marco A</v>
          </cell>
          <cell r="D565" t="str">
            <v>1C</v>
          </cell>
          <cell r="E565" t="str">
            <v>IBEWOUT</v>
          </cell>
          <cell r="F565" t="str">
            <v>47</v>
          </cell>
          <cell r="G565" t="str">
            <v>17</v>
          </cell>
          <cell r="H565">
            <v>0</v>
          </cell>
        </row>
        <row r="566">
          <cell r="B566">
            <v>5116</v>
          </cell>
          <cell r="C566" t="str">
            <v>Heuer; Jordan P</v>
          </cell>
          <cell r="D566" t="str">
            <v>1C</v>
          </cell>
          <cell r="E566" t="str">
            <v>IBEWOUT</v>
          </cell>
          <cell r="F566" t="str">
            <v>126</v>
          </cell>
          <cell r="G566" t="str">
            <v>16</v>
          </cell>
          <cell r="H566">
            <v>0</v>
          </cell>
        </row>
        <row r="567">
          <cell r="B567">
            <v>5119</v>
          </cell>
          <cell r="C567" t="str">
            <v>Herron; Gregory W.</v>
          </cell>
          <cell r="D567" t="str">
            <v>1C</v>
          </cell>
          <cell r="E567" t="str">
            <v>IBEWOUT</v>
          </cell>
          <cell r="F567" t="str">
            <v>1319</v>
          </cell>
          <cell r="G567" t="str">
            <v>33</v>
          </cell>
          <cell r="H567">
            <v>0</v>
          </cell>
        </row>
        <row r="568">
          <cell r="B568">
            <v>5120</v>
          </cell>
          <cell r="C568" t="str">
            <v>Hernandez; Aaron F</v>
          </cell>
          <cell r="D568" t="str">
            <v>1C</v>
          </cell>
          <cell r="E568" t="str">
            <v>IBEWOUT</v>
          </cell>
          <cell r="F568" t="str">
            <v>611</v>
          </cell>
          <cell r="G568" t="str">
            <v>12</v>
          </cell>
          <cell r="H568">
            <v>0</v>
          </cell>
        </row>
        <row r="569">
          <cell r="B569">
            <v>5124</v>
          </cell>
          <cell r="C569" t="str">
            <v>Hernandez Orozco; David</v>
          </cell>
          <cell r="D569" t="str">
            <v>1</v>
          </cell>
          <cell r="E569">
            <v>5124</v>
          </cell>
          <cell r="F569">
            <v>5124</v>
          </cell>
          <cell r="G569">
            <v>5124</v>
          </cell>
          <cell r="H569">
            <v>0</v>
          </cell>
        </row>
        <row r="570">
          <cell r="B570">
            <v>5125</v>
          </cell>
          <cell r="C570" t="str">
            <v>Hernandez; Ramiro</v>
          </cell>
          <cell r="D570" t="str">
            <v>1C</v>
          </cell>
          <cell r="E570">
            <v>5125</v>
          </cell>
          <cell r="F570">
            <v>5125</v>
          </cell>
          <cell r="G570">
            <v>5125</v>
          </cell>
          <cell r="H570">
            <v>0</v>
          </cell>
        </row>
        <row r="571">
          <cell r="B571">
            <v>5127</v>
          </cell>
          <cell r="C571" t="str">
            <v>Hester; John Calvin</v>
          </cell>
          <cell r="D571" t="str">
            <v>1C</v>
          </cell>
          <cell r="E571" t="str">
            <v>IBEWOUT</v>
          </cell>
          <cell r="F571" t="str">
            <v>396</v>
          </cell>
          <cell r="G571" t="str">
            <v>8</v>
          </cell>
          <cell r="H571">
            <v>0</v>
          </cell>
        </row>
        <row r="572">
          <cell r="B572">
            <v>5128</v>
          </cell>
          <cell r="C572" t="str">
            <v>Hernandez; Ignacio L</v>
          </cell>
          <cell r="D572" t="str">
            <v>1</v>
          </cell>
          <cell r="E572" t="str">
            <v>IBEWOUT</v>
          </cell>
          <cell r="F572" t="str">
            <v>1245</v>
          </cell>
          <cell r="G572" t="str">
            <v>8</v>
          </cell>
          <cell r="H572">
            <v>0</v>
          </cell>
        </row>
        <row r="573">
          <cell r="B573">
            <v>5139</v>
          </cell>
          <cell r="C573" t="str">
            <v>Hidalgo; Cody B.</v>
          </cell>
          <cell r="D573" t="str">
            <v>1</v>
          </cell>
          <cell r="E573" t="str">
            <v>IBEWOUT</v>
          </cell>
          <cell r="F573" t="str">
            <v>611</v>
          </cell>
          <cell r="G573" t="str">
            <v>8</v>
          </cell>
          <cell r="H573">
            <v>0</v>
          </cell>
        </row>
        <row r="574">
          <cell r="B574">
            <v>5140</v>
          </cell>
          <cell r="C574" t="str">
            <v>Hidalgo; Francisco R.</v>
          </cell>
          <cell r="D574" t="str">
            <v>1C</v>
          </cell>
          <cell r="E574" t="str">
            <v>IBEWOUT</v>
          </cell>
          <cell r="F574" t="str">
            <v>47</v>
          </cell>
          <cell r="G574" t="str">
            <v>8</v>
          </cell>
          <cell r="H574">
            <v>0</v>
          </cell>
        </row>
        <row r="575">
          <cell r="B575">
            <v>5165</v>
          </cell>
          <cell r="C575" t="str">
            <v>Hippensteel; Thomas A</v>
          </cell>
          <cell r="D575" t="str">
            <v>1C</v>
          </cell>
          <cell r="E575" t="str">
            <v>IBEWOUT</v>
          </cell>
          <cell r="F575" t="str">
            <v>125</v>
          </cell>
          <cell r="G575" t="str">
            <v>8</v>
          </cell>
          <cell r="H575">
            <v>0</v>
          </cell>
        </row>
        <row r="576">
          <cell r="B576">
            <v>5166</v>
          </cell>
          <cell r="C576" t="str">
            <v>Hildebrand; Scott Alan</v>
          </cell>
          <cell r="D576" t="str">
            <v>1C</v>
          </cell>
          <cell r="E576" t="str">
            <v>IBEWOUT</v>
          </cell>
          <cell r="F576" t="str">
            <v>77</v>
          </cell>
          <cell r="G576" t="str">
            <v>7</v>
          </cell>
          <cell r="H576">
            <v>0</v>
          </cell>
        </row>
        <row r="577">
          <cell r="B577">
            <v>5168</v>
          </cell>
          <cell r="C577" t="str">
            <v>Hills; Jeremy S.</v>
          </cell>
          <cell r="D577" t="str">
            <v>1C</v>
          </cell>
          <cell r="E577" t="str">
            <v>IBEWOUT</v>
          </cell>
          <cell r="F577" t="str">
            <v>77</v>
          </cell>
          <cell r="G577" t="str">
            <v>8</v>
          </cell>
          <cell r="H577">
            <v>0</v>
          </cell>
        </row>
        <row r="578">
          <cell r="B578">
            <v>5175</v>
          </cell>
          <cell r="C578" t="str">
            <v>Hess; Jared A.</v>
          </cell>
          <cell r="D578" t="str">
            <v>1C</v>
          </cell>
          <cell r="E578" t="str">
            <v>IBEWOUT</v>
          </cell>
          <cell r="F578" t="str">
            <v>1245</v>
          </cell>
          <cell r="G578" t="str">
            <v>8</v>
          </cell>
          <cell r="H578">
            <v>0</v>
          </cell>
        </row>
        <row r="579">
          <cell r="B579">
            <v>5176</v>
          </cell>
          <cell r="C579" t="str">
            <v>Hicks; Andrew D</v>
          </cell>
          <cell r="D579" t="str">
            <v>1C</v>
          </cell>
          <cell r="E579" t="str">
            <v>IBEWOUT</v>
          </cell>
          <cell r="F579" t="str">
            <v>77</v>
          </cell>
          <cell r="G579" t="str">
            <v>8</v>
          </cell>
          <cell r="H579">
            <v>0</v>
          </cell>
        </row>
        <row r="580">
          <cell r="B580">
            <v>5179</v>
          </cell>
          <cell r="C580" t="str">
            <v>Hicks; Rush N</v>
          </cell>
          <cell r="D580" t="str">
            <v>1C</v>
          </cell>
          <cell r="E580" t="str">
            <v>IBEWOUT</v>
          </cell>
          <cell r="F580" t="str">
            <v>125</v>
          </cell>
          <cell r="G580" t="str">
            <v>16</v>
          </cell>
          <cell r="H580">
            <v>0</v>
          </cell>
        </row>
        <row r="581">
          <cell r="B581">
            <v>5181</v>
          </cell>
          <cell r="C581" t="str">
            <v>Hoy; Turner A</v>
          </cell>
          <cell r="D581" t="str">
            <v>1C</v>
          </cell>
          <cell r="E581" t="str">
            <v>IBEWOUT</v>
          </cell>
          <cell r="F581" t="str">
            <v>769</v>
          </cell>
          <cell r="G581" t="str">
            <v>8</v>
          </cell>
          <cell r="H581">
            <v>0</v>
          </cell>
        </row>
        <row r="582">
          <cell r="B582">
            <v>5182</v>
          </cell>
          <cell r="C582" t="str">
            <v>Hill; Joshua K</v>
          </cell>
          <cell r="D582" t="str">
            <v>1C</v>
          </cell>
          <cell r="E582" t="str">
            <v>IBEWOUT</v>
          </cell>
          <cell r="F582" t="str">
            <v>1245</v>
          </cell>
          <cell r="G582" t="str">
            <v>8</v>
          </cell>
          <cell r="H582">
            <v>0</v>
          </cell>
        </row>
        <row r="583">
          <cell r="B583">
            <v>5183</v>
          </cell>
          <cell r="C583" t="str">
            <v>Hill; Anthony D</v>
          </cell>
          <cell r="D583" t="str">
            <v>1C</v>
          </cell>
          <cell r="E583" t="str">
            <v>IBEWOUT</v>
          </cell>
          <cell r="F583" t="str">
            <v>1245</v>
          </cell>
          <cell r="G583" t="str">
            <v>8</v>
          </cell>
          <cell r="H583">
            <v>0</v>
          </cell>
        </row>
        <row r="584">
          <cell r="B584">
            <v>5186</v>
          </cell>
          <cell r="C584" t="str">
            <v>Hill; Jared M</v>
          </cell>
          <cell r="D584" t="str">
            <v>1C</v>
          </cell>
          <cell r="E584" t="str">
            <v>IBEWOUT</v>
          </cell>
          <cell r="F584" t="str">
            <v>104</v>
          </cell>
          <cell r="G584" t="str">
            <v>7</v>
          </cell>
          <cell r="H584">
            <v>0</v>
          </cell>
        </row>
        <row r="585">
          <cell r="B585">
            <v>5187</v>
          </cell>
          <cell r="C585" t="str">
            <v>Hill; Daniel A</v>
          </cell>
          <cell r="D585" t="str">
            <v>1</v>
          </cell>
          <cell r="E585" t="str">
            <v>IBEWOUT</v>
          </cell>
          <cell r="F585" t="str">
            <v>77</v>
          </cell>
          <cell r="G585" t="str">
            <v>8</v>
          </cell>
          <cell r="H585">
            <v>0</v>
          </cell>
        </row>
        <row r="586">
          <cell r="B586">
            <v>5188</v>
          </cell>
          <cell r="C586" t="str">
            <v>Herrin; Jerrod S</v>
          </cell>
          <cell r="D586" t="str">
            <v>1</v>
          </cell>
          <cell r="E586">
            <v>5188</v>
          </cell>
          <cell r="F586">
            <v>5188</v>
          </cell>
          <cell r="G586">
            <v>5188</v>
          </cell>
          <cell r="H586">
            <v>0</v>
          </cell>
        </row>
        <row r="587">
          <cell r="B587">
            <v>5190</v>
          </cell>
          <cell r="C587" t="str">
            <v>Hillhouse; Casey</v>
          </cell>
          <cell r="D587" t="str">
            <v>1C</v>
          </cell>
          <cell r="E587" t="str">
            <v>IBEWOUT</v>
          </cell>
          <cell r="F587" t="str">
            <v>1245</v>
          </cell>
          <cell r="G587" t="str">
            <v>8</v>
          </cell>
          <cell r="H587">
            <v>0</v>
          </cell>
        </row>
        <row r="588">
          <cell r="B588">
            <v>5301</v>
          </cell>
          <cell r="C588" t="str">
            <v>Hopkins; Joseph E</v>
          </cell>
          <cell r="D588" t="str">
            <v>1C</v>
          </cell>
          <cell r="E588" t="str">
            <v>IBEWOUT</v>
          </cell>
          <cell r="F588" t="str">
            <v>125</v>
          </cell>
          <cell r="G588" t="str">
            <v>8</v>
          </cell>
          <cell r="H588">
            <v>0</v>
          </cell>
        </row>
        <row r="589">
          <cell r="B589">
            <v>5319</v>
          </cell>
          <cell r="C589" t="str">
            <v>Holbrook; Jeremiah M</v>
          </cell>
          <cell r="D589" t="str">
            <v>1C</v>
          </cell>
          <cell r="E589" t="str">
            <v>IBEWOUT</v>
          </cell>
          <cell r="F589" t="str">
            <v>1245</v>
          </cell>
          <cell r="G589" t="str">
            <v>8</v>
          </cell>
          <cell r="H589">
            <v>0</v>
          </cell>
        </row>
        <row r="590">
          <cell r="B590">
            <v>5328</v>
          </cell>
          <cell r="C590" t="str">
            <v>Hodges; Tayler D</v>
          </cell>
          <cell r="D590" t="str">
            <v>1</v>
          </cell>
          <cell r="E590" t="str">
            <v>IBEWOUT</v>
          </cell>
          <cell r="F590" t="str">
            <v>47</v>
          </cell>
          <cell r="G590" t="str">
            <v>7</v>
          </cell>
          <cell r="H590">
            <v>0</v>
          </cell>
        </row>
        <row r="591">
          <cell r="B591">
            <v>5331</v>
          </cell>
          <cell r="C591" t="str">
            <v>Hoefler; Trevor B</v>
          </cell>
          <cell r="D591" t="str">
            <v>1C</v>
          </cell>
          <cell r="E591" t="str">
            <v>IBEWOUT</v>
          </cell>
          <cell r="F591" t="str">
            <v>77</v>
          </cell>
          <cell r="G591" t="str">
            <v>10</v>
          </cell>
          <cell r="H591">
            <v>0</v>
          </cell>
        </row>
        <row r="592">
          <cell r="B592">
            <v>5332</v>
          </cell>
          <cell r="C592" t="str">
            <v>Hogue III; Johnny K</v>
          </cell>
          <cell r="D592" t="str">
            <v>1C</v>
          </cell>
          <cell r="E592" t="str">
            <v>IBEWOUT</v>
          </cell>
          <cell r="F592" t="str">
            <v>126</v>
          </cell>
          <cell r="G592" t="str">
            <v>15</v>
          </cell>
          <cell r="H592">
            <v>0</v>
          </cell>
        </row>
        <row r="593">
          <cell r="B593">
            <v>5333</v>
          </cell>
          <cell r="C593" t="str">
            <v>Hoke III; John M</v>
          </cell>
          <cell r="D593" t="str">
            <v>1</v>
          </cell>
          <cell r="E593" t="str">
            <v>IBEWOUT</v>
          </cell>
          <cell r="F593" t="str">
            <v>1245</v>
          </cell>
          <cell r="G593" t="str">
            <v>60</v>
          </cell>
          <cell r="H593">
            <v>0</v>
          </cell>
        </row>
        <row r="594">
          <cell r="B594">
            <v>5336</v>
          </cell>
          <cell r="C594" t="str">
            <v>Hofman; Lucas J</v>
          </cell>
          <cell r="D594" t="str">
            <v>1</v>
          </cell>
          <cell r="E594" t="str">
            <v>IBEWOUT</v>
          </cell>
          <cell r="F594" t="str">
            <v>160</v>
          </cell>
          <cell r="G594" t="str">
            <v>8</v>
          </cell>
          <cell r="H594">
            <v>0</v>
          </cell>
        </row>
        <row r="595">
          <cell r="B595">
            <v>5340</v>
          </cell>
          <cell r="C595" t="str">
            <v>Holt; Derek H</v>
          </cell>
          <cell r="D595" t="str">
            <v>1C</v>
          </cell>
          <cell r="E595" t="str">
            <v>IBEWOUT</v>
          </cell>
          <cell r="F595" t="str">
            <v>1245</v>
          </cell>
          <cell r="G595" t="str">
            <v>8</v>
          </cell>
          <cell r="H595">
            <v>0</v>
          </cell>
        </row>
        <row r="596">
          <cell r="B596">
            <v>5345</v>
          </cell>
          <cell r="C596" t="str">
            <v>Holland Jr; Terrell S</v>
          </cell>
          <cell r="D596" t="str">
            <v>1C</v>
          </cell>
          <cell r="E596" t="str">
            <v>IBEWOUT</v>
          </cell>
          <cell r="F596" t="str">
            <v>1245</v>
          </cell>
          <cell r="G596" t="str">
            <v>8</v>
          </cell>
          <cell r="H596">
            <v>0</v>
          </cell>
        </row>
        <row r="597">
          <cell r="B597">
            <v>5357</v>
          </cell>
          <cell r="C597" t="str">
            <v>Honorato; Armando</v>
          </cell>
          <cell r="D597" t="str">
            <v>1C</v>
          </cell>
          <cell r="E597" t="str">
            <v>IBEWOUT</v>
          </cell>
          <cell r="F597" t="str">
            <v>47</v>
          </cell>
          <cell r="G597" t="str">
            <v>17</v>
          </cell>
          <cell r="H597">
            <v>0</v>
          </cell>
        </row>
        <row r="598">
          <cell r="B598">
            <v>5372</v>
          </cell>
          <cell r="C598" t="str">
            <v>Hook; Alan P</v>
          </cell>
          <cell r="D598" t="str">
            <v>1C</v>
          </cell>
          <cell r="E598" t="str">
            <v>IBEWOUT</v>
          </cell>
          <cell r="F598" t="str">
            <v>1245</v>
          </cell>
          <cell r="G598" t="str">
            <v>15</v>
          </cell>
          <cell r="H598">
            <v>0</v>
          </cell>
        </row>
        <row r="599">
          <cell r="B599">
            <v>5373</v>
          </cell>
          <cell r="C599" t="str">
            <v>Hoover; Travis J</v>
          </cell>
          <cell r="D599" t="str">
            <v>1</v>
          </cell>
          <cell r="E599" t="str">
            <v>IBEWOUT</v>
          </cell>
          <cell r="F599" t="str">
            <v>611</v>
          </cell>
          <cell r="G599" t="str">
            <v>11</v>
          </cell>
          <cell r="H599">
            <v>0</v>
          </cell>
        </row>
        <row r="600">
          <cell r="B600">
            <v>5374</v>
          </cell>
          <cell r="C600" t="str">
            <v>Hoogestraat; Daniel M</v>
          </cell>
          <cell r="D600" t="str">
            <v>1</v>
          </cell>
          <cell r="E600">
            <v>5374</v>
          </cell>
          <cell r="F600">
            <v>5374</v>
          </cell>
          <cell r="G600">
            <v>5374</v>
          </cell>
          <cell r="H600">
            <v>1</v>
          </cell>
        </row>
        <row r="601">
          <cell r="B601">
            <v>5380</v>
          </cell>
          <cell r="C601" t="str">
            <v>Horlacher; Jared Lee</v>
          </cell>
          <cell r="D601" t="str">
            <v>1C</v>
          </cell>
          <cell r="E601" t="str">
            <v>IBEWOUT</v>
          </cell>
          <cell r="F601" t="str">
            <v>77</v>
          </cell>
          <cell r="G601" t="str">
            <v>8</v>
          </cell>
          <cell r="H601">
            <v>0</v>
          </cell>
        </row>
        <row r="602">
          <cell r="B602">
            <v>5446</v>
          </cell>
          <cell r="C602" t="str">
            <v>Hornbeck; Dennis Andrew</v>
          </cell>
          <cell r="D602" t="str">
            <v>1C</v>
          </cell>
          <cell r="E602" t="str">
            <v>IBEWOUT</v>
          </cell>
          <cell r="F602" t="str">
            <v>1245</v>
          </cell>
          <cell r="G602" t="str">
            <v>7</v>
          </cell>
          <cell r="H602">
            <v>0</v>
          </cell>
        </row>
        <row r="603">
          <cell r="B603">
            <v>5449</v>
          </cell>
          <cell r="C603" t="str">
            <v>Hostetler; Travis L</v>
          </cell>
          <cell r="D603" t="str">
            <v>1C</v>
          </cell>
          <cell r="E603" t="str">
            <v>IBEWOUT</v>
          </cell>
          <cell r="F603" t="str">
            <v>126</v>
          </cell>
          <cell r="G603" t="str">
            <v>33</v>
          </cell>
          <cell r="H603">
            <v>0</v>
          </cell>
        </row>
        <row r="604">
          <cell r="B604">
            <v>5456</v>
          </cell>
          <cell r="C604" t="str">
            <v>Houser; Jacob J</v>
          </cell>
          <cell r="D604" t="str">
            <v>1C</v>
          </cell>
          <cell r="E604">
            <v>5456</v>
          </cell>
          <cell r="F604">
            <v>5456</v>
          </cell>
          <cell r="G604">
            <v>5456</v>
          </cell>
          <cell r="H604">
            <v>0</v>
          </cell>
        </row>
        <row r="605">
          <cell r="B605">
            <v>5457</v>
          </cell>
          <cell r="C605" t="str">
            <v>House; Travis S</v>
          </cell>
          <cell r="D605" t="str">
            <v>1C</v>
          </cell>
          <cell r="E605" t="str">
            <v>IBEWOUT</v>
          </cell>
          <cell r="F605" t="str">
            <v>125</v>
          </cell>
          <cell r="G605" t="str">
            <v>13</v>
          </cell>
          <cell r="H605">
            <v>0</v>
          </cell>
        </row>
        <row r="606">
          <cell r="B606">
            <v>5458</v>
          </cell>
          <cell r="C606" t="str">
            <v>House; Christopher M</v>
          </cell>
          <cell r="D606" t="str">
            <v>1C</v>
          </cell>
          <cell r="E606" t="str">
            <v>IBEWOUT</v>
          </cell>
          <cell r="F606" t="str">
            <v>1245</v>
          </cell>
          <cell r="G606" t="str">
            <v>8</v>
          </cell>
          <cell r="H606">
            <v>0</v>
          </cell>
        </row>
        <row r="607">
          <cell r="B607">
            <v>5571</v>
          </cell>
          <cell r="C607" t="str">
            <v>Howard; Edward D</v>
          </cell>
          <cell r="D607" t="str">
            <v>1C</v>
          </cell>
          <cell r="E607" t="str">
            <v>IBEWOUT</v>
          </cell>
          <cell r="F607" t="str">
            <v>126</v>
          </cell>
          <cell r="G607" t="str">
            <v>8</v>
          </cell>
          <cell r="H607">
            <v>0</v>
          </cell>
        </row>
        <row r="608">
          <cell r="B608">
            <v>5572</v>
          </cell>
          <cell r="C608" t="str">
            <v>Howard; Jeramie Wade</v>
          </cell>
          <cell r="D608" t="str">
            <v>1C</v>
          </cell>
          <cell r="E608" t="str">
            <v>IBEWOUT</v>
          </cell>
          <cell r="F608" t="str">
            <v>1245</v>
          </cell>
          <cell r="G608" t="str">
            <v>7</v>
          </cell>
          <cell r="H608">
            <v>0</v>
          </cell>
        </row>
        <row r="609">
          <cell r="B609">
            <v>5580</v>
          </cell>
          <cell r="C609" t="str">
            <v>Howell Jr.; Thomas W.</v>
          </cell>
          <cell r="D609" t="str">
            <v>1</v>
          </cell>
          <cell r="E609" t="str">
            <v>IBEWOUT</v>
          </cell>
          <cell r="F609" t="str">
            <v>769</v>
          </cell>
          <cell r="G609" t="str">
            <v>1</v>
          </cell>
          <cell r="H609">
            <v>0</v>
          </cell>
        </row>
        <row r="610">
          <cell r="B610">
            <v>5620</v>
          </cell>
          <cell r="C610" t="str">
            <v>Hubbard; Jason C.</v>
          </cell>
          <cell r="D610" t="str">
            <v>1C</v>
          </cell>
          <cell r="E610" t="str">
            <v>IBEWOUT</v>
          </cell>
          <cell r="F610" t="str">
            <v>1245</v>
          </cell>
          <cell r="G610" t="str">
            <v>8</v>
          </cell>
          <cell r="H610">
            <v>0</v>
          </cell>
        </row>
        <row r="611">
          <cell r="B611">
            <v>5621</v>
          </cell>
          <cell r="C611" t="str">
            <v>Hubbard; Marcus W</v>
          </cell>
          <cell r="D611" t="str">
            <v>1C</v>
          </cell>
          <cell r="E611" t="str">
            <v>IBEWOUT</v>
          </cell>
          <cell r="F611" t="str">
            <v>47</v>
          </cell>
          <cell r="G611" t="str">
            <v>17</v>
          </cell>
          <cell r="H611">
            <v>0</v>
          </cell>
        </row>
        <row r="612">
          <cell r="B612">
            <v>5625</v>
          </cell>
          <cell r="C612" t="str">
            <v>Hunt; Terry L.</v>
          </cell>
          <cell r="D612" t="str">
            <v>1C</v>
          </cell>
          <cell r="E612" t="str">
            <v>IBEWOUT</v>
          </cell>
          <cell r="F612" t="str">
            <v>47</v>
          </cell>
          <cell r="G612" t="str">
            <v>8</v>
          </cell>
          <cell r="H612">
            <v>0</v>
          </cell>
        </row>
        <row r="613">
          <cell r="B613">
            <v>5630</v>
          </cell>
          <cell r="C613" t="str">
            <v>Huravitch; Duane L.</v>
          </cell>
          <cell r="D613" t="str">
            <v>1C</v>
          </cell>
          <cell r="E613" t="str">
            <v>IBEWOUT</v>
          </cell>
          <cell r="F613" t="str">
            <v>47</v>
          </cell>
          <cell r="G613" t="str">
            <v>8</v>
          </cell>
          <cell r="H613">
            <v>0</v>
          </cell>
        </row>
        <row r="614">
          <cell r="B614">
            <v>5631</v>
          </cell>
          <cell r="C614" t="str">
            <v>Hurst; Christopher T</v>
          </cell>
          <cell r="D614" t="str">
            <v>1C</v>
          </cell>
          <cell r="E614" t="str">
            <v>IBEWOUT</v>
          </cell>
          <cell r="F614" t="str">
            <v>125</v>
          </cell>
          <cell r="G614" t="str">
            <v>14</v>
          </cell>
          <cell r="H614">
            <v>0</v>
          </cell>
        </row>
        <row r="615">
          <cell r="B615">
            <v>5641</v>
          </cell>
          <cell r="C615" t="str">
            <v>Huber; Dwayne D</v>
          </cell>
          <cell r="D615" t="str">
            <v>1</v>
          </cell>
          <cell r="E615" t="str">
            <v>IBEWOUT</v>
          </cell>
          <cell r="F615" t="str">
            <v>769</v>
          </cell>
          <cell r="G615" t="str">
            <v>12</v>
          </cell>
          <cell r="H615">
            <v>0</v>
          </cell>
        </row>
        <row r="616">
          <cell r="B616">
            <v>5643</v>
          </cell>
          <cell r="C616" t="str">
            <v>Humlick; Adam J</v>
          </cell>
          <cell r="D616" t="str">
            <v>1C</v>
          </cell>
          <cell r="E616" t="str">
            <v>IBEWOUT</v>
          </cell>
          <cell r="F616" t="str">
            <v>1245</v>
          </cell>
          <cell r="G616" t="str">
            <v>16</v>
          </cell>
          <cell r="H616">
            <v>0</v>
          </cell>
        </row>
        <row r="617">
          <cell r="B617">
            <v>5644</v>
          </cell>
          <cell r="C617" t="str">
            <v>Huck; Anthony</v>
          </cell>
          <cell r="D617" t="str">
            <v>1C</v>
          </cell>
          <cell r="E617" t="str">
            <v>IBEWOUT</v>
          </cell>
          <cell r="F617" t="str">
            <v>1245</v>
          </cell>
          <cell r="G617" t="str">
            <v>8</v>
          </cell>
          <cell r="H617">
            <v>0</v>
          </cell>
        </row>
        <row r="618">
          <cell r="B618">
            <v>5647</v>
          </cell>
          <cell r="C618" t="str">
            <v>Hubbard; Bryce Keaton</v>
          </cell>
          <cell r="D618" t="str">
            <v>1C</v>
          </cell>
          <cell r="E618" t="str">
            <v>IBEWOUT</v>
          </cell>
          <cell r="F618" t="str">
            <v>769</v>
          </cell>
          <cell r="G618" t="str">
            <v>8</v>
          </cell>
          <cell r="H618">
            <v>0</v>
          </cell>
        </row>
        <row r="619">
          <cell r="B619">
            <v>5655</v>
          </cell>
          <cell r="C619" t="str">
            <v>Hughes; Christopher John</v>
          </cell>
          <cell r="D619" t="str">
            <v>1</v>
          </cell>
          <cell r="E619" t="str">
            <v>IBEWOUT</v>
          </cell>
          <cell r="F619" t="str">
            <v>77</v>
          </cell>
          <cell r="G619" t="str">
            <v>1</v>
          </cell>
          <cell r="H619">
            <v>0</v>
          </cell>
        </row>
        <row r="620">
          <cell r="B620">
            <v>5667</v>
          </cell>
          <cell r="C620" t="str">
            <v>Hudson; Terry Wayne</v>
          </cell>
          <cell r="D620" t="str">
            <v>1C</v>
          </cell>
          <cell r="E620" t="str">
            <v>IBEWOUT</v>
          </cell>
          <cell r="F620" t="str">
            <v>125</v>
          </cell>
          <cell r="G620" t="str">
            <v>16</v>
          </cell>
          <cell r="H620">
            <v>0</v>
          </cell>
        </row>
        <row r="621">
          <cell r="B621">
            <v>5668</v>
          </cell>
          <cell r="C621" t="str">
            <v>Huling; James Everett</v>
          </cell>
          <cell r="D621" t="str">
            <v>1C</v>
          </cell>
          <cell r="E621" t="str">
            <v>IBEWOUT</v>
          </cell>
          <cell r="F621" t="str">
            <v>77</v>
          </cell>
          <cell r="G621" t="str">
            <v>8</v>
          </cell>
          <cell r="H621">
            <v>0</v>
          </cell>
        </row>
        <row r="622">
          <cell r="B622">
            <v>5669</v>
          </cell>
          <cell r="C622" t="str">
            <v>Collette; Hannah E</v>
          </cell>
          <cell r="D622" t="str">
            <v>1</v>
          </cell>
          <cell r="E622">
            <v>5669</v>
          </cell>
          <cell r="F622">
            <v>5669</v>
          </cell>
          <cell r="G622">
            <v>5669</v>
          </cell>
          <cell r="H622">
            <v>0</v>
          </cell>
        </row>
        <row r="623">
          <cell r="B623">
            <v>5673</v>
          </cell>
          <cell r="C623" t="str">
            <v>Hutson; David J</v>
          </cell>
          <cell r="D623" t="str">
            <v>1C</v>
          </cell>
          <cell r="E623" t="str">
            <v>IBEWOUT</v>
          </cell>
          <cell r="F623" t="str">
            <v>77</v>
          </cell>
          <cell r="G623" t="str">
            <v>8</v>
          </cell>
          <cell r="H623">
            <v>0</v>
          </cell>
        </row>
        <row r="624">
          <cell r="B624">
            <v>5677</v>
          </cell>
          <cell r="C624" t="str">
            <v>Hutchens; Joseph Scott</v>
          </cell>
          <cell r="D624" t="str">
            <v>1</v>
          </cell>
          <cell r="E624">
            <v>5677</v>
          </cell>
          <cell r="F624">
            <v>5677</v>
          </cell>
          <cell r="G624">
            <v>5677</v>
          </cell>
          <cell r="H624">
            <v>0</v>
          </cell>
        </row>
        <row r="625">
          <cell r="B625">
            <v>5680</v>
          </cell>
          <cell r="C625" t="str">
            <v>Hughes; Ryan W</v>
          </cell>
          <cell r="D625" t="str">
            <v>1C</v>
          </cell>
          <cell r="E625" t="str">
            <v>IBEWOUT</v>
          </cell>
          <cell r="F625" t="str">
            <v>1245</v>
          </cell>
          <cell r="G625" t="str">
            <v>8</v>
          </cell>
          <cell r="H625">
            <v>0</v>
          </cell>
        </row>
        <row r="626">
          <cell r="B626">
            <v>5688</v>
          </cell>
          <cell r="C626" t="str">
            <v>Iloilo; Adam M</v>
          </cell>
          <cell r="D626" t="str">
            <v>1C</v>
          </cell>
          <cell r="E626" t="str">
            <v>IBEWOUT</v>
          </cell>
          <cell r="F626" t="str">
            <v>1245</v>
          </cell>
          <cell r="G626" t="str">
            <v>12</v>
          </cell>
          <cell r="H626">
            <v>0</v>
          </cell>
        </row>
        <row r="627">
          <cell r="B627">
            <v>5689</v>
          </cell>
          <cell r="C627" t="str">
            <v>Iannone; Emil P</v>
          </cell>
          <cell r="D627" t="str">
            <v>1C</v>
          </cell>
          <cell r="E627" t="str">
            <v>IBEWOUT</v>
          </cell>
          <cell r="F627" t="str">
            <v>1049</v>
          </cell>
          <cell r="G627" t="str">
            <v>15</v>
          </cell>
          <cell r="H627">
            <v>0</v>
          </cell>
        </row>
        <row r="628">
          <cell r="B628">
            <v>5704</v>
          </cell>
          <cell r="C628" t="str">
            <v>Huffstutler; Gregory S</v>
          </cell>
          <cell r="D628" t="str">
            <v>1</v>
          </cell>
          <cell r="E628" t="str">
            <v>IBEWOUT</v>
          </cell>
          <cell r="F628" t="str">
            <v>611</v>
          </cell>
          <cell r="G628" t="str">
            <v>15</v>
          </cell>
          <cell r="H628">
            <v>0</v>
          </cell>
        </row>
        <row r="629">
          <cell r="B629">
            <v>5710</v>
          </cell>
          <cell r="C629" t="str">
            <v>Irzyk; Austin J</v>
          </cell>
          <cell r="D629" t="str">
            <v>1C</v>
          </cell>
          <cell r="E629" t="str">
            <v>IBEWOUT</v>
          </cell>
          <cell r="F629" t="str">
            <v>1245</v>
          </cell>
          <cell r="G629" t="str">
            <v>8</v>
          </cell>
          <cell r="H629">
            <v>0</v>
          </cell>
        </row>
        <row r="630">
          <cell r="B630">
            <v>5712</v>
          </cell>
          <cell r="C630" t="str">
            <v>Istanbouly; Edmond</v>
          </cell>
          <cell r="D630" t="str">
            <v>1C</v>
          </cell>
          <cell r="E630" t="str">
            <v>IBEWOUT</v>
          </cell>
          <cell r="F630" t="str">
            <v>47</v>
          </cell>
          <cell r="G630" t="str">
            <v>60</v>
          </cell>
          <cell r="H630">
            <v>0</v>
          </cell>
        </row>
        <row r="631">
          <cell r="B631">
            <v>5714</v>
          </cell>
          <cell r="C631" t="str">
            <v>Isley; Brennan M</v>
          </cell>
          <cell r="D631" t="str">
            <v>1C</v>
          </cell>
          <cell r="E631" t="str">
            <v>IBEWOUT</v>
          </cell>
          <cell r="F631" t="str">
            <v>77</v>
          </cell>
          <cell r="G631" t="str">
            <v>8</v>
          </cell>
          <cell r="H631">
            <v>0</v>
          </cell>
        </row>
        <row r="632">
          <cell r="B632">
            <v>5721</v>
          </cell>
          <cell r="C632" t="str">
            <v>Ingram; Ryan M</v>
          </cell>
          <cell r="D632" t="str">
            <v>1C</v>
          </cell>
          <cell r="E632" t="str">
            <v>IBEWOUT</v>
          </cell>
          <cell r="F632" t="str">
            <v>1245</v>
          </cell>
          <cell r="G632" t="str">
            <v>8</v>
          </cell>
          <cell r="H632">
            <v>0</v>
          </cell>
        </row>
        <row r="633">
          <cell r="B633">
            <v>5722</v>
          </cell>
          <cell r="C633" t="str">
            <v>Inskeep; Alexander K</v>
          </cell>
          <cell r="D633" t="str">
            <v>1C</v>
          </cell>
          <cell r="E633" t="str">
            <v>IBEWOUT</v>
          </cell>
          <cell r="F633" t="str">
            <v>1245</v>
          </cell>
          <cell r="G633" t="str">
            <v>17</v>
          </cell>
          <cell r="H633">
            <v>0</v>
          </cell>
        </row>
        <row r="634">
          <cell r="B634">
            <v>5725</v>
          </cell>
          <cell r="C634" t="str">
            <v>Jenkins; Chase B</v>
          </cell>
          <cell r="D634" t="str">
            <v>1C</v>
          </cell>
          <cell r="E634" t="str">
            <v>IBEWOUT</v>
          </cell>
          <cell r="F634" t="str">
            <v>1245</v>
          </cell>
          <cell r="G634" t="str">
            <v>11</v>
          </cell>
          <cell r="H634">
            <v>0</v>
          </cell>
        </row>
        <row r="635">
          <cell r="B635">
            <v>5726</v>
          </cell>
          <cell r="C635" t="str">
            <v>Jenkins; Daytri</v>
          </cell>
          <cell r="D635" t="str">
            <v>1C</v>
          </cell>
          <cell r="E635" t="str">
            <v>IBEWOUT</v>
          </cell>
          <cell r="F635" t="str">
            <v>47</v>
          </cell>
          <cell r="G635" t="str">
            <v>8</v>
          </cell>
          <cell r="H635">
            <v>0</v>
          </cell>
        </row>
        <row r="636">
          <cell r="B636">
            <v>5727</v>
          </cell>
          <cell r="C636" t="str">
            <v>Jansen; Jon A.</v>
          </cell>
          <cell r="D636" t="str">
            <v>1C</v>
          </cell>
          <cell r="E636" t="str">
            <v>IBEWOUT</v>
          </cell>
          <cell r="F636" t="str">
            <v>47</v>
          </cell>
          <cell r="G636" t="str">
            <v>8</v>
          </cell>
          <cell r="H636">
            <v>0</v>
          </cell>
        </row>
        <row r="637">
          <cell r="B637">
            <v>5732</v>
          </cell>
          <cell r="C637" t="str">
            <v>Jante; Kevin D</v>
          </cell>
          <cell r="D637" t="str">
            <v>1C</v>
          </cell>
          <cell r="E637" t="str">
            <v>IBEWOUT</v>
          </cell>
          <cell r="F637" t="str">
            <v>160</v>
          </cell>
          <cell r="G637" t="str">
            <v>8</v>
          </cell>
          <cell r="H637">
            <v>0</v>
          </cell>
        </row>
        <row r="638">
          <cell r="B638">
            <v>5733</v>
          </cell>
          <cell r="C638" t="str">
            <v>Jarvis; Grant E</v>
          </cell>
          <cell r="D638" t="str">
            <v>1</v>
          </cell>
          <cell r="E638" t="str">
            <v>IBEWOUT</v>
          </cell>
          <cell r="F638" t="str">
            <v>160</v>
          </cell>
          <cell r="G638" t="str">
            <v>15</v>
          </cell>
          <cell r="H638">
            <v>0</v>
          </cell>
        </row>
        <row r="639">
          <cell r="B639">
            <v>5735</v>
          </cell>
          <cell r="C639" t="str">
            <v>James; Joseph Ryan</v>
          </cell>
          <cell r="D639" t="str">
            <v>1C</v>
          </cell>
          <cell r="E639" t="str">
            <v>IBEWOUT</v>
          </cell>
          <cell r="F639" t="str">
            <v>769</v>
          </cell>
          <cell r="G639" t="str">
            <v>16</v>
          </cell>
          <cell r="H639">
            <v>0</v>
          </cell>
        </row>
        <row r="640">
          <cell r="B640">
            <v>5736</v>
          </cell>
          <cell r="C640" t="str">
            <v>Jacobs; Jason Daniel</v>
          </cell>
          <cell r="D640" t="str">
            <v>1C</v>
          </cell>
          <cell r="E640" t="str">
            <v>IBEWOUT</v>
          </cell>
          <cell r="F640" t="str">
            <v>160</v>
          </cell>
          <cell r="G640" t="str">
            <v>8</v>
          </cell>
          <cell r="H640">
            <v>0</v>
          </cell>
        </row>
        <row r="641">
          <cell r="B641">
            <v>5737</v>
          </cell>
          <cell r="C641" t="str">
            <v>Jacobs; Joseph J</v>
          </cell>
          <cell r="D641" t="str">
            <v>1</v>
          </cell>
          <cell r="E641">
            <v>5737</v>
          </cell>
          <cell r="F641">
            <v>5737</v>
          </cell>
          <cell r="G641">
            <v>5737</v>
          </cell>
          <cell r="H641">
            <v>0</v>
          </cell>
        </row>
        <row r="642">
          <cell r="B642">
            <v>5738</v>
          </cell>
          <cell r="C642" t="str">
            <v>Jacobson; Nicholas A</v>
          </cell>
          <cell r="D642" t="str">
            <v>1C</v>
          </cell>
          <cell r="E642" t="str">
            <v>IBEWOUT</v>
          </cell>
          <cell r="F642" t="str">
            <v>602R</v>
          </cell>
          <cell r="G642" t="str">
            <v>14T</v>
          </cell>
          <cell r="H642">
            <v>0</v>
          </cell>
        </row>
        <row r="643">
          <cell r="B643">
            <v>5739</v>
          </cell>
          <cell r="C643" t="str">
            <v>Jacobs; William D</v>
          </cell>
          <cell r="D643" t="str">
            <v>1</v>
          </cell>
          <cell r="E643" t="str">
            <v>IBEWOUT</v>
          </cell>
          <cell r="F643" t="str">
            <v>1245</v>
          </cell>
          <cell r="G643" t="str">
            <v>8</v>
          </cell>
          <cell r="H643">
            <v>0</v>
          </cell>
        </row>
        <row r="644">
          <cell r="B644">
            <v>5742</v>
          </cell>
          <cell r="C644" t="str">
            <v>Jackson; Joseph W</v>
          </cell>
          <cell r="D644" t="str">
            <v>1C</v>
          </cell>
          <cell r="E644" t="str">
            <v>IBEWOUT</v>
          </cell>
          <cell r="F644" t="str">
            <v>1245</v>
          </cell>
          <cell r="G644" t="str">
            <v>8</v>
          </cell>
          <cell r="H644">
            <v>0</v>
          </cell>
        </row>
        <row r="645">
          <cell r="B645">
            <v>5743</v>
          </cell>
          <cell r="C645" t="str">
            <v>Jameson; Thomas A.</v>
          </cell>
          <cell r="D645" t="str">
            <v>1</v>
          </cell>
          <cell r="E645" t="str">
            <v>IBEWOUT</v>
          </cell>
          <cell r="F645" t="str">
            <v>611</v>
          </cell>
          <cell r="G645" t="str">
            <v>7</v>
          </cell>
          <cell r="H645">
            <v>0</v>
          </cell>
        </row>
        <row r="646">
          <cell r="B646">
            <v>5755</v>
          </cell>
          <cell r="C646" t="str">
            <v>Jedrzejewski; Benjamin</v>
          </cell>
          <cell r="D646" t="str">
            <v>1C</v>
          </cell>
          <cell r="E646">
            <v>5755</v>
          </cell>
          <cell r="F646">
            <v>5755</v>
          </cell>
          <cell r="G646">
            <v>5755</v>
          </cell>
          <cell r="H646">
            <v>0</v>
          </cell>
        </row>
        <row r="647">
          <cell r="B647">
            <v>5770</v>
          </cell>
          <cell r="C647" t="str">
            <v>Jewell; Michael W.</v>
          </cell>
          <cell r="D647" t="str">
            <v>1C</v>
          </cell>
          <cell r="E647" t="str">
            <v>IBEWOUT</v>
          </cell>
          <cell r="F647" t="str">
            <v>1245</v>
          </cell>
          <cell r="G647" t="str">
            <v>60</v>
          </cell>
          <cell r="H647">
            <v>0</v>
          </cell>
        </row>
        <row r="648">
          <cell r="B648">
            <v>5772</v>
          </cell>
          <cell r="C648" t="str">
            <v>Jennings; Colton Z</v>
          </cell>
          <cell r="D648" t="str">
            <v>1C</v>
          </cell>
          <cell r="E648">
            <v>5772</v>
          </cell>
          <cell r="F648">
            <v>5772</v>
          </cell>
          <cell r="G648">
            <v>5772</v>
          </cell>
          <cell r="H648">
            <v>0</v>
          </cell>
        </row>
        <row r="649">
          <cell r="B649">
            <v>5773</v>
          </cell>
          <cell r="C649" t="str">
            <v>Jernigan; Raymond C</v>
          </cell>
          <cell r="D649" t="str">
            <v>1C</v>
          </cell>
          <cell r="E649">
            <v>5773</v>
          </cell>
          <cell r="F649">
            <v>5773</v>
          </cell>
          <cell r="G649">
            <v>5773</v>
          </cell>
          <cell r="H649">
            <v>0</v>
          </cell>
        </row>
        <row r="650">
          <cell r="B650">
            <v>5775</v>
          </cell>
          <cell r="C650" t="str">
            <v>Jinks;  Joseph D</v>
          </cell>
          <cell r="D650" t="str">
            <v>1</v>
          </cell>
          <cell r="E650" t="str">
            <v>IBEWOUT</v>
          </cell>
          <cell r="F650" t="str">
            <v>769</v>
          </cell>
          <cell r="G650" t="str">
            <v>16</v>
          </cell>
          <cell r="H650">
            <v>0</v>
          </cell>
        </row>
        <row r="651">
          <cell r="B651">
            <v>5776</v>
          </cell>
          <cell r="C651" t="str">
            <v>Jensen; Derek E</v>
          </cell>
          <cell r="D651" t="str">
            <v>1</v>
          </cell>
          <cell r="E651">
            <v>5776</v>
          </cell>
          <cell r="F651">
            <v>5776</v>
          </cell>
          <cell r="G651">
            <v>5776</v>
          </cell>
          <cell r="H651">
            <v>1</v>
          </cell>
        </row>
        <row r="652">
          <cell r="B652">
            <v>5813</v>
          </cell>
          <cell r="C652" t="str">
            <v>Johnson; Jay M</v>
          </cell>
          <cell r="D652" t="str">
            <v>1C</v>
          </cell>
          <cell r="E652" t="str">
            <v>IBEWOUT</v>
          </cell>
          <cell r="F652" t="str">
            <v>77</v>
          </cell>
          <cell r="G652" t="str">
            <v>17</v>
          </cell>
          <cell r="H652">
            <v>0</v>
          </cell>
        </row>
        <row r="653">
          <cell r="B653">
            <v>5814</v>
          </cell>
          <cell r="C653" t="str">
            <v>Johnson; Caleb T</v>
          </cell>
          <cell r="D653" t="str">
            <v>1C</v>
          </cell>
          <cell r="E653" t="str">
            <v>IBEWOUT</v>
          </cell>
          <cell r="F653" t="str">
            <v>47</v>
          </cell>
          <cell r="G653" t="str">
            <v>17</v>
          </cell>
          <cell r="H653">
            <v>0</v>
          </cell>
        </row>
        <row r="654">
          <cell r="B654">
            <v>5815</v>
          </cell>
          <cell r="C654" t="str">
            <v>Johnson; Robert V</v>
          </cell>
          <cell r="D654" t="str">
            <v>1C</v>
          </cell>
          <cell r="E654" t="str">
            <v>IBEWOUT</v>
          </cell>
          <cell r="F654" t="str">
            <v>769</v>
          </cell>
          <cell r="G654" t="str">
            <v>11</v>
          </cell>
          <cell r="H654">
            <v>0</v>
          </cell>
        </row>
        <row r="655">
          <cell r="B655">
            <v>5816</v>
          </cell>
          <cell r="C655" t="str">
            <v>Johnson; Jacob RL</v>
          </cell>
          <cell r="D655" t="str">
            <v>1</v>
          </cell>
          <cell r="E655" t="str">
            <v>IBEWOUT</v>
          </cell>
          <cell r="F655" t="str">
            <v>160</v>
          </cell>
          <cell r="G655" t="str">
            <v>33</v>
          </cell>
          <cell r="H655">
            <v>0</v>
          </cell>
        </row>
        <row r="656">
          <cell r="B656">
            <v>5818</v>
          </cell>
          <cell r="C656" t="str">
            <v>Jones; Theodore Nicklas</v>
          </cell>
          <cell r="D656" t="str">
            <v>1C</v>
          </cell>
          <cell r="E656" t="str">
            <v>IBEWOUT</v>
          </cell>
          <cell r="F656" t="str">
            <v>611</v>
          </cell>
          <cell r="G656" t="str">
            <v>8</v>
          </cell>
          <cell r="H656">
            <v>0</v>
          </cell>
        </row>
        <row r="657">
          <cell r="B657">
            <v>5822</v>
          </cell>
          <cell r="C657" t="str">
            <v>Johnson; Brian Edmund</v>
          </cell>
          <cell r="D657" t="str">
            <v>1</v>
          </cell>
          <cell r="E657" t="str">
            <v>IBEWOUT</v>
          </cell>
          <cell r="F657" t="str">
            <v>1245</v>
          </cell>
          <cell r="G657" t="str">
            <v>7</v>
          </cell>
          <cell r="H657">
            <v>0</v>
          </cell>
        </row>
        <row r="658">
          <cell r="B658">
            <v>5823</v>
          </cell>
          <cell r="C658" t="str">
            <v>Johnson; Cameron R</v>
          </cell>
          <cell r="D658" t="str">
            <v>1C</v>
          </cell>
          <cell r="E658" t="str">
            <v>IBEWOUT</v>
          </cell>
          <cell r="F658" t="str">
            <v>602R</v>
          </cell>
          <cell r="G658" t="str">
            <v>8</v>
          </cell>
          <cell r="H658">
            <v>0</v>
          </cell>
        </row>
        <row r="659">
          <cell r="B659">
            <v>5825</v>
          </cell>
          <cell r="C659" t="str">
            <v>Johnson; Dean R</v>
          </cell>
          <cell r="D659" t="str">
            <v>1C</v>
          </cell>
          <cell r="E659" t="str">
            <v>IBEWOUT</v>
          </cell>
          <cell r="F659" t="str">
            <v>47</v>
          </cell>
          <cell r="G659" t="str">
            <v>7</v>
          </cell>
          <cell r="H659">
            <v>0</v>
          </cell>
        </row>
        <row r="660">
          <cell r="B660">
            <v>5826</v>
          </cell>
          <cell r="C660" t="str">
            <v>Johnson; Brett A.</v>
          </cell>
          <cell r="D660" t="str">
            <v>1C</v>
          </cell>
          <cell r="E660" t="str">
            <v>IBEWOUT</v>
          </cell>
          <cell r="F660" t="str">
            <v>125</v>
          </cell>
          <cell r="G660" t="str">
            <v>8</v>
          </cell>
          <cell r="H660">
            <v>0</v>
          </cell>
        </row>
        <row r="661">
          <cell r="B661">
            <v>5833</v>
          </cell>
          <cell r="C661" t="str">
            <v>Johnson; Jon Wayne</v>
          </cell>
          <cell r="D661" t="str">
            <v>1C</v>
          </cell>
          <cell r="E661" t="str">
            <v>IBEWOUT</v>
          </cell>
          <cell r="F661" t="str">
            <v>160</v>
          </cell>
          <cell r="G661" t="str">
            <v>1</v>
          </cell>
          <cell r="H661">
            <v>0</v>
          </cell>
        </row>
        <row r="662">
          <cell r="B662">
            <v>5834</v>
          </cell>
          <cell r="C662" t="str">
            <v>Johnson; Justin R</v>
          </cell>
          <cell r="D662" t="str">
            <v>1C</v>
          </cell>
          <cell r="E662" t="str">
            <v>IBEWOUT</v>
          </cell>
          <cell r="F662" t="str">
            <v>47</v>
          </cell>
          <cell r="G662" t="str">
            <v>8</v>
          </cell>
          <cell r="H662">
            <v>0</v>
          </cell>
        </row>
        <row r="663">
          <cell r="B663">
            <v>5835</v>
          </cell>
          <cell r="C663" t="str">
            <v>Johnson; Joseph A</v>
          </cell>
          <cell r="D663" t="str">
            <v>1C</v>
          </cell>
          <cell r="E663" t="str">
            <v>IBEWOUT</v>
          </cell>
          <cell r="F663" t="str">
            <v>47</v>
          </cell>
          <cell r="G663" t="str">
            <v>7</v>
          </cell>
          <cell r="H663">
            <v>0</v>
          </cell>
        </row>
        <row r="664">
          <cell r="B664">
            <v>5839</v>
          </cell>
          <cell r="C664" t="str">
            <v>Jochimsen; Logan A</v>
          </cell>
          <cell r="D664" t="str">
            <v>1</v>
          </cell>
          <cell r="E664" t="str">
            <v>IBEWOUT</v>
          </cell>
          <cell r="F664" t="str">
            <v>160</v>
          </cell>
          <cell r="G664" t="str">
            <v>11</v>
          </cell>
          <cell r="H664">
            <v>0</v>
          </cell>
        </row>
        <row r="665">
          <cell r="B665">
            <v>5840</v>
          </cell>
          <cell r="C665" t="str">
            <v>Johnson; Thomas D.</v>
          </cell>
          <cell r="D665" t="str">
            <v>1C</v>
          </cell>
          <cell r="E665" t="str">
            <v>IBEWOUT</v>
          </cell>
          <cell r="F665" t="str">
            <v>47</v>
          </cell>
          <cell r="G665" t="str">
            <v>8</v>
          </cell>
          <cell r="H665">
            <v>0</v>
          </cell>
        </row>
        <row r="666">
          <cell r="B666">
            <v>5843</v>
          </cell>
          <cell r="C666" t="str">
            <v>Jimenez; Dean R</v>
          </cell>
          <cell r="D666" t="str">
            <v>1C</v>
          </cell>
          <cell r="E666" t="str">
            <v>IBEWOUT</v>
          </cell>
          <cell r="F666" t="str">
            <v>769</v>
          </cell>
          <cell r="G666" t="str">
            <v>17</v>
          </cell>
          <cell r="H666">
            <v>0</v>
          </cell>
        </row>
        <row r="667">
          <cell r="B667">
            <v>5844</v>
          </cell>
          <cell r="C667" t="str">
            <v>Johnson; Cliff Daniel</v>
          </cell>
          <cell r="D667" t="str">
            <v>1C</v>
          </cell>
          <cell r="E667" t="str">
            <v>IBEWOUT</v>
          </cell>
          <cell r="F667" t="str">
            <v>77</v>
          </cell>
          <cell r="G667" t="str">
            <v>7</v>
          </cell>
          <cell r="H667">
            <v>0</v>
          </cell>
        </row>
        <row r="668">
          <cell r="B668">
            <v>5846</v>
          </cell>
          <cell r="C668" t="str">
            <v>Jauregui; Jaime</v>
          </cell>
          <cell r="D668" t="str">
            <v>1</v>
          </cell>
          <cell r="E668">
            <v>5846</v>
          </cell>
          <cell r="F668">
            <v>5846</v>
          </cell>
          <cell r="G668">
            <v>5846</v>
          </cell>
          <cell r="H668">
            <v>1</v>
          </cell>
        </row>
        <row r="669">
          <cell r="B669">
            <v>5847</v>
          </cell>
          <cell r="C669" t="str">
            <v>Jones; Hunter D</v>
          </cell>
          <cell r="D669" t="str">
            <v>1C</v>
          </cell>
          <cell r="E669" t="str">
            <v>IBEWOUT</v>
          </cell>
          <cell r="F669" t="str">
            <v>1245</v>
          </cell>
          <cell r="G669" t="str">
            <v>8</v>
          </cell>
          <cell r="H669">
            <v>0</v>
          </cell>
        </row>
        <row r="670">
          <cell r="B670">
            <v>5849</v>
          </cell>
          <cell r="C670" t="str">
            <v>Jones; Carol Lou</v>
          </cell>
          <cell r="D670" t="str">
            <v>1C</v>
          </cell>
          <cell r="E670" t="str">
            <v>IBEWOUT</v>
          </cell>
          <cell r="F670" t="str">
            <v>47</v>
          </cell>
          <cell r="G670" t="str">
            <v>17</v>
          </cell>
          <cell r="H670">
            <v>0</v>
          </cell>
        </row>
        <row r="671">
          <cell r="B671">
            <v>5850</v>
          </cell>
          <cell r="C671" t="str">
            <v>Jones; Michael M</v>
          </cell>
          <cell r="D671" t="str">
            <v>1C</v>
          </cell>
          <cell r="E671" t="str">
            <v>IBEWOUT</v>
          </cell>
          <cell r="F671" t="str">
            <v>1245</v>
          </cell>
          <cell r="G671" t="str">
            <v>12</v>
          </cell>
          <cell r="H671">
            <v>0</v>
          </cell>
        </row>
        <row r="672">
          <cell r="B672">
            <v>5856</v>
          </cell>
          <cell r="C672" t="str">
            <v>Jones; Jered P</v>
          </cell>
          <cell r="D672" t="str">
            <v>1C</v>
          </cell>
          <cell r="E672">
            <v>5856</v>
          </cell>
          <cell r="F672">
            <v>5856</v>
          </cell>
          <cell r="G672">
            <v>5856</v>
          </cell>
          <cell r="H672">
            <v>1</v>
          </cell>
        </row>
        <row r="673">
          <cell r="B673">
            <v>5861</v>
          </cell>
          <cell r="C673" t="str">
            <v>Jimenez II; Samuel E.</v>
          </cell>
          <cell r="D673" t="str">
            <v>1</v>
          </cell>
          <cell r="E673" t="str">
            <v>IBEWOUT</v>
          </cell>
          <cell r="F673" t="str">
            <v>769</v>
          </cell>
          <cell r="G673" t="str">
            <v>15</v>
          </cell>
          <cell r="H673">
            <v>0</v>
          </cell>
        </row>
        <row r="674">
          <cell r="B674">
            <v>5862</v>
          </cell>
          <cell r="C674" t="str">
            <v>Johnson; Taylor S.</v>
          </cell>
          <cell r="D674" t="str">
            <v>1C</v>
          </cell>
          <cell r="E674" t="str">
            <v>IBEWOUT</v>
          </cell>
          <cell r="F674" t="str">
            <v>77</v>
          </cell>
          <cell r="G674" t="str">
            <v>17</v>
          </cell>
          <cell r="H674">
            <v>0</v>
          </cell>
        </row>
        <row r="675">
          <cell r="B675">
            <v>5863</v>
          </cell>
          <cell r="C675" t="str">
            <v>Jimenez; Salvador</v>
          </cell>
          <cell r="D675" t="str">
            <v>1C</v>
          </cell>
          <cell r="E675" t="str">
            <v>IBEWOUT</v>
          </cell>
          <cell r="F675" t="str">
            <v>769</v>
          </cell>
          <cell r="G675" t="str">
            <v>13</v>
          </cell>
          <cell r="H675">
            <v>0</v>
          </cell>
        </row>
        <row r="676">
          <cell r="B676">
            <v>5864</v>
          </cell>
          <cell r="C676" t="str">
            <v>Johnson; Nicholas J</v>
          </cell>
          <cell r="D676" t="str">
            <v>1C</v>
          </cell>
          <cell r="E676" t="str">
            <v>IBEWOUT</v>
          </cell>
          <cell r="F676" t="str">
            <v>77</v>
          </cell>
          <cell r="G676" t="str">
            <v>8</v>
          </cell>
          <cell r="H676">
            <v>0</v>
          </cell>
        </row>
        <row r="677">
          <cell r="B677">
            <v>5865</v>
          </cell>
          <cell r="C677" t="str">
            <v>Johnson; Edward J</v>
          </cell>
          <cell r="D677" t="str">
            <v>1C</v>
          </cell>
          <cell r="E677" t="str">
            <v>IBEWOUT</v>
          </cell>
          <cell r="F677" t="str">
            <v>769</v>
          </cell>
          <cell r="G677" t="str">
            <v>16</v>
          </cell>
          <cell r="H677">
            <v>0</v>
          </cell>
        </row>
        <row r="678">
          <cell r="B678">
            <v>5866</v>
          </cell>
          <cell r="C678" t="str">
            <v>Johnson; Earl</v>
          </cell>
          <cell r="D678" t="str">
            <v>1C</v>
          </cell>
          <cell r="E678" t="str">
            <v>IBEWOUT</v>
          </cell>
          <cell r="F678" t="str">
            <v>769</v>
          </cell>
          <cell r="G678" t="str">
            <v>8</v>
          </cell>
          <cell r="H678">
            <v>0</v>
          </cell>
        </row>
        <row r="679">
          <cell r="B679">
            <v>5867</v>
          </cell>
          <cell r="C679" t="str">
            <v>Johnson; Patrick K</v>
          </cell>
          <cell r="D679" t="str">
            <v>1</v>
          </cell>
          <cell r="E679" t="str">
            <v>IBEWOUT</v>
          </cell>
          <cell r="F679" t="str">
            <v>160</v>
          </cell>
          <cell r="G679" t="str">
            <v>7</v>
          </cell>
          <cell r="H679">
            <v>0</v>
          </cell>
        </row>
        <row r="680">
          <cell r="B680">
            <v>5868</v>
          </cell>
          <cell r="C680" t="str">
            <v>Johnson; Hunter A</v>
          </cell>
          <cell r="D680" t="str">
            <v>1C</v>
          </cell>
          <cell r="E680">
            <v>5868</v>
          </cell>
          <cell r="F680">
            <v>5868</v>
          </cell>
          <cell r="G680">
            <v>5868</v>
          </cell>
          <cell r="H680">
            <v>0</v>
          </cell>
        </row>
        <row r="681">
          <cell r="B681">
            <v>5870</v>
          </cell>
          <cell r="C681" t="str">
            <v>Johnson; Heath E.</v>
          </cell>
          <cell r="D681" t="str">
            <v>1C</v>
          </cell>
          <cell r="E681" t="str">
            <v>IBEWOUT</v>
          </cell>
          <cell r="F681" t="str">
            <v>769</v>
          </cell>
          <cell r="G681" t="str">
            <v>12</v>
          </cell>
          <cell r="H681">
            <v>0</v>
          </cell>
        </row>
        <row r="682">
          <cell r="B682">
            <v>5876</v>
          </cell>
          <cell r="C682" t="str">
            <v>Johnston; Bryan T.</v>
          </cell>
          <cell r="D682" t="str">
            <v>1C</v>
          </cell>
          <cell r="E682" t="str">
            <v>IBEWOUT</v>
          </cell>
          <cell r="F682" t="str">
            <v>602R</v>
          </cell>
          <cell r="G682" t="str">
            <v>8</v>
          </cell>
          <cell r="H682">
            <v>0</v>
          </cell>
        </row>
        <row r="683">
          <cell r="B683">
            <v>5905</v>
          </cell>
          <cell r="C683" t="str">
            <v>Jones; Kenneth A.</v>
          </cell>
          <cell r="D683" t="str">
            <v>1C</v>
          </cell>
          <cell r="E683">
            <v>5905</v>
          </cell>
          <cell r="F683">
            <v>5905</v>
          </cell>
          <cell r="G683">
            <v>5905</v>
          </cell>
          <cell r="H683">
            <v>1</v>
          </cell>
        </row>
        <row r="684">
          <cell r="B684">
            <v>5910</v>
          </cell>
          <cell r="C684" t="str">
            <v>Jones; James</v>
          </cell>
          <cell r="D684" t="str">
            <v>1C</v>
          </cell>
          <cell r="E684" t="str">
            <v>IBEWOUT</v>
          </cell>
          <cell r="F684" t="str">
            <v>396</v>
          </cell>
          <cell r="G684" t="str">
            <v>21</v>
          </cell>
          <cell r="H684">
            <v>0</v>
          </cell>
        </row>
        <row r="685">
          <cell r="B685">
            <v>5920</v>
          </cell>
          <cell r="C685" t="str">
            <v>Justice; Kaleb K.</v>
          </cell>
          <cell r="D685" t="str">
            <v>1C</v>
          </cell>
          <cell r="E685" t="str">
            <v>IBEWOUT</v>
          </cell>
          <cell r="F685" t="str">
            <v>1245</v>
          </cell>
          <cell r="G685" t="str">
            <v>8</v>
          </cell>
          <cell r="H685">
            <v>0</v>
          </cell>
        </row>
        <row r="686">
          <cell r="B686">
            <v>5924</v>
          </cell>
          <cell r="C686" t="str">
            <v>Jonte; Kleet K</v>
          </cell>
          <cell r="D686" t="str">
            <v>1C</v>
          </cell>
          <cell r="E686" t="str">
            <v>IBEWOUT</v>
          </cell>
          <cell r="F686" t="str">
            <v>1245</v>
          </cell>
          <cell r="G686" t="str">
            <v>8</v>
          </cell>
          <cell r="H686">
            <v>0</v>
          </cell>
        </row>
        <row r="687">
          <cell r="B687">
            <v>5925</v>
          </cell>
          <cell r="C687" t="str">
            <v>Joy; Shane S</v>
          </cell>
          <cell r="D687" t="str">
            <v>1C</v>
          </cell>
          <cell r="E687" t="str">
            <v>IBEWOUT</v>
          </cell>
          <cell r="F687" t="str">
            <v>125</v>
          </cell>
          <cell r="G687" t="str">
            <v>17</v>
          </cell>
          <cell r="H687">
            <v>0</v>
          </cell>
        </row>
        <row r="688">
          <cell r="B688">
            <v>5928</v>
          </cell>
          <cell r="C688" t="str">
            <v>Jones; Acil B.</v>
          </cell>
          <cell r="D688" t="str">
            <v>1C</v>
          </cell>
          <cell r="E688" t="str">
            <v>IBEWOUT</v>
          </cell>
          <cell r="F688" t="str">
            <v>769</v>
          </cell>
          <cell r="G688" t="str">
            <v>8</v>
          </cell>
          <cell r="H688">
            <v>0</v>
          </cell>
        </row>
        <row r="689">
          <cell r="B689">
            <v>5929</v>
          </cell>
          <cell r="C689" t="str">
            <v>Judd; Brian R.</v>
          </cell>
          <cell r="D689" t="str">
            <v>1C</v>
          </cell>
          <cell r="E689" t="str">
            <v>IBEWOUT</v>
          </cell>
          <cell r="F689" t="str">
            <v>1245</v>
          </cell>
          <cell r="G689" t="str">
            <v>8</v>
          </cell>
          <cell r="H689">
            <v>0</v>
          </cell>
        </row>
        <row r="690">
          <cell r="B690">
            <v>5930</v>
          </cell>
          <cell r="C690" t="str">
            <v>Joshi; Ajay B</v>
          </cell>
          <cell r="D690" t="str">
            <v>1</v>
          </cell>
          <cell r="E690">
            <v>5930</v>
          </cell>
          <cell r="F690">
            <v>5930</v>
          </cell>
          <cell r="G690">
            <v>5930</v>
          </cell>
          <cell r="H690">
            <v>0</v>
          </cell>
        </row>
        <row r="691">
          <cell r="B691">
            <v>5931</v>
          </cell>
          <cell r="C691" t="str">
            <v>Juarez; Carlos G.</v>
          </cell>
          <cell r="D691" t="str">
            <v>1C</v>
          </cell>
          <cell r="E691" t="str">
            <v>IBEWOUT</v>
          </cell>
          <cell r="F691" t="str">
            <v>1245</v>
          </cell>
          <cell r="G691" t="str">
            <v>17</v>
          </cell>
          <cell r="H691">
            <v>0</v>
          </cell>
        </row>
        <row r="692">
          <cell r="B692">
            <v>5932</v>
          </cell>
          <cell r="C692" t="str">
            <v>Juarez Duran; Angelo De</v>
          </cell>
          <cell r="D692" t="str">
            <v>1</v>
          </cell>
          <cell r="E692">
            <v>5932</v>
          </cell>
          <cell r="F692">
            <v>5932</v>
          </cell>
          <cell r="G692">
            <v>5932</v>
          </cell>
          <cell r="H692">
            <v>0</v>
          </cell>
        </row>
        <row r="693">
          <cell r="B693">
            <v>5934</v>
          </cell>
          <cell r="C693" t="str">
            <v>Juenke; David P</v>
          </cell>
          <cell r="D693" t="str">
            <v>1C</v>
          </cell>
          <cell r="E693" t="str">
            <v>IBEWOUT</v>
          </cell>
          <cell r="F693" t="str">
            <v>1245</v>
          </cell>
          <cell r="G693" t="str">
            <v>8</v>
          </cell>
          <cell r="H693">
            <v>0</v>
          </cell>
        </row>
        <row r="694">
          <cell r="B694">
            <v>5935</v>
          </cell>
          <cell r="C694" t="str">
            <v>Jordan; Nicholas J</v>
          </cell>
          <cell r="D694" t="str">
            <v>1C</v>
          </cell>
          <cell r="E694" t="str">
            <v>IBEWOUT</v>
          </cell>
          <cell r="F694" t="str">
            <v>77</v>
          </cell>
          <cell r="G694" t="str">
            <v>8</v>
          </cell>
          <cell r="H694">
            <v>0</v>
          </cell>
        </row>
        <row r="695">
          <cell r="B695">
            <v>5937</v>
          </cell>
          <cell r="C695" t="str">
            <v>Justice; Luke</v>
          </cell>
          <cell r="D695" t="str">
            <v>1C</v>
          </cell>
          <cell r="E695" t="str">
            <v>IBEWOUT</v>
          </cell>
          <cell r="F695" t="str">
            <v>1245</v>
          </cell>
          <cell r="G695" t="str">
            <v>8</v>
          </cell>
          <cell r="H695">
            <v>0</v>
          </cell>
        </row>
        <row r="696">
          <cell r="B696">
            <v>5938</v>
          </cell>
          <cell r="C696" t="str">
            <v>Justus; Daniel J</v>
          </cell>
          <cell r="D696" t="str">
            <v>1C</v>
          </cell>
          <cell r="E696" t="str">
            <v>IBEWOUT</v>
          </cell>
          <cell r="F696" t="str">
            <v>1245</v>
          </cell>
          <cell r="G696" t="str">
            <v>8</v>
          </cell>
          <cell r="H696">
            <v>0</v>
          </cell>
        </row>
        <row r="697">
          <cell r="B697">
            <v>5942</v>
          </cell>
          <cell r="C697" t="str">
            <v>Johnson; Adam L.</v>
          </cell>
          <cell r="D697" t="str">
            <v>1C</v>
          </cell>
          <cell r="E697" t="str">
            <v>IBEWOUT</v>
          </cell>
          <cell r="F697" t="str">
            <v>1245</v>
          </cell>
          <cell r="G697" t="str">
            <v>8</v>
          </cell>
          <cell r="H697">
            <v>0</v>
          </cell>
        </row>
        <row r="698">
          <cell r="B698">
            <v>5943</v>
          </cell>
          <cell r="C698" t="str">
            <v>Johnston; Bryan A</v>
          </cell>
          <cell r="D698" t="str">
            <v>1C</v>
          </cell>
          <cell r="E698" t="str">
            <v>IBEWOUT</v>
          </cell>
          <cell r="F698" t="str">
            <v>602R</v>
          </cell>
          <cell r="G698" t="str">
            <v>16</v>
          </cell>
          <cell r="H698">
            <v>0</v>
          </cell>
        </row>
        <row r="699">
          <cell r="B699">
            <v>5945</v>
          </cell>
          <cell r="C699" t="str">
            <v>Johnson; Aaron R.</v>
          </cell>
          <cell r="D699" t="str">
            <v>1C</v>
          </cell>
          <cell r="E699" t="str">
            <v>IBEWOUT</v>
          </cell>
          <cell r="F699" t="str">
            <v>611</v>
          </cell>
          <cell r="G699" t="str">
            <v>8</v>
          </cell>
          <cell r="H699">
            <v>0</v>
          </cell>
        </row>
        <row r="700">
          <cell r="B700">
            <v>5946</v>
          </cell>
          <cell r="C700" t="str">
            <v>Kalinoski; Jeffrey A</v>
          </cell>
          <cell r="D700" t="str">
            <v>1</v>
          </cell>
          <cell r="E700" t="str">
            <v>IBEWOUT</v>
          </cell>
          <cell r="F700" t="str">
            <v>1245</v>
          </cell>
          <cell r="G700" t="str">
            <v>7</v>
          </cell>
          <cell r="H700">
            <v>0</v>
          </cell>
        </row>
        <row r="701">
          <cell r="B701">
            <v>5948</v>
          </cell>
          <cell r="C701" t="str">
            <v>Kaestner; Cole R</v>
          </cell>
          <cell r="D701" t="str">
            <v>1</v>
          </cell>
          <cell r="E701" t="str">
            <v>IBEWOUT</v>
          </cell>
          <cell r="F701" t="str">
            <v>77</v>
          </cell>
          <cell r="G701" t="str">
            <v>8</v>
          </cell>
          <cell r="H701">
            <v>0</v>
          </cell>
        </row>
        <row r="702">
          <cell r="B702">
            <v>5950</v>
          </cell>
          <cell r="C702" t="str">
            <v>Kasuse; Victor</v>
          </cell>
          <cell r="D702" t="str">
            <v>1</v>
          </cell>
          <cell r="E702" t="str">
            <v>IBEWOUT</v>
          </cell>
          <cell r="F702" t="str">
            <v>611</v>
          </cell>
          <cell r="G702" t="str">
            <v>7</v>
          </cell>
          <cell r="H702">
            <v>0</v>
          </cell>
        </row>
        <row r="703">
          <cell r="B703">
            <v>5951</v>
          </cell>
          <cell r="C703" t="str">
            <v>Kent; Adam J.</v>
          </cell>
          <cell r="D703" t="str">
            <v>1C</v>
          </cell>
          <cell r="E703" t="str">
            <v>IBEWOUT</v>
          </cell>
          <cell r="F703" t="str">
            <v>125</v>
          </cell>
          <cell r="G703" t="str">
            <v>8</v>
          </cell>
          <cell r="H703">
            <v>0</v>
          </cell>
        </row>
        <row r="704">
          <cell r="B704">
            <v>5954</v>
          </cell>
          <cell r="C704" t="str">
            <v>Kash; Korey C.</v>
          </cell>
          <cell r="D704" t="str">
            <v>1C</v>
          </cell>
          <cell r="E704" t="str">
            <v>IBEWOUT</v>
          </cell>
          <cell r="F704" t="str">
            <v>769</v>
          </cell>
          <cell r="G704" t="str">
            <v>20</v>
          </cell>
          <cell r="H704">
            <v>0</v>
          </cell>
        </row>
        <row r="705">
          <cell r="B705">
            <v>5955</v>
          </cell>
          <cell r="C705" t="str">
            <v>Katzer; Brandon P</v>
          </cell>
          <cell r="D705" t="str">
            <v>1C</v>
          </cell>
          <cell r="E705" t="str">
            <v>IBEWOUT</v>
          </cell>
          <cell r="F705" t="str">
            <v>77</v>
          </cell>
          <cell r="G705" t="str">
            <v>8</v>
          </cell>
          <cell r="H705">
            <v>0</v>
          </cell>
        </row>
        <row r="706">
          <cell r="B706">
            <v>5957</v>
          </cell>
          <cell r="C706" t="str">
            <v>Kane; Rick A</v>
          </cell>
          <cell r="D706" t="str">
            <v>1C</v>
          </cell>
          <cell r="E706" t="str">
            <v>IBEWOUT</v>
          </cell>
          <cell r="F706" t="str">
            <v>1245</v>
          </cell>
          <cell r="G706" t="str">
            <v>8</v>
          </cell>
          <cell r="H706">
            <v>0</v>
          </cell>
        </row>
        <row r="707">
          <cell r="B707">
            <v>5958</v>
          </cell>
          <cell r="C707" t="str">
            <v>Kamrar; William D</v>
          </cell>
          <cell r="D707" t="str">
            <v>1C</v>
          </cell>
          <cell r="E707" t="str">
            <v>IBEWOUT</v>
          </cell>
          <cell r="F707" t="str">
            <v>769</v>
          </cell>
          <cell r="G707" t="str">
            <v>7</v>
          </cell>
          <cell r="H707">
            <v>0</v>
          </cell>
        </row>
        <row r="708">
          <cell r="B708">
            <v>5959</v>
          </cell>
          <cell r="C708" t="str">
            <v>Kautzman; Eugene Joseph</v>
          </cell>
          <cell r="D708" t="str">
            <v>1C</v>
          </cell>
          <cell r="E708">
            <v>5959</v>
          </cell>
          <cell r="F708">
            <v>5959</v>
          </cell>
          <cell r="G708">
            <v>5959</v>
          </cell>
          <cell r="H708">
            <v>0</v>
          </cell>
        </row>
        <row r="709">
          <cell r="B709">
            <v>5960</v>
          </cell>
          <cell r="C709" t="str">
            <v>Kaufer; Chester</v>
          </cell>
          <cell r="D709" t="str">
            <v>1C</v>
          </cell>
          <cell r="E709" t="str">
            <v>IBEWOUT</v>
          </cell>
          <cell r="F709" t="str">
            <v>1319</v>
          </cell>
          <cell r="G709" t="str">
            <v>7S</v>
          </cell>
          <cell r="H709">
            <v>0</v>
          </cell>
        </row>
        <row r="710">
          <cell r="B710">
            <v>5963</v>
          </cell>
          <cell r="C710" t="str">
            <v>Kendall; Benjamin C</v>
          </cell>
          <cell r="D710" t="str">
            <v>1C</v>
          </cell>
          <cell r="E710" t="str">
            <v>IBEWOUT</v>
          </cell>
          <cell r="F710" t="str">
            <v>769</v>
          </cell>
          <cell r="G710" t="str">
            <v>8</v>
          </cell>
          <cell r="H710">
            <v>0</v>
          </cell>
        </row>
        <row r="711">
          <cell r="B711">
            <v>5965</v>
          </cell>
          <cell r="C711" t="str">
            <v>Keene; Brandon J</v>
          </cell>
          <cell r="D711" t="str">
            <v>1C</v>
          </cell>
          <cell r="E711" t="str">
            <v>IBEWOUT</v>
          </cell>
          <cell r="F711" t="str">
            <v>77</v>
          </cell>
          <cell r="G711" t="str">
            <v>8</v>
          </cell>
          <cell r="H711">
            <v>0</v>
          </cell>
        </row>
        <row r="712">
          <cell r="B712">
            <v>5966</v>
          </cell>
          <cell r="C712" t="str">
            <v>Kaczmarek; Dustin R</v>
          </cell>
          <cell r="D712" t="str">
            <v>1</v>
          </cell>
          <cell r="E712" t="str">
            <v>IBEWOUT</v>
          </cell>
          <cell r="F712" t="str">
            <v>160</v>
          </cell>
          <cell r="G712" t="str">
            <v>14</v>
          </cell>
          <cell r="H712">
            <v>0</v>
          </cell>
        </row>
        <row r="713">
          <cell r="B713">
            <v>5967</v>
          </cell>
          <cell r="C713" t="str">
            <v>Kegley; Michael J</v>
          </cell>
          <cell r="D713" t="str">
            <v>1C</v>
          </cell>
          <cell r="E713" t="str">
            <v>IBEWOUT</v>
          </cell>
          <cell r="F713" t="str">
            <v>1245</v>
          </cell>
          <cell r="G713" t="str">
            <v>8</v>
          </cell>
          <cell r="H713">
            <v>0</v>
          </cell>
        </row>
        <row r="714">
          <cell r="B714">
            <v>5969</v>
          </cell>
          <cell r="C714" t="str">
            <v>Kelley; Weldon W</v>
          </cell>
          <cell r="D714" t="str">
            <v>1C</v>
          </cell>
          <cell r="E714" t="str">
            <v>IBEWOUT</v>
          </cell>
          <cell r="F714" t="str">
            <v>1245</v>
          </cell>
          <cell r="G714" t="str">
            <v>16</v>
          </cell>
          <cell r="H714">
            <v>0</v>
          </cell>
        </row>
        <row r="715">
          <cell r="B715">
            <v>5971</v>
          </cell>
          <cell r="C715" t="str">
            <v>Kaiser; Scott J</v>
          </cell>
          <cell r="D715" t="str">
            <v>1</v>
          </cell>
          <cell r="E715" t="str">
            <v>IBEWOUT</v>
          </cell>
          <cell r="F715" t="str">
            <v>160</v>
          </cell>
          <cell r="G715" t="str">
            <v>14</v>
          </cell>
          <cell r="H715">
            <v>0</v>
          </cell>
        </row>
        <row r="716">
          <cell r="B716">
            <v>5972</v>
          </cell>
          <cell r="C716" t="str">
            <v>Kair; Shane M</v>
          </cell>
          <cell r="D716" t="str">
            <v>1C</v>
          </cell>
          <cell r="E716" t="str">
            <v>IBEWOUT</v>
          </cell>
          <cell r="F716" t="str">
            <v>47</v>
          </cell>
          <cell r="G716" t="str">
            <v>8</v>
          </cell>
          <cell r="H716">
            <v>0</v>
          </cell>
        </row>
        <row r="717">
          <cell r="B717">
            <v>5973</v>
          </cell>
          <cell r="C717" t="str">
            <v>Kammerer; Travis D</v>
          </cell>
          <cell r="D717" t="str">
            <v>1</v>
          </cell>
          <cell r="E717" t="str">
            <v>IBEWOUT</v>
          </cell>
          <cell r="F717" t="str">
            <v>160</v>
          </cell>
          <cell r="G717" t="str">
            <v>8</v>
          </cell>
          <cell r="H717">
            <v>0</v>
          </cell>
        </row>
        <row r="718">
          <cell r="B718">
            <v>5974</v>
          </cell>
          <cell r="C718" t="str">
            <v>Kerber; Christopher R.</v>
          </cell>
          <cell r="D718" t="str">
            <v>1</v>
          </cell>
          <cell r="E718" t="str">
            <v>IBEWOUT</v>
          </cell>
          <cell r="F718" t="str">
            <v>769</v>
          </cell>
          <cell r="G718" t="str">
            <v>1</v>
          </cell>
          <cell r="H718">
            <v>1</v>
          </cell>
        </row>
        <row r="719">
          <cell r="B719">
            <v>5975</v>
          </cell>
          <cell r="C719" t="str">
            <v>Kale; Jared D</v>
          </cell>
          <cell r="D719" t="str">
            <v>1C</v>
          </cell>
          <cell r="E719" t="str">
            <v>IBEWOUT</v>
          </cell>
          <cell r="F719" t="str">
            <v>1245</v>
          </cell>
          <cell r="G719" t="str">
            <v>8</v>
          </cell>
          <cell r="H719">
            <v>0</v>
          </cell>
        </row>
        <row r="720">
          <cell r="B720">
            <v>5996</v>
          </cell>
          <cell r="C720" t="str">
            <v>Keune; Trevor M.</v>
          </cell>
          <cell r="D720" t="str">
            <v>1C</v>
          </cell>
          <cell r="E720" t="str">
            <v>IBEWOUT</v>
          </cell>
          <cell r="F720" t="str">
            <v>47</v>
          </cell>
          <cell r="G720" t="str">
            <v>8</v>
          </cell>
          <cell r="H720">
            <v>0</v>
          </cell>
        </row>
        <row r="721">
          <cell r="B721">
            <v>5997</v>
          </cell>
          <cell r="C721" t="str">
            <v>Kessinger; Kyle S</v>
          </cell>
          <cell r="D721" t="str">
            <v>1C</v>
          </cell>
          <cell r="E721" t="str">
            <v>IBEWOUT</v>
          </cell>
          <cell r="F721" t="str">
            <v>77</v>
          </cell>
          <cell r="G721" t="str">
            <v>11</v>
          </cell>
          <cell r="H721">
            <v>0</v>
          </cell>
        </row>
        <row r="722">
          <cell r="B722">
            <v>6001</v>
          </cell>
          <cell r="C722" t="str">
            <v>Kelly; Justin J</v>
          </cell>
          <cell r="D722" t="str">
            <v>1C</v>
          </cell>
          <cell r="E722" t="str">
            <v>IBEWOUT</v>
          </cell>
          <cell r="F722" t="str">
            <v>1245</v>
          </cell>
          <cell r="G722" t="str">
            <v>8</v>
          </cell>
          <cell r="H722">
            <v>0</v>
          </cell>
        </row>
        <row r="723">
          <cell r="B723">
            <v>6002</v>
          </cell>
          <cell r="C723" t="str">
            <v>Kemper; Zachary T</v>
          </cell>
          <cell r="D723" t="str">
            <v>1C</v>
          </cell>
          <cell r="E723" t="str">
            <v>IBEWOUT</v>
          </cell>
          <cell r="F723" t="str">
            <v>1245</v>
          </cell>
          <cell r="G723" t="str">
            <v>8</v>
          </cell>
          <cell r="H723">
            <v>0</v>
          </cell>
        </row>
        <row r="724">
          <cell r="B724">
            <v>6003</v>
          </cell>
          <cell r="C724" t="str">
            <v>Kelly; Raymond D.</v>
          </cell>
          <cell r="D724" t="str">
            <v>1</v>
          </cell>
          <cell r="E724" t="str">
            <v>IBEWOUT</v>
          </cell>
          <cell r="F724" t="str">
            <v>47</v>
          </cell>
          <cell r="G724" t="str">
            <v>7</v>
          </cell>
          <cell r="H724">
            <v>0</v>
          </cell>
        </row>
        <row r="725">
          <cell r="B725">
            <v>6090</v>
          </cell>
          <cell r="C725" t="str">
            <v>King; Kyle M.</v>
          </cell>
          <cell r="D725" t="str">
            <v>1C</v>
          </cell>
          <cell r="E725" t="str">
            <v>IBEWOUT</v>
          </cell>
          <cell r="F725" t="str">
            <v>1319</v>
          </cell>
          <cell r="G725" t="str">
            <v>11</v>
          </cell>
          <cell r="H725">
            <v>0</v>
          </cell>
        </row>
        <row r="726">
          <cell r="B726">
            <v>6101</v>
          </cell>
          <cell r="C726" t="str">
            <v>Kemp; Michael B.</v>
          </cell>
          <cell r="D726" t="str">
            <v>1C</v>
          </cell>
          <cell r="E726" t="str">
            <v>IBEWOUT</v>
          </cell>
          <cell r="F726" t="str">
            <v>47</v>
          </cell>
          <cell r="G726" t="str">
            <v>8</v>
          </cell>
          <cell r="H726">
            <v>0</v>
          </cell>
        </row>
        <row r="727">
          <cell r="B727">
            <v>6105</v>
          </cell>
          <cell r="C727" t="str">
            <v>Kilby; Kyle G</v>
          </cell>
          <cell r="D727" t="str">
            <v>1</v>
          </cell>
          <cell r="E727">
            <v>6105</v>
          </cell>
          <cell r="F727">
            <v>6105</v>
          </cell>
          <cell r="G727">
            <v>6105</v>
          </cell>
          <cell r="H727">
            <v>1</v>
          </cell>
        </row>
        <row r="728">
          <cell r="B728">
            <v>6108</v>
          </cell>
          <cell r="C728" t="str">
            <v>Kelsch; Nathan B.</v>
          </cell>
          <cell r="D728" t="str">
            <v>1C</v>
          </cell>
          <cell r="E728" t="str">
            <v>IBEWOUT</v>
          </cell>
          <cell r="F728" t="str">
            <v>47</v>
          </cell>
          <cell r="G728" t="str">
            <v>70</v>
          </cell>
          <cell r="H728">
            <v>0</v>
          </cell>
        </row>
        <row r="729">
          <cell r="B729">
            <v>6110</v>
          </cell>
          <cell r="C729" t="str">
            <v>King; Carl D</v>
          </cell>
          <cell r="D729" t="str">
            <v>1C</v>
          </cell>
          <cell r="E729" t="str">
            <v>IBEWOUT</v>
          </cell>
          <cell r="F729" t="str">
            <v>1319</v>
          </cell>
          <cell r="G729" t="str">
            <v>1</v>
          </cell>
          <cell r="H729">
            <v>0</v>
          </cell>
        </row>
        <row r="730">
          <cell r="B730">
            <v>6112</v>
          </cell>
          <cell r="C730" t="str">
            <v>Kirk; Robert E</v>
          </cell>
          <cell r="D730" t="str">
            <v>1C</v>
          </cell>
          <cell r="E730" t="str">
            <v>IBEWOUT</v>
          </cell>
          <cell r="F730" t="str">
            <v>1245</v>
          </cell>
          <cell r="G730" t="str">
            <v>8</v>
          </cell>
          <cell r="H730">
            <v>0</v>
          </cell>
        </row>
        <row r="731">
          <cell r="B731">
            <v>6114</v>
          </cell>
          <cell r="C731" t="str">
            <v>King; Gale L</v>
          </cell>
          <cell r="D731" t="str">
            <v>1C</v>
          </cell>
          <cell r="E731" t="str">
            <v>IBEWOUT</v>
          </cell>
          <cell r="F731" t="str">
            <v>602R</v>
          </cell>
          <cell r="G731" t="str">
            <v>33</v>
          </cell>
          <cell r="H731">
            <v>0</v>
          </cell>
        </row>
        <row r="732">
          <cell r="B732">
            <v>6117</v>
          </cell>
          <cell r="C732" t="str">
            <v>Kimmel; Daryl M.</v>
          </cell>
          <cell r="D732" t="str">
            <v>1C</v>
          </cell>
          <cell r="E732" t="str">
            <v>IBEWOUT</v>
          </cell>
          <cell r="F732" t="str">
            <v>77</v>
          </cell>
          <cell r="G732" t="str">
            <v>8</v>
          </cell>
          <cell r="H732">
            <v>0</v>
          </cell>
        </row>
        <row r="733">
          <cell r="B733">
            <v>6118</v>
          </cell>
          <cell r="C733" t="str">
            <v>Kimberly; Michael D</v>
          </cell>
          <cell r="D733" t="str">
            <v>1C</v>
          </cell>
          <cell r="E733">
            <v>6118</v>
          </cell>
          <cell r="F733">
            <v>6118</v>
          </cell>
          <cell r="G733">
            <v>6118</v>
          </cell>
          <cell r="H733">
            <v>0</v>
          </cell>
        </row>
        <row r="734">
          <cell r="B734">
            <v>6119</v>
          </cell>
          <cell r="C734" t="str">
            <v>Kiourkas; Cody G</v>
          </cell>
          <cell r="D734" t="str">
            <v>1C</v>
          </cell>
          <cell r="E734" t="str">
            <v>IBEWOUT</v>
          </cell>
          <cell r="F734" t="str">
            <v>1245</v>
          </cell>
          <cell r="G734" t="str">
            <v>15</v>
          </cell>
          <cell r="H734">
            <v>0</v>
          </cell>
        </row>
        <row r="735">
          <cell r="B735">
            <v>6125</v>
          </cell>
          <cell r="C735" t="str">
            <v>King; Tyler S</v>
          </cell>
          <cell r="D735" t="str">
            <v>1</v>
          </cell>
          <cell r="E735" t="str">
            <v>IBEWOUT</v>
          </cell>
          <cell r="F735" t="str">
            <v>47</v>
          </cell>
          <cell r="G735" t="str">
            <v>7</v>
          </cell>
          <cell r="H735">
            <v>0</v>
          </cell>
        </row>
        <row r="736">
          <cell r="B736">
            <v>6126</v>
          </cell>
          <cell r="C736" t="str">
            <v>King; Wade D</v>
          </cell>
          <cell r="D736" t="str">
            <v>1</v>
          </cell>
          <cell r="E736" t="str">
            <v>IBEWOUT</v>
          </cell>
          <cell r="F736" t="str">
            <v>1245</v>
          </cell>
          <cell r="G736" t="str">
            <v>8</v>
          </cell>
          <cell r="H736">
            <v>0</v>
          </cell>
        </row>
        <row r="737">
          <cell r="B737">
            <v>6129</v>
          </cell>
          <cell r="C737" t="str">
            <v>King; Mathew Edward</v>
          </cell>
          <cell r="D737" t="str">
            <v>1C</v>
          </cell>
          <cell r="E737" t="str">
            <v>IBEWOUT</v>
          </cell>
          <cell r="F737" t="str">
            <v>1245</v>
          </cell>
          <cell r="G737" t="str">
            <v>11</v>
          </cell>
          <cell r="H737">
            <v>0</v>
          </cell>
        </row>
        <row r="738">
          <cell r="B738">
            <v>6132</v>
          </cell>
          <cell r="C738" t="str">
            <v>Kingdon; Colton R</v>
          </cell>
          <cell r="D738" t="str">
            <v>1C</v>
          </cell>
          <cell r="E738" t="str">
            <v>IBEWOUT</v>
          </cell>
          <cell r="F738" t="str">
            <v>1245</v>
          </cell>
          <cell r="G738" t="str">
            <v>11</v>
          </cell>
          <cell r="H738">
            <v>0</v>
          </cell>
        </row>
        <row r="739">
          <cell r="B739">
            <v>6151</v>
          </cell>
          <cell r="C739" t="str">
            <v>Knapp; Carl William</v>
          </cell>
          <cell r="D739" t="str">
            <v>1</v>
          </cell>
          <cell r="E739" t="str">
            <v>IBEWOUT</v>
          </cell>
          <cell r="F739" t="str">
            <v>1245</v>
          </cell>
          <cell r="G739" t="str">
            <v>16</v>
          </cell>
          <cell r="H739">
            <v>0</v>
          </cell>
        </row>
        <row r="740">
          <cell r="B740">
            <v>6152</v>
          </cell>
          <cell r="C740" t="str">
            <v>Knifong; Joseph A</v>
          </cell>
          <cell r="D740" t="str">
            <v>1C</v>
          </cell>
          <cell r="E740" t="str">
            <v>IBEWOUT</v>
          </cell>
          <cell r="F740" t="str">
            <v>77</v>
          </cell>
          <cell r="G740" t="str">
            <v>8</v>
          </cell>
          <cell r="H740">
            <v>0</v>
          </cell>
        </row>
        <row r="741">
          <cell r="B741">
            <v>6153</v>
          </cell>
          <cell r="C741" t="str">
            <v>Knight; Chase J</v>
          </cell>
          <cell r="D741" t="str">
            <v>1</v>
          </cell>
          <cell r="E741" t="str">
            <v>IBEWOUT</v>
          </cell>
          <cell r="F741" t="str">
            <v>47</v>
          </cell>
          <cell r="G741" t="str">
            <v>15</v>
          </cell>
          <cell r="H741">
            <v>0</v>
          </cell>
        </row>
        <row r="742">
          <cell r="B742">
            <v>6155</v>
          </cell>
          <cell r="C742" t="str">
            <v>Knoll; Thomas E</v>
          </cell>
          <cell r="D742" t="str">
            <v>1C</v>
          </cell>
          <cell r="E742" t="str">
            <v>IBEWOUT</v>
          </cell>
          <cell r="F742" t="str">
            <v>77</v>
          </cell>
          <cell r="G742" t="str">
            <v>8</v>
          </cell>
          <cell r="H742">
            <v>0</v>
          </cell>
        </row>
        <row r="743">
          <cell r="B743">
            <v>6159</v>
          </cell>
          <cell r="C743" t="str">
            <v>Kohtz; Kyle G</v>
          </cell>
          <cell r="D743" t="str">
            <v>1C</v>
          </cell>
          <cell r="E743" t="str">
            <v>IBEWOUT</v>
          </cell>
          <cell r="F743" t="str">
            <v>47</v>
          </cell>
          <cell r="G743" t="str">
            <v>8</v>
          </cell>
          <cell r="H743">
            <v>0</v>
          </cell>
        </row>
        <row r="744">
          <cell r="B744">
            <v>6165</v>
          </cell>
          <cell r="C744" t="str">
            <v>Kolvek; Michael A</v>
          </cell>
          <cell r="D744" t="str">
            <v>1C</v>
          </cell>
          <cell r="E744" t="str">
            <v>IBEWOUT</v>
          </cell>
          <cell r="F744" t="str">
            <v>126</v>
          </cell>
          <cell r="G744" t="str">
            <v>8</v>
          </cell>
          <cell r="H744">
            <v>0</v>
          </cell>
        </row>
        <row r="745">
          <cell r="B745">
            <v>6170</v>
          </cell>
          <cell r="C745" t="str">
            <v>Koehn; Jacob A</v>
          </cell>
          <cell r="D745" t="str">
            <v>1C</v>
          </cell>
          <cell r="E745" t="str">
            <v>IBEWOUT</v>
          </cell>
          <cell r="F745" t="str">
            <v>47</v>
          </cell>
          <cell r="G745" t="str">
            <v>8</v>
          </cell>
          <cell r="H745">
            <v>0</v>
          </cell>
        </row>
        <row r="746">
          <cell r="B746">
            <v>6174</v>
          </cell>
          <cell r="C746" t="str">
            <v>Krasnov; Oleksandr A</v>
          </cell>
          <cell r="D746" t="str">
            <v>1</v>
          </cell>
          <cell r="E746" t="str">
            <v>IBEWOUT</v>
          </cell>
          <cell r="F746" t="str">
            <v>1245</v>
          </cell>
          <cell r="G746" t="str">
            <v>60</v>
          </cell>
          <cell r="H746">
            <v>0</v>
          </cell>
        </row>
        <row r="747">
          <cell r="B747">
            <v>6190</v>
          </cell>
          <cell r="C747" t="str">
            <v>Koivisto; Ryan A</v>
          </cell>
          <cell r="D747" t="str">
            <v>1</v>
          </cell>
          <cell r="E747" t="str">
            <v>IBEWOUT</v>
          </cell>
          <cell r="F747" t="str">
            <v>160</v>
          </cell>
          <cell r="G747" t="str">
            <v>13</v>
          </cell>
          <cell r="H747">
            <v>0</v>
          </cell>
        </row>
        <row r="748">
          <cell r="B748">
            <v>6194</v>
          </cell>
          <cell r="C748" t="str">
            <v>Kruger; Matthew J</v>
          </cell>
          <cell r="D748" t="str">
            <v>1C</v>
          </cell>
          <cell r="E748" t="str">
            <v>IBEWOUT</v>
          </cell>
          <cell r="F748" t="str">
            <v>160</v>
          </cell>
          <cell r="G748" t="str">
            <v>8</v>
          </cell>
          <cell r="H748">
            <v>0</v>
          </cell>
        </row>
        <row r="749">
          <cell r="B749">
            <v>6196</v>
          </cell>
          <cell r="C749" t="str">
            <v>Kokel; Joel R</v>
          </cell>
          <cell r="D749" t="str">
            <v>1C</v>
          </cell>
          <cell r="E749">
            <v>6196</v>
          </cell>
          <cell r="F749">
            <v>6196</v>
          </cell>
          <cell r="G749">
            <v>6196</v>
          </cell>
          <cell r="H749">
            <v>0</v>
          </cell>
        </row>
        <row r="750">
          <cell r="B750">
            <v>6200</v>
          </cell>
          <cell r="C750" t="str">
            <v>Kumi; Richard A</v>
          </cell>
          <cell r="D750" t="str">
            <v>1C</v>
          </cell>
          <cell r="E750" t="str">
            <v>IBEWOUT</v>
          </cell>
          <cell r="F750" t="str">
            <v>1245</v>
          </cell>
          <cell r="G750" t="str">
            <v>8</v>
          </cell>
          <cell r="H750">
            <v>0</v>
          </cell>
        </row>
        <row r="751">
          <cell r="B751">
            <v>6202</v>
          </cell>
          <cell r="C751" t="str">
            <v>Kokrine; Sage D</v>
          </cell>
          <cell r="D751" t="str">
            <v>1C</v>
          </cell>
          <cell r="E751" t="str">
            <v>IBEWOUT</v>
          </cell>
          <cell r="F751" t="str">
            <v>125</v>
          </cell>
          <cell r="G751" t="str">
            <v>8</v>
          </cell>
          <cell r="H751">
            <v>0</v>
          </cell>
        </row>
        <row r="752">
          <cell r="B752">
            <v>6203</v>
          </cell>
          <cell r="C752" t="str">
            <v>Konchar; Nicholas A.</v>
          </cell>
          <cell r="D752" t="str">
            <v>1C</v>
          </cell>
          <cell r="E752" t="str">
            <v>IBEWOUT</v>
          </cell>
          <cell r="F752" t="str">
            <v>1245</v>
          </cell>
          <cell r="G752" t="str">
            <v>8</v>
          </cell>
          <cell r="H752">
            <v>0</v>
          </cell>
        </row>
        <row r="753">
          <cell r="B753">
            <v>6205</v>
          </cell>
          <cell r="C753" t="str">
            <v>Korpi; Matthew A.</v>
          </cell>
          <cell r="D753" t="str">
            <v>1C</v>
          </cell>
          <cell r="E753" t="str">
            <v>IBEWOUT</v>
          </cell>
          <cell r="F753" t="str">
            <v>1245</v>
          </cell>
          <cell r="G753" t="str">
            <v>8</v>
          </cell>
          <cell r="H753">
            <v>0</v>
          </cell>
        </row>
        <row r="754">
          <cell r="B754">
            <v>6206</v>
          </cell>
          <cell r="C754" t="str">
            <v>Konopaski; Kevin</v>
          </cell>
          <cell r="D754" t="str">
            <v>1C</v>
          </cell>
          <cell r="E754" t="str">
            <v>IBEWOUT</v>
          </cell>
          <cell r="F754" t="str">
            <v>77</v>
          </cell>
          <cell r="G754" t="str">
            <v>9</v>
          </cell>
          <cell r="H754">
            <v>0</v>
          </cell>
        </row>
        <row r="755">
          <cell r="B755">
            <v>6207</v>
          </cell>
          <cell r="C755" t="str">
            <v>Kraft; Jerry L.</v>
          </cell>
          <cell r="D755" t="str">
            <v>1C</v>
          </cell>
          <cell r="E755">
            <v>6207</v>
          </cell>
          <cell r="F755">
            <v>6207</v>
          </cell>
          <cell r="G755">
            <v>6207</v>
          </cell>
          <cell r="H755">
            <v>0</v>
          </cell>
        </row>
        <row r="756">
          <cell r="B756">
            <v>6209</v>
          </cell>
          <cell r="C756" t="str">
            <v>Krassa; Keith W.</v>
          </cell>
          <cell r="D756" t="str">
            <v>1</v>
          </cell>
          <cell r="E756" t="str">
            <v>IBEWOUT</v>
          </cell>
          <cell r="F756" t="str">
            <v>769</v>
          </cell>
          <cell r="G756" t="str">
            <v>16</v>
          </cell>
          <cell r="H756">
            <v>0</v>
          </cell>
        </row>
        <row r="757">
          <cell r="B757">
            <v>6210</v>
          </cell>
          <cell r="C757" t="str">
            <v>Kranzusch; Ray F</v>
          </cell>
          <cell r="D757" t="str">
            <v>1C</v>
          </cell>
          <cell r="E757" t="str">
            <v>IBEWOUT</v>
          </cell>
          <cell r="F757" t="str">
            <v>77</v>
          </cell>
          <cell r="G757" t="str">
            <v>9</v>
          </cell>
          <cell r="H757">
            <v>0</v>
          </cell>
        </row>
        <row r="758">
          <cell r="B758">
            <v>6211</v>
          </cell>
          <cell r="C758" t="str">
            <v>Konkright; Kyle E</v>
          </cell>
          <cell r="D758" t="str">
            <v>1C</v>
          </cell>
          <cell r="E758" t="str">
            <v>IBEWOUT</v>
          </cell>
          <cell r="F758" t="str">
            <v>77</v>
          </cell>
          <cell r="G758" t="str">
            <v>8</v>
          </cell>
          <cell r="H758">
            <v>0</v>
          </cell>
        </row>
        <row r="759">
          <cell r="B759">
            <v>6213</v>
          </cell>
          <cell r="C759" t="str">
            <v>Klinger; Timothy J.</v>
          </cell>
          <cell r="D759" t="str">
            <v>1C</v>
          </cell>
          <cell r="E759" t="str">
            <v>IBEWOUT</v>
          </cell>
          <cell r="F759" t="str">
            <v>396</v>
          </cell>
          <cell r="G759" t="str">
            <v>18</v>
          </cell>
          <cell r="H759">
            <v>0</v>
          </cell>
        </row>
        <row r="760">
          <cell r="B760">
            <v>6214</v>
          </cell>
          <cell r="C760" t="str">
            <v>Kingsbury; Andrew J.</v>
          </cell>
          <cell r="D760" t="str">
            <v>1C</v>
          </cell>
          <cell r="E760" t="str">
            <v>IBEWOUT</v>
          </cell>
          <cell r="F760" t="str">
            <v>1319</v>
          </cell>
          <cell r="G760" t="str">
            <v>8</v>
          </cell>
          <cell r="H760">
            <v>0</v>
          </cell>
        </row>
        <row r="761">
          <cell r="B761">
            <v>6215</v>
          </cell>
          <cell r="C761" t="str">
            <v>Kwake; Stanley J.</v>
          </cell>
          <cell r="D761" t="str">
            <v>1C</v>
          </cell>
          <cell r="E761">
            <v>6215</v>
          </cell>
          <cell r="F761">
            <v>6215</v>
          </cell>
          <cell r="G761">
            <v>6215</v>
          </cell>
          <cell r="H761">
            <v>0</v>
          </cell>
        </row>
        <row r="762">
          <cell r="B762">
            <v>6217</v>
          </cell>
          <cell r="C762" t="str">
            <v>Kravchenko; Illya</v>
          </cell>
          <cell r="D762" t="str">
            <v>1C</v>
          </cell>
          <cell r="E762" t="str">
            <v>IBEWOUT</v>
          </cell>
          <cell r="F762" t="str">
            <v>77</v>
          </cell>
          <cell r="G762" t="str">
            <v>13</v>
          </cell>
          <cell r="H762">
            <v>0</v>
          </cell>
        </row>
        <row r="763">
          <cell r="B763">
            <v>6218</v>
          </cell>
          <cell r="C763" t="str">
            <v>Koretz; Samuel J</v>
          </cell>
          <cell r="D763" t="str">
            <v>1C</v>
          </cell>
          <cell r="E763" t="str">
            <v>IBEWOUT</v>
          </cell>
          <cell r="F763" t="str">
            <v>396</v>
          </cell>
          <cell r="G763" t="str">
            <v>33</v>
          </cell>
          <cell r="H763">
            <v>0</v>
          </cell>
        </row>
        <row r="764">
          <cell r="B764">
            <v>6219</v>
          </cell>
          <cell r="C764" t="str">
            <v>Kwiatkowski; Patrick J</v>
          </cell>
          <cell r="D764" t="str">
            <v>1C</v>
          </cell>
          <cell r="E764" t="str">
            <v>IBEWOUT</v>
          </cell>
          <cell r="F764" t="str">
            <v>1319</v>
          </cell>
          <cell r="G764" t="str">
            <v>20</v>
          </cell>
          <cell r="H764">
            <v>0</v>
          </cell>
        </row>
        <row r="765">
          <cell r="B765">
            <v>6220</v>
          </cell>
          <cell r="C765" t="str">
            <v>Koutnik; Ryan L.</v>
          </cell>
          <cell r="D765" t="str">
            <v>1C</v>
          </cell>
          <cell r="E765" t="str">
            <v>IBEWOUT</v>
          </cell>
          <cell r="F765" t="str">
            <v>125</v>
          </cell>
          <cell r="G765" t="str">
            <v>8</v>
          </cell>
          <cell r="H765">
            <v>0</v>
          </cell>
        </row>
        <row r="766">
          <cell r="B766">
            <v>6221</v>
          </cell>
          <cell r="C766" t="str">
            <v>Kwaad; Kyle R</v>
          </cell>
          <cell r="D766" t="str">
            <v>1C</v>
          </cell>
          <cell r="E766" t="str">
            <v>IBEWOUT</v>
          </cell>
          <cell r="F766" t="str">
            <v>769</v>
          </cell>
          <cell r="G766" t="str">
            <v>13</v>
          </cell>
          <cell r="H766">
            <v>0</v>
          </cell>
        </row>
        <row r="767">
          <cell r="B767">
            <v>6222</v>
          </cell>
          <cell r="C767" t="str">
            <v>Kimball; Frank H.</v>
          </cell>
          <cell r="D767" t="str">
            <v>1C</v>
          </cell>
          <cell r="E767" t="str">
            <v>IBEWOUT</v>
          </cell>
          <cell r="F767" t="str">
            <v>396</v>
          </cell>
          <cell r="G767" t="str">
            <v>21</v>
          </cell>
          <cell r="H767">
            <v>0</v>
          </cell>
        </row>
        <row r="768">
          <cell r="B768">
            <v>6223</v>
          </cell>
          <cell r="C768" t="str">
            <v>Kollar; David A</v>
          </cell>
          <cell r="D768" t="str">
            <v>1</v>
          </cell>
          <cell r="E768" t="str">
            <v>IBEWOUT</v>
          </cell>
          <cell r="F768" t="str">
            <v>160</v>
          </cell>
          <cell r="G768" t="str">
            <v>8</v>
          </cell>
          <cell r="H768">
            <v>0</v>
          </cell>
        </row>
        <row r="769">
          <cell r="B769">
            <v>6224</v>
          </cell>
          <cell r="C769" t="str">
            <v>Kress; Paul M</v>
          </cell>
          <cell r="D769" t="str">
            <v>1C</v>
          </cell>
          <cell r="E769" t="str">
            <v>IBEWOUT</v>
          </cell>
          <cell r="F769" t="str">
            <v>611</v>
          </cell>
          <cell r="G769" t="str">
            <v>20</v>
          </cell>
          <cell r="H769">
            <v>0</v>
          </cell>
        </row>
        <row r="770">
          <cell r="B770">
            <v>6229</v>
          </cell>
          <cell r="C770" t="str">
            <v>Labbe; Jaime H</v>
          </cell>
          <cell r="D770" t="str">
            <v>1C</v>
          </cell>
          <cell r="E770" t="str">
            <v>IBEWOUT</v>
          </cell>
          <cell r="F770" t="str">
            <v>47</v>
          </cell>
          <cell r="G770" t="str">
            <v>8</v>
          </cell>
          <cell r="H770">
            <v>0</v>
          </cell>
        </row>
        <row r="771">
          <cell r="B771">
            <v>6235</v>
          </cell>
          <cell r="C771" t="str">
            <v>Lachcik; Shaun M</v>
          </cell>
          <cell r="D771" t="str">
            <v>1C</v>
          </cell>
          <cell r="E771" t="str">
            <v>IBEWOUT</v>
          </cell>
          <cell r="F771" t="str">
            <v>769</v>
          </cell>
          <cell r="G771" t="str">
            <v>8</v>
          </cell>
          <cell r="H771">
            <v>0</v>
          </cell>
        </row>
        <row r="772">
          <cell r="B772">
            <v>6236</v>
          </cell>
          <cell r="C772" t="str">
            <v>Lay Jr; Richard D</v>
          </cell>
          <cell r="D772" t="str">
            <v>1C</v>
          </cell>
          <cell r="E772" t="str">
            <v>IBEWIN</v>
          </cell>
          <cell r="F772" t="str">
            <v>280</v>
          </cell>
          <cell r="G772" t="str">
            <v>61</v>
          </cell>
          <cell r="H772">
            <v>0</v>
          </cell>
        </row>
        <row r="773">
          <cell r="B773">
            <v>6238</v>
          </cell>
          <cell r="C773" t="str">
            <v>La Fuente; Timothy</v>
          </cell>
          <cell r="D773" t="str">
            <v>1C</v>
          </cell>
          <cell r="E773" t="str">
            <v>IBEWOUT</v>
          </cell>
          <cell r="F773" t="str">
            <v>1245</v>
          </cell>
          <cell r="G773" t="str">
            <v>8</v>
          </cell>
          <cell r="H773">
            <v>0</v>
          </cell>
        </row>
        <row r="774">
          <cell r="B774">
            <v>6239</v>
          </cell>
          <cell r="C774" t="str">
            <v>Lacy; Russell J.</v>
          </cell>
          <cell r="D774" t="str">
            <v>1</v>
          </cell>
          <cell r="E774" t="str">
            <v>IBEWOUT</v>
          </cell>
          <cell r="F774" t="str">
            <v>611</v>
          </cell>
          <cell r="G774" t="str">
            <v>1</v>
          </cell>
          <cell r="H774">
            <v>0</v>
          </cell>
        </row>
        <row r="775">
          <cell r="B775">
            <v>6240</v>
          </cell>
          <cell r="C775" t="str">
            <v>Lazaron; Kyle M</v>
          </cell>
          <cell r="D775" t="str">
            <v>1C</v>
          </cell>
          <cell r="E775" t="str">
            <v>IBEWOUT</v>
          </cell>
          <cell r="F775" t="str">
            <v>104</v>
          </cell>
          <cell r="G775" t="str">
            <v>8</v>
          </cell>
          <cell r="H775">
            <v>0</v>
          </cell>
        </row>
        <row r="776">
          <cell r="B776">
            <v>6241</v>
          </cell>
          <cell r="C776" t="str">
            <v>Ladd; Gordon R.</v>
          </cell>
          <cell r="D776" t="str">
            <v>1</v>
          </cell>
          <cell r="E776">
            <v>6241</v>
          </cell>
          <cell r="F776">
            <v>6241</v>
          </cell>
          <cell r="G776">
            <v>6241</v>
          </cell>
          <cell r="H776">
            <v>0</v>
          </cell>
        </row>
        <row r="777">
          <cell r="B777">
            <v>6257</v>
          </cell>
          <cell r="C777" t="str">
            <v>Landers; Jacie A</v>
          </cell>
          <cell r="D777" t="str">
            <v>1C</v>
          </cell>
          <cell r="E777">
            <v>6257</v>
          </cell>
          <cell r="F777">
            <v>6257</v>
          </cell>
          <cell r="G777">
            <v>6257</v>
          </cell>
          <cell r="H777">
            <v>0</v>
          </cell>
        </row>
        <row r="778">
          <cell r="B778">
            <v>6266</v>
          </cell>
          <cell r="C778" t="str">
            <v>Lake Jr.; Michael Ray</v>
          </cell>
          <cell r="D778" t="str">
            <v>1</v>
          </cell>
          <cell r="E778" t="str">
            <v>IBEWOUT</v>
          </cell>
          <cell r="F778" t="str">
            <v>47</v>
          </cell>
          <cell r="G778" t="str">
            <v>8</v>
          </cell>
          <cell r="H778">
            <v>0</v>
          </cell>
        </row>
        <row r="779">
          <cell r="B779">
            <v>6270</v>
          </cell>
          <cell r="C779" t="str">
            <v>Landon; Lance A</v>
          </cell>
          <cell r="D779" t="str">
            <v>1C</v>
          </cell>
          <cell r="E779" t="str">
            <v>IBEWOUT</v>
          </cell>
          <cell r="F779" t="str">
            <v>1245</v>
          </cell>
          <cell r="G779" t="str">
            <v>8</v>
          </cell>
          <cell r="H779">
            <v>0</v>
          </cell>
        </row>
        <row r="780">
          <cell r="B780">
            <v>6273</v>
          </cell>
          <cell r="C780" t="str">
            <v>Langston Jr.; James Keith</v>
          </cell>
          <cell r="D780" t="str">
            <v>1</v>
          </cell>
          <cell r="E780" t="str">
            <v>IBEWOUT</v>
          </cell>
          <cell r="F780" t="str">
            <v>769</v>
          </cell>
          <cell r="G780" t="str">
            <v>21</v>
          </cell>
          <cell r="H780">
            <v>0</v>
          </cell>
        </row>
        <row r="781">
          <cell r="B781">
            <v>6274</v>
          </cell>
          <cell r="C781" t="str">
            <v>Lange; Anthony R.</v>
          </cell>
          <cell r="D781" t="str">
            <v>1C</v>
          </cell>
          <cell r="E781" t="str">
            <v>IBEWOUT</v>
          </cell>
          <cell r="F781" t="str">
            <v>160</v>
          </cell>
          <cell r="G781" t="str">
            <v>8</v>
          </cell>
          <cell r="H781">
            <v>0</v>
          </cell>
        </row>
        <row r="782">
          <cell r="B782">
            <v>6281</v>
          </cell>
          <cell r="C782" t="str">
            <v>Lamb; Robert C</v>
          </cell>
          <cell r="D782" t="str">
            <v>1C</v>
          </cell>
          <cell r="E782" t="str">
            <v>IBEWOUT</v>
          </cell>
          <cell r="F782" t="str">
            <v>1245</v>
          </cell>
          <cell r="G782" t="str">
            <v>8</v>
          </cell>
          <cell r="H782">
            <v>0</v>
          </cell>
        </row>
        <row r="783">
          <cell r="B783">
            <v>6284</v>
          </cell>
          <cell r="C783" t="str">
            <v>Lantau; Kenneth A.</v>
          </cell>
          <cell r="D783" t="str">
            <v>1C</v>
          </cell>
          <cell r="E783" t="str">
            <v>IBEWOUT</v>
          </cell>
          <cell r="F783" t="str">
            <v>77</v>
          </cell>
          <cell r="G783" t="str">
            <v>7</v>
          </cell>
          <cell r="H783">
            <v>0</v>
          </cell>
        </row>
        <row r="784">
          <cell r="B784">
            <v>6286</v>
          </cell>
          <cell r="C784" t="str">
            <v>Lambourne; Jason W</v>
          </cell>
          <cell r="D784" t="str">
            <v>1</v>
          </cell>
          <cell r="E784" t="str">
            <v>IBEWOUT</v>
          </cell>
          <cell r="F784" t="str">
            <v>1245</v>
          </cell>
          <cell r="G784" t="str">
            <v>60</v>
          </cell>
          <cell r="H784">
            <v>0</v>
          </cell>
        </row>
        <row r="785">
          <cell r="B785">
            <v>6294</v>
          </cell>
          <cell r="C785" t="str">
            <v>LaRock; Aaron M</v>
          </cell>
          <cell r="D785" t="str">
            <v>1C</v>
          </cell>
          <cell r="E785" t="str">
            <v>IBEWOUT</v>
          </cell>
          <cell r="F785" t="str">
            <v>1319</v>
          </cell>
          <cell r="G785" t="str">
            <v>8</v>
          </cell>
          <cell r="H785">
            <v>0</v>
          </cell>
        </row>
        <row r="786">
          <cell r="B786">
            <v>6295</v>
          </cell>
          <cell r="C786" t="str">
            <v>Larkin; William B.</v>
          </cell>
          <cell r="D786" t="str">
            <v>1</v>
          </cell>
          <cell r="E786" t="str">
            <v>IBEWOUT</v>
          </cell>
          <cell r="F786" t="str">
            <v>77</v>
          </cell>
          <cell r="G786" t="str">
            <v>8</v>
          </cell>
          <cell r="H786">
            <v>0</v>
          </cell>
        </row>
        <row r="787">
          <cell r="B787">
            <v>6297</v>
          </cell>
          <cell r="C787" t="str">
            <v>Larsen; Devin Brett</v>
          </cell>
          <cell r="D787" t="str">
            <v>1</v>
          </cell>
          <cell r="E787" t="str">
            <v>IBEWOUT</v>
          </cell>
          <cell r="F787" t="str">
            <v>1245</v>
          </cell>
          <cell r="G787" t="str">
            <v>7</v>
          </cell>
          <cell r="H787">
            <v>0</v>
          </cell>
        </row>
        <row r="788">
          <cell r="B788">
            <v>6298</v>
          </cell>
          <cell r="C788" t="str">
            <v>Larsen; Jason P.</v>
          </cell>
          <cell r="D788" t="str">
            <v>1C</v>
          </cell>
          <cell r="E788" t="str">
            <v>IBEWOUT</v>
          </cell>
          <cell r="F788" t="str">
            <v>77</v>
          </cell>
          <cell r="G788" t="str">
            <v>8</v>
          </cell>
          <cell r="H788">
            <v>0</v>
          </cell>
        </row>
        <row r="789">
          <cell r="B789">
            <v>6300</v>
          </cell>
          <cell r="C789" t="str">
            <v>McCaul-Larson; Tyler L</v>
          </cell>
          <cell r="D789" t="str">
            <v>1C</v>
          </cell>
          <cell r="E789" t="str">
            <v>IBEWOUT</v>
          </cell>
          <cell r="F789" t="str">
            <v>1245</v>
          </cell>
          <cell r="G789" t="str">
            <v>8</v>
          </cell>
          <cell r="H789">
            <v>0</v>
          </cell>
        </row>
        <row r="790">
          <cell r="B790">
            <v>6305</v>
          </cell>
          <cell r="C790" t="str">
            <v>Larson; Robert G</v>
          </cell>
          <cell r="D790" t="str">
            <v>1</v>
          </cell>
          <cell r="E790" t="str">
            <v>IBEWOUT</v>
          </cell>
          <cell r="F790" t="str">
            <v>160</v>
          </cell>
          <cell r="G790" t="str">
            <v>16</v>
          </cell>
          <cell r="H790">
            <v>0</v>
          </cell>
        </row>
        <row r="791">
          <cell r="B791">
            <v>6314</v>
          </cell>
          <cell r="C791" t="str">
            <v>Laskowsky; Mark A</v>
          </cell>
          <cell r="D791" t="str">
            <v>1C</v>
          </cell>
          <cell r="E791" t="str">
            <v>IBEWOUT</v>
          </cell>
          <cell r="F791" t="str">
            <v>126</v>
          </cell>
          <cell r="G791" t="str">
            <v>8</v>
          </cell>
          <cell r="H791">
            <v>0</v>
          </cell>
        </row>
        <row r="792">
          <cell r="B792">
            <v>6322</v>
          </cell>
          <cell r="C792" t="str">
            <v>Lecompte; Patrick M</v>
          </cell>
          <cell r="D792" t="str">
            <v>1C</v>
          </cell>
          <cell r="E792" t="str">
            <v>IBEWOUT</v>
          </cell>
          <cell r="F792" t="str">
            <v>1245</v>
          </cell>
          <cell r="G792" t="str">
            <v>8</v>
          </cell>
          <cell r="H792">
            <v>0</v>
          </cell>
        </row>
        <row r="793">
          <cell r="B793">
            <v>6329</v>
          </cell>
          <cell r="C793" t="str">
            <v>Lee; Laurence Cooper</v>
          </cell>
          <cell r="D793" t="str">
            <v>1C</v>
          </cell>
          <cell r="E793" t="str">
            <v>IBEWOUT</v>
          </cell>
          <cell r="F793" t="str">
            <v>77</v>
          </cell>
          <cell r="G793" t="str">
            <v>8</v>
          </cell>
          <cell r="H793">
            <v>0</v>
          </cell>
        </row>
        <row r="794">
          <cell r="B794">
            <v>6341</v>
          </cell>
          <cell r="C794" t="str">
            <v>Lee; David</v>
          </cell>
          <cell r="D794" t="str">
            <v>1C</v>
          </cell>
          <cell r="E794" t="str">
            <v>IBEWOUT</v>
          </cell>
          <cell r="F794" t="str">
            <v>1245</v>
          </cell>
          <cell r="G794" t="str">
            <v>60</v>
          </cell>
          <cell r="H794">
            <v>0</v>
          </cell>
        </row>
        <row r="795">
          <cell r="B795">
            <v>6342</v>
          </cell>
          <cell r="C795" t="str">
            <v>Lee; Justin G</v>
          </cell>
          <cell r="D795" t="str">
            <v>1</v>
          </cell>
          <cell r="E795">
            <v>6342</v>
          </cell>
          <cell r="F795">
            <v>6342</v>
          </cell>
          <cell r="G795">
            <v>6342</v>
          </cell>
          <cell r="H795">
            <v>1</v>
          </cell>
        </row>
        <row r="796">
          <cell r="B796">
            <v>6375</v>
          </cell>
          <cell r="C796" t="str">
            <v>Elsholz; David A</v>
          </cell>
          <cell r="D796" t="str">
            <v>1</v>
          </cell>
          <cell r="E796" t="str">
            <v>IBEWOUT</v>
          </cell>
          <cell r="F796" t="str">
            <v>47</v>
          </cell>
          <cell r="G796" t="str">
            <v>8</v>
          </cell>
          <cell r="H796">
            <v>0</v>
          </cell>
        </row>
        <row r="797">
          <cell r="B797">
            <v>6474</v>
          </cell>
          <cell r="C797" t="str">
            <v>LeCaire; Nicholas V.</v>
          </cell>
          <cell r="D797" t="str">
            <v>1C</v>
          </cell>
          <cell r="E797" t="str">
            <v>IBEWOUT</v>
          </cell>
          <cell r="F797" t="str">
            <v>77</v>
          </cell>
          <cell r="G797" t="str">
            <v>7</v>
          </cell>
          <cell r="H797">
            <v>0</v>
          </cell>
        </row>
        <row r="798">
          <cell r="B798">
            <v>6476</v>
          </cell>
          <cell r="C798" t="str">
            <v>Leon Ramirez; Jose</v>
          </cell>
          <cell r="D798" t="str">
            <v>1C</v>
          </cell>
          <cell r="E798" t="str">
            <v>IBEWOUT</v>
          </cell>
          <cell r="F798" t="str">
            <v>47</v>
          </cell>
          <cell r="G798" t="str">
            <v>7</v>
          </cell>
          <cell r="H798">
            <v>0</v>
          </cell>
        </row>
        <row r="799">
          <cell r="B799">
            <v>6477</v>
          </cell>
          <cell r="C799" t="str">
            <v>Leon Ramirez; Cesar</v>
          </cell>
          <cell r="D799" t="str">
            <v>1C</v>
          </cell>
          <cell r="E799" t="str">
            <v>IBEWOUT</v>
          </cell>
          <cell r="F799" t="str">
            <v>47</v>
          </cell>
          <cell r="G799" t="str">
            <v>8</v>
          </cell>
          <cell r="H799">
            <v>0</v>
          </cell>
        </row>
        <row r="800">
          <cell r="B800">
            <v>6479</v>
          </cell>
          <cell r="C800" t="str">
            <v>Leiv; Kendell Jonathan</v>
          </cell>
          <cell r="D800" t="str">
            <v>1C</v>
          </cell>
          <cell r="E800">
            <v>6479</v>
          </cell>
          <cell r="F800">
            <v>6479</v>
          </cell>
          <cell r="G800">
            <v>6479</v>
          </cell>
          <cell r="H800">
            <v>0</v>
          </cell>
        </row>
        <row r="801">
          <cell r="B801">
            <v>6480</v>
          </cell>
          <cell r="C801" t="str">
            <v>Leanos; Daniel G</v>
          </cell>
          <cell r="D801" t="str">
            <v>1C</v>
          </cell>
          <cell r="E801" t="str">
            <v>IBEWOUT</v>
          </cell>
          <cell r="F801" t="str">
            <v>47</v>
          </cell>
          <cell r="G801" t="str">
            <v>17</v>
          </cell>
          <cell r="H801">
            <v>0</v>
          </cell>
        </row>
        <row r="802">
          <cell r="B802">
            <v>6482</v>
          </cell>
          <cell r="C802" t="str">
            <v>Ledoux; Walter W</v>
          </cell>
          <cell r="D802" t="str">
            <v>1C</v>
          </cell>
          <cell r="E802" t="str">
            <v>IBEWOUT</v>
          </cell>
          <cell r="F802" t="str">
            <v>1245</v>
          </cell>
          <cell r="G802" t="str">
            <v>8</v>
          </cell>
          <cell r="H802">
            <v>0</v>
          </cell>
        </row>
        <row r="803">
          <cell r="B803">
            <v>6485</v>
          </cell>
          <cell r="C803" t="str">
            <v>Lege; Kevin J</v>
          </cell>
          <cell r="D803" t="str">
            <v>1C</v>
          </cell>
          <cell r="E803" t="str">
            <v>IBEWOUT</v>
          </cell>
          <cell r="F803" t="str">
            <v>1245</v>
          </cell>
          <cell r="G803" t="str">
            <v>8</v>
          </cell>
          <cell r="H803">
            <v>0</v>
          </cell>
        </row>
        <row r="804">
          <cell r="B804">
            <v>6487</v>
          </cell>
          <cell r="C804" t="str">
            <v>Lemus; Edward</v>
          </cell>
          <cell r="D804" t="str">
            <v>1C</v>
          </cell>
          <cell r="E804" t="str">
            <v>IBEWOUT</v>
          </cell>
          <cell r="F804" t="str">
            <v>47</v>
          </cell>
          <cell r="G804" t="str">
            <v>17</v>
          </cell>
          <cell r="H804">
            <v>0</v>
          </cell>
        </row>
        <row r="805">
          <cell r="B805">
            <v>6497</v>
          </cell>
          <cell r="C805" t="str">
            <v>Leineke; Theodore A.</v>
          </cell>
          <cell r="D805" t="str">
            <v>1</v>
          </cell>
          <cell r="E805">
            <v>6497</v>
          </cell>
          <cell r="F805">
            <v>6497</v>
          </cell>
          <cell r="G805">
            <v>6497</v>
          </cell>
          <cell r="H805">
            <v>0</v>
          </cell>
        </row>
        <row r="806">
          <cell r="B806">
            <v>6498</v>
          </cell>
          <cell r="C806" t="str">
            <v>Lenardo; Bradley J</v>
          </cell>
          <cell r="D806" t="str">
            <v>1C</v>
          </cell>
          <cell r="E806" t="str">
            <v>IBEWOUT</v>
          </cell>
          <cell r="F806" t="str">
            <v>1245</v>
          </cell>
          <cell r="G806" t="str">
            <v>8</v>
          </cell>
          <cell r="H806">
            <v>0</v>
          </cell>
        </row>
        <row r="807">
          <cell r="B807">
            <v>6499</v>
          </cell>
          <cell r="C807" t="str">
            <v>Lenoir Jr.; Leo M.</v>
          </cell>
          <cell r="D807" t="str">
            <v>1</v>
          </cell>
          <cell r="E807" t="str">
            <v>IBEWOUT</v>
          </cell>
          <cell r="F807" t="str">
            <v>47</v>
          </cell>
          <cell r="G807" t="str">
            <v>7</v>
          </cell>
          <cell r="H807">
            <v>0</v>
          </cell>
        </row>
        <row r="808">
          <cell r="B808">
            <v>6503</v>
          </cell>
          <cell r="C808" t="str">
            <v>Letandre; John D.L.</v>
          </cell>
          <cell r="D808" t="str">
            <v>1</v>
          </cell>
          <cell r="E808" t="str">
            <v>IBEWOUT</v>
          </cell>
          <cell r="F808" t="str">
            <v>160</v>
          </cell>
          <cell r="G808" t="str">
            <v>8</v>
          </cell>
          <cell r="H808">
            <v>0</v>
          </cell>
        </row>
        <row r="809">
          <cell r="B809">
            <v>6520</v>
          </cell>
          <cell r="C809" t="str">
            <v>Leuthner; Paul A</v>
          </cell>
          <cell r="D809" t="str">
            <v>1C</v>
          </cell>
          <cell r="E809" t="str">
            <v>IBEWOUT</v>
          </cell>
          <cell r="F809" t="str">
            <v>1319</v>
          </cell>
          <cell r="G809" t="str">
            <v>7</v>
          </cell>
          <cell r="H809">
            <v>0</v>
          </cell>
        </row>
        <row r="810">
          <cell r="B810">
            <v>6538</v>
          </cell>
          <cell r="C810" t="str">
            <v>Lewis; Mitchell A</v>
          </cell>
          <cell r="D810" t="str">
            <v>1</v>
          </cell>
          <cell r="E810" t="str">
            <v>IBEWOUT</v>
          </cell>
          <cell r="F810" t="str">
            <v>1245</v>
          </cell>
          <cell r="G810" t="str">
            <v>8</v>
          </cell>
          <cell r="H810">
            <v>0</v>
          </cell>
        </row>
        <row r="811">
          <cell r="B811">
            <v>6539</v>
          </cell>
          <cell r="C811" t="str">
            <v>Lewis; Slone E.</v>
          </cell>
          <cell r="D811" t="str">
            <v>1C</v>
          </cell>
          <cell r="E811" t="str">
            <v>IBEWOUT</v>
          </cell>
          <cell r="F811" t="str">
            <v>77</v>
          </cell>
          <cell r="G811" t="str">
            <v>12</v>
          </cell>
          <cell r="H811">
            <v>0</v>
          </cell>
        </row>
        <row r="812">
          <cell r="B812">
            <v>6558</v>
          </cell>
          <cell r="C812" t="str">
            <v>Liebl; Devin L</v>
          </cell>
          <cell r="D812" t="str">
            <v>1</v>
          </cell>
          <cell r="E812" t="str">
            <v>IBEWOUT</v>
          </cell>
          <cell r="F812" t="str">
            <v>160</v>
          </cell>
          <cell r="G812" t="str">
            <v>15</v>
          </cell>
          <cell r="H812">
            <v>0</v>
          </cell>
        </row>
        <row r="813">
          <cell r="B813">
            <v>6561</v>
          </cell>
          <cell r="C813" t="str">
            <v>Lilly; Sterling W.</v>
          </cell>
          <cell r="D813" t="str">
            <v>1</v>
          </cell>
          <cell r="E813" t="str">
            <v>IBEWOUT</v>
          </cell>
          <cell r="F813" t="str">
            <v>769</v>
          </cell>
          <cell r="G813" t="str">
            <v>8</v>
          </cell>
          <cell r="H813">
            <v>0</v>
          </cell>
        </row>
        <row r="814">
          <cell r="B814">
            <v>6576</v>
          </cell>
          <cell r="C814" t="str">
            <v>Lindsay; Cassidy L.</v>
          </cell>
          <cell r="D814" t="str">
            <v>1C</v>
          </cell>
          <cell r="E814" t="str">
            <v>IBEWOUT</v>
          </cell>
          <cell r="F814" t="str">
            <v>1245</v>
          </cell>
          <cell r="G814" t="str">
            <v>16</v>
          </cell>
          <cell r="H814">
            <v>0</v>
          </cell>
        </row>
        <row r="815">
          <cell r="B815">
            <v>6579</v>
          </cell>
          <cell r="C815" t="str">
            <v>Little; Jerry S</v>
          </cell>
          <cell r="D815" t="str">
            <v>1C</v>
          </cell>
          <cell r="E815" t="str">
            <v>IBEWOUT</v>
          </cell>
          <cell r="F815" t="str">
            <v>1245</v>
          </cell>
          <cell r="G815" t="str">
            <v>8</v>
          </cell>
          <cell r="H815">
            <v>0</v>
          </cell>
        </row>
        <row r="816">
          <cell r="B816">
            <v>6582</v>
          </cell>
          <cell r="C816" t="str">
            <v>Little; Richard K</v>
          </cell>
          <cell r="D816" t="str">
            <v>1C</v>
          </cell>
          <cell r="E816" t="str">
            <v>IBEWOUT</v>
          </cell>
          <cell r="F816" t="str">
            <v>47</v>
          </cell>
          <cell r="G816" t="str">
            <v>59</v>
          </cell>
          <cell r="H816">
            <v>0</v>
          </cell>
        </row>
        <row r="817">
          <cell r="B817">
            <v>6584</v>
          </cell>
          <cell r="C817" t="str">
            <v>Livingston; Christian D.</v>
          </cell>
          <cell r="D817" t="str">
            <v>1C</v>
          </cell>
          <cell r="E817" t="str">
            <v>IBEWOUT</v>
          </cell>
          <cell r="F817" t="str">
            <v>47</v>
          </cell>
          <cell r="G817" t="str">
            <v>17</v>
          </cell>
          <cell r="H817">
            <v>0</v>
          </cell>
        </row>
        <row r="818">
          <cell r="B818">
            <v>6585</v>
          </cell>
          <cell r="C818" t="str">
            <v>Lindley; Jeffrey S</v>
          </cell>
          <cell r="D818" t="str">
            <v>1C</v>
          </cell>
          <cell r="E818" t="str">
            <v>IBEWOUT</v>
          </cell>
          <cell r="F818" t="str">
            <v>47</v>
          </cell>
          <cell r="G818" t="str">
            <v>16</v>
          </cell>
          <cell r="H818">
            <v>0</v>
          </cell>
        </row>
        <row r="819">
          <cell r="B819">
            <v>6586</v>
          </cell>
          <cell r="C819" t="str">
            <v>Livengood; Justin N.</v>
          </cell>
          <cell r="D819" t="str">
            <v>1C</v>
          </cell>
          <cell r="E819" t="str">
            <v>IBEWOUT</v>
          </cell>
          <cell r="F819" t="str">
            <v>47</v>
          </cell>
          <cell r="G819" t="str">
            <v>60</v>
          </cell>
          <cell r="H819">
            <v>0</v>
          </cell>
        </row>
        <row r="820">
          <cell r="B820">
            <v>6597</v>
          </cell>
          <cell r="C820" t="str">
            <v>LLamas; Oscar J.</v>
          </cell>
          <cell r="D820" t="str">
            <v>1C</v>
          </cell>
          <cell r="E820" t="str">
            <v>IBEWOUT</v>
          </cell>
          <cell r="F820" t="str">
            <v>47</v>
          </cell>
          <cell r="G820" t="str">
            <v>8</v>
          </cell>
          <cell r="H820">
            <v>0</v>
          </cell>
        </row>
        <row r="821">
          <cell r="B821">
            <v>6605</v>
          </cell>
          <cell r="C821" t="str">
            <v>Llorca; John D</v>
          </cell>
          <cell r="D821" t="str">
            <v>1C</v>
          </cell>
          <cell r="E821" t="str">
            <v>IBEWOUT</v>
          </cell>
          <cell r="F821" t="str">
            <v>47</v>
          </cell>
          <cell r="G821" t="str">
            <v>8</v>
          </cell>
          <cell r="H821">
            <v>0</v>
          </cell>
        </row>
        <row r="822">
          <cell r="B822">
            <v>6611</v>
          </cell>
          <cell r="C822" t="str">
            <v>Lock; Shane R</v>
          </cell>
          <cell r="D822" t="str">
            <v>1C</v>
          </cell>
          <cell r="E822" t="str">
            <v>IBEWOUT</v>
          </cell>
          <cell r="F822" t="str">
            <v>1245</v>
          </cell>
          <cell r="G822" t="str">
            <v>7</v>
          </cell>
          <cell r="H822">
            <v>0</v>
          </cell>
        </row>
        <row r="823">
          <cell r="B823">
            <v>6613</v>
          </cell>
          <cell r="C823" t="str">
            <v>Lougee; Thomas G</v>
          </cell>
          <cell r="D823" t="str">
            <v>1C</v>
          </cell>
          <cell r="E823" t="str">
            <v>IBEWOUT</v>
          </cell>
          <cell r="F823" t="str">
            <v>1245</v>
          </cell>
          <cell r="G823" t="str">
            <v>8</v>
          </cell>
          <cell r="H823">
            <v>0</v>
          </cell>
        </row>
        <row r="824">
          <cell r="B824">
            <v>6614</v>
          </cell>
          <cell r="C824" t="str">
            <v>Loera; Francisco</v>
          </cell>
          <cell r="D824" t="str">
            <v>1C</v>
          </cell>
          <cell r="E824" t="str">
            <v>IBEWOUT</v>
          </cell>
          <cell r="F824" t="str">
            <v>1245</v>
          </cell>
          <cell r="G824" t="str">
            <v>60</v>
          </cell>
          <cell r="H824">
            <v>0</v>
          </cell>
        </row>
        <row r="825">
          <cell r="B825">
            <v>6630</v>
          </cell>
          <cell r="C825" t="str">
            <v>Lomax; Gerald A.</v>
          </cell>
          <cell r="D825" t="str">
            <v>1</v>
          </cell>
          <cell r="E825">
            <v>6630</v>
          </cell>
          <cell r="F825">
            <v>6630</v>
          </cell>
          <cell r="G825">
            <v>6630</v>
          </cell>
          <cell r="H825">
            <v>1</v>
          </cell>
        </row>
        <row r="826">
          <cell r="B826">
            <v>6661</v>
          </cell>
          <cell r="C826" t="str">
            <v>Long; Scott A.</v>
          </cell>
          <cell r="D826" t="str">
            <v>1C</v>
          </cell>
          <cell r="E826" t="str">
            <v>IBEWOUT</v>
          </cell>
          <cell r="F826" t="str">
            <v>1245</v>
          </cell>
          <cell r="G826" t="str">
            <v>17</v>
          </cell>
          <cell r="H826">
            <v>0</v>
          </cell>
        </row>
        <row r="827">
          <cell r="B827">
            <v>6663</v>
          </cell>
          <cell r="C827" t="str">
            <v>Long; William K</v>
          </cell>
          <cell r="D827" t="str">
            <v>1C</v>
          </cell>
          <cell r="E827" t="str">
            <v>IBEWOUT</v>
          </cell>
          <cell r="F827" t="str">
            <v>47</v>
          </cell>
          <cell r="G827" t="str">
            <v>16</v>
          </cell>
          <cell r="H827">
            <v>0</v>
          </cell>
        </row>
        <row r="828">
          <cell r="B828">
            <v>6665</v>
          </cell>
          <cell r="C828" t="str">
            <v>Long; Gerald</v>
          </cell>
          <cell r="D828" t="str">
            <v>1C</v>
          </cell>
          <cell r="E828" t="str">
            <v>IBEWOUT</v>
          </cell>
          <cell r="F828" t="str">
            <v>611</v>
          </cell>
          <cell r="G828" t="str">
            <v>7</v>
          </cell>
          <cell r="H828">
            <v>0</v>
          </cell>
        </row>
        <row r="829">
          <cell r="B829">
            <v>6672</v>
          </cell>
          <cell r="C829" t="str">
            <v>Lopez; Hector M</v>
          </cell>
          <cell r="D829" t="str">
            <v>1C</v>
          </cell>
          <cell r="E829" t="str">
            <v>IBEWOUT</v>
          </cell>
          <cell r="F829" t="str">
            <v>1245</v>
          </cell>
          <cell r="G829" t="str">
            <v>13</v>
          </cell>
          <cell r="H829">
            <v>0</v>
          </cell>
        </row>
        <row r="830">
          <cell r="B830">
            <v>6674</v>
          </cell>
          <cell r="C830" t="str">
            <v>Longtin; Eric S</v>
          </cell>
          <cell r="D830" t="str">
            <v>1C</v>
          </cell>
          <cell r="E830" t="str">
            <v>IBEWOUT</v>
          </cell>
          <cell r="F830" t="str">
            <v>126</v>
          </cell>
          <cell r="G830" t="str">
            <v>8</v>
          </cell>
          <cell r="H830">
            <v>0</v>
          </cell>
        </row>
        <row r="831">
          <cell r="B831">
            <v>6675</v>
          </cell>
          <cell r="C831" t="str">
            <v>Longtin; Eric Z</v>
          </cell>
          <cell r="D831" t="str">
            <v>1C</v>
          </cell>
          <cell r="E831" t="str">
            <v>IBEWOUT</v>
          </cell>
          <cell r="F831" t="str">
            <v>126</v>
          </cell>
          <cell r="G831" t="str">
            <v>18</v>
          </cell>
          <cell r="H831">
            <v>0</v>
          </cell>
        </row>
        <row r="832">
          <cell r="B832">
            <v>6677</v>
          </cell>
          <cell r="C832" t="str">
            <v>Lonneker; Derrick L</v>
          </cell>
          <cell r="D832" t="str">
            <v>1</v>
          </cell>
          <cell r="E832" t="str">
            <v>IBEWOUT</v>
          </cell>
          <cell r="F832" t="str">
            <v>1245</v>
          </cell>
          <cell r="G832" t="str">
            <v>8</v>
          </cell>
          <cell r="H832">
            <v>0</v>
          </cell>
        </row>
        <row r="833">
          <cell r="B833">
            <v>6702</v>
          </cell>
          <cell r="C833" t="str">
            <v>Love; David A</v>
          </cell>
          <cell r="D833" t="str">
            <v>1C</v>
          </cell>
          <cell r="E833" t="str">
            <v>IBEWOUT</v>
          </cell>
          <cell r="F833" t="str">
            <v>47</v>
          </cell>
          <cell r="G833" t="str">
            <v>8</v>
          </cell>
          <cell r="H833">
            <v>0</v>
          </cell>
        </row>
        <row r="834">
          <cell r="B834">
            <v>6703</v>
          </cell>
          <cell r="C834" t="str">
            <v>Lovelady; Brian B</v>
          </cell>
          <cell r="D834" t="str">
            <v>1C</v>
          </cell>
          <cell r="E834" t="str">
            <v>IBEWOUT</v>
          </cell>
          <cell r="F834" t="str">
            <v>1245</v>
          </cell>
          <cell r="G834" t="str">
            <v>60</v>
          </cell>
          <cell r="H834">
            <v>0</v>
          </cell>
        </row>
        <row r="835">
          <cell r="B835">
            <v>6706</v>
          </cell>
          <cell r="C835" t="str">
            <v>Loucks; Tammi Louise</v>
          </cell>
          <cell r="D835" t="str">
            <v>1C</v>
          </cell>
          <cell r="E835">
            <v>6706</v>
          </cell>
          <cell r="F835">
            <v>6706</v>
          </cell>
          <cell r="G835">
            <v>6706</v>
          </cell>
          <cell r="H835">
            <v>0</v>
          </cell>
        </row>
        <row r="836">
          <cell r="B836">
            <v>6711</v>
          </cell>
          <cell r="C836" t="str">
            <v>Lowerison; William David</v>
          </cell>
          <cell r="D836" t="str">
            <v>1</v>
          </cell>
          <cell r="E836">
            <v>6711</v>
          </cell>
          <cell r="F836">
            <v>6711</v>
          </cell>
          <cell r="G836">
            <v>6711</v>
          </cell>
          <cell r="H836">
            <v>0</v>
          </cell>
        </row>
        <row r="837">
          <cell r="B837">
            <v>6725</v>
          </cell>
          <cell r="C837" t="str">
            <v>Loucks; Robert L.</v>
          </cell>
          <cell r="D837" t="str">
            <v>1C</v>
          </cell>
          <cell r="E837">
            <v>6725</v>
          </cell>
          <cell r="F837">
            <v>6725</v>
          </cell>
          <cell r="G837">
            <v>6725</v>
          </cell>
          <cell r="H837">
            <v>0</v>
          </cell>
        </row>
        <row r="838">
          <cell r="B838">
            <v>6728</v>
          </cell>
          <cell r="C838" t="str">
            <v>Lowen; Terry Michael</v>
          </cell>
          <cell r="D838" t="str">
            <v>1</v>
          </cell>
          <cell r="E838">
            <v>6728</v>
          </cell>
          <cell r="F838">
            <v>6728</v>
          </cell>
          <cell r="G838">
            <v>6728</v>
          </cell>
          <cell r="H838">
            <v>1</v>
          </cell>
        </row>
        <row r="839">
          <cell r="B839">
            <v>6729</v>
          </cell>
          <cell r="C839" t="str">
            <v>Lowen; Elijah S</v>
          </cell>
          <cell r="D839" t="str">
            <v>1C</v>
          </cell>
          <cell r="E839" t="str">
            <v>IBEWOUT</v>
          </cell>
          <cell r="F839" t="str">
            <v>160</v>
          </cell>
          <cell r="G839" t="str">
            <v>17</v>
          </cell>
          <cell r="H839">
            <v>0</v>
          </cell>
        </row>
        <row r="840">
          <cell r="B840">
            <v>6730</v>
          </cell>
          <cell r="C840" t="str">
            <v>Loya; James S.</v>
          </cell>
          <cell r="D840" t="str">
            <v>1C</v>
          </cell>
          <cell r="E840" t="str">
            <v>IBEWOUT</v>
          </cell>
          <cell r="F840" t="str">
            <v>47</v>
          </cell>
          <cell r="G840" t="str">
            <v>8</v>
          </cell>
          <cell r="H840">
            <v>0</v>
          </cell>
        </row>
        <row r="841">
          <cell r="B841">
            <v>6733</v>
          </cell>
          <cell r="C841" t="str">
            <v>Lueck; Kristofer D</v>
          </cell>
          <cell r="D841" t="str">
            <v>1</v>
          </cell>
          <cell r="E841" t="str">
            <v>IBEWOUT</v>
          </cell>
          <cell r="F841" t="str">
            <v>1245</v>
          </cell>
          <cell r="G841" t="str">
            <v>9</v>
          </cell>
          <cell r="H841">
            <v>0</v>
          </cell>
        </row>
        <row r="842">
          <cell r="B842">
            <v>6735</v>
          </cell>
          <cell r="C842" t="str">
            <v>Luevano; Jesus R</v>
          </cell>
          <cell r="D842" t="str">
            <v>1</v>
          </cell>
          <cell r="E842" t="str">
            <v>IBEWOUT</v>
          </cell>
          <cell r="F842" t="str">
            <v>47</v>
          </cell>
          <cell r="G842" t="str">
            <v>8</v>
          </cell>
          <cell r="H842">
            <v>0</v>
          </cell>
        </row>
        <row r="843">
          <cell r="B843">
            <v>6738</v>
          </cell>
          <cell r="C843" t="str">
            <v>Lundberg; Jeremy Allen</v>
          </cell>
          <cell r="D843" t="str">
            <v>1</v>
          </cell>
          <cell r="E843" t="str">
            <v>IBEWOUT</v>
          </cell>
          <cell r="F843" t="str">
            <v>77</v>
          </cell>
          <cell r="G843" t="str">
            <v>8</v>
          </cell>
          <cell r="H843">
            <v>0</v>
          </cell>
        </row>
        <row r="844">
          <cell r="B844">
            <v>6745</v>
          </cell>
          <cell r="C844" t="str">
            <v>Lynch; Andrew J.</v>
          </cell>
          <cell r="D844" t="str">
            <v>1C</v>
          </cell>
          <cell r="E844" t="str">
            <v>IBEWOUT</v>
          </cell>
          <cell r="F844" t="str">
            <v>77</v>
          </cell>
          <cell r="G844" t="str">
            <v>8</v>
          </cell>
          <cell r="H844">
            <v>0</v>
          </cell>
        </row>
        <row r="845">
          <cell r="B845">
            <v>6917</v>
          </cell>
          <cell r="C845" t="str">
            <v>MacKenzie; Austin M</v>
          </cell>
          <cell r="D845" t="str">
            <v>1</v>
          </cell>
          <cell r="E845">
            <v>6917</v>
          </cell>
          <cell r="F845">
            <v>6917</v>
          </cell>
          <cell r="G845">
            <v>6917</v>
          </cell>
          <cell r="H845">
            <v>1</v>
          </cell>
        </row>
        <row r="846">
          <cell r="B846">
            <v>6918</v>
          </cell>
          <cell r="C846" t="str">
            <v>MacKenzie; Amber</v>
          </cell>
          <cell r="D846" t="str">
            <v>1</v>
          </cell>
          <cell r="E846">
            <v>6918</v>
          </cell>
          <cell r="F846">
            <v>6918</v>
          </cell>
          <cell r="G846">
            <v>6918</v>
          </cell>
          <cell r="H846">
            <v>1</v>
          </cell>
        </row>
        <row r="847">
          <cell r="B847">
            <v>6919</v>
          </cell>
          <cell r="C847" t="str">
            <v>MacKenzie; Matt E.</v>
          </cell>
          <cell r="D847" t="str">
            <v>1</v>
          </cell>
          <cell r="E847" t="str">
            <v>IBEWOUT</v>
          </cell>
          <cell r="F847" t="str">
            <v>1245</v>
          </cell>
          <cell r="G847" t="str">
            <v>1</v>
          </cell>
          <cell r="H847">
            <v>1</v>
          </cell>
        </row>
        <row r="848">
          <cell r="B848">
            <v>6921</v>
          </cell>
          <cell r="C848" t="str">
            <v>Mackeprang; Jake R</v>
          </cell>
          <cell r="D848" t="str">
            <v>1C</v>
          </cell>
          <cell r="E848" t="str">
            <v>IBEWOUT</v>
          </cell>
          <cell r="F848" t="str">
            <v>160</v>
          </cell>
          <cell r="G848" t="str">
            <v>8</v>
          </cell>
          <cell r="H848">
            <v>0</v>
          </cell>
        </row>
        <row r="849">
          <cell r="B849">
            <v>6922</v>
          </cell>
          <cell r="C849" t="str">
            <v>Mackey; Craig J</v>
          </cell>
          <cell r="D849" t="str">
            <v>1</v>
          </cell>
          <cell r="E849" t="str">
            <v>IBEWOUT</v>
          </cell>
          <cell r="F849" t="str">
            <v>160</v>
          </cell>
          <cell r="G849" t="str">
            <v>8</v>
          </cell>
          <cell r="H849">
            <v>0</v>
          </cell>
        </row>
        <row r="850">
          <cell r="B850">
            <v>6926</v>
          </cell>
          <cell r="C850" t="str">
            <v>MacMillan; Kandus WS</v>
          </cell>
          <cell r="D850" t="str">
            <v>1C</v>
          </cell>
          <cell r="E850" t="str">
            <v>IBEWOUT</v>
          </cell>
          <cell r="F850" t="str">
            <v>1245</v>
          </cell>
          <cell r="G850" t="str">
            <v>8</v>
          </cell>
          <cell r="H850">
            <v>0</v>
          </cell>
        </row>
        <row r="851">
          <cell r="B851">
            <v>6927</v>
          </cell>
          <cell r="C851" t="str">
            <v>Major; Brandon L</v>
          </cell>
          <cell r="D851" t="str">
            <v>1</v>
          </cell>
          <cell r="E851">
            <v>6927</v>
          </cell>
          <cell r="F851">
            <v>6927</v>
          </cell>
          <cell r="G851">
            <v>6927</v>
          </cell>
          <cell r="H851">
            <v>1</v>
          </cell>
        </row>
        <row r="852">
          <cell r="B852">
            <v>6928</v>
          </cell>
          <cell r="C852" t="str">
            <v>Madden; Thomas P</v>
          </cell>
          <cell r="D852" t="str">
            <v>1C</v>
          </cell>
          <cell r="E852" t="str">
            <v>IBEWOUT</v>
          </cell>
          <cell r="F852" t="str">
            <v>1245</v>
          </cell>
          <cell r="G852" t="str">
            <v>8</v>
          </cell>
          <cell r="H852">
            <v>0</v>
          </cell>
        </row>
        <row r="853">
          <cell r="B853">
            <v>6929</v>
          </cell>
          <cell r="C853" t="str">
            <v>MacLauchlan; Robert D</v>
          </cell>
          <cell r="D853" t="str">
            <v>1</v>
          </cell>
          <cell r="E853" t="str">
            <v>IBEWOUT</v>
          </cell>
          <cell r="F853" t="str">
            <v>1245</v>
          </cell>
          <cell r="G853" t="str">
            <v>1</v>
          </cell>
          <cell r="H853">
            <v>0</v>
          </cell>
        </row>
        <row r="854">
          <cell r="B854">
            <v>6930</v>
          </cell>
          <cell r="C854" t="str">
            <v>Maes; Daniel T.</v>
          </cell>
          <cell r="D854" t="str">
            <v>1C</v>
          </cell>
          <cell r="E854" t="str">
            <v>IBEWOUT</v>
          </cell>
          <cell r="F854" t="str">
            <v>611</v>
          </cell>
          <cell r="G854" t="str">
            <v>14</v>
          </cell>
          <cell r="H854">
            <v>0</v>
          </cell>
        </row>
        <row r="855">
          <cell r="B855">
            <v>6931</v>
          </cell>
          <cell r="C855" t="str">
            <v>Madison; Nathaniel T</v>
          </cell>
          <cell r="D855" t="str">
            <v>1</v>
          </cell>
          <cell r="E855" t="str">
            <v>IBEWOUT</v>
          </cell>
          <cell r="F855" t="str">
            <v>160</v>
          </cell>
          <cell r="G855" t="str">
            <v>8</v>
          </cell>
          <cell r="H855">
            <v>0</v>
          </cell>
        </row>
        <row r="856">
          <cell r="B856">
            <v>6948</v>
          </cell>
          <cell r="C856" t="str">
            <v>Maier; Bailey M</v>
          </cell>
          <cell r="D856" t="str">
            <v>1C</v>
          </cell>
          <cell r="E856">
            <v>6948</v>
          </cell>
          <cell r="F856">
            <v>6948</v>
          </cell>
          <cell r="G856">
            <v>6948</v>
          </cell>
          <cell r="H856">
            <v>0</v>
          </cell>
        </row>
        <row r="857">
          <cell r="B857">
            <v>6981</v>
          </cell>
          <cell r="C857" t="str">
            <v>Malik; Zeeshan M</v>
          </cell>
          <cell r="D857" t="str">
            <v>1C</v>
          </cell>
          <cell r="E857" t="str">
            <v>IBEWOUT</v>
          </cell>
          <cell r="F857" t="str">
            <v>611</v>
          </cell>
          <cell r="G857" t="str">
            <v>16</v>
          </cell>
          <cell r="H857">
            <v>0</v>
          </cell>
        </row>
        <row r="858">
          <cell r="B858">
            <v>6983</v>
          </cell>
          <cell r="C858" t="str">
            <v>Mallory; Nick V.</v>
          </cell>
          <cell r="D858" t="str">
            <v>1C</v>
          </cell>
          <cell r="E858" t="str">
            <v>IBEWOUT</v>
          </cell>
          <cell r="F858" t="str">
            <v>769</v>
          </cell>
          <cell r="G858" t="str">
            <v>7</v>
          </cell>
          <cell r="H858">
            <v>0</v>
          </cell>
        </row>
        <row r="859">
          <cell r="B859">
            <v>6984</v>
          </cell>
          <cell r="C859" t="str">
            <v>Malloy; John M.</v>
          </cell>
          <cell r="D859" t="str">
            <v>1C</v>
          </cell>
          <cell r="E859" t="str">
            <v>IBEWOUT</v>
          </cell>
          <cell r="F859" t="str">
            <v>1049</v>
          </cell>
          <cell r="G859" t="str">
            <v>8</v>
          </cell>
          <cell r="H859">
            <v>0</v>
          </cell>
        </row>
        <row r="860">
          <cell r="B860">
            <v>6985</v>
          </cell>
          <cell r="C860" t="str">
            <v>Maloney; Thane C.</v>
          </cell>
          <cell r="D860" t="str">
            <v>1C</v>
          </cell>
          <cell r="E860" t="str">
            <v>IBEWOUT</v>
          </cell>
          <cell r="F860" t="str">
            <v>1245</v>
          </cell>
          <cell r="G860" t="str">
            <v>16</v>
          </cell>
          <cell r="H860">
            <v>0</v>
          </cell>
        </row>
        <row r="861">
          <cell r="B861">
            <v>6986</v>
          </cell>
          <cell r="C861" t="str">
            <v>Mann; Justin M</v>
          </cell>
          <cell r="D861" t="str">
            <v>1C</v>
          </cell>
          <cell r="E861" t="str">
            <v>IBEWOUT</v>
          </cell>
          <cell r="F861" t="str">
            <v>160</v>
          </cell>
          <cell r="G861" t="str">
            <v>8</v>
          </cell>
          <cell r="H861">
            <v>0</v>
          </cell>
        </row>
        <row r="862">
          <cell r="B862">
            <v>6994</v>
          </cell>
          <cell r="C862" t="str">
            <v>Mantei; Kody J</v>
          </cell>
          <cell r="D862" t="str">
            <v>1C</v>
          </cell>
          <cell r="E862" t="str">
            <v>IBEWOUT</v>
          </cell>
          <cell r="F862" t="str">
            <v>126</v>
          </cell>
          <cell r="G862" t="str">
            <v>33</v>
          </cell>
          <cell r="H862">
            <v>0</v>
          </cell>
        </row>
        <row r="863">
          <cell r="B863">
            <v>6998</v>
          </cell>
          <cell r="C863" t="str">
            <v>Mardis; Johnathan D</v>
          </cell>
          <cell r="D863" t="str">
            <v>1</v>
          </cell>
          <cell r="E863">
            <v>6998</v>
          </cell>
          <cell r="F863">
            <v>6998</v>
          </cell>
          <cell r="G863">
            <v>6998</v>
          </cell>
          <cell r="H863">
            <v>0</v>
          </cell>
        </row>
        <row r="864">
          <cell r="B864">
            <v>6999</v>
          </cell>
          <cell r="C864" t="str">
            <v>Marden; Tanner K</v>
          </cell>
          <cell r="D864" t="str">
            <v>1</v>
          </cell>
          <cell r="E864" t="str">
            <v>IBEWOUT</v>
          </cell>
          <cell r="F864" t="str">
            <v>77</v>
          </cell>
          <cell r="G864" t="str">
            <v>15</v>
          </cell>
          <cell r="H864">
            <v>0</v>
          </cell>
        </row>
        <row r="865">
          <cell r="B865">
            <v>7000</v>
          </cell>
          <cell r="C865" t="str">
            <v>March; Patrick D</v>
          </cell>
          <cell r="D865" t="str">
            <v>1C</v>
          </cell>
          <cell r="E865" t="str">
            <v>IBEWOUT</v>
          </cell>
          <cell r="F865" t="str">
            <v>1245</v>
          </cell>
          <cell r="G865" t="str">
            <v>8</v>
          </cell>
          <cell r="H865">
            <v>0</v>
          </cell>
        </row>
        <row r="866">
          <cell r="B866">
            <v>7001</v>
          </cell>
          <cell r="C866" t="str">
            <v>Marcovatcio; Brandon J</v>
          </cell>
          <cell r="D866" t="str">
            <v>1</v>
          </cell>
          <cell r="E866" t="str">
            <v>IBEWOUT</v>
          </cell>
          <cell r="F866" t="str">
            <v>1245</v>
          </cell>
          <cell r="G866" t="str">
            <v>9</v>
          </cell>
          <cell r="H866">
            <v>0</v>
          </cell>
        </row>
        <row r="867">
          <cell r="B867">
            <v>7008</v>
          </cell>
          <cell r="C867" t="str">
            <v>Marley; Kyle C</v>
          </cell>
          <cell r="D867" t="str">
            <v>1C</v>
          </cell>
          <cell r="E867" t="str">
            <v>IBEWOUT</v>
          </cell>
          <cell r="F867" t="str">
            <v>611</v>
          </cell>
          <cell r="G867" t="str">
            <v>15</v>
          </cell>
          <cell r="H867">
            <v>0</v>
          </cell>
        </row>
        <row r="868">
          <cell r="B868">
            <v>7009</v>
          </cell>
          <cell r="C868" t="str">
            <v>Martinez; Hector R.</v>
          </cell>
          <cell r="D868" t="str">
            <v>1C</v>
          </cell>
          <cell r="E868" t="str">
            <v>IBEWOUT</v>
          </cell>
          <cell r="F868" t="str">
            <v>47</v>
          </cell>
          <cell r="G868" t="str">
            <v>60</v>
          </cell>
          <cell r="H868">
            <v>0</v>
          </cell>
        </row>
        <row r="869">
          <cell r="B869">
            <v>7010</v>
          </cell>
          <cell r="C869" t="str">
            <v>Marquis; Phillip E</v>
          </cell>
          <cell r="D869" t="str">
            <v>1C</v>
          </cell>
          <cell r="E869" t="str">
            <v>IBEWOUT</v>
          </cell>
          <cell r="F869" t="str">
            <v>611</v>
          </cell>
          <cell r="G869" t="str">
            <v>8</v>
          </cell>
          <cell r="H869">
            <v>0</v>
          </cell>
        </row>
        <row r="870">
          <cell r="B870">
            <v>7016</v>
          </cell>
          <cell r="C870" t="str">
            <v>Martin; Jason K.</v>
          </cell>
          <cell r="D870" t="str">
            <v>1C</v>
          </cell>
          <cell r="E870" t="str">
            <v>IBEWOUT</v>
          </cell>
          <cell r="F870" t="str">
            <v>1245</v>
          </cell>
          <cell r="G870" t="str">
            <v>8</v>
          </cell>
          <cell r="H870">
            <v>0</v>
          </cell>
        </row>
        <row r="871">
          <cell r="B871">
            <v>7017</v>
          </cell>
          <cell r="C871" t="str">
            <v>Martinez; Ruben Michael</v>
          </cell>
          <cell r="D871" t="str">
            <v>1C</v>
          </cell>
          <cell r="E871">
            <v>7017</v>
          </cell>
          <cell r="F871">
            <v>7017</v>
          </cell>
          <cell r="G871">
            <v>7017</v>
          </cell>
          <cell r="H871">
            <v>1</v>
          </cell>
        </row>
        <row r="872">
          <cell r="B872">
            <v>7019</v>
          </cell>
          <cell r="C872" t="str">
            <v>Martinez-Verela; Gerardo</v>
          </cell>
          <cell r="D872" t="str">
            <v>1C</v>
          </cell>
          <cell r="E872" t="str">
            <v>IBEWOUT</v>
          </cell>
          <cell r="F872" t="str">
            <v>1245</v>
          </cell>
          <cell r="G872" t="str">
            <v>13</v>
          </cell>
          <cell r="H872">
            <v>0</v>
          </cell>
        </row>
        <row r="873">
          <cell r="B873">
            <v>7021</v>
          </cell>
          <cell r="C873" t="str">
            <v>Marquez; Vincent A</v>
          </cell>
          <cell r="D873" t="str">
            <v>1C</v>
          </cell>
          <cell r="E873" t="str">
            <v>IBEWOUT</v>
          </cell>
          <cell r="F873" t="str">
            <v>611</v>
          </cell>
          <cell r="G873" t="str">
            <v>18</v>
          </cell>
          <cell r="H873">
            <v>0</v>
          </cell>
        </row>
        <row r="874">
          <cell r="B874">
            <v>7023</v>
          </cell>
          <cell r="C874" t="str">
            <v>Marvin; Kelly J</v>
          </cell>
          <cell r="D874" t="str">
            <v>1C</v>
          </cell>
          <cell r="E874" t="str">
            <v>IBEWOUT</v>
          </cell>
          <cell r="F874" t="str">
            <v>1245</v>
          </cell>
          <cell r="G874" t="str">
            <v>7</v>
          </cell>
          <cell r="H874">
            <v>0</v>
          </cell>
        </row>
        <row r="875">
          <cell r="B875">
            <v>7024</v>
          </cell>
          <cell r="C875" t="str">
            <v>Massiatte; Joseph B</v>
          </cell>
          <cell r="D875" t="str">
            <v>1</v>
          </cell>
          <cell r="E875" t="str">
            <v>IBEWOUT</v>
          </cell>
          <cell r="F875" t="str">
            <v>47</v>
          </cell>
          <cell r="G875" t="str">
            <v>8</v>
          </cell>
          <cell r="H875">
            <v>0</v>
          </cell>
        </row>
        <row r="876">
          <cell r="B876">
            <v>7025</v>
          </cell>
          <cell r="C876" t="str">
            <v>Martin; Clyde Warren</v>
          </cell>
          <cell r="D876" t="str">
            <v>1C</v>
          </cell>
          <cell r="E876" t="str">
            <v>IBEWOUT</v>
          </cell>
          <cell r="F876" t="str">
            <v>611</v>
          </cell>
          <cell r="G876" t="str">
            <v>8</v>
          </cell>
          <cell r="H876">
            <v>0</v>
          </cell>
        </row>
        <row r="877">
          <cell r="B877">
            <v>7026</v>
          </cell>
          <cell r="C877" t="str">
            <v>Massei; Anthony Joseph</v>
          </cell>
          <cell r="D877" t="str">
            <v>1C</v>
          </cell>
          <cell r="E877">
            <v>7026</v>
          </cell>
          <cell r="F877">
            <v>7026</v>
          </cell>
          <cell r="G877">
            <v>7026</v>
          </cell>
          <cell r="H877">
            <v>1</v>
          </cell>
        </row>
        <row r="878">
          <cell r="B878">
            <v>7027</v>
          </cell>
          <cell r="C878" t="str">
            <v>Marquez; Jorge</v>
          </cell>
          <cell r="D878" t="str">
            <v>1C</v>
          </cell>
          <cell r="E878" t="str">
            <v>IBEWOUT</v>
          </cell>
          <cell r="F878" t="str">
            <v>47</v>
          </cell>
          <cell r="G878" t="str">
            <v>15</v>
          </cell>
          <cell r="H878">
            <v>0</v>
          </cell>
        </row>
        <row r="879">
          <cell r="B879">
            <v>7028</v>
          </cell>
          <cell r="C879" t="str">
            <v>Martin; David E</v>
          </cell>
          <cell r="D879" t="str">
            <v>1</v>
          </cell>
          <cell r="E879">
            <v>7028</v>
          </cell>
          <cell r="F879">
            <v>7028</v>
          </cell>
          <cell r="G879">
            <v>7028</v>
          </cell>
          <cell r="H879">
            <v>0</v>
          </cell>
        </row>
        <row r="880">
          <cell r="B880">
            <v>7031</v>
          </cell>
          <cell r="C880" t="str">
            <v>Martinez; Richard D.</v>
          </cell>
          <cell r="D880" t="str">
            <v>1C</v>
          </cell>
          <cell r="E880" t="str">
            <v>IBEWOUT</v>
          </cell>
          <cell r="F880" t="str">
            <v>611</v>
          </cell>
          <cell r="G880" t="str">
            <v>8</v>
          </cell>
          <cell r="H880">
            <v>0</v>
          </cell>
        </row>
        <row r="881">
          <cell r="B881">
            <v>7039</v>
          </cell>
          <cell r="C881" t="str">
            <v>Marsh III; David</v>
          </cell>
          <cell r="D881" t="str">
            <v>1</v>
          </cell>
          <cell r="E881" t="str">
            <v>IBEWOUT</v>
          </cell>
          <cell r="F881" t="str">
            <v>47</v>
          </cell>
          <cell r="G881" t="str">
            <v>8</v>
          </cell>
          <cell r="H881">
            <v>0</v>
          </cell>
        </row>
        <row r="882">
          <cell r="B882">
            <v>7040</v>
          </cell>
          <cell r="C882" t="str">
            <v>Marsh; Michael A.</v>
          </cell>
          <cell r="D882" t="str">
            <v>1C</v>
          </cell>
          <cell r="E882" t="str">
            <v>IBEWOUT</v>
          </cell>
          <cell r="F882" t="str">
            <v>47</v>
          </cell>
          <cell r="G882" t="str">
            <v>16</v>
          </cell>
          <cell r="H882">
            <v>0</v>
          </cell>
        </row>
        <row r="883">
          <cell r="B883">
            <v>7042</v>
          </cell>
          <cell r="C883" t="str">
            <v>Marshall III; Robert R</v>
          </cell>
          <cell r="D883" t="str">
            <v>1C</v>
          </cell>
          <cell r="E883" t="str">
            <v>IBEWOUT</v>
          </cell>
          <cell r="F883" t="str">
            <v>1245</v>
          </cell>
          <cell r="G883" t="str">
            <v>8</v>
          </cell>
          <cell r="H883">
            <v>0</v>
          </cell>
        </row>
        <row r="884">
          <cell r="B884">
            <v>7081</v>
          </cell>
          <cell r="C884" t="str">
            <v>Martin; Ryan P</v>
          </cell>
          <cell r="D884" t="str">
            <v>1</v>
          </cell>
          <cell r="E884" t="str">
            <v>IBEWOUT</v>
          </cell>
          <cell r="F884" t="str">
            <v>1049</v>
          </cell>
          <cell r="G884" t="str">
            <v>16</v>
          </cell>
          <cell r="H884">
            <v>0</v>
          </cell>
        </row>
        <row r="885">
          <cell r="B885">
            <v>7082</v>
          </cell>
          <cell r="C885" t="str">
            <v>Maryboy; Leo Harvey</v>
          </cell>
          <cell r="D885" t="str">
            <v>1C</v>
          </cell>
          <cell r="E885" t="str">
            <v>IBEWOUT</v>
          </cell>
          <cell r="F885" t="str">
            <v>47</v>
          </cell>
          <cell r="G885" t="str">
            <v>8</v>
          </cell>
          <cell r="H885">
            <v>0</v>
          </cell>
        </row>
        <row r="886">
          <cell r="B886">
            <v>7084</v>
          </cell>
          <cell r="C886" t="str">
            <v>Mathias; Shawn Bryan</v>
          </cell>
          <cell r="D886" t="str">
            <v>1C</v>
          </cell>
          <cell r="E886" t="str">
            <v>IBEWOUT</v>
          </cell>
          <cell r="F886" t="str">
            <v>77</v>
          </cell>
          <cell r="G886" t="str">
            <v>8</v>
          </cell>
          <cell r="H886">
            <v>0</v>
          </cell>
        </row>
        <row r="887">
          <cell r="B887">
            <v>7086</v>
          </cell>
          <cell r="C887" t="str">
            <v>Martinez; Edward</v>
          </cell>
          <cell r="D887" t="str">
            <v>1C</v>
          </cell>
          <cell r="E887" t="str">
            <v>IBEWOUT</v>
          </cell>
          <cell r="F887" t="str">
            <v>1245</v>
          </cell>
          <cell r="G887" t="str">
            <v>18</v>
          </cell>
          <cell r="H887">
            <v>0</v>
          </cell>
        </row>
        <row r="888">
          <cell r="B888">
            <v>7087</v>
          </cell>
          <cell r="C888" t="str">
            <v>Marsh; Jeffrey A</v>
          </cell>
          <cell r="D888" t="str">
            <v>1C</v>
          </cell>
          <cell r="E888" t="str">
            <v>IBEWOUT</v>
          </cell>
          <cell r="F888" t="str">
            <v>160</v>
          </cell>
          <cell r="G888" t="str">
            <v>8</v>
          </cell>
          <cell r="H888">
            <v>0</v>
          </cell>
        </row>
        <row r="889">
          <cell r="B889">
            <v>7088</v>
          </cell>
          <cell r="C889" t="str">
            <v>Dean; Marvin</v>
          </cell>
          <cell r="D889" t="str">
            <v>1C</v>
          </cell>
          <cell r="E889" t="str">
            <v>IBEWOUT</v>
          </cell>
          <cell r="F889" t="str">
            <v>47</v>
          </cell>
          <cell r="G889" t="str">
            <v>8</v>
          </cell>
          <cell r="H889">
            <v>0</v>
          </cell>
        </row>
        <row r="890">
          <cell r="B890">
            <v>7090</v>
          </cell>
          <cell r="C890" t="str">
            <v>Martinez; Eddie</v>
          </cell>
          <cell r="D890" t="str">
            <v>1C</v>
          </cell>
          <cell r="E890" t="str">
            <v>IBEWOUT</v>
          </cell>
          <cell r="F890" t="str">
            <v>47</v>
          </cell>
          <cell r="G890" t="str">
            <v>17</v>
          </cell>
          <cell r="H890">
            <v>0</v>
          </cell>
        </row>
        <row r="891">
          <cell r="B891">
            <v>7091</v>
          </cell>
          <cell r="C891" t="str">
            <v>Mawhinney; Matthew Perin</v>
          </cell>
          <cell r="D891" t="str">
            <v>1C</v>
          </cell>
          <cell r="E891" t="str">
            <v>IBEWOUT</v>
          </cell>
          <cell r="F891" t="str">
            <v>769</v>
          </cell>
          <cell r="G891" t="str">
            <v>8</v>
          </cell>
          <cell r="H891">
            <v>0</v>
          </cell>
        </row>
        <row r="892">
          <cell r="B892">
            <v>7097</v>
          </cell>
          <cell r="C892" t="str">
            <v>Martin; Patrick W</v>
          </cell>
          <cell r="D892" t="str">
            <v>1C</v>
          </cell>
          <cell r="E892" t="str">
            <v>IBEWOUT</v>
          </cell>
          <cell r="F892" t="str">
            <v>1245</v>
          </cell>
          <cell r="G892" t="str">
            <v>14</v>
          </cell>
          <cell r="H892">
            <v>0</v>
          </cell>
        </row>
        <row r="893">
          <cell r="B893">
            <v>7098</v>
          </cell>
          <cell r="C893" t="str">
            <v>Mazza; Bryan P</v>
          </cell>
          <cell r="D893" t="str">
            <v>1C</v>
          </cell>
          <cell r="E893" t="str">
            <v>IBEWOUT</v>
          </cell>
          <cell r="F893" t="str">
            <v>1245</v>
          </cell>
          <cell r="G893" t="str">
            <v>8</v>
          </cell>
          <cell r="H893">
            <v>0</v>
          </cell>
        </row>
        <row r="894">
          <cell r="B894">
            <v>7099</v>
          </cell>
          <cell r="C894" t="str">
            <v>Martin; Lucas D</v>
          </cell>
          <cell r="D894" t="str">
            <v>1C</v>
          </cell>
          <cell r="E894" t="str">
            <v>IBEWOUT</v>
          </cell>
          <cell r="F894" t="str">
            <v>47</v>
          </cell>
          <cell r="G894" t="str">
            <v>8</v>
          </cell>
          <cell r="H894">
            <v>0</v>
          </cell>
        </row>
        <row r="895">
          <cell r="B895">
            <v>7254</v>
          </cell>
          <cell r="C895" t="str">
            <v>McBride; Troy E</v>
          </cell>
          <cell r="D895" t="str">
            <v>1</v>
          </cell>
          <cell r="E895" t="str">
            <v>IBEWOUT</v>
          </cell>
          <cell r="F895" t="str">
            <v>611</v>
          </cell>
          <cell r="G895" t="str">
            <v>9</v>
          </cell>
          <cell r="H895">
            <v>0</v>
          </cell>
        </row>
        <row r="896">
          <cell r="B896">
            <v>7256</v>
          </cell>
          <cell r="C896" t="str">
            <v>McBride; Joshua L.</v>
          </cell>
          <cell r="D896" t="str">
            <v>1</v>
          </cell>
          <cell r="E896">
            <v>7256</v>
          </cell>
          <cell r="F896">
            <v>7256</v>
          </cell>
          <cell r="G896">
            <v>7256</v>
          </cell>
          <cell r="H896">
            <v>1</v>
          </cell>
        </row>
        <row r="897">
          <cell r="B897">
            <v>7257</v>
          </cell>
          <cell r="C897" t="str">
            <v>McBride; Michael J.</v>
          </cell>
          <cell r="D897" t="str">
            <v>1C</v>
          </cell>
          <cell r="E897" t="str">
            <v>IBEWOUT</v>
          </cell>
          <cell r="F897" t="str">
            <v>1245</v>
          </cell>
          <cell r="G897" t="str">
            <v>8</v>
          </cell>
          <cell r="H897">
            <v>0</v>
          </cell>
        </row>
        <row r="898">
          <cell r="B898">
            <v>7269</v>
          </cell>
          <cell r="C898" t="str">
            <v>McClaflin; Barrett M</v>
          </cell>
          <cell r="D898" t="str">
            <v>1C</v>
          </cell>
          <cell r="E898" t="str">
            <v>IBEWOUT</v>
          </cell>
          <cell r="F898" t="str">
            <v>1245</v>
          </cell>
          <cell r="G898" t="str">
            <v>8</v>
          </cell>
          <cell r="H898">
            <v>0</v>
          </cell>
        </row>
        <row r="899">
          <cell r="B899">
            <v>7270</v>
          </cell>
          <cell r="C899" t="str">
            <v>McCarver; Shawn M.</v>
          </cell>
          <cell r="D899" t="str">
            <v>1C</v>
          </cell>
          <cell r="E899" t="str">
            <v>IBEWOUT</v>
          </cell>
          <cell r="F899" t="str">
            <v>611</v>
          </cell>
          <cell r="G899" t="str">
            <v>8</v>
          </cell>
          <cell r="H899">
            <v>0</v>
          </cell>
        </row>
        <row r="900">
          <cell r="B900">
            <v>7273</v>
          </cell>
          <cell r="C900" t="str">
            <v>McCarty; Christopher M</v>
          </cell>
          <cell r="D900" t="str">
            <v>1C</v>
          </cell>
          <cell r="E900">
            <v>7273</v>
          </cell>
          <cell r="F900">
            <v>7273</v>
          </cell>
          <cell r="G900">
            <v>7273</v>
          </cell>
          <cell r="H900">
            <v>1</v>
          </cell>
        </row>
        <row r="901">
          <cell r="B901">
            <v>7278</v>
          </cell>
          <cell r="C901" t="str">
            <v>McCool; Trent W</v>
          </cell>
          <cell r="D901" t="str">
            <v>1C</v>
          </cell>
          <cell r="E901" t="str">
            <v>IBEWOUT</v>
          </cell>
          <cell r="F901" t="str">
            <v>769</v>
          </cell>
          <cell r="G901" t="str">
            <v>8</v>
          </cell>
          <cell r="H901">
            <v>0</v>
          </cell>
        </row>
        <row r="902">
          <cell r="B902">
            <v>7292</v>
          </cell>
          <cell r="C902" t="str">
            <v>McClellan; John Clark</v>
          </cell>
          <cell r="D902" t="str">
            <v>1C</v>
          </cell>
          <cell r="E902">
            <v>7292</v>
          </cell>
          <cell r="F902">
            <v>7292</v>
          </cell>
          <cell r="G902">
            <v>7292</v>
          </cell>
          <cell r="H902">
            <v>1</v>
          </cell>
        </row>
        <row r="903">
          <cell r="B903">
            <v>7294</v>
          </cell>
          <cell r="C903" t="str">
            <v>McCloskey; Robert J</v>
          </cell>
          <cell r="D903" t="str">
            <v>1C</v>
          </cell>
          <cell r="E903">
            <v>7294</v>
          </cell>
          <cell r="F903">
            <v>7294</v>
          </cell>
          <cell r="G903">
            <v>7294</v>
          </cell>
          <cell r="H903">
            <v>0</v>
          </cell>
        </row>
        <row r="904">
          <cell r="B904">
            <v>7302</v>
          </cell>
          <cell r="C904" t="str">
            <v>McDermott; Robin W</v>
          </cell>
          <cell r="D904" t="str">
            <v>1</v>
          </cell>
          <cell r="E904" t="str">
            <v>IBEWOUT</v>
          </cell>
          <cell r="F904" t="str">
            <v>47</v>
          </cell>
          <cell r="G904" t="str">
            <v>14</v>
          </cell>
          <cell r="H904">
            <v>0</v>
          </cell>
        </row>
        <row r="905">
          <cell r="B905">
            <v>7324</v>
          </cell>
          <cell r="C905" t="str">
            <v>McElwain; Devin S</v>
          </cell>
          <cell r="D905" t="str">
            <v>1C</v>
          </cell>
          <cell r="E905" t="str">
            <v>IBEWOUT</v>
          </cell>
          <cell r="F905" t="str">
            <v>47</v>
          </cell>
          <cell r="G905" t="str">
            <v>16</v>
          </cell>
          <cell r="H905">
            <v>0</v>
          </cell>
        </row>
        <row r="906">
          <cell r="B906">
            <v>7343</v>
          </cell>
          <cell r="C906" t="str">
            <v>McGill; Dustin C.</v>
          </cell>
          <cell r="D906" t="str">
            <v>1C</v>
          </cell>
          <cell r="E906" t="str">
            <v>IBEWOUT</v>
          </cell>
          <cell r="F906" t="str">
            <v>1245</v>
          </cell>
          <cell r="G906" t="str">
            <v>8</v>
          </cell>
          <cell r="H906">
            <v>0</v>
          </cell>
        </row>
        <row r="907">
          <cell r="B907">
            <v>7346</v>
          </cell>
          <cell r="C907" t="str">
            <v>McKee; James J.</v>
          </cell>
          <cell r="D907" t="str">
            <v>1C</v>
          </cell>
          <cell r="E907" t="str">
            <v>IBEWOUT</v>
          </cell>
          <cell r="F907" t="str">
            <v>47</v>
          </cell>
          <cell r="G907" t="str">
            <v>7</v>
          </cell>
          <cell r="H907">
            <v>0</v>
          </cell>
        </row>
        <row r="908">
          <cell r="B908">
            <v>7347</v>
          </cell>
          <cell r="C908" t="str">
            <v>McKernan; Shane C</v>
          </cell>
          <cell r="D908" t="str">
            <v>1C</v>
          </cell>
          <cell r="E908" t="str">
            <v>IBEWOUT</v>
          </cell>
          <cell r="F908" t="str">
            <v>1319</v>
          </cell>
          <cell r="G908" t="str">
            <v>13</v>
          </cell>
          <cell r="H908">
            <v>0</v>
          </cell>
        </row>
        <row r="909">
          <cell r="B909">
            <v>7348</v>
          </cell>
          <cell r="C909" t="str">
            <v>McKenna; Thomas</v>
          </cell>
          <cell r="D909" t="str">
            <v>1C</v>
          </cell>
          <cell r="E909" t="str">
            <v>IBEWIN</v>
          </cell>
          <cell r="F909" t="str">
            <v>280</v>
          </cell>
          <cell r="G909" t="str">
            <v>62</v>
          </cell>
          <cell r="H909">
            <v>0</v>
          </cell>
        </row>
        <row r="910">
          <cell r="B910">
            <v>7349</v>
          </cell>
          <cell r="C910" t="str">
            <v>McKenna; James E</v>
          </cell>
          <cell r="D910" t="str">
            <v>1C</v>
          </cell>
          <cell r="E910" t="str">
            <v>IBEWOUT</v>
          </cell>
          <cell r="F910" t="str">
            <v>1245</v>
          </cell>
          <cell r="G910" t="str">
            <v>17</v>
          </cell>
          <cell r="H910">
            <v>0</v>
          </cell>
        </row>
        <row r="911">
          <cell r="B911">
            <v>7351</v>
          </cell>
          <cell r="C911" t="str">
            <v>McIlwain; Stanley</v>
          </cell>
          <cell r="D911" t="str">
            <v>1C</v>
          </cell>
          <cell r="E911" t="str">
            <v>IBEWOUT</v>
          </cell>
          <cell r="F911" t="str">
            <v>769</v>
          </cell>
          <cell r="G911" t="str">
            <v>8</v>
          </cell>
          <cell r="H911">
            <v>0</v>
          </cell>
        </row>
        <row r="912">
          <cell r="B912">
            <v>7360</v>
          </cell>
          <cell r="C912" t="str">
            <v>McGinnis; Michael J.</v>
          </cell>
          <cell r="D912" t="str">
            <v>1</v>
          </cell>
          <cell r="E912">
            <v>7360</v>
          </cell>
          <cell r="F912">
            <v>7360</v>
          </cell>
          <cell r="G912">
            <v>7360</v>
          </cell>
          <cell r="H912">
            <v>1</v>
          </cell>
        </row>
        <row r="913">
          <cell r="B913">
            <v>7361</v>
          </cell>
          <cell r="C913" t="str">
            <v>McHuen; Richard C</v>
          </cell>
          <cell r="D913" t="str">
            <v>1C</v>
          </cell>
          <cell r="E913" t="str">
            <v>IBEWOUT</v>
          </cell>
          <cell r="F913" t="str">
            <v>1245</v>
          </cell>
          <cell r="G913" t="str">
            <v>8</v>
          </cell>
          <cell r="H913">
            <v>0</v>
          </cell>
        </row>
        <row r="914">
          <cell r="B914">
            <v>7362</v>
          </cell>
          <cell r="C914" t="str">
            <v>McGinnis; Terry Scott</v>
          </cell>
          <cell r="D914" t="str">
            <v>1C</v>
          </cell>
          <cell r="E914" t="str">
            <v>IBEWOUT</v>
          </cell>
          <cell r="F914" t="str">
            <v>769</v>
          </cell>
          <cell r="G914" t="str">
            <v>20</v>
          </cell>
          <cell r="H914">
            <v>0</v>
          </cell>
        </row>
        <row r="915">
          <cell r="B915">
            <v>7363</v>
          </cell>
          <cell r="C915" t="str">
            <v>McGowan; Samuel T</v>
          </cell>
          <cell r="D915" t="str">
            <v>1</v>
          </cell>
          <cell r="E915" t="str">
            <v>IBEWOUT</v>
          </cell>
          <cell r="F915" t="str">
            <v>160</v>
          </cell>
          <cell r="G915" t="str">
            <v>30</v>
          </cell>
          <cell r="H915">
            <v>0</v>
          </cell>
        </row>
        <row r="916">
          <cell r="B916">
            <v>7364</v>
          </cell>
          <cell r="C916" t="str">
            <v>McIntire; Robert Joe</v>
          </cell>
          <cell r="D916" t="str">
            <v>1</v>
          </cell>
          <cell r="E916" t="str">
            <v>IBEWOUT</v>
          </cell>
          <cell r="F916" t="str">
            <v>47</v>
          </cell>
          <cell r="G916" t="str">
            <v>1</v>
          </cell>
          <cell r="H916">
            <v>1</v>
          </cell>
        </row>
        <row r="917">
          <cell r="B917">
            <v>7385</v>
          </cell>
          <cell r="C917" t="str">
            <v>McNally; Sean T</v>
          </cell>
          <cell r="D917" t="str">
            <v>1C</v>
          </cell>
          <cell r="E917" t="str">
            <v>IBEWOUT</v>
          </cell>
          <cell r="F917" t="str">
            <v>47</v>
          </cell>
          <cell r="G917" t="str">
            <v>8</v>
          </cell>
          <cell r="H917">
            <v>0</v>
          </cell>
        </row>
        <row r="918">
          <cell r="B918">
            <v>7386</v>
          </cell>
          <cell r="C918" t="str">
            <v>McLellan; Jeremy P</v>
          </cell>
          <cell r="D918" t="str">
            <v>1</v>
          </cell>
          <cell r="E918" t="str">
            <v>IBEWOUT</v>
          </cell>
          <cell r="F918" t="str">
            <v>77</v>
          </cell>
          <cell r="G918" t="str">
            <v>7</v>
          </cell>
          <cell r="H918">
            <v>0</v>
          </cell>
        </row>
        <row r="919">
          <cell r="B919">
            <v>7388</v>
          </cell>
          <cell r="C919" t="str">
            <v>McNiven; Kirk F</v>
          </cell>
          <cell r="D919" t="str">
            <v>1C</v>
          </cell>
          <cell r="E919" t="str">
            <v>IBEWOUT</v>
          </cell>
          <cell r="F919" t="str">
            <v>1245</v>
          </cell>
          <cell r="G919" t="str">
            <v>8</v>
          </cell>
          <cell r="H919">
            <v>0</v>
          </cell>
        </row>
        <row r="920">
          <cell r="B920">
            <v>7390</v>
          </cell>
          <cell r="C920" t="str">
            <v>McManus; Jessie E</v>
          </cell>
          <cell r="D920" t="str">
            <v>1C</v>
          </cell>
          <cell r="E920" t="str">
            <v>IBEWOUT</v>
          </cell>
          <cell r="F920" t="str">
            <v>1245</v>
          </cell>
          <cell r="G920" t="str">
            <v>13</v>
          </cell>
          <cell r="H920">
            <v>0</v>
          </cell>
        </row>
        <row r="921">
          <cell r="B921">
            <v>7391</v>
          </cell>
          <cell r="C921" t="str">
            <v>McPhail; Matthew P</v>
          </cell>
          <cell r="D921" t="str">
            <v>1C</v>
          </cell>
          <cell r="E921" t="str">
            <v>IBEWOUT</v>
          </cell>
          <cell r="F921" t="str">
            <v>1245</v>
          </cell>
          <cell r="G921" t="str">
            <v>8</v>
          </cell>
          <cell r="H921">
            <v>0</v>
          </cell>
        </row>
        <row r="922">
          <cell r="B922">
            <v>7392</v>
          </cell>
          <cell r="C922" t="str">
            <v>McKinley; Don R</v>
          </cell>
          <cell r="D922" t="str">
            <v>1</v>
          </cell>
          <cell r="E922" t="str">
            <v>IBEWOUT</v>
          </cell>
          <cell r="F922" t="str">
            <v>47</v>
          </cell>
          <cell r="G922" t="str">
            <v>7</v>
          </cell>
          <cell r="H922">
            <v>0</v>
          </cell>
        </row>
        <row r="923">
          <cell r="B923">
            <v>7393</v>
          </cell>
          <cell r="C923" t="str">
            <v>McKinnon; Colter Allen</v>
          </cell>
          <cell r="D923" t="str">
            <v>1C</v>
          </cell>
          <cell r="E923" t="str">
            <v>IBEWOUT</v>
          </cell>
          <cell r="F923" t="str">
            <v>1245</v>
          </cell>
          <cell r="G923" t="str">
            <v>17</v>
          </cell>
          <cell r="H923">
            <v>0</v>
          </cell>
        </row>
        <row r="924">
          <cell r="B924">
            <v>7394</v>
          </cell>
          <cell r="C924" t="str">
            <v>McPherson; Martin L</v>
          </cell>
          <cell r="D924" t="str">
            <v>1C</v>
          </cell>
          <cell r="E924">
            <v>7394</v>
          </cell>
          <cell r="F924">
            <v>7394</v>
          </cell>
          <cell r="G924">
            <v>7394</v>
          </cell>
          <cell r="H924">
            <v>0</v>
          </cell>
        </row>
        <row r="925">
          <cell r="B925">
            <v>7396</v>
          </cell>
          <cell r="C925" t="str">
            <v>McLean; Edward A</v>
          </cell>
          <cell r="D925" t="str">
            <v>1</v>
          </cell>
          <cell r="E925" t="str">
            <v>IBEWOUT</v>
          </cell>
          <cell r="F925" t="str">
            <v>160</v>
          </cell>
          <cell r="G925" t="str">
            <v>30</v>
          </cell>
          <cell r="H925">
            <v>0</v>
          </cell>
        </row>
        <row r="926">
          <cell r="B926">
            <v>7450</v>
          </cell>
          <cell r="C926" t="str">
            <v>McWhorter II; Gary R</v>
          </cell>
          <cell r="D926" t="str">
            <v>1C</v>
          </cell>
          <cell r="E926" t="str">
            <v>IBEWOUT</v>
          </cell>
          <cell r="F926" t="str">
            <v>769</v>
          </cell>
          <cell r="G926" t="str">
            <v>8</v>
          </cell>
          <cell r="H926">
            <v>0</v>
          </cell>
        </row>
        <row r="927">
          <cell r="B927">
            <v>7477</v>
          </cell>
          <cell r="C927" t="str">
            <v>Medrano; Uriel A</v>
          </cell>
          <cell r="D927" t="str">
            <v>1C</v>
          </cell>
          <cell r="E927" t="str">
            <v>IBEWOUT</v>
          </cell>
          <cell r="F927" t="str">
            <v>77</v>
          </cell>
          <cell r="G927" t="str">
            <v>8</v>
          </cell>
          <cell r="H927">
            <v>0</v>
          </cell>
        </row>
        <row r="928">
          <cell r="B928">
            <v>7481</v>
          </cell>
          <cell r="C928" t="str">
            <v>Meeks; Terry N</v>
          </cell>
          <cell r="D928" t="str">
            <v>1C</v>
          </cell>
          <cell r="E928" t="str">
            <v>IBEWOUT</v>
          </cell>
          <cell r="F928" t="str">
            <v>602R</v>
          </cell>
          <cell r="G928" t="str">
            <v>8</v>
          </cell>
          <cell r="H928">
            <v>0</v>
          </cell>
        </row>
        <row r="929">
          <cell r="B929">
            <v>7488</v>
          </cell>
          <cell r="C929" t="str">
            <v>Merritt; Bryan Thomas</v>
          </cell>
          <cell r="D929" t="str">
            <v>1C</v>
          </cell>
          <cell r="E929" t="str">
            <v>IBEWOUT</v>
          </cell>
          <cell r="F929" t="str">
            <v>769</v>
          </cell>
          <cell r="G929" t="str">
            <v>22</v>
          </cell>
          <cell r="H929">
            <v>0</v>
          </cell>
        </row>
        <row r="930">
          <cell r="B930">
            <v>7489</v>
          </cell>
          <cell r="C930" t="str">
            <v>Melanson; Peter E</v>
          </cell>
          <cell r="D930" t="str">
            <v>1C</v>
          </cell>
          <cell r="E930" t="str">
            <v>IBEWOUT</v>
          </cell>
          <cell r="F930" t="str">
            <v>1049</v>
          </cell>
          <cell r="G930" t="str">
            <v>7</v>
          </cell>
          <cell r="H930">
            <v>0</v>
          </cell>
        </row>
        <row r="931">
          <cell r="B931">
            <v>7490</v>
          </cell>
          <cell r="C931" t="str">
            <v>Meyer; Kristopher A</v>
          </cell>
          <cell r="D931" t="str">
            <v>1C</v>
          </cell>
          <cell r="E931" t="str">
            <v>IBEWOUT</v>
          </cell>
          <cell r="F931" t="str">
            <v>611</v>
          </cell>
          <cell r="G931" t="str">
            <v>18</v>
          </cell>
          <cell r="H931">
            <v>0</v>
          </cell>
        </row>
        <row r="932">
          <cell r="B932">
            <v>7491</v>
          </cell>
          <cell r="C932" t="str">
            <v>Meyers; Jacob J</v>
          </cell>
          <cell r="D932" t="str">
            <v>1</v>
          </cell>
          <cell r="E932" t="str">
            <v>IBEWOUT</v>
          </cell>
          <cell r="F932" t="str">
            <v>160</v>
          </cell>
          <cell r="G932" t="str">
            <v>14</v>
          </cell>
          <cell r="H932">
            <v>0</v>
          </cell>
        </row>
        <row r="933">
          <cell r="B933">
            <v>7492</v>
          </cell>
          <cell r="C933" t="str">
            <v>Mejia; Armando T</v>
          </cell>
          <cell r="D933" t="str">
            <v>1C</v>
          </cell>
          <cell r="E933" t="str">
            <v>IBEWOUT</v>
          </cell>
          <cell r="F933" t="str">
            <v>47</v>
          </cell>
          <cell r="G933" t="str">
            <v>17</v>
          </cell>
          <cell r="H933">
            <v>0</v>
          </cell>
        </row>
        <row r="934">
          <cell r="B934">
            <v>7493</v>
          </cell>
          <cell r="C934" t="str">
            <v>Meikle; Jon K</v>
          </cell>
          <cell r="D934" t="str">
            <v>1C</v>
          </cell>
          <cell r="E934" t="str">
            <v>IBEWOUT</v>
          </cell>
          <cell r="F934" t="str">
            <v>160</v>
          </cell>
          <cell r="G934" t="str">
            <v>16</v>
          </cell>
          <cell r="H934">
            <v>0</v>
          </cell>
        </row>
        <row r="935">
          <cell r="B935">
            <v>7497</v>
          </cell>
          <cell r="C935" t="str">
            <v>Mendez; Richard M</v>
          </cell>
          <cell r="D935" t="str">
            <v>1C</v>
          </cell>
          <cell r="E935" t="str">
            <v>IBEWOUT</v>
          </cell>
          <cell r="F935" t="str">
            <v>611</v>
          </cell>
          <cell r="G935" t="str">
            <v>14</v>
          </cell>
          <cell r="H935">
            <v>0</v>
          </cell>
        </row>
        <row r="936">
          <cell r="B936">
            <v>7498</v>
          </cell>
          <cell r="C936" t="str">
            <v>Mendoza; Felipe A</v>
          </cell>
          <cell r="D936" t="str">
            <v>1C</v>
          </cell>
          <cell r="E936" t="str">
            <v>IBEWOUT</v>
          </cell>
          <cell r="F936" t="str">
            <v>1245</v>
          </cell>
          <cell r="G936" t="str">
            <v>7</v>
          </cell>
          <cell r="H936">
            <v>0</v>
          </cell>
        </row>
        <row r="937">
          <cell r="B937">
            <v>7499</v>
          </cell>
          <cell r="C937" t="str">
            <v>Mendoza; Dustin R</v>
          </cell>
          <cell r="D937" t="str">
            <v>1</v>
          </cell>
          <cell r="E937" t="str">
            <v>IBEWOUT</v>
          </cell>
          <cell r="F937" t="str">
            <v>611</v>
          </cell>
          <cell r="G937" t="str">
            <v>7</v>
          </cell>
          <cell r="H937">
            <v>0</v>
          </cell>
        </row>
        <row r="938">
          <cell r="B938">
            <v>7507</v>
          </cell>
          <cell r="C938" t="str">
            <v>Meredith; Douglas Ray</v>
          </cell>
          <cell r="D938" t="str">
            <v>1</v>
          </cell>
          <cell r="E938" t="str">
            <v>IBEWOUT</v>
          </cell>
          <cell r="F938" t="str">
            <v>1245</v>
          </cell>
          <cell r="G938" t="str">
            <v>16</v>
          </cell>
          <cell r="H938">
            <v>0</v>
          </cell>
        </row>
        <row r="939">
          <cell r="B939">
            <v>7508</v>
          </cell>
          <cell r="C939" t="str">
            <v>Meek; Robert F.</v>
          </cell>
          <cell r="D939" t="str">
            <v>1</v>
          </cell>
          <cell r="E939">
            <v>7508</v>
          </cell>
          <cell r="F939">
            <v>7508</v>
          </cell>
          <cell r="G939">
            <v>7508</v>
          </cell>
          <cell r="H939">
            <v>1</v>
          </cell>
        </row>
        <row r="940">
          <cell r="B940">
            <v>7509</v>
          </cell>
          <cell r="C940" t="str">
            <v>Merlino; Philip M</v>
          </cell>
          <cell r="D940" t="str">
            <v>1C</v>
          </cell>
          <cell r="E940" t="str">
            <v>IBEWOUT</v>
          </cell>
          <cell r="F940" t="str">
            <v>47</v>
          </cell>
          <cell r="G940" t="str">
            <v>8</v>
          </cell>
          <cell r="H940">
            <v>0</v>
          </cell>
        </row>
        <row r="941">
          <cell r="B941">
            <v>7511</v>
          </cell>
          <cell r="C941" t="str">
            <v>Merino; Reynier R</v>
          </cell>
          <cell r="D941" t="str">
            <v>1C</v>
          </cell>
          <cell r="E941" t="str">
            <v>IBEWOUT</v>
          </cell>
          <cell r="F941" t="str">
            <v>1245</v>
          </cell>
          <cell r="G941" t="str">
            <v>8</v>
          </cell>
          <cell r="H941">
            <v>0</v>
          </cell>
        </row>
        <row r="942">
          <cell r="B942">
            <v>7530</v>
          </cell>
          <cell r="C942" t="str">
            <v>Mendoza; Christopher G</v>
          </cell>
          <cell r="D942" t="str">
            <v>1C</v>
          </cell>
          <cell r="E942" t="str">
            <v>IBEWOUT</v>
          </cell>
          <cell r="F942" t="str">
            <v>769</v>
          </cell>
          <cell r="G942" t="str">
            <v>9</v>
          </cell>
          <cell r="H942">
            <v>0</v>
          </cell>
        </row>
        <row r="943">
          <cell r="B943">
            <v>7536</v>
          </cell>
          <cell r="C943" t="str">
            <v>Myklejord; Vance D</v>
          </cell>
          <cell r="D943" t="str">
            <v>1C</v>
          </cell>
          <cell r="E943" t="str">
            <v>IBEWOUT</v>
          </cell>
          <cell r="F943" t="str">
            <v>160</v>
          </cell>
          <cell r="G943" t="str">
            <v>22</v>
          </cell>
          <cell r="H943">
            <v>0</v>
          </cell>
        </row>
        <row r="944">
          <cell r="B944">
            <v>7537</v>
          </cell>
          <cell r="C944" t="str">
            <v>Mickelsen; Matthew R</v>
          </cell>
          <cell r="D944" t="str">
            <v>1C</v>
          </cell>
          <cell r="E944" t="str">
            <v>IBEWOUT</v>
          </cell>
          <cell r="F944" t="str">
            <v>1245</v>
          </cell>
          <cell r="G944" t="str">
            <v>14</v>
          </cell>
          <cell r="H944">
            <v>0</v>
          </cell>
        </row>
        <row r="945">
          <cell r="B945">
            <v>7551</v>
          </cell>
          <cell r="C945" t="str">
            <v>Miller; Jeremiah David</v>
          </cell>
          <cell r="D945" t="str">
            <v>1C</v>
          </cell>
          <cell r="E945" t="str">
            <v>IBEWOUT</v>
          </cell>
          <cell r="F945" t="str">
            <v>1245</v>
          </cell>
          <cell r="G945" t="str">
            <v>8</v>
          </cell>
          <cell r="H945">
            <v>0</v>
          </cell>
        </row>
        <row r="946">
          <cell r="B946">
            <v>7564</v>
          </cell>
          <cell r="C946" t="str">
            <v>Mitcham; Kenneth Christopher</v>
          </cell>
          <cell r="D946" t="str">
            <v>1</v>
          </cell>
          <cell r="E946" t="str">
            <v>IBEWOUT</v>
          </cell>
          <cell r="F946" t="str">
            <v>769</v>
          </cell>
          <cell r="G946" t="str">
            <v>7</v>
          </cell>
          <cell r="H946">
            <v>0</v>
          </cell>
        </row>
        <row r="947">
          <cell r="B947">
            <v>7568</v>
          </cell>
          <cell r="C947" t="str">
            <v>Miller; Justin</v>
          </cell>
          <cell r="D947" t="str">
            <v>1C</v>
          </cell>
          <cell r="E947" t="str">
            <v>IBEWOUT</v>
          </cell>
          <cell r="F947" t="str">
            <v>769</v>
          </cell>
          <cell r="G947" t="str">
            <v>8</v>
          </cell>
          <cell r="H947">
            <v>0</v>
          </cell>
        </row>
        <row r="948">
          <cell r="B948">
            <v>7569</v>
          </cell>
          <cell r="C948" t="str">
            <v>Miguel; Michael W</v>
          </cell>
          <cell r="D948" t="str">
            <v>1</v>
          </cell>
          <cell r="E948" t="str">
            <v>IBEWOUT</v>
          </cell>
          <cell r="F948" t="str">
            <v>769</v>
          </cell>
          <cell r="G948" t="str">
            <v>8</v>
          </cell>
          <cell r="H948">
            <v>0</v>
          </cell>
        </row>
        <row r="949">
          <cell r="B949">
            <v>7573</v>
          </cell>
          <cell r="C949" t="str">
            <v>Mirick; Quinn J</v>
          </cell>
          <cell r="D949" t="str">
            <v>1C</v>
          </cell>
          <cell r="E949" t="str">
            <v>IBEWOUT</v>
          </cell>
          <cell r="F949" t="str">
            <v>125</v>
          </cell>
          <cell r="G949" t="str">
            <v>13</v>
          </cell>
          <cell r="H949">
            <v>0</v>
          </cell>
        </row>
        <row r="950">
          <cell r="B950">
            <v>7579</v>
          </cell>
          <cell r="C950" t="str">
            <v>Mijal; Maxwell L</v>
          </cell>
          <cell r="D950" t="str">
            <v>1C</v>
          </cell>
          <cell r="E950" t="str">
            <v>IBEWOUT</v>
          </cell>
          <cell r="F950" t="str">
            <v>1319</v>
          </cell>
          <cell r="G950" t="str">
            <v>12</v>
          </cell>
          <cell r="H950">
            <v>0</v>
          </cell>
        </row>
        <row r="951">
          <cell r="B951">
            <v>7583</v>
          </cell>
          <cell r="C951" t="str">
            <v>Minor; Laurence Tipton</v>
          </cell>
          <cell r="D951" t="str">
            <v>1C</v>
          </cell>
          <cell r="E951" t="str">
            <v>IBEWOUT</v>
          </cell>
          <cell r="F951" t="str">
            <v>769</v>
          </cell>
          <cell r="G951" t="str">
            <v>20</v>
          </cell>
          <cell r="H951">
            <v>0</v>
          </cell>
        </row>
        <row r="952">
          <cell r="B952">
            <v>7587</v>
          </cell>
          <cell r="C952" t="str">
            <v>Miller; Kyle C</v>
          </cell>
          <cell r="D952" t="str">
            <v>1C</v>
          </cell>
          <cell r="E952" t="str">
            <v>IBEWOUT</v>
          </cell>
          <cell r="F952" t="str">
            <v>77</v>
          </cell>
          <cell r="G952" t="str">
            <v>8</v>
          </cell>
          <cell r="H952">
            <v>0</v>
          </cell>
        </row>
        <row r="953">
          <cell r="B953">
            <v>7588</v>
          </cell>
          <cell r="C953" t="str">
            <v>Miller; Ronald I</v>
          </cell>
          <cell r="D953" t="str">
            <v>1C</v>
          </cell>
          <cell r="E953" t="str">
            <v>IBEWOUT</v>
          </cell>
          <cell r="F953" t="str">
            <v>126</v>
          </cell>
          <cell r="G953" t="str">
            <v>16</v>
          </cell>
          <cell r="H953">
            <v>0</v>
          </cell>
        </row>
        <row r="954">
          <cell r="B954">
            <v>7590</v>
          </cell>
          <cell r="C954" t="str">
            <v>Mills; Daniel K</v>
          </cell>
          <cell r="D954" t="str">
            <v>1C</v>
          </cell>
          <cell r="E954" t="str">
            <v>IBEWOUT</v>
          </cell>
          <cell r="F954" t="str">
            <v>1245</v>
          </cell>
          <cell r="G954" t="str">
            <v>8</v>
          </cell>
          <cell r="H954">
            <v>0</v>
          </cell>
        </row>
        <row r="955">
          <cell r="B955">
            <v>7591</v>
          </cell>
          <cell r="C955" t="str">
            <v>Miller; Jakob S.</v>
          </cell>
          <cell r="D955" t="str">
            <v>1C</v>
          </cell>
          <cell r="E955" t="str">
            <v>IBEWOUT</v>
          </cell>
          <cell r="F955" t="str">
            <v>1245</v>
          </cell>
          <cell r="G955" t="str">
            <v>17</v>
          </cell>
          <cell r="H955">
            <v>0</v>
          </cell>
        </row>
        <row r="956">
          <cell r="B956">
            <v>7678</v>
          </cell>
          <cell r="C956" t="str">
            <v>Mogensen; Royce M</v>
          </cell>
          <cell r="D956" t="str">
            <v>1C</v>
          </cell>
          <cell r="E956" t="str">
            <v>IBEWOUT</v>
          </cell>
          <cell r="F956" t="str">
            <v>47</v>
          </cell>
          <cell r="G956" t="str">
            <v>8</v>
          </cell>
          <cell r="H956">
            <v>0</v>
          </cell>
        </row>
        <row r="957">
          <cell r="B957">
            <v>7679</v>
          </cell>
          <cell r="C957" t="str">
            <v>Mohr; Shawn L</v>
          </cell>
          <cell r="D957" t="str">
            <v>1C</v>
          </cell>
          <cell r="E957" t="str">
            <v>IBEWOUT</v>
          </cell>
          <cell r="F957" t="str">
            <v>1245</v>
          </cell>
          <cell r="G957" t="str">
            <v>12</v>
          </cell>
          <cell r="H957">
            <v>0</v>
          </cell>
        </row>
        <row r="958">
          <cell r="B958">
            <v>7680</v>
          </cell>
          <cell r="C958" t="str">
            <v>Mohamed; Jamil F.</v>
          </cell>
          <cell r="D958" t="str">
            <v>1C</v>
          </cell>
          <cell r="E958" t="str">
            <v>IBEWOUT</v>
          </cell>
          <cell r="F958" t="str">
            <v>1245</v>
          </cell>
          <cell r="G958" t="str">
            <v>60</v>
          </cell>
          <cell r="H958">
            <v>0</v>
          </cell>
        </row>
        <row r="959">
          <cell r="B959">
            <v>7685</v>
          </cell>
          <cell r="C959" t="str">
            <v>Molina; Manuel B</v>
          </cell>
          <cell r="D959" t="str">
            <v>1C</v>
          </cell>
          <cell r="E959" t="str">
            <v>IBEWOUT</v>
          </cell>
          <cell r="F959" t="str">
            <v>47</v>
          </cell>
          <cell r="G959" t="str">
            <v>16</v>
          </cell>
          <cell r="H959">
            <v>0</v>
          </cell>
        </row>
        <row r="960">
          <cell r="B960">
            <v>7686</v>
          </cell>
          <cell r="C960" t="str">
            <v>Monkman; Travis J</v>
          </cell>
          <cell r="D960" t="str">
            <v>1</v>
          </cell>
          <cell r="E960" t="str">
            <v>IBEWOUT</v>
          </cell>
          <cell r="F960" t="str">
            <v>160</v>
          </cell>
          <cell r="G960" t="str">
            <v>18</v>
          </cell>
          <cell r="H960">
            <v>0</v>
          </cell>
        </row>
        <row r="961">
          <cell r="B961">
            <v>7697</v>
          </cell>
          <cell r="C961" t="str">
            <v>Montanelli; Ryan D</v>
          </cell>
          <cell r="D961" t="str">
            <v>1C</v>
          </cell>
          <cell r="E961" t="str">
            <v>IBEWOUT</v>
          </cell>
          <cell r="F961" t="str">
            <v>602R</v>
          </cell>
          <cell r="G961" t="str">
            <v>14T</v>
          </cell>
          <cell r="H961">
            <v>0</v>
          </cell>
        </row>
        <row r="962">
          <cell r="B962">
            <v>7699</v>
          </cell>
          <cell r="C962" t="str">
            <v>Monti; Kevin E.</v>
          </cell>
          <cell r="D962" t="str">
            <v>1C</v>
          </cell>
          <cell r="E962" t="str">
            <v>IBEWOUT</v>
          </cell>
          <cell r="F962" t="str">
            <v>47</v>
          </cell>
          <cell r="G962" t="str">
            <v>8</v>
          </cell>
          <cell r="H962">
            <v>0</v>
          </cell>
        </row>
        <row r="963">
          <cell r="B963">
            <v>7700</v>
          </cell>
          <cell r="C963" t="str">
            <v>Montgomery; Tenny</v>
          </cell>
          <cell r="D963" t="str">
            <v>1C</v>
          </cell>
          <cell r="E963">
            <v>7700</v>
          </cell>
          <cell r="F963">
            <v>7700</v>
          </cell>
          <cell r="G963">
            <v>7700</v>
          </cell>
          <cell r="H963">
            <v>0</v>
          </cell>
        </row>
        <row r="964">
          <cell r="B964">
            <v>7738</v>
          </cell>
          <cell r="C964" t="str">
            <v>Moody; Bryan Edward</v>
          </cell>
          <cell r="D964" t="str">
            <v>1</v>
          </cell>
          <cell r="E964" t="str">
            <v>IBEWOUT</v>
          </cell>
          <cell r="F964" t="str">
            <v>77</v>
          </cell>
          <cell r="G964" t="str">
            <v>1</v>
          </cell>
          <cell r="H964">
            <v>1</v>
          </cell>
        </row>
        <row r="965">
          <cell r="B965">
            <v>7740</v>
          </cell>
          <cell r="C965" t="str">
            <v>Moore; Elmer L.</v>
          </cell>
          <cell r="D965" t="str">
            <v>1C</v>
          </cell>
          <cell r="E965" t="str">
            <v>IBEWOUT</v>
          </cell>
          <cell r="F965" t="str">
            <v>47</v>
          </cell>
          <cell r="G965" t="str">
            <v>8</v>
          </cell>
          <cell r="H965">
            <v>0</v>
          </cell>
        </row>
        <row r="966">
          <cell r="B966">
            <v>7741</v>
          </cell>
          <cell r="C966" t="str">
            <v>Moore; George E</v>
          </cell>
          <cell r="D966" t="str">
            <v>1C</v>
          </cell>
          <cell r="E966" t="str">
            <v>IBEWOUT</v>
          </cell>
          <cell r="F966" t="str">
            <v>1245</v>
          </cell>
          <cell r="G966" t="str">
            <v>14</v>
          </cell>
          <cell r="H966">
            <v>0</v>
          </cell>
        </row>
        <row r="967">
          <cell r="B967">
            <v>7753</v>
          </cell>
          <cell r="C967" t="str">
            <v>Moore; John Edward</v>
          </cell>
          <cell r="D967" t="str">
            <v>1C</v>
          </cell>
          <cell r="E967" t="str">
            <v>IBEWOUT</v>
          </cell>
          <cell r="F967" t="str">
            <v>77</v>
          </cell>
          <cell r="G967" t="str">
            <v>16</v>
          </cell>
          <cell r="H967">
            <v>0</v>
          </cell>
        </row>
        <row r="968">
          <cell r="B968">
            <v>7754</v>
          </cell>
          <cell r="C968" t="str">
            <v>Moore; Corey S</v>
          </cell>
          <cell r="D968" t="str">
            <v>1C</v>
          </cell>
          <cell r="E968">
            <v>7754</v>
          </cell>
          <cell r="F968">
            <v>7754</v>
          </cell>
          <cell r="G968">
            <v>7754</v>
          </cell>
          <cell r="H968">
            <v>1</v>
          </cell>
        </row>
        <row r="969">
          <cell r="B969">
            <v>7757</v>
          </cell>
          <cell r="C969" t="str">
            <v>Moore; Stephen W.</v>
          </cell>
          <cell r="D969" t="str">
            <v>1C</v>
          </cell>
          <cell r="E969" t="str">
            <v>IBEWOUT</v>
          </cell>
          <cell r="F969" t="str">
            <v>1245</v>
          </cell>
          <cell r="G969" t="str">
            <v>8</v>
          </cell>
          <cell r="H969">
            <v>0</v>
          </cell>
        </row>
        <row r="970">
          <cell r="B970">
            <v>7759</v>
          </cell>
          <cell r="C970" t="str">
            <v>Moore; Timothy B</v>
          </cell>
          <cell r="D970" t="str">
            <v>1C</v>
          </cell>
          <cell r="E970" t="str">
            <v>IBEWOUT</v>
          </cell>
          <cell r="F970" t="str">
            <v>126</v>
          </cell>
          <cell r="G970" t="str">
            <v>33</v>
          </cell>
          <cell r="H970">
            <v>0</v>
          </cell>
        </row>
        <row r="971">
          <cell r="B971">
            <v>7760</v>
          </cell>
          <cell r="C971" t="str">
            <v>Moore Jr; Wesley</v>
          </cell>
          <cell r="D971" t="str">
            <v>1C</v>
          </cell>
          <cell r="E971" t="str">
            <v>IBEWOUT</v>
          </cell>
          <cell r="F971" t="str">
            <v>396</v>
          </cell>
          <cell r="G971" t="str">
            <v>21</v>
          </cell>
          <cell r="H971">
            <v>0</v>
          </cell>
        </row>
        <row r="972">
          <cell r="B972">
            <v>7800</v>
          </cell>
          <cell r="C972" t="str">
            <v>Morales; Ariel</v>
          </cell>
          <cell r="D972" t="str">
            <v>1C</v>
          </cell>
          <cell r="E972" t="str">
            <v>IBEWOUT</v>
          </cell>
          <cell r="F972" t="str">
            <v>47</v>
          </cell>
          <cell r="G972" t="str">
            <v>17</v>
          </cell>
          <cell r="H972">
            <v>0</v>
          </cell>
        </row>
        <row r="973">
          <cell r="B973">
            <v>7804</v>
          </cell>
          <cell r="C973" t="str">
            <v>Moran; Jon B</v>
          </cell>
          <cell r="D973" t="str">
            <v>1C</v>
          </cell>
          <cell r="E973" t="str">
            <v>IBEWOUT</v>
          </cell>
          <cell r="F973" t="str">
            <v>602R</v>
          </cell>
          <cell r="G973" t="str">
            <v>15T</v>
          </cell>
          <cell r="H973">
            <v>0</v>
          </cell>
        </row>
        <row r="974">
          <cell r="B974">
            <v>7805</v>
          </cell>
          <cell r="C974" t="str">
            <v>Mora; Gabriel</v>
          </cell>
          <cell r="D974" t="str">
            <v>1</v>
          </cell>
          <cell r="E974" t="str">
            <v>IBEWOUT</v>
          </cell>
          <cell r="F974" t="str">
            <v>1245</v>
          </cell>
          <cell r="G974" t="str">
            <v>8</v>
          </cell>
          <cell r="H974">
            <v>0</v>
          </cell>
        </row>
        <row r="975">
          <cell r="B975">
            <v>7806</v>
          </cell>
          <cell r="C975" t="str">
            <v>Moranda; Justin S</v>
          </cell>
          <cell r="D975" t="str">
            <v>1C</v>
          </cell>
          <cell r="E975" t="str">
            <v>IBEWOUT</v>
          </cell>
          <cell r="F975" t="str">
            <v>1245</v>
          </cell>
          <cell r="G975" t="str">
            <v>9</v>
          </cell>
          <cell r="H975">
            <v>0</v>
          </cell>
        </row>
        <row r="976">
          <cell r="B976">
            <v>7817</v>
          </cell>
          <cell r="C976" t="str">
            <v>Moreno; Solomon I</v>
          </cell>
          <cell r="D976" t="str">
            <v>1C</v>
          </cell>
          <cell r="E976" t="str">
            <v>IBEWOUT</v>
          </cell>
          <cell r="F976" t="str">
            <v>47</v>
          </cell>
          <cell r="G976" t="str">
            <v>17</v>
          </cell>
          <cell r="H976">
            <v>0</v>
          </cell>
        </row>
        <row r="977">
          <cell r="B977">
            <v>7818</v>
          </cell>
          <cell r="C977" t="str">
            <v>Morey; Alex M</v>
          </cell>
          <cell r="D977" t="str">
            <v>1</v>
          </cell>
          <cell r="E977" t="str">
            <v>IBEWOUT</v>
          </cell>
          <cell r="F977" t="str">
            <v>769</v>
          </cell>
          <cell r="G977" t="str">
            <v>14</v>
          </cell>
          <cell r="H977">
            <v>0</v>
          </cell>
        </row>
        <row r="978">
          <cell r="B978">
            <v>7819</v>
          </cell>
          <cell r="C978" t="str">
            <v>Morey; Tod W</v>
          </cell>
          <cell r="D978" t="str">
            <v>1</v>
          </cell>
          <cell r="E978">
            <v>7819</v>
          </cell>
          <cell r="F978">
            <v>7819</v>
          </cell>
          <cell r="G978">
            <v>7819</v>
          </cell>
          <cell r="H978">
            <v>1</v>
          </cell>
        </row>
        <row r="979">
          <cell r="B979">
            <v>7821</v>
          </cell>
          <cell r="C979" t="str">
            <v>Morgan; Thomas J</v>
          </cell>
          <cell r="D979" t="str">
            <v>1C</v>
          </cell>
          <cell r="E979" t="str">
            <v>IBEWOUT</v>
          </cell>
          <cell r="F979" t="str">
            <v>1319</v>
          </cell>
          <cell r="G979" t="str">
            <v>13</v>
          </cell>
          <cell r="H979">
            <v>0</v>
          </cell>
        </row>
        <row r="980">
          <cell r="B980">
            <v>7841</v>
          </cell>
          <cell r="C980" t="str">
            <v>Morrow; Joshua K.</v>
          </cell>
          <cell r="D980" t="str">
            <v>1C</v>
          </cell>
          <cell r="E980">
            <v>7841</v>
          </cell>
          <cell r="F980">
            <v>7841</v>
          </cell>
          <cell r="G980">
            <v>7841</v>
          </cell>
          <cell r="H980">
            <v>0</v>
          </cell>
        </row>
        <row r="981">
          <cell r="B981">
            <v>7842</v>
          </cell>
          <cell r="C981" t="str">
            <v>Morton Jr.; Jeff P.</v>
          </cell>
          <cell r="D981" t="str">
            <v>1C</v>
          </cell>
          <cell r="E981" t="str">
            <v>IBEWOUT</v>
          </cell>
          <cell r="F981" t="str">
            <v>47</v>
          </cell>
          <cell r="G981" t="str">
            <v>8</v>
          </cell>
          <cell r="H981">
            <v>0</v>
          </cell>
        </row>
        <row r="982">
          <cell r="B982">
            <v>7843</v>
          </cell>
          <cell r="C982" t="str">
            <v>Morton; Zac R</v>
          </cell>
          <cell r="D982" t="str">
            <v>1C</v>
          </cell>
          <cell r="E982" t="str">
            <v>IBEWOUT</v>
          </cell>
          <cell r="F982" t="str">
            <v>769</v>
          </cell>
          <cell r="G982" t="str">
            <v>8</v>
          </cell>
          <cell r="H982">
            <v>0</v>
          </cell>
        </row>
        <row r="983">
          <cell r="B983">
            <v>7844</v>
          </cell>
          <cell r="C983" t="str">
            <v>Morton; Jess T.</v>
          </cell>
          <cell r="D983" t="str">
            <v>1C</v>
          </cell>
          <cell r="E983" t="str">
            <v>IBEWOUT</v>
          </cell>
          <cell r="F983" t="str">
            <v>47</v>
          </cell>
          <cell r="G983" t="str">
            <v>8</v>
          </cell>
          <cell r="H983">
            <v>0</v>
          </cell>
        </row>
        <row r="984">
          <cell r="B984">
            <v>7845</v>
          </cell>
          <cell r="C984" t="str">
            <v>Moser; Ted T</v>
          </cell>
          <cell r="D984" t="str">
            <v>1C</v>
          </cell>
          <cell r="E984" t="str">
            <v>IBEWOUT</v>
          </cell>
          <cell r="F984" t="str">
            <v>77</v>
          </cell>
          <cell r="G984" t="str">
            <v>8</v>
          </cell>
          <cell r="H984">
            <v>0</v>
          </cell>
        </row>
        <row r="985">
          <cell r="B985">
            <v>7850</v>
          </cell>
          <cell r="C985" t="str">
            <v>Morris; Nicholas L</v>
          </cell>
          <cell r="D985" t="str">
            <v>1C</v>
          </cell>
          <cell r="E985" t="str">
            <v>IBEWOUT</v>
          </cell>
          <cell r="F985" t="str">
            <v>77</v>
          </cell>
          <cell r="G985" t="str">
            <v>8</v>
          </cell>
          <cell r="H985">
            <v>0</v>
          </cell>
        </row>
        <row r="986">
          <cell r="B986">
            <v>7851</v>
          </cell>
          <cell r="C986" t="str">
            <v>Morris; Kurt A.</v>
          </cell>
          <cell r="D986" t="str">
            <v>1C</v>
          </cell>
          <cell r="E986" t="str">
            <v>IBEWOUT</v>
          </cell>
          <cell r="F986" t="str">
            <v>1319</v>
          </cell>
          <cell r="G986" t="str">
            <v>13</v>
          </cell>
          <cell r="H986">
            <v>0</v>
          </cell>
        </row>
        <row r="987">
          <cell r="B987">
            <v>7852</v>
          </cell>
          <cell r="C987" t="str">
            <v>Morrison; Brian A</v>
          </cell>
          <cell r="D987" t="str">
            <v>1</v>
          </cell>
          <cell r="E987">
            <v>7852</v>
          </cell>
          <cell r="F987">
            <v>7852</v>
          </cell>
          <cell r="G987">
            <v>7852</v>
          </cell>
          <cell r="H987">
            <v>1</v>
          </cell>
        </row>
        <row r="988">
          <cell r="B988">
            <v>7854</v>
          </cell>
          <cell r="C988" t="str">
            <v>Morris; Trevor A</v>
          </cell>
          <cell r="D988" t="str">
            <v>1</v>
          </cell>
          <cell r="E988" t="str">
            <v>IBEWOUT</v>
          </cell>
          <cell r="F988" t="str">
            <v>1245</v>
          </cell>
          <cell r="G988" t="str">
            <v>8</v>
          </cell>
          <cell r="H988">
            <v>0</v>
          </cell>
        </row>
        <row r="989">
          <cell r="B989">
            <v>7896</v>
          </cell>
          <cell r="C989" t="str">
            <v>Mundlin Jr; Brice R</v>
          </cell>
          <cell r="D989" t="str">
            <v>1</v>
          </cell>
          <cell r="E989" t="str">
            <v>IBEWOUT</v>
          </cell>
          <cell r="F989" t="str">
            <v>47</v>
          </cell>
          <cell r="G989" t="str">
            <v>15</v>
          </cell>
          <cell r="H989">
            <v>0</v>
          </cell>
        </row>
        <row r="990">
          <cell r="B990">
            <v>7910</v>
          </cell>
          <cell r="C990" t="str">
            <v>Murphy; James B</v>
          </cell>
          <cell r="D990" t="str">
            <v>1C</v>
          </cell>
          <cell r="E990" t="str">
            <v>IBEWOUT</v>
          </cell>
          <cell r="F990" t="str">
            <v>1245</v>
          </cell>
          <cell r="G990" t="str">
            <v>10</v>
          </cell>
          <cell r="H990">
            <v>0</v>
          </cell>
        </row>
        <row r="991">
          <cell r="B991">
            <v>7916</v>
          </cell>
          <cell r="C991" t="str">
            <v>Muse; Brian P</v>
          </cell>
          <cell r="D991" t="str">
            <v>1C</v>
          </cell>
          <cell r="E991" t="str">
            <v>IBEWOUT</v>
          </cell>
          <cell r="F991" t="str">
            <v>104</v>
          </cell>
          <cell r="G991" t="str">
            <v>8</v>
          </cell>
          <cell r="H991">
            <v>0</v>
          </cell>
        </row>
        <row r="992">
          <cell r="B992">
            <v>7919</v>
          </cell>
          <cell r="C992" t="str">
            <v>Musgrove; Roy E</v>
          </cell>
          <cell r="D992" t="str">
            <v>1C</v>
          </cell>
          <cell r="E992" t="str">
            <v>IBEWOUT</v>
          </cell>
          <cell r="F992" t="str">
            <v>396</v>
          </cell>
          <cell r="G992" t="str">
            <v>8</v>
          </cell>
          <cell r="H992">
            <v>0</v>
          </cell>
        </row>
        <row r="993">
          <cell r="B993">
            <v>7920</v>
          </cell>
          <cell r="C993" t="str">
            <v>Murray; Byron Todd</v>
          </cell>
          <cell r="D993" t="str">
            <v>1</v>
          </cell>
          <cell r="E993" t="str">
            <v>IBEWOUT</v>
          </cell>
          <cell r="F993" t="str">
            <v>47</v>
          </cell>
          <cell r="G993" t="str">
            <v>16</v>
          </cell>
          <cell r="H993">
            <v>0</v>
          </cell>
        </row>
        <row r="994">
          <cell r="B994">
            <v>7921</v>
          </cell>
          <cell r="C994" t="str">
            <v>Murrell; Jimmie L</v>
          </cell>
          <cell r="D994" t="str">
            <v>1C</v>
          </cell>
          <cell r="E994" t="str">
            <v>IBEWOUT</v>
          </cell>
          <cell r="F994" t="str">
            <v>1245</v>
          </cell>
          <cell r="G994" t="str">
            <v>8</v>
          </cell>
          <cell r="H994">
            <v>0</v>
          </cell>
        </row>
        <row r="995">
          <cell r="B995">
            <v>7931</v>
          </cell>
          <cell r="C995" t="str">
            <v>Myers; Bradley T</v>
          </cell>
          <cell r="D995" t="str">
            <v>1C</v>
          </cell>
          <cell r="E995" t="str">
            <v>IBEWOUT</v>
          </cell>
          <cell r="F995" t="str">
            <v>1245</v>
          </cell>
          <cell r="G995" t="str">
            <v>8</v>
          </cell>
          <cell r="H995">
            <v>0</v>
          </cell>
        </row>
        <row r="996">
          <cell r="B996">
            <v>7932</v>
          </cell>
          <cell r="C996" t="str">
            <v>Myers; Craig L</v>
          </cell>
          <cell r="D996" t="str">
            <v>1C</v>
          </cell>
          <cell r="E996" t="str">
            <v>IBEWOUT</v>
          </cell>
          <cell r="F996" t="str">
            <v>160</v>
          </cell>
          <cell r="G996" t="str">
            <v>8</v>
          </cell>
          <cell r="H996">
            <v>0</v>
          </cell>
        </row>
        <row r="997">
          <cell r="B997">
            <v>7935</v>
          </cell>
          <cell r="C997" t="str">
            <v>Nail; Brandon C</v>
          </cell>
          <cell r="D997" t="str">
            <v>1C</v>
          </cell>
          <cell r="E997" t="str">
            <v>IBEWOUT</v>
          </cell>
          <cell r="F997" t="str">
            <v>1245</v>
          </cell>
          <cell r="G997" t="str">
            <v>17</v>
          </cell>
          <cell r="H997">
            <v>0</v>
          </cell>
        </row>
        <row r="998">
          <cell r="B998">
            <v>7961</v>
          </cell>
          <cell r="C998" t="str">
            <v>Nadzom; Bradley A.</v>
          </cell>
          <cell r="D998" t="str">
            <v>1C</v>
          </cell>
          <cell r="E998" t="str">
            <v>IBEWOUT</v>
          </cell>
          <cell r="F998" t="str">
            <v>1319</v>
          </cell>
          <cell r="G998" t="str">
            <v>8</v>
          </cell>
          <cell r="H998">
            <v>0</v>
          </cell>
        </row>
        <row r="999">
          <cell r="B999">
            <v>8006</v>
          </cell>
          <cell r="C999" t="str">
            <v>Natonabah; Derek</v>
          </cell>
          <cell r="D999" t="str">
            <v>1</v>
          </cell>
          <cell r="E999" t="str">
            <v>IBEWOUT</v>
          </cell>
          <cell r="F999" t="str">
            <v>611</v>
          </cell>
          <cell r="G999" t="str">
            <v>8</v>
          </cell>
          <cell r="H999">
            <v>0</v>
          </cell>
        </row>
        <row r="1000">
          <cell r="B1000">
            <v>8024</v>
          </cell>
          <cell r="C1000" t="str">
            <v>Naylor; Joel L</v>
          </cell>
          <cell r="D1000" t="str">
            <v>1C</v>
          </cell>
          <cell r="E1000">
            <v>8024</v>
          </cell>
          <cell r="F1000">
            <v>8024</v>
          </cell>
          <cell r="G1000">
            <v>8024</v>
          </cell>
          <cell r="H1000">
            <v>1</v>
          </cell>
        </row>
        <row r="1001">
          <cell r="B1001">
            <v>8025</v>
          </cell>
          <cell r="C1001" t="str">
            <v>Navarro; Daniel</v>
          </cell>
          <cell r="D1001" t="str">
            <v>1C</v>
          </cell>
          <cell r="E1001" t="str">
            <v>IBEWOUT</v>
          </cell>
          <cell r="F1001" t="str">
            <v>47</v>
          </cell>
          <cell r="G1001" t="str">
            <v>17</v>
          </cell>
          <cell r="H1001">
            <v>0</v>
          </cell>
        </row>
        <row r="1002">
          <cell r="B1002">
            <v>8026</v>
          </cell>
          <cell r="C1002" t="str">
            <v>Naylor; Joseph D</v>
          </cell>
          <cell r="D1002" t="str">
            <v>1C</v>
          </cell>
          <cell r="E1002" t="str">
            <v>IBEWOUT</v>
          </cell>
          <cell r="F1002" t="str">
            <v>1319</v>
          </cell>
          <cell r="G1002" t="str">
            <v>8</v>
          </cell>
          <cell r="H1002">
            <v>0</v>
          </cell>
        </row>
        <row r="1003">
          <cell r="B1003">
            <v>8040</v>
          </cell>
          <cell r="C1003" t="str">
            <v>Nearhood; William J</v>
          </cell>
          <cell r="D1003" t="str">
            <v>1C</v>
          </cell>
          <cell r="E1003" t="str">
            <v>IBEWOUT</v>
          </cell>
          <cell r="F1003" t="str">
            <v>126</v>
          </cell>
          <cell r="G1003" t="str">
            <v>8</v>
          </cell>
          <cell r="H1003">
            <v>0</v>
          </cell>
        </row>
        <row r="1004">
          <cell r="B1004">
            <v>8041</v>
          </cell>
          <cell r="C1004" t="str">
            <v>Nease; Jeffrey B.</v>
          </cell>
          <cell r="D1004" t="str">
            <v>1C</v>
          </cell>
          <cell r="E1004">
            <v>8041</v>
          </cell>
          <cell r="F1004">
            <v>8041</v>
          </cell>
          <cell r="G1004">
            <v>8041</v>
          </cell>
          <cell r="H1004">
            <v>1</v>
          </cell>
        </row>
        <row r="1005">
          <cell r="B1005">
            <v>8043</v>
          </cell>
          <cell r="C1005" t="str">
            <v>Neace; Shane D</v>
          </cell>
          <cell r="D1005" t="str">
            <v>1C</v>
          </cell>
          <cell r="E1005" t="str">
            <v>IBEWOUT</v>
          </cell>
          <cell r="F1005" t="str">
            <v>1245</v>
          </cell>
          <cell r="G1005" t="str">
            <v>8</v>
          </cell>
          <cell r="H1005">
            <v>0</v>
          </cell>
        </row>
        <row r="1006">
          <cell r="B1006">
            <v>8046</v>
          </cell>
          <cell r="C1006" t="str">
            <v>Nelson; Daniel E</v>
          </cell>
          <cell r="D1006" t="str">
            <v>1C</v>
          </cell>
          <cell r="E1006" t="str">
            <v>IBEWOUT</v>
          </cell>
          <cell r="F1006" t="str">
            <v>1245</v>
          </cell>
          <cell r="G1006" t="str">
            <v>12</v>
          </cell>
          <cell r="H1006">
            <v>0</v>
          </cell>
        </row>
        <row r="1007">
          <cell r="B1007">
            <v>8047</v>
          </cell>
          <cell r="C1007" t="str">
            <v>Nelson Jr; Donald C</v>
          </cell>
          <cell r="D1007" t="str">
            <v>1C</v>
          </cell>
          <cell r="E1007" t="str">
            <v>IBEWOUT</v>
          </cell>
          <cell r="F1007" t="str">
            <v>77</v>
          </cell>
          <cell r="G1007" t="str">
            <v>15</v>
          </cell>
          <cell r="H1007">
            <v>0</v>
          </cell>
        </row>
        <row r="1008">
          <cell r="B1008">
            <v>8048</v>
          </cell>
          <cell r="C1008" t="str">
            <v>Nelson; Travis E</v>
          </cell>
          <cell r="D1008" t="str">
            <v>1C</v>
          </cell>
          <cell r="E1008" t="str">
            <v>IBEWOUT</v>
          </cell>
          <cell r="F1008" t="str">
            <v>47</v>
          </cell>
          <cell r="G1008" t="str">
            <v>8</v>
          </cell>
          <cell r="H1008">
            <v>0</v>
          </cell>
        </row>
        <row r="1009">
          <cell r="B1009">
            <v>8049</v>
          </cell>
          <cell r="C1009" t="str">
            <v>Neil; Austin L</v>
          </cell>
          <cell r="D1009" t="str">
            <v>1C</v>
          </cell>
          <cell r="E1009" t="str">
            <v>IBEWOUT</v>
          </cell>
          <cell r="F1009" t="str">
            <v>77</v>
          </cell>
          <cell r="G1009" t="str">
            <v>8</v>
          </cell>
          <cell r="H1009">
            <v>0</v>
          </cell>
        </row>
        <row r="1010">
          <cell r="B1010">
            <v>8070</v>
          </cell>
          <cell r="C1010" t="str">
            <v>Nichols; Jesse J.</v>
          </cell>
          <cell r="D1010" t="str">
            <v>1C</v>
          </cell>
          <cell r="E1010" t="str">
            <v>IBEWOUT</v>
          </cell>
          <cell r="F1010" t="str">
            <v>47</v>
          </cell>
          <cell r="G1010" t="str">
            <v>60</v>
          </cell>
          <cell r="H1010">
            <v>0</v>
          </cell>
        </row>
        <row r="1011">
          <cell r="B1011">
            <v>8072</v>
          </cell>
          <cell r="C1011" t="str">
            <v>Neuman; Dennis D</v>
          </cell>
          <cell r="D1011" t="str">
            <v>1C</v>
          </cell>
          <cell r="E1011" t="str">
            <v>IBEWOUT</v>
          </cell>
          <cell r="F1011" t="str">
            <v>160</v>
          </cell>
          <cell r="G1011" t="str">
            <v>8</v>
          </cell>
          <cell r="H1011">
            <v>0</v>
          </cell>
        </row>
        <row r="1012">
          <cell r="B1012">
            <v>8073</v>
          </cell>
          <cell r="C1012" t="str">
            <v>Newberry; Dominick F</v>
          </cell>
          <cell r="D1012" t="str">
            <v>1C</v>
          </cell>
          <cell r="E1012" t="str">
            <v>IBEWOUT</v>
          </cell>
          <cell r="F1012" t="str">
            <v>1319</v>
          </cell>
          <cell r="G1012" t="str">
            <v>18</v>
          </cell>
          <cell r="H1012">
            <v>0</v>
          </cell>
        </row>
        <row r="1013">
          <cell r="B1013">
            <v>8077</v>
          </cell>
          <cell r="C1013" t="str">
            <v>Neuberger; Shane M</v>
          </cell>
          <cell r="D1013" t="str">
            <v>1C</v>
          </cell>
          <cell r="E1013" t="str">
            <v>IBEWOUT</v>
          </cell>
          <cell r="F1013" t="str">
            <v>160</v>
          </cell>
          <cell r="G1013" t="str">
            <v>22</v>
          </cell>
          <cell r="H1013">
            <v>0</v>
          </cell>
        </row>
        <row r="1014">
          <cell r="B1014">
            <v>8082</v>
          </cell>
          <cell r="C1014" t="str">
            <v>Nicoloff; Philip J</v>
          </cell>
          <cell r="D1014" t="str">
            <v>1C</v>
          </cell>
          <cell r="E1014" t="str">
            <v>IBEWOUT</v>
          </cell>
          <cell r="F1014" t="str">
            <v>769</v>
          </cell>
          <cell r="G1014" t="str">
            <v>35</v>
          </cell>
          <cell r="H1014">
            <v>0</v>
          </cell>
        </row>
        <row r="1015">
          <cell r="B1015">
            <v>8091</v>
          </cell>
          <cell r="C1015" t="str">
            <v>Nimmo; Scott Michael</v>
          </cell>
          <cell r="D1015" t="str">
            <v>1C</v>
          </cell>
          <cell r="E1015" t="str">
            <v>IBEWOUT</v>
          </cell>
          <cell r="F1015" t="str">
            <v>769</v>
          </cell>
          <cell r="G1015" t="str">
            <v>10</v>
          </cell>
          <cell r="H1015">
            <v>0</v>
          </cell>
        </row>
        <row r="1016">
          <cell r="B1016">
            <v>8096</v>
          </cell>
          <cell r="C1016" t="str">
            <v>Nickolei; Christopher R</v>
          </cell>
          <cell r="D1016" t="str">
            <v>1C</v>
          </cell>
          <cell r="E1016" t="str">
            <v>IBEWOUT</v>
          </cell>
          <cell r="F1016" t="str">
            <v>47</v>
          </cell>
          <cell r="G1016" t="str">
            <v>17</v>
          </cell>
          <cell r="H1016">
            <v>0</v>
          </cell>
        </row>
        <row r="1017">
          <cell r="B1017">
            <v>8137</v>
          </cell>
          <cell r="C1017" t="str">
            <v>Noel; Bryce Dylan</v>
          </cell>
          <cell r="D1017" t="str">
            <v>1C</v>
          </cell>
          <cell r="E1017" t="str">
            <v>IBEWOUT</v>
          </cell>
          <cell r="F1017" t="str">
            <v>1245</v>
          </cell>
          <cell r="G1017" t="str">
            <v>8</v>
          </cell>
          <cell r="H1017">
            <v>0</v>
          </cell>
        </row>
        <row r="1018">
          <cell r="B1018">
            <v>8138</v>
          </cell>
          <cell r="C1018" t="str">
            <v>Noel; Tyler D.</v>
          </cell>
          <cell r="D1018" t="str">
            <v>1C</v>
          </cell>
          <cell r="E1018" t="str">
            <v>IBEWOUT</v>
          </cell>
          <cell r="F1018" t="str">
            <v>1245</v>
          </cell>
          <cell r="G1018" t="str">
            <v>17</v>
          </cell>
          <cell r="H1018">
            <v>0</v>
          </cell>
        </row>
        <row r="1019">
          <cell r="B1019">
            <v>8142</v>
          </cell>
          <cell r="C1019" t="str">
            <v>Novins; Steve</v>
          </cell>
          <cell r="D1019" t="str">
            <v>1C</v>
          </cell>
          <cell r="E1019" t="str">
            <v>IBEWOUT</v>
          </cell>
          <cell r="F1019" t="str">
            <v>1245</v>
          </cell>
          <cell r="G1019" t="str">
            <v>16</v>
          </cell>
          <cell r="H1019">
            <v>0</v>
          </cell>
        </row>
        <row r="1020">
          <cell r="B1020">
            <v>8143</v>
          </cell>
          <cell r="C1020" t="str">
            <v>Novak; Triston J.</v>
          </cell>
          <cell r="D1020" t="str">
            <v>1C</v>
          </cell>
          <cell r="E1020" t="str">
            <v>IBEWOUT</v>
          </cell>
          <cell r="F1020" t="str">
            <v>77</v>
          </cell>
          <cell r="G1020" t="str">
            <v>10</v>
          </cell>
          <cell r="H1020">
            <v>0</v>
          </cell>
        </row>
        <row r="1021">
          <cell r="B1021">
            <v>8154</v>
          </cell>
          <cell r="C1021" t="str">
            <v>Norsworthy; Jonathan R.</v>
          </cell>
          <cell r="D1021" t="str">
            <v>1C</v>
          </cell>
          <cell r="E1021" t="str">
            <v>IBEWOUT</v>
          </cell>
          <cell r="F1021" t="str">
            <v>602R</v>
          </cell>
          <cell r="G1021" t="str">
            <v>8</v>
          </cell>
          <cell r="H1021">
            <v>0</v>
          </cell>
        </row>
        <row r="1022">
          <cell r="B1022">
            <v>8155</v>
          </cell>
          <cell r="C1022" t="str">
            <v>Norcutt; Devin W</v>
          </cell>
          <cell r="D1022" t="str">
            <v>1C</v>
          </cell>
          <cell r="E1022" t="str">
            <v>IBEWOUT</v>
          </cell>
          <cell r="F1022" t="str">
            <v>1245</v>
          </cell>
          <cell r="G1022" t="str">
            <v>8</v>
          </cell>
          <cell r="H1022">
            <v>0</v>
          </cell>
        </row>
        <row r="1023">
          <cell r="B1023">
            <v>8165</v>
          </cell>
          <cell r="C1023" t="str">
            <v>Nunez; Hector</v>
          </cell>
          <cell r="D1023" t="str">
            <v>1C</v>
          </cell>
          <cell r="E1023" t="str">
            <v>IBEWOUT</v>
          </cell>
          <cell r="F1023" t="str">
            <v>47</v>
          </cell>
          <cell r="G1023" t="str">
            <v>17</v>
          </cell>
          <cell r="H1023">
            <v>0</v>
          </cell>
        </row>
        <row r="1024">
          <cell r="B1024">
            <v>8171</v>
          </cell>
          <cell r="C1024" t="str">
            <v>Obregon; Matthew D</v>
          </cell>
          <cell r="D1024" t="str">
            <v>1C</v>
          </cell>
          <cell r="E1024">
            <v>8171</v>
          </cell>
          <cell r="F1024">
            <v>8171</v>
          </cell>
          <cell r="G1024">
            <v>8171</v>
          </cell>
          <cell r="H1024">
            <v>0</v>
          </cell>
        </row>
        <row r="1025">
          <cell r="B1025">
            <v>8172</v>
          </cell>
          <cell r="C1025" t="str">
            <v>Ochoa; Edward</v>
          </cell>
          <cell r="D1025" t="str">
            <v>1C</v>
          </cell>
          <cell r="E1025" t="str">
            <v>IBEWOUT</v>
          </cell>
          <cell r="F1025" t="str">
            <v>47</v>
          </cell>
          <cell r="G1025" t="str">
            <v>60</v>
          </cell>
          <cell r="H1025">
            <v>0</v>
          </cell>
        </row>
        <row r="1026">
          <cell r="B1026">
            <v>8176</v>
          </cell>
          <cell r="C1026" t="str">
            <v>O'Brien; Timothy J.</v>
          </cell>
          <cell r="D1026" t="str">
            <v>1C</v>
          </cell>
          <cell r="E1026" t="str">
            <v>IBEWOUT</v>
          </cell>
          <cell r="F1026" t="str">
            <v>77</v>
          </cell>
          <cell r="G1026" t="str">
            <v>10</v>
          </cell>
          <cell r="H1026">
            <v>0</v>
          </cell>
        </row>
        <row r="1027">
          <cell r="B1027">
            <v>8177</v>
          </cell>
          <cell r="C1027" t="str">
            <v>O'Brien; Brandon Scott</v>
          </cell>
          <cell r="D1027" t="str">
            <v>1C</v>
          </cell>
          <cell r="E1027" t="str">
            <v>IBEWOUT</v>
          </cell>
          <cell r="F1027" t="str">
            <v>1245</v>
          </cell>
          <cell r="G1027" t="str">
            <v>7</v>
          </cell>
          <cell r="H1027">
            <v>0</v>
          </cell>
        </row>
        <row r="1028">
          <cell r="B1028">
            <v>8180</v>
          </cell>
          <cell r="C1028" t="str">
            <v>O'Connor; Travis L</v>
          </cell>
          <cell r="D1028" t="str">
            <v>1C</v>
          </cell>
          <cell r="E1028" t="str">
            <v>IBEWOUT</v>
          </cell>
          <cell r="F1028" t="str">
            <v>1245</v>
          </cell>
          <cell r="G1028" t="str">
            <v>14</v>
          </cell>
          <cell r="H1028">
            <v>0</v>
          </cell>
        </row>
        <row r="1029">
          <cell r="B1029">
            <v>8181</v>
          </cell>
          <cell r="C1029" t="str">
            <v>O'Hogan; Kevin S</v>
          </cell>
          <cell r="D1029" t="str">
            <v>1</v>
          </cell>
          <cell r="E1029">
            <v>8181</v>
          </cell>
          <cell r="F1029">
            <v>8181</v>
          </cell>
          <cell r="G1029">
            <v>8181</v>
          </cell>
          <cell r="H1029">
            <v>0</v>
          </cell>
        </row>
        <row r="1030">
          <cell r="B1030">
            <v>8185</v>
          </cell>
          <cell r="C1030" t="str">
            <v>Ogden; Craig T</v>
          </cell>
          <cell r="D1030" t="str">
            <v>1C</v>
          </cell>
          <cell r="E1030" t="str">
            <v>IBEWOUT</v>
          </cell>
          <cell r="F1030" t="str">
            <v>1245</v>
          </cell>
          <cell r="G1030" t="str">
            <v>11</v>
          </cell>
          <cell r="H1030">
            <v>0</v>
          </cell>
        </row>
        <row r="1031">
          <cell r="B1031">
            <v>8191</v>
          </cell>
          <cell r="C1031" t="str">
            <v>Ochoa; Domingo</v>
          </cell>
          <cell r="D1031" t="str">
            <v>1C</v>
          </cell>
          <cell r="E1031">
            <v>8191</v>
          </cell>
          <cell r="F1031">
            <v>8191</v>
          </cell>
          <cell r="G1031">
            <v>8191</v>
          </cell>
          <cell r="H1031">
            <v>1</v>
          </cell>
        </row>
        <row r="1032">
          <cell r="B1032">
            <v>8194</v>
          </cell>
          <cell r="C1032" t="str">
            <v>Ochoa; Luis</v>
          </cell>
          <cell r="D1032" t="str">
            <v>1C</v>
          </cell>
          <cell r="E1032" t="str">
            <v>IBEWOUT</v>
          </cell>
          <cell r="F1032" t="str">
            <v>1245</v>
          </cell>
          <cell r="G1032" t="str">
            <v>15</v>
          </cell>
          <cell r="H1032">
            <v>0</v>
          </cell>
        </row>
        <row r="1033">
          <cell r="B1033">
            <v>8196</v>
          </cell>
          <cell r="C1033" t="str">
            <v>Ochoa; Johnny Jacob</v>
          </cell>
          <cell r="D1033" t="str">
            <v>1C</v>
          </cell>
          <cell r="E1033">
            <v>8196</v>
          </cell>
          <cell r="F1033">
            <v>8196</v>
          </cell>
          <cell r="G1033">
            <v>8196</v>
          </cell>
          <cell r="H1033">
            <v>1</v>
          </cell>
        </row>
        <row r="1034">
          <cell r="B1034">
            <v>8201</v>
          </cell>
          <cell r="C1034" t="str">
            <v>Olson; Todd</v>
          </cell>
          <cell r="D1034" t="str">
            <v>1C</v>
          </cell>
          <cell r="E1034" t="str">
            <v>IBEWOUT</v>
          </cell>
          <cell r="F1034" t="str">
            <v>1049</v>
          </cell>
          <cell r="G1034" t="str">
            <v>8</v>
          </cell>
          <cell r="H1034">
            <v>0</v>
          </cell>
        </row>
        <row r="1035">
          <cell r="B1035">
            <v>8202</v>
          </cell>
          <cell r="C1035" t="str">
            <v>Opdahl; Joseph Thomas</v>
          </cell>
          <cell r="D1035" t="str">
            <v>1</v>
          </cell>
          <cell r="E1035" t="str">
            <v>IBEWOUT</v>
          </cell>
          <cell r="F1035" t="str">
            <v>1245</v>
          </cell>
          <cell r="G1035" t="str">
            <v>59</v>
          </cell>
          <cell r="H1035">
            <v>0</v>
          </cell>
        </row>
        <row r="1036">
          <cell r="B1036">
            <v>8203</v>
          </cell>
          <cell r="C1036" t="str">
            <v>Olson; William F.</v>
          </cell>
          <cell r="D1036" t="str">
            <v>1</v>
          </cell>
          <cell r="E1036">
            <v>8203</v>
          </cell>
          <cell r="F1036">
            <v>8203</v>
          </cell>
          <cell r="G1036">
            <v>8203</v>
          </cell>
          <cell r="H1036">
            <v>1</v>
          </cell>
        </row>
        <row r="1037">
          <cell r="B1037">
            <v>8204</v>
          </cell>
          <cell r="C1037" t="str">
            <v>Oosthof; Ryan R.</v>
          </cell>
          <cell r="D1037" t="str">
            <v>1C</v>
          </cell>
          <cell r="E1037" t="str">
            <v>IBEWOUT</v>
          </cell>
          <cell r="F1037" t="str">
            <v>125</v>
          </cell>
          <cell r="G1037" t="str">
            <v>8</v>
          </cell>
          <cell r="H1037">
            <v>0</v>
          </cell>
        </row>
        <row r="1038">
          <cell r="B1038">
            <v>8207</v>
          </cell>
          <cell r="C1038" t="str">
            <v>O'Neill; Nicholas</v>
          </cell>
          <cell r="D1038" t="str">
            <v>1C</v>
          </cell>
          <cell r="E1038" t="str">
            <v>IBEWOUT</v>
          </cell>
          <cell r="F1038" t="str">
            <v>47</v>
          </cell>
          <cell r="G1038" t="str">
            <v>8</v>
          </cell>
          <cell r="H1038">
            <v>0</v>
          </cell>
        </row>
        <row r="1039">
          <cell r="B1039">
            <v>8208</v>
          </cell>
          <cell r="C1039" t="str">
            <v>Oliphant; Paul D</v>
          </cell>
          <cell r="D1039" t="str">
            <v>1C</v>
          </cell>
          <cell r="E1039" t="str">
            <v>IBEWOUT</v>
          </cell>
          <cell r="F1039" t="str">
            <v>602R</v>
          </cell>
          <cell r="G1039" t="str">
            <v>8</v>
          </cell>
          <cell r="H1039">
            <v>0</v>
          </cell>
        </row>
        <row r="1040">
          <cell r="B1040">
            <v>8211</v>
          </cell>
          <cell r="C1040" t="str">
            <v>Olberding; Jim F</v>
          </cell>
          <cell r="D1040" t="str">
            <v>1C</v>
          </cell>
          <cell r="E1040" t="str">
            <v>IBEWOUT</v>
          </cell>
          <cell r="F1040" t="str">
            <v>47</v>
          </cell>
          <cell r="G1040" t="str">
            <v>8</v>
          </cell>
          <cell r="H1040">
            <v>0</v>
          </cell>
        </row>
        <row r="1041">
          <cell r="B1041">
            <v>8212</v>
          </cell>
          <cell r="C1041" t="str">
            <v>Olguin Jr; Antonio J</v>
          </cell>
          <cell r="D1041" t="str">
            <v>1C</v>
          </cell>
          <cell r="E1041" t="str">
            <v>IBEWOUT</v>
          </cell>
          <cell r="F1041" t="str">
            <v>611</v>
          </cell>
          <cell r="G1041" t="str">
            <v>18</v>
          </cell>
          <cell r="H1041">
            <v>0</v>
          </cell>
        </row>
        <row r="1042">
          <cell r="B1042">
            <v>8213</v>
          </cell>
          <cell r="C1042" t="str">
            <v>Oldfield; Brian D</v>
          </cell>
          <cell r="D1042" t="str">
            <v>1</v>
          </cell>
          <cell r="E1042">
            <v>8213</v>
          </cell>
          <cell r="F1042">
            <v>8213</v>
          </cell>
          <cell r="G1042">
            <v>8213</v>
          </cell>
          <cell r="H1042">
            <v>0</v>
          </cell>
        </row>
        <row r="1043">
          <cell r="B1043">
            <v>8218</v>
          </cell>
          <cell r="C1043" t="str">
            <v>Ortega; Mario</v>
          </cell>
          <cell r="D1043" t="str">
            <v>1C</v>
          </cell>
          <cell r="E1043" t="str">
            <v>IBEWOUT</v>
          </cell>
          <cell r="F1043" t="str">
            <v>47</v>
          </cell>
          <cell r="G1043" t="str">
            <v>8</v>
          </cell>
          <cell r="H1043">
            <v>0</v>
          </cell>
        </row>
        <row r="1044">
          <cell r="B1044">
            <v>8219</v>
          </cell>
          <cell r="C1044" t="str">
            <v>Ortega; Lamar S</v>
          </cell>
          <cell r="D1044" t="str">
            <v>1C</v>
          </cell>
          <cell r="E1044" t="str">
            <v>IBEWOUT</v>
          </cell>
          <cell r="F1044" t="str">
            <v>47</v>
          </cell>
          <cell r="G1044" t="str">
            <v>8</v>
          </cell>
          <cell r="H1044">
            <v>0</v>
          </cell>
        </row>
        <row r="1045">
          <cell r="B1045">
            <v>8220</v>
          </cell>
          <cell r="C1045" t="str">
            <v>Orona; Augstine A</v>
          </cell>
          <cell r="D1045" t="str">
            <v>1</v>
          </cell>
          <cell r="E1045" t="str">
            <v>IBEWOUT</v>
          </cell>
          <cell r="F1045" t="str">
            <v>47</v>
          </cell>
          <cell r="G1045" t="str">
            <v>17</v>
          </cell>
          <cell r="H1045">
            <v>0</v>
          </cell>
        </row>
        <row r="1046">
          <cell r="B1046">
            <v>8221</v>
          </cell>
          <cell r="C1046" t="str">
            <v>Opstvedt; Brian L</v>
          </cell>
          <cell r="D1046" t="str">
            <v>1C</v>
          </cell>
          <cell r="E1046" t="str">
            <v>IBEWOUT</v>
          </cell>
          <cell r="F1046" t="str">
            <v>1245</v>
          </cell>
          <cell r="G1046" t="str">
            <v>7</v>
          </cell>
          <cell r="H1046">
            <v>0</v>
          </cell>
        </row>
        <row r="1047">
          <cell r="B1047">
            <v>8231</v>
          </cell>
          <cell r="C1047" t="str">
            <v>Ostrander; Matthew Z.</v>
          </cell>
          <cell r="D1047" t="str">
            <v>1</v>
          </cell>
          <cell r="E1047">
            <v>8231</v>
          </cell>
          <cell r="F1047">
            <v>8231</v>
          </cell>
          <cell r="G1047">
            <v>8231</v>
          </cell>
          <cell r="H1047">
            <v>0</v>
          </cell>
        </row>
        <row r="1048">
          <cell r="B1048">
            <v>8237</v>
          </cell>
          <cell r="C1048" t="str">
            <v>Overly; Bradley Williams</v>
          </cell>
          <cell r="D1048" t="str">
            <v>1C</v>
          </cell>
          <cell r="E1048" t="str">
            <v>IBEWOUT</v>
          </cell>
          <cell r="F1048" t="str">
            <v>396</v>
          </cell>
          <cell r="G1048" t="str">
            <v>21</v>
          </cell>
          <cell r="H1048">
            <v>0</v>
          </cell>
        </row>
        <row r="1049">
          <cell r="B1049">
            <v>8240</v>
          </cell>
          <cell r="C1049" t="str">
            <v>Ornelas; Chrystin N</v>
          </cell>
          <cell r="D1049" t="str">
            <v>1C</v>
          </cell>
          <cell r="E1049" t="str">
            <v>IBEWOUT</v>
          </cell>
          <cell r="F1049" t="str">
            <v>47</v>
          </cell>
          <cell r="G1049" t="str">
            <v>17</v>
          </cell>
          <cell r="H1049">
            <v>0</v>
          </cell>
        </row>
        <row r="1050">
          <cell r="B1050">
            <v>8241</v>
          </cell>
          <cell r="C1050" t="str">
            <v>Ordonez; Gustavo A</v>
          </cell>
          <cell r="D1050" t="str">
            <v>1</v>
          </cell>
          <cell r="E1050" t="str">
            <v>IBEWOUT</v>
          </cell>
          <cell r="F1050" t="str">
            <v>47</v>
          </cell>
          <cell r="G1050" t="str">
            <v>8</v>
          </cell>
          <cell r="H1050">
            <v>0</v>
          </cell>
        </row>
        <row r="1051">
          <cell r="B1051">
            <v>8242</v>
          </cell>
          <cell r="C1051" t="str">
            <v>Oswald II; Douglas D</v>
          </cell>
          <cell r="D1051" t="str">
            <v>1</v>
          </cell>
          <cell r="E1051" t="str">
            <v>IBEWOUT</v>
          </cell>
          <cell r="F1051" t="str">
            <v>1245</v>
          </cell>
          <cell r="G1051" t="str">
            <v>16</v>
          </cell>
          <cell r="H1051">
            <v>0</v>
          </cell>
        </row>
        <row r="1052">
          <cell r="B1052">
            <v>8243</v>
          </cell>
          <cell r="C1052" t="str">
            <v>Olson; Zachery J.</v>
          </cell>
          <cell r="D1052" t="str">
            <v>1C</v>
          </cell>
          <cell r="E1052" t="str">
            <v>IBEWOUT</v>
          </cell>
          <cell r="F1052" t="str">
            <v>47</v>
          </cell>
          <cell r="G1052" t="str">
            <v>8</v>
          </cell>
          <cell r="H1052">
            <v>0</v>
          </cell>
        </row>
        <row r="1053">
          <cell r="B1053">
            <v>8246</v>
          </cell>
          <cell r="C1053" t="str">
            <v>Owen; Bryce D</v>
          </cell>
          <cell r="D1053" t="str">
            <v>1</v>
          </cell>
          <cell r="E1053">
            <v>8246</v>
          </cell>
          <cell r="F1053">
            <v>8246</v>
          </cell>
          <cell r="G1053">
            <v>8246</v>
          </cell>
          <cell r="H1053">
            <v>1</v>
          </cell>
        </row>
        <row r="1054">
          <cell r="B1054">
            <v>8249</v>
          </cell>
          <cell r="C1054" t="str">
            <v>Ortega; Nick F.</v>
          </cell>
          <cell r="D1054" t="str">
            <v>1C</v>
          </cell>
          <cell r="E1054" t="str">
            <v>IBEWOUT</v>
          </cell>
          <cell r="F1054" t="str">
            <v>47</v>
          </cell>
          <cell r="G1054" t="str">
            <v>8</v>
          </cell>
          <cell r="H1054">
            <v>0</v>
          </cell>
        </row>
        <row r="1055">
          <cell r="B1055">
            <v>8250</v>
          </cell>
          <cell r="C1055" t="str">
            <v>Ortiz; John R.</v>
          </cell>
          <cell r="D1055" t="str">
            <v>1C</v>
          </cell>
          <cell r="E1055" t="str">
            <v>IBEWOUT</v>
          </cell>
          <cell r="F1055" t="str">
            <v>1245</v>
          </cell>
          <cell r="G1055" t="str">
            <v>17</v>
          </cell>
          <cell r="H1055">
            <v>0</v>
          </cell>
        </row>
        <row r="1056">
          <cell r="B1056">
            <v>8251</v>
          </cell>
          <cell r="C1056" t="str">
            <v>Ortiz; Merrill R</v>
          </cell>
          <cell r="D1056" t="str">
            <v>1</v>
          </cell>
          <cell r="E1056" t="str">
            <v>IBEWOUT</v>
          </cell>
          <cell r="F1056" t="str">
            <v>47</v>
          </cell>
          <cell r="G1056" t="str">
            <v>15</v>
          </cell>
          <cell r="H1056">
            <v>0</v>
          </cell>
        </row>
        <row r="1057">
          <cell r="B1057">
            <v>8253</v>
          </cell>
          <cell r="C1057" t="str">
            <v>Ortiz; Porfirio F</v>
          </cell>
          <cell r="D1057" t="str">
            <v>1</v>
          </cell>
          <cell r="E1057" t="str">
            <v>IBEWOUT</v>
          </cell>
          <cell r="F1057" t="str">
            <v>47</v>
          </cell>
          <cell r="G1057" t="str">
            <v>8</v>
          </cell>
          <cell r="H1057">
            <v>0</v>
          </cell>
        </row>
        <row r="1058">
          <cell r="B1058">
            <v>8260</v>
          </cell>
          <cell r="C1058" t="str">
            <v>Pacheco; Erick</v>
          </cell>
          <cell r="D1058" t="str">
            <v>1C</v>
          </cell>
          <cell r="E1058" t="str">
            <v>IBEWOUT</v>
          </cell>
          <cell r="F1058" t="str">
            <v>769</v>
          </cell>
          <cell r="G1058" t="str">
            <v>8</v>
          </cell>
          <cell r="H1058">
            <v>0</v>
          </cell>
        </row>
        <row r="1059">
          <cell r="B1059">
            <v>8265</v>
          </cell>
          <cell r="C1059" t="str">
            <v>Paddock; Gary L</v>
          </cell>
          <cell r="D1059" t="str">
            <v>1C</v>
          </cell>
          <cell r="E1059" t="str">
            <v>IBEWOUT</v>
          </cell>
          <cell r="F1059" t="str">
            <v>1319</v>
          </cell>
          <cell r="G1059" t="str">
            <v>18</v>
          </cell>
          <cell r="H1059">
            <v>0</v>
          </cell>
        </row>
        <row r="1060">
          <cell r="B1060">
            <v>8276</v>
          </cell>
          <cell r="C1060" t="str">
            <v>Padilla; Nicholas B.</v>
          </cell>
          <cell r="D1060" t="str">
            <v>1C</v>
          </cell>
          <cell r="E1060" t="str">
            <v>IBEWOUT</v>
          </cell>
          <cell r="F1060" t="str">
            <v>1245</v>
          </cell>
          <cell r="G1060" t="str">
            <v>8</v>
          </cell>
          <cell r="H1060">
            <v>0</v>
          </cell>
        </row>
        <row r="1061">
          <cell r="B1061">
            <v>8281</v>
          </cell>
          <cell r="C1061" t="str">
            <v>Paola; Jonathan M.</v>
          </cell>
          <cell r="D1061" t="str">
            <v>1C</v>
          </cell>
          <cell r="E1061" t="str">
            <v>IBEWOUT</v>
          </cell>
          <cell r="F1061" t="str">
            <v>47</v>
          </cell>
          <cell r="G1061" t="str">
            <v>60</v>
          </cell>
          <cell r="H1061">
            <v>0</v>
          </cell>
        </row>
        <row r="1062">
          <cell r="B1062">
            <v>8283</v>
          </cell>
          <cell r="C1062" t="str">
            <v>Pawlak; Jacob T</v>
          </cell>
          <cell r="D1062" t="str">
            <v>1</v>
          </cell>
          <cell r="E1062" t="str">
            <v>IBEWOUT</v>
          </cell>
          <cell r="F1062" t="str">
            <v>769</v>
          </cell>
          <cell r="G1062" t="str">
            <v>22</v>
          </cell>
          <cell r="H1062">
            <v>0</v>
          </cell>
        </row>
        <row r="1063">
          <cell r="B1063">
            <v>8284</v>
          </cell>
          <cell r="C1063" t="str">
            <v>Pandolfi Jr.; James L</v>
          </cell>
          <cell r="D1063" t="str">
            <v>1C</v>
          </cell>
          <cell r="E1063" t="str">
            <v>IBEWOUT</v>
          </cell>
          <cell r="F1063" t="str">
            <v>160</v>
          </cell>
          <cell r="G1063" t="str">
            <v>8</v>
          </cell>
          <cell r="H1063">
            <v>0</v>
          </cell>
        </row>
        <row r="1064">
          <cell r="B1064">
            <v>8286</v>
          </cell>
          <cell r="C1064" t="str">
            <v>Papendick; Dale R</v>
          </cell>
          <cell r="D1064" t="str">
            <v>1</v>
          </cell>
          <cell r="E1064">
            <v>8286</v>
          </cell>
          <cell r="F1064">
            <v>8286</v>
          </cell>
          <cell r="G1064">
            <v>8286</v>
          </cell>
          <cell r="H1064">
            <v>1</v>
          </cell>
        </row>
        <row r="1065">
          <cell r="B1065">
            <v>8292</v>
          </cell>
          <cell r="C1065" t="str">
            <v>Park Campbell; Kyle C.</v>
          </cell>
          <cell r="D1065" t="str">
            <v>1</v>
          </cell>
          <cell r="E1065">
            <v>8292</v>
          </cell>
          <cell r="F1065">
            <v>8292</v>
          </cell>
          <cell r="G1065">
            <v>8292</v>
          </cell>
          <cell r="H1065">
            <v>1</v>
          </cell>
        </row>
        <row r="1066">
          <cell r="B1066">
            <v>8300</v>
          </cell>
          <cell r="C1066" t="str">
            <v>Parker; Cody B</v>
          </cell>
          <cell r="D1066" t="str">
            <v>1C</v>
          </cell>
          <cell r="E1066" t="str">
            <v>IBEWOUT</v>
          </cell>
          <cell r="F1066" t="str">
            <v>1245</v>
          </cell>
          <cell r="G1066" t="str">
            <v>8</v>
          </cell>
          <cell r="H1066">
            <v>0</v>
          </cell>
        </row>
        <row r="1067">
          <cell r="B1067">
            <v>8301</v>
          </cell>
          <cell r="C1067" t="str">
            <v>Parmenter; George N.</v>
          </cell>
          <cell r="D1067" t="str">
            <v>1C</v>
          </cell>
          <cell r="E1067" t="str">
            <v>IBEWOUT</v>
          </cell>
          <cell r="F1067" t="str">
            <v>1245</v>
          </cell>
          <cell r="G1067" t="str">
            <v>7</v>
          </cell>
          <cell r="H1067">
            <v>0</v>
          </cell>
        </row>
        <row r="1068">
          <cell r="B1068">
            <v>8302</v>
          </cell>
          <cell r="C1068" t="str">
            <v>Parrish; Brandy M</v>
          </cell>
          <cell r="D1068" t="str">
            <v>1</v>
          </cell>
          <cell r="E1068">
            <v>8302</v>
          </cell>
          <cell r="F1068">
            <v>8302</v>
          </cell>
          <cell r="G1068">
            <v>8302</v>
          </cell>
          <cell r="H1068">
            <v>0</v>
          </cell>
        </row>
        <row r="1069">
          <cell r="B1069">
            <v>8303</v>
          </cell>
          <cell r="C1069" t="str">
            <v>Parten; Michael A</v>
          </cell>
          <cell r="D1069" t="str">
            <v>1C</v>
          </cell>
          <cell r="E1069" t="str">
            <v>IBEWOUT</v>
          </cell>
          <cell r="F1069" t="str">
            <v>125</v>
          </cell>
          <cell r="G1069" t="str">
            <v>8</v>
          </cell>
          <cell r="H1069">
            <v>0</v>
          </cell>
        </row>
        <row r="1070">
          <cell r="B1070">
            <v>8304</v>
          </cell>
          <cell r="C1070" t="str">
            <v>Parrisher; Colin K</v>
          </cell>
          <cell r="D1070" t="str">
            <v>1C</v>
          </cell>
          <cell r="E1070" t="str">
            <v>IBEWOUT</v>
          </cell>
          <cell r="F1070" t="str">
            <v>126</v>
          </cell>
          <cell r="G1070" t="str">
            <v>7</v>
          </cell>
          <cell r="H1070">
            <v>0</v>
          </cell>
        </row>
        <row r="1071">
          <cell r="B1071">
            <v>8317</v>
          </cell>
          <cell r="C1071" t="str">
            <v>Palacios Jr; Agustin Caudillo</v>
          </cell>
          <cell r="D1071" t="str">
            <v>1</v>
          </cell>
          <cell r="E1071">
            <v>8317</v>
          </cell>
          <cell r="F1071">
            <v>8317</v>
          </cell>
          <cell r="G1071">
            <v>8317</v>
          </cell>
          <cell r="H1071">
            <v>1</v>
          </cell>
        </row>
        <row r="1072">
          <cell r="B1072">
            <v>8325</v>
          </cell>
          <cell r="C1072" t="str">
            <v>Palacios; Alberto C</v>
          </cell>
          <cell r="D1072" t="str">
            <v>1</v>
          </cell>
          <cell r="E1072">
            <v>8325</v>
          </cell>
          <cell r="F1072">
            <v>8325</v>
          </cell>
          <cell r="G1072">
            <v>8325</v>
          </cell>
          <cell r="H1072">
            <v>0</v>
          </cell>
        </row>
        <row r="1073">
          <cell r="B1073">
            <v>8328</v>
          </cell>
          <cell r="C1073" t="str">
            <v>Pauley; Ryan H.</v>
          </cell>
          <cell r="D1073" t="str">
            <v>1C</v>
          </cell>
          <cell r="E1073" t="str">
            <v>IBEWOUT</v>
          </cell>
          <cell r="F1073" t="str">
            <v>77</v>
          </cell>
          <cell r="G1073" t="str">
            <v>8</v>
          </cell>
          <cell r="H1073">
            <v>0</v>
          </cell>
        </row>
        <row r="1074">
          <cell r="B1074">
            <v>8330</v>
          </cell>
          <cell r="C1074" t="str">
            <v>Paull; Chadwick R</v>
          </cell>
          <cell r="D1074" t="str">
            <v>1C</v>
          </cell>
          <cell r="E1074" t="str">
            <v>IBEWOUT</v>
          </cell>
          <cell r="F1074" t="str">
            <v>47</v>
          </cell>
          <cell r="G1074" t="str">
            <v>8</v>
          </cell>
          <cell r="H1074">
            <v>0</v>
          </cell>
        </row>
        <row r="1075">
          <cell r="B1075">
            <v>8332</v>
          </cell>
          <cell r="C1075" t="str">
            <v>Payne; Marlin C</v>
          </cell>
          <cell r="D1075" t="str">
            <v>1</v>
          </cell>
          <cell r="E1075" t="str">
            <v>IBEWOUT</v>
          </cell>
          <cell r="F1075" t="str">
            <v>47</v>
          </cell>
          <cell r="G1075" t="str">
            <v>16</v>
          </cell>
          <cell r="H1075">
            <v>0</v>
          </cell>
        </row>
        <row r="1076">
          <cell r="B1076">
            <v>8334</v>
          </cell>
          <cell r="C1076" t="str">
            <v>Paez; David A</v>
          </cell>
          <cell r="D1076" t="str">
            <v>1C</v>
          </cell>
          <cell r="E1076" t="str">
            <v>IBEWOUT</v>
          </cell>
          <cell r="F1076" t="str">
            <v>47</v>
          </cell>
          <cell r="G1076" t="str">
            <v>13</v>
          </cell>
          <cell r="H1076">
            <v>0</v>
          </cell>
        </row>
        <row r="1077">
          <cell r="B1077">
            <v>8335</v>
          </cell>
          <cell r="C1077" t="str">
            <v>Paz; Arturo Alex</v>
          </cell>
          <cell r="D1077" t="str">
            <v>1C</v>
          </cell>
          <cell r="E1077" t="str">
            <v>IBEWOUT</v>
          </cell>
          <cell r="F1077" t="str">
            <v>47</v>
          </cell>
          <cell r="G1077" t="str">
            <v>17</v>
          </cell>
          <cell r="H1077">
            <v>0</v>
          </cell>
        </row>
        <row r="1078">
          <cell r="B1078">
            <v>8337</v>
          </cell>
          <cell r="C1078" t="str">
            <v>Payne; Cody J.</v>
          </cell>
          <cell r="D1078" t="str">
            <v>1C</v>
          </cell>
          <cell r="E1078" t="str">
            <v>IBEWOUT</v>
          </cell>
          <cell r="F1078" t="str">
            <v>77</v>
          </cell>
          <cell r="G1078" t="str">
            <v>12</v>
          </cell>
          <cell r="H1078">
            <v>0</v>
          </cell>
        </row>
        <row r="1079">
          <cell r="B1079">
            <v>8340</v>
          </cell>
          <cell r="C1079" t="str">
            <v>Paulsen; Michael B.</v>
          </cell>
          <cell r="D1079" t="str">
            <v>1C</v>
          </cell>
          <cell r="E1079" t="str">
            <v>IBEWOUT</v>
          </cell>
          <cell r="F1079" t="str">
            <v>1245</v>
          </cell>
          <cell r="G1079" t="str">
            <v>8</v>
          </cell>
          <cell r="H1079">
            <v>0</v>
          </cell>
        </row>
        <row r="1080">
          <cell r="B1080">
            <v>8341</v>
          </cell>
          <cell r="C1080" t="str">
            <v>Pavon; Marcus T</v>
          </cell>
          <cell r="D1080" t="str">
            <v>1C</v>
          </cell>
          <cell r="E1080" t="str">
            <v>IBEWOUT</v>
          </cell>
          <cell r="F1080" t="str">
            <v>1245</v>
          </cell>
          <cell r="G1080" t="str">
            <v>8</v>
          </cell>
          <cell r="H1080">
            <v>0</v>
          </cell>
        </row>
        <row r="1081">
          <cell r="B1081">
            <v>8342</v>
          </cell>
          <cell r="C1081" t="str">
            <v>Pavao; Jordan J</v>
          </cell>
          <cell r="D1081" t="str">
            <v>1C</v>
          </cell>
          <cell r="E1081" t="str">
            <v>IBEWOUT</v>
          </cell>
          <cell r="F1081" t="str">
            <v>104</v>
          </cell>
          <cell r="G1081" t="str">
            <v>15</v>
          </cell>
          <cell r="H1081">
            <v>0</v>
          </cell>
        </row>
        <row r="1082">
          <cell r="B1082">
            <v>8345</v>
          </cell>
          <cell r="C1082" t="str">
            <v>Peachy; Joseph F</v>
          </cell>
          <cell r="D1082" t="str">
            <v>1C</v>
          </cell>
          <cell r="E1082" t="str">
            <v>IBEWOUT</v>
          </cell>
          <cell r="F1082" t="str">
            <v>47</v>
          </cell>
          <cell r="G1082" t="str">
            <v>8</v>
          </cell>
          <cell r="H1082">
            <v>0</v>
          </cell>
        </row>
        <row r="1083">
          <cell r="B1083">
            <v>8377</v>
          </cell>
          <cell r="C1083" t="str">
            <v>Pearson; Charles J</v>
          </cell>
          <cell r="D1083" t="str">
            <v>1C</v>
          </cell>
          <cell r="E1083" t="str">
            <v>IBEWOUT</v>
          </cell>
          <cell r="F1083" t="str">
            <v>1245</v>
          </cell>
          <cell r="G1083" t="str">
            <v>8</v>
          </cell>
          <cell r="H1083">
            <v>0</v>
          </cell>
        </row>
        <row r="1084">
          <cell r="B1084">
            <v>8378</v>
          </cell>
          <cell r="C1084" t="str">
            <v>Peart; Adam D</v>
          </cell>
          <cell r="D1084" t="str">
            <v>1</v>
          </cell>
          <cell r="E1084">
            <v>8378</v>
          </cell>
          <cell r="F1084">
            <v>8378</v>
          </cell>
          <cell r="G1084">
            <v>8378</v>
          </cell>
          <cell r="H1084">
            <v>1</v>
          </cell>
        </row>
        <row r="1085">
          <cell r="B1085">
            <v>8380</v>
          </cell>
          <cell r="C1085" t="str">
            <v>Pearson Jr; Paul D</v>
          </cell>
          <cell r="D1085" t="str">
            <v>1</v>
          </cell>
          <cell r="E1085" t="str">
            <v>IBEWOUT</v>
          </cell>
          <cell r="F1085" t="str">
            <v>160</v>
          </cell>
          <cell r="G1085" t="str">
            <v>8</v>
          </cell>
          <cell r="H1085">
            <v>0</v>
          </cell>
        </row>
        <row r="1086">
          <cell r="B1086">
            <v>8385</v>
          </cell>
          <cell r="C1086" t="str">
            <v>Piedra; Raul</v>
          </cell>
          <cell r="D1086" t="str">
            <v>1</v>
          </cell>
          <cell r="E1086" t="str">
            <v>IBEWOUT</v>
          </cell>
          <cell r="F1086" t="str">
            <v>1245</v>
          </cell>
          <cell r="G1086" t="str">
            <v>8</v>
          </cell>
          <cell r="H1086">
            <v>0</v>
          </cell>
        </row>
        <row r="1087">
          <cell r="B1087">
            <v>8390</v>
          </cell>
          <cell r="C1087" t="str">
            <v>Peterson; Jake M.</v>
          </cell>
          <cell r="D1087" t="str">
            <v>1C</v>
          </cell>
          <cell r="E1087" t="str">
            <v>IBEWOUT</v>
          </cell>
          <cell r="F1087" t="str">
            <v>125</v>
          </cell>
          <cell r="G1087" t="str">
            <v>15</v>
          </cell>
          <cell r="H1087">
            <v>0</v>
          </cell>
        </row>
        <row r="1088">
          <cell r="B1088">
            <v>8395</v>
          </cell>
          <cell r="C1088" t="str">
            <v>Perez; Ruben Michel</v>
          </cell>
          <cell r="D1088" t="str">
            <v>1C</v>
          </cell>
          <cell r="E1088" t="str">
            <v>IBEWOUT</v>
          </cell>
          <cell r="F1088" t="str">
            <v>47</v>
          </cell>
          <cell r="G1088" t="str">
            <v>17</v>
          </cell>
          <cell r="H1088">
            <v>0</v>
          </cell>
        </row>
        <row r="1089">
          <cell r="B1089">
            <v>8396</v>
          </cell>
          <cell r="C1089" t="str">
            <v>Peer; Chad K.</v>
          </cell>
          <cell r="D1089" t="str">
            <v>1</v>
          </cell>
          <cell r="E1089" t="str">
            <v>IBEWOUT</v>
          </cell>
          <cell r="F1089" t="str">
            <v>77</v>
          </cell>
          <cell r="G1089" t="str">
            <v>7</v>
          </cell>
          <cell r="H1089">
            <v>0</v>
          </cell>
        </row>
        <row r="1090">
          <cell r="B1090">
            <v>8398</v>
          </cell>
          <cell r="C1090" t="str">
            <v>Pendarvis; Jason L.</v>
          </cell>
          <cell r="D1090" t="str">
            <v>1C</v>
          </cell>
          <cell r="E1090" t="str">
            <v>IBEWOUT</v>
          </cell>
          <cell r="F1090" t="str">
            <v>125</v>
          </cell>
          <cell r="G1090" t="str">
            <v>17</v>
          </cell>
          <cell r="H1090">
            <v>0</v>
          </cell>
        </row>
        <row r="1091">
          <cell r="B1091">
            <v>8399</v>
          </cell>
          <cell r="C1091" t="str">
            <v>Pedersen; Vikter James</v>
          </cell>
          <cell r="D1091" t="str">
            <v>1C</v>
          </cell>
          <cell r="E1091" t="str">
            <v>IBEWOUT</v>
          </cell>
          <cell r="F1091" t="str">
            <v>77</v>
          </cell>
          <cell r="G1091" t="str">
            <v>8</v>
          </cell>
          <cell r="H1091">
            <v>0</v>
          </cell>
        </row>
        <row r="1092">
          <cell r="B1092">
            <v>8401</v>
          </cell>
          <cell r="C1092" t="str">
            <v>Peruski; Jordan J.</v>
          </cell>
          <cell r="D1092" t="str">
            <v>1</v>
          </cell>
          <cell r="E1092" t="str">
            <v>IBEWOUT</v>
          </cell>
          <cell r="F1092" t="str">
            <v>1245</v>
          </cell>
          <cell r="G1092" t="str">
            <v>8</v>
          </cell>
          <cell r="H1092">
            <v>0</v>
          </cell>
        </row>
        <row r="1093">
          <cell r="B1093">
            <v>8402</v>
          </cell>
          <cell r="C1093" t="str">
            <v>Peer; Jeremiah</v>
          </cell>
          <cell r="D1093" t="str">
            <v>1</v>
          </cell>
          <cell r="E1093" t="str">
            <v>IBEWOUT</v>
          </cell>
          <cell r="F1093" t="str">
            <v>160</v>
          </cell>
          <cell r="G1093" t="str">
            <v>14</v>
          </cell>
          <cell r="H1093">
            <v>0</v>
          </cell>
        </row>
        <row r="1094">
          <cell r="B1094">
            <v>8405</v>
          </cell>
          <cell r="C1094" t="str">
            <v>Perzel; Donna</v>
          </cell>
          <cell r="D1094" t="str">
            <v>1C</v>
          </cell>
          <cell r="E1094">
            <v>8405</v>
          </cell>
          <cell r="F1094">
            <v>8405</v>
          </cell>
          <cell r="G1094">
            <v>8405</v>
          </cell>
          <cell r="H1094">
            <v>0</v>
          </cell>
        </row>
        <row r="1095">
          <cell r="B1095">
            <v>8429</v>
          </cell>
          <cell r="C1095" t="str">
            <v>Pellerin; Dwayne E</v>
          </cell>
          <cell r="D1095" t="str">
            <v>1</v>
          </cell>
          <cell r="E1095">
            <v>8429</v>
          </cell>
          <cell r="F1095">
            <v>8429</v>
          </cell>
          <cell r="G1095">
            <v>8429</v>
          </cell>
          <cell r="H1095">
            <v>1</v>
          </cell>
        </row>
        <row r="1096">
          <cell r="B1096">
            <v>8430</v>
          </cell>
          <cell r="C1096" t="str">
            <v>Pelley; Robert M</v>
          </cell>
          <cell r="D1096" t="str">
            <v>1C</v>
          </cell>
          <cell r="E1096" t="str">
            <v>IBEWOUT</v>
          </cell>
          <cell r="F1096" t="str">
            <v>47</v>
          </cell>
          <cell r="G1096" t="str">
            <v>16</v>
          </cell>
          <cell r="H1096">
            <v>0</v>
          </cell>
        </row>
        <row r="1097">
          <cell r="B1097">
            <v>8433</v>
          </cell>
          <cell r="C1097" t="str">
            <v>Petrouski; Donnie D</v>
          </cell>
          <cell r="D1097" t="str">
            <v>1</v>
          </cell>
          <cell r="E1097" t="str">
            <v>IBEWOUT</v>
          </cell>
          <cell r="F1097" t="str">
            <v>1245</v>
          </cell>
          <cell r="G1097" t="str">
            <v>11</v>
          </cell>
          <cell r="H1097">
            <v>0</v>
          </cell>
        </row>
        <row r="1098">
          <cell r="B1098">
            <v>8434</v>
          </cell>
          <cell r="C1098" t="str">
            <v>Peterson; Paul B</v>
          </cell>
          <cell r="D1098" t="str">
            <v>1</v>
          </cell>
          <cell r="E1098" t="str">
            <v>IBEWOUT</v>
          </cell>
          <cell r="F1098" t="str">
            <v>1245</v>
          </cell>
          <cell r="G1098" t="str">
            <v>7</v>
          </cell>
          <cell r="H1098">
            <v>0</v>
          </cell>
        </row>
        <row r="1099">
          <cell r="B1099">
            <v>8439</v>
          </cell>
          <cell r="C1099" t="str">
            <v>Peterson; Edwin W</v>
          </cell>
          <cell r="D1099" t="str">
            <v>1C</v>
          </cell>
          <cell r="E1099" t="str">
            <v>IBEWOUT</v>
          </cell>
          <cell r="F1099" t="str">
            <v>1245</v>
          </cell>
          <cell r="G1099" t="str">
            <v>8</v>
          </cell>
          <cell r="H1099">
            <v>0</v>
          </cell>
        </row>
        <row r="1100">
          <cell r="B1100">
            <v>8442</v>
          </cell>
          <cell r="C1100" t="str">
            <v>Persche; Mark Russell</v>
          </cell>
          <cell r="D1100" t="str">
            <v>1C</v>
          </cell>
          <cell r="E1100" t="str">
            <v>IBEWOUT</v>
          </cell>
          <cell r="F1100" t="str">
            <v>1245</v>
          </cell>
          <cell r="G1100" t="str">
            <v>8</v>
          </cell>
          <cell r="H1100">
            <v>0</v>
          </cell>
        </row>
        <row r="1101">
          <cell r="B1101">
            <v>8444</v>
          </cell>
          <cell r="C1101" t="str">
            <v>Pesina; Christopher M</v>
          </cell>
          <cell r="D1101" t="str">
            <v>1C</v>
          </cell>
          <cell r="E1101" t="str">
            <v>IBEWOUT</v>
          </cell>
          <cell r="F1101" t="str">
            <v>611</v>
          </cell>
          <cell r="G1101" t="str">
            <v>7</v>
          </cell>
          <cell r="H1101">
            <v>0</v>
          </cell>
        </row>
        <row r="1102">
          <cell r="B1102">
            <v>8445</v>
          </cell>
          <cell r="C1102" t="str">
            <v>Pelayo; Ruben</v>
          </cell>
          <cell r="D1102" t="str">
            <v>1C</v>
          </cell>
          <cell r="E1102" t="str">
            <v>IBEWOUT</v>
          </cell>
          <cell r="F1102" t="str">
            <v>1245</v>
          </cell>
          <cell r="G1102" t="str">
            <v>15</v>
          </cell>
          <cell r="H1102">
            <v>0</v>
          </cell>
        </row>
        <row r="1103">
          <cell r="B1103">
            <v>8451</v>
          </cell>
          <cell r="C1103" t="str">
            <v>Phillips; Luther E.</v>
          </cell>
          <cell r="D1103" t="str">
            <v>1</v>
          </cell>
          <cell r="E1103">
            <v>8451</v>
          </cell>
          <cell r="F1103">
            <v>8451</v>
          </cell>
          <cell r="G1103">
            <v>8451</v>
          </cell>
          <cell r="H1103">
            <v>1</v>
          </cell>
        </row>
        <row r="1104">
          <cell r="B1104">
            <v>8452</v>
          </cell>
          <cell r="C1104" t="str">
            <v>Phillips; Blake R</v>
          </cell>
          <cell r="D1104" t="str">
            <v>1C</v>
          </cell>
          <cell r="E1104" t="str">
            <v>IBEWOUT</v>
          </cell>
          <cell r="F1104" t="str">
            <v>47</v>
          </cell>
          <cell r="G1104" t="str">
            <v>14</v>
          </cell>
          <cell r="H1104">
            <v>0</v>
          </cell>
        </row>
        <row r="1105">
          <cell r="B1105">
            <v>8453</v>
          </cell>
          <cell r="C1105" t="str">
            <v>Pierce; Andrew J.</v>
          </cell>
          <cell r="D1105" t="str">
            <v>1C</v>
          </cell>
          <cell r="E1105" t="str">
            <v>IBEWOUT</v>
          </cell>
          <cell r="F1105" t="str">
            <v>1245</v>
          </cell>
          <cell r="G1105" t="str">
            <v>8</v>
          </cell>
          <cell r="H1105">
            <v>0</v>
          </cell>
        </row>
        <row r="1106">
          <cell r="B1106">
            <v>8456</v>
          </cell>
          <cell r="C1106" t="str">
            <v>Phillips; Steven R</v>
          </cell>
          <cell r="D1106" t="str">
            <v>1</v>
          </cell>
          <cell r="E1106" t="str">
            <v>IBEWOUT</v>
          </cell>
          <cell r="F1106" t="str">
            <v>47</v>
          </cell>
          <cell r="G1106" t="str">
            <v>8</v>
          </cell>
          <cell r="H1106">
            <v>0</v>
          </cell>
        </row>
        <row r="1107">
          <cell r="B1107">
            <v>8458</v>
          </cell>
          <cell r="C1107" t="str">
            <v>Phillips; John W</v>
          </cell>
          <cell r="D1107" t="str">
            <v>1C</v>
          </cell>
          <cell r="E1107" t="str">
            <v>IBEWOUT</v>
          </cell>
          <cell r="F1107" t="str">
            <v>1245</v>
          </cell>
          <cell r="G1107" t="str">
            <v>16</v>
          </cell>
          <cell r="H1107">
            <v>0</v>
          </cell>
        </row>
        <row r="1108">
          <cell r="B1108">
            <v>8461</v>
          </cell>
          <cell r="C1108" t="str">
            <v>Pfaff; Rory C</v>
          </cell>
          <cell r="D1108" t="str">
            <v>1C</v>
          </cell>
          <cell r="E1108" t="str">
            <v>IBEWOUT</v>
          </cell>
          <cell r="F1108" t="str">
            <v>47</v>
          </cell>
          <cell r="G1108" t="str">
            <v>16</v>
          </cell>
          <cell r="H1108">
            <v>0</v>
          </cell>
        </row>
        <row r="1109">
          <cell r="B1109">
            <v>8471</v>
          </cell>
          <cell r="C1109" t="str">
            <v>Pierson; Ian R</v>
          </cell>
          <cell r="D1109" t="str">
            <v>1C</v>
          </cell>
          <cell r="E1109" t="str">
            <v>IBEWOUT</v>
          </cell>
          <cell r="F1109" t="str">
            <v>160</v>
          </cell>
          <cell r="G1109" t="str">
            <v>8</v>
          </cell>
          <cell r="H1109">
            <v>0</v>
          </cell>
        </row>
        <row r="1110">
          <cell r="B1110">
            <v>8472</v>
          </cell>
          <cell r="C1110" t="str">
            <v>Pierson Jr.; Robert Dewey</v>
          </cell>
          <cell r="D1110" t="str">
            <v>1C</v>
          </cell>
          <cell r="E1110">
            <v>8472</v>
          </cell>
          <cell r="F1110">
            <v>8472</v>
          </cell>
          <cell r="G1110">
            <v>8472</v>
          </cell>
          <cell r="H1110">
            <v>0</v>
          </cell>
        </row>
        <row r="1111">
          <cell r="B1111">
            <v>8476</v>
          </cell>
          <cell r="C1111" t="str">
            <v>Pinios; Frank N.</v>
          </cell>
          <cell r="D1111" t="str">
            <v>1C</v>
          </cell>
          <cell r="E1111" t="str">
            <v>IBEWOUT</v>
          </cell>
          <cell r="F1111" t="str">
            <v>1245</v>
          </cell>
          <cell r="G1111" t="str">
            <v>7</v>
          </cell>
          <cell r="H1111">
            <v>0</v>
          </cell>
        </row>
        <row r="1112">
          <cell r="B1112">
            <v>8477</v>
          </cell>
          <cell r="C1112" t="str">
            <v>Piedra; Jose Manuel</v>
          </cell>
          <cell r="D1112" t="str">
            <v>1C</v>
          </cell>
          <cell r="E1112" t="str">
            <v>IBEWOUT</v>
          </cell>
          <cell r="F1112" t="str">
            <v>769</v>
          </cell>
          <cell r="G1112" t="str">
            <v>7</v>
          </cell>
          <cell r="H1112">
            <v>0</v>
          </cell>
        </row>
        <row r="1113">
          <cell r="B1113">
            <v>8479</v>
          </cell>
          <cell r="C1113" t="str">
            <v>Picazo; Benjamin</v>
          </cell>
          <cell r="D1113" t="str">
            <v>1C</v>
          </cell>
          <cell r="E1113" t="str">
            <v>IBEWOUT</v>
          </cell>
          <cell r="F1113" t="str">
            <v>1245</v>
          </cell>
          <cell r="G1113" t="str">
            <v>15</v>
          </cell>
          <cell r="H1113">
            <v>0</v>
          </cell>
        </row>
        <row r="1114">
          <cell r="B1114">
            <v>8481</v>
          </cell>
          <cell r="C1114" t="str">
            <v>Pitts; Andrew J</v>
          </cell>
          <cell r="D1114" t="str">
            <v>1C</v>
          </cell>
          <cell r="E1114" t="str">
            <v>IBEWOUT</v>
          </cell>
          <cell r="F1114" t="str">
            <v>1245</v>
          </cell>
          <cell r="G1114" t="str">
            <v>8</v>
          </cell>
          <cell r="H1114">
            <v>0</v>
          </cell>
        </row>
        <row r="1115">
          <cell r="B1115">
            <v>8483</v>
          </cell>
          <cell r="C1115" t="str">
            <v>Pineda; Adolfo Rudy</v>
          </cell>
          <cell r="D1115" t="str">
            <v>1C</v>
          </cell>
          <cell r="E1115" t="str">
            <v>IBEWOUT</v>
          </cell>
          <cell r="F1115" t="str">
            <v>396</v>
          </cell>
          <cell r="G1115" t="str">
            <v>18</v>
          </cell>
          <cell r="H1115">
            <v>0</v>
          </cell>
        </row>
        <row r="1116">
          <cell r="B1116">
            <v>8485</v>
          </cell>
          <cell r="C1116" t="str">
            <v>Pinedo; Daniel</v>
          </cell>
          <cell r="D1116" t="str">
            <v>1C</v>
          </cell>
          <cell r="E1116" t="str">
            <v>IBEWOUT</v>
          </cell>
          <cell r="F1116" t="str">
            <v>47</v>
          </cell>
          <cell r="G1116" t="str">
            <v>13</v>
          </cell>
          <cell r="H1116">
            <v>0</v>
          </cell>
        </row>
        <row r="1117">
          <cell r="B1117">
            <v>8488</v>
          </cell>
          <cell r="C1117" t="str">
            <v>Pion; Nicholas A.</v>
          </cell>
          <cell r="D1117" t="str">
            <v>1C</v>
          </cell>
          <cell r="E1117" t="str">
            <v>IBEWOUT</v>
          </cell>
          <cell r="F1117" t="str">
            <v>1245</v>
          </cell>
          <cell r="G1117" t="str">
            <v>13</v>
          </cell>
          <cell r="H1117">
            <v>0</v>
          </cell>
        </row>
        <row r="1118">
          <cell r="B1118">
            <v>8507</v>
          </cell>
          <cell r="C1118" t="str">
            <v>Pontine; Devon A</v>
          </cell>
          <cell r="D1118" t="str">
            <v>1C</v>
          </cell>
          <cell r="E1118" t="str">
            <v>IBEWOUT</v>
          </cell>
          <cell r="F1118" t="str">
            <v>602R</v>
          </cell>
          <cell r="G1118" t="str">
            <v>14T</v>
          </cell>
          <cell r="H1118">
            <v>0</v>
          </cell>
        </row>
        <row r="1119">
          <cell r="B1119">
            <v>8509</v>
          </cell>
          <cell r="C1119" t="str">
            <v>Porter; Wes Fraser</v>
          </cell>
          <cell r="D1119" t="str">
            <v>1C</v>
          </cell>
          <cell r="E1119" t="str">
            <v>IBEWOUT</v>
          </cell>
          <cell r="F1119" t="str">
            <v>47</v>
          </cell>
          <cell r="G1119" t="str">
            <v>17</v>
          </cell>
          <cell r="H1119">
            <v>0</v>
          </cell>
        </row>
        <row r="1120">
          <cell r="B1120">
            <v>8510</v>
          </cell>
          <cell r="C1120" t="str">
            <v>Porras; Jose R</v>
          </cell>
          <cell r="D1120" t="str">
            <v>1C</v>
          </cell>
          <cell r="E1120" t="str">
            <v>IBEWOUT</v>
          </cell>
          <cell r="F1120" t="str">
            <v>602R</v>
          </cell>
          <cell r="G1120" t="str">
            <v>13T</v>
          </cell>
          <cell r="H1120">
            <v>0</v>
          </cell>
        </row>
        <row r="1121">
          <cell r="B1121">
            <v>8511</v>
          </cell>
          <cell r="C1121" t="str">
            <v>Poland; Christopher James</v>
          </cell>
          <cell r="D1121" t="str">
            <v>1C</v>
          </cell>
          <cell r="E1121" t="str">
            <v>IBEWOUT</v>
          </cell>
          <cell r="F1121" t="str">
            <v>125</v>
          </cell>
          <cell r="G1121" t="str">
            <v>7</v>
          </cell>
          <cell r="H1121">
            <v>0</v>
          </cell>
        </row>
        <row r="1122">
          <cell r="B1122">
            <v>8515</v>
          </cell>
          <cell r="C1122" t="str">
            <v>Pock; Alvin J.</v>
          </cell>
          <cell r="D1122" t="str">
            <v>1C</v>
          </cell>
          <cell r="E1122">
            <v>8515</v>
          </cell>
          <cell r="F1122">
            <v>8515</v>
          </cell>
          <cell r="G1122">
            <v>8515</v>
          </cell>
          <cell r="H1122">
            <v>0</v>
          </cell>
        </row>
        <row r="1123">
          <cell r="B1123">
            <v>8516</v>
          </cell>
          <cell r="C1123" t="str">
            <v>Powell; Justin D.</v>
          </cell>
          <cell r="D1123" t="str">
            <v>1C</v>
          </cell>
          <cell r="E1123" t="str">
            <v>IBEWOUT</v>
          </cell>
          <cell r="F1123" t="str">
            <v>1245</v>
          </cell>
          <cell r="G1123" t="str">
            <v>7</v>
          </cell>
          <cell r="H1123">
            <v>0</v>
          </cell>
        </row>
        <row r="1124">
          <cell r="B1124">
            <v>8523</v>
          </cell>
          <cell r="C1124" t="str">
            <v>Prychodzko; Peter D</v>
          </cell>
          <cell r="D1124" t="str">
            <v>1</v>
          </cell>
          <cell r="E1124">
            <v>8523</v>
          </cell>
          <cell r="F1124">
            <v>8523</v>
          </cell>
          <cell r="G1124">
            <v>8523</v>
          </cell>
          <cell r="H1124">
            <v>1</v>
          </cell>
        </row>
        <row r="1125">
          <cell r="B1125">
            <v>8524</v>
          </cell>
          <cell r="C1125" t="str">
            <v>Potter; Howard Michael</v>
          </cell>
          <cell r="D1125" t="str">
            <v>1C</v>
          </cell>
          <cell r="E1125" t="str">
            <v>IBEWOUT</v>
          </cell>
          <cell r="F1125" t="str">
            <v>396</v>
          </cell>
          <cell r="G1125" t="str">
            <v>8</v>
          </cell>
          <cell r="H1125">
            <v>0</v>
          </cell>
        </row>
        <row r="1126">
          <cell r="B1126">
            <v>8525</v>
          </cell>
          <cell r="C1126" t="str">
            <v>Powers; Nicholas L</v>
          </cell>
          <cell r="D1126" t="str">
            <v>1C</v>
          </cell>
          <cell r="E1126" t="str">
            <v>IBEWOUT</v>
          </cell>
          <cell r="F1126" t="str">
            <v>125</v>
          </cell>
          <cell r="G1126" t="str">
            <v>15</v>
          </cell>
          <cell r="H1126">
            <v>0</v>
          </cell>
        </row>
        <row r="1127">
          <cell r="B1127">
            <v>8526</v>
          </cell>
          <cell r="C1127" t="str">
            <v>Perlick; Timothy C</v>
          </cell>
          <cell r="D1127" t="str">
            <v>1C</v>
          </cell>
          <cell r="E1127" t="str">
            <v>IBEWOUT</v>
          </cell>
          <cell r="F1127" t="str">
            <v>47</v>
          </cell>
          <cell r="G1127" t="str">
            <v>8</v>
          </cell>
          <cell r="H1127">
            <v>0</v>
          </cell>
        </row>
        <row r="1128">
          <cell r="B1128">
            <v>8527</v>
          </cell>
          <cell r="C1128" t="str">
            <v>Potter; Shawn M</v>
          </cell>
          <cell r="D1128" t="str">
            <v>1C</v>
          </cell>
          <cell r="E1128" t="str">
            <v>IBEWOUT</v>
          </cell>
          <cell r="F1128" t="str">
            <v>160</v>
          </cell>
          <cell r="G1128" t="str">
            <v>31</v>
          </cell>
          <cell r="H1128">
            <v>0</v>
          </cell>
        </row>
        <row r="1129">
          <cell r="B1129">
            <v>8528</v>
          </cell>
          <cell r="C1129" t="str">
            <v>Pryor; Nicholas L</v>
          </cell>
          <cell r="D1129" t="str">
            <v>1</v>
          </cell>
          <cell r="E1129">
            <v>8528</v>
          </cell>
          <cell r="F1129">
            <v>8528</v>
          </cell>
          <cell r="G1129">
            <v>8528</v>
          </cell>
          <cell r="H1129">
            <v>1</v>
          </cell>
        </row>
        <row r="1130">
          <cell r="B1130">
            <v>8532</v>
          </cell>
          <cell r="C1130" t="str">
            <v>Prather; Robert D.</v>
          </cell>
          <cell r="D1130" t="str">
            <v>1C</v>
          </cell>
          <cell r="E1130" t="str">
            <v>IBEWOUT</v>
          </cell>
          <cell r="F1130" t="str">
            <v>396</v>
          </cell>
          <cell r="G1130" t="str">
            <v>21</v>
          </cell>
          <cell r="H1130">
            <v>0</v>
          </cell>
        </row>
        <row r="1131">
          <cell r="B1131">
            <v>8533</v>
          </cell>
          <cell r="C1131" t="str">
            <v>Powers; Brian R</v>
          </cell>
          <cell r="D1131" t="str">
            <v>1</v>
          </cell>
          <cell r="E1131">
            <v>8533</v>
          </cell>
          <cell r="F1131">
            <v>8533</v>
          </cell>
          <cell r="G1131">
            <v>8533</v>
          </cell>
          <cell r="H1131">
            <v>1</v>
          </cell>
        </row>
        <row r="1132">
          <cell r="B1132">
            <v>8534</v>
          </cell>
          <cell r="C1132" t="str">
            <v>Potts; Noah M</v>
          </cell>
          <cell r="D1132" t="str">
            <v>1C</v>
          </cell>
          <cell r="E1132" t="str">
            <v>IBEWOUT</v>
          </cell>
          <cell r="F1132" t="str">
            <v>1245</v>
          </cell>
          <cell r="G1132" t="str">
            <v>15</v>
          </cell>
          <cell r="H1132">
            <v>0</v>
          </cell>
        </row>
        <row r="1133">
          <cell r="B1133">
            <v>8551</v>
          </cell>
          <cell r="C1133" t="str">
            <v>Reyes; Gerardo</v>
          </cell>
          <cell r="D1133" t="str">
            <v>1C</v>
          </cell>
          <cell r="E1133" t="str">
            <v>IBEWOUT</v>
          </cell>
          <cell r="F1133" t="str">
            <v>47</v>
          </cell>
          <cell r="G1133" t="str">
            <v>60</v>
          </cell>
          <cell r="H1133">
            <v>0</v>
          </cell>
        </row>
        <row r="1134">
          <cell r="B1134">
            <v>8559</v>
          </cell>
          <cell r="C1134" t="str">
            <v>Ibarra; Diego</v>
          </cell>
          <cell r="D1134" t="str">
            <v>1</v>
          </cell>
          <cell r="E1134">
            <v>8559</v>
          </cell>
          <cell r="F1134">
            <v>8559</v>
          </cell>
          <cell r="G1134">
            <v>8559</v>
          </cell>
          <cell r="H1134">
            <v>1</v>
          </cell>
        </row>
        <row r="1135">
          <cell r="B1135">
            <v>8574</v>
          </cell>
          <cell r="C1135" t="str">
            <v>Reynoza; Luis E</v>
          </cell>
          <cell r="D1135" t="str">
            <v>1</v>
          </cell>
          <cell r="E1135" t="str">
            <v>IBEWOUT</v>
          </cell>
          <cell r="F1135" t="str">
            <v>1245</v>
          </cell>
          <cell r="G1135" t="str">
            <v>8</v>
          </cell>
          <cell r="H1135">
            <v>0</v>
          </cell>
        </row>
        <row r="1136">
          <cell r="B1136">
            <v>8599</v>
          </cell>
          <cell r="C1136" t="str">
            <v>Prest; Adam W</v>
          </cell>
          <cell r="D1136" t="str">
            <v>1C</v>
          </cell>
          <cell r="E1136" t="str">
            <v>IBEWOUT</v>
          </cell>
          <cell r="F1136" t="str">
            <v>769</v>
          </cell>
          <cell r="G1136" t="str">
            <v>7</v>
          </cell>
          <cell r="H1136">
            <v>0</v>
          </cell>
        </row>
        <row r="1137">
          <cell r="B1137">
            <v>8600</v>
          </cell>
          <cell r="C1137" t="str">
            <v>Preuitt; Jason P.</v>
          </cell>
          <cell r="D1137" t="str">
            <v>1</v>
          </cell>
          <cell r="E1137">
            <v>8600</v>
          </cell>
          <cell r="F1137">
            <v>8600</v>
          </cell>
          <cell r="G1137">
            <v>8600</v>
          </cell>
          <cell r="H1137">
            <v>1</v>
          </cell>
        </row>
        <row r="1138">
          <cell r="B1138">
            <v>8602</v>
          </cell>
          <cell r="C1138" t="str">
            <v>Prewitt; Aaron M</v>
          </cell>
          <cell r="D1138" t="str">
            <v>1C</v>
          </cell>
          <cell r="E1138" t="str">
            <v>IBEWOUT</v>
          </cell>
          <cell r="F1138" t="str">
            <v>1049</v>
          </cell>
          <cell r="G1138" t="str">
            <v>8</v>
          </cell>
          <cell r="H1138">
            <v>0</v>
          </cell>
        </row>
        <row r="1139">
          <cell r="B1139">
            <v>8604</v>
          </cell>
          <cell r="C1139" t="str">
            <v>Price; Conner M</v>
          </cell>
          <cell r="D1139" t="str">
            <v>1C</v>
          </cell>
          <cell r="E1139" t="str">
            <v>IBEWOUT</v>
          </cell>
          <cell r="F1139" t="str">
            <v>1245</v>
          </cell>
          <cell r="G1139" t="str">
            <v>8</v>
          </cell>
          <cell r="H1139">
            <v>0</v>
          </cell>
        </row>
        <row r="1140">
          <cell r="B1140">
            <v>8613</v>
          </cell>
          <cell r="C1140" t="str">
            <v>Prochoren; Neal A</v>
          </cell>
          <cell r="D1140" t="str">
            <v>1C</v>
          </cell>
          <cell r="E1140" t="str">
            <v>IBEWOUT</v>
          </cell>
          <cell r="F1140" t="str">
            <v>47</v>
          </cell>
          <cell r="G1140" t="str">
            <v>17</v>
          </cell>
          <cell r="H1140">
            <v>0</v>
          </cell>
        </row>
        <row r="1141">
          <cell r="B1141">
            <v>8614</v>
          </cell>
          <cell r="C1141" t="str">
            <v>Pritchard; Andrew S</v>
          </cell>
          <cell r="D1141" t="str">
            <v>1C</v>
          </cell>
          <cell r="E1141" t="str">
            <v>IBEWOUT</v>
          </cell>
          <cell r="F1141" t="str">
            <v>47</v>
          </cell>
          <cell r="G1141" t="str">
            <v>8</v>
          </cell>
          <cell r="H1141">
            <v>0</v>
          </cell>
        </row>
        <row r="1142">
          <cell r="B1142">
            <v>8616</v>
          </cell>
          <cell r="C1142" t="str">
            <v>Proctor; Casey D</v>
          </cell>
          <cell r="D1142" t="str">
            <v>1C</v>
          </cell>
          <cell r="E1142">
            <v>8616</v>
          </cell>
          <cell r="F1142">
            <v>8616</v>
          </cell>
          <cell r="G1142">
            <v>8616</v>
          </cell>
          <cell r="H1142">
            <v>0</v>
          </cell>
        </row>
        <row r="1143">
          <cell r="B1143">
            <v>8619</v>
          </cell>
          <cell r="C1143" t="str">
            <v>Propst; Jeffrey A</v>
          </cell>
          <cell r="D1143" t="str">
            <v>1</v>
          </cell>
          <cell r="E1143" t="str">
            <v>IBEWOUT</v>
          </cell>
          <cell r="F1143" t="str">
            <v>1245</v>
          </cell>
          <cell r="G1143" t="str">
            <v>16</v>
          </cell>
          <cell r="H1143">
            <v>0</v>
          </cell>
        </row>
        <row r="1144">
          <cell r="B1144">
            <v>8621</v>
          </cell>
          <cell r="C1144" t="str">
            <v>Proffer; Drew T</v>
          </cell>
          <cell r="D1144" t="str">
            <v>1C</v>
          </cell>
          <cell r="E1144" t="str">
            <v>IBEWOUT</v>
          </cell>
          <cell r="F1144" t="str">
            <v>1245</v>
          </cell>
          <cell r="G1144" t="str">
            <v>8</v>
          </cell>
          <cell r="H1144">
            <v>0</v>
          </cell>
        </row>
        <row r="1145">
          <cell r="B1145">
            <v>8665</v>
          </cell>
          <cell r="C1145" t="str">
            <v>Putman; Darrin L</v>
          </cell>
          <cell r="D1145" t="str">
            <v>1</v>
          </cell>
          <cell r="E1145" t="str">
            <v>IBEWOUT</v>
          </cell>
          <cell r="F1145" t="str">
            <v>47</v>
          </cell>
          <cell r="G1145" t="str">
            <v>8</v>
          </cell>
          <cell r="H1145">
            <v>0</v>
          </cell>
        </row>
        <row r="1146">
          <cell r="B1146">
            <v>8670</v>
          </cell>
          <cell r="C1146" t="str">
            <v>Quam; Christopher G</v>
          </cell>
          <cell r="D1146" t="str">
            <v>1C</v>
          </cell>
          <cell r="E1146" t="str">
            <v>IBEWOUT</v>
          </cell>
          <cell r="F1146" t="str">
            <v>47</v>
          </cell>
          <cell r="G1146" t="str">
            <v>8</v>
          </cell>
          <cell r="H1146">
            <v>0</v>
          </cell>
        </row>
        <row r="1147">
          <cell r="B1147">
            <v>8685</v>
          </cell>
          <cell r="C1147" t="str">
            <v>Quigley; Patrick Allen</v>
          </cell>
          <cell r="D1147" t="str">
            <v>1</v>
          </cell>
          <cell r="E1147" t="str">
            <v>IBEWOUT</v>
          </cell>
          <cell r="F1147" t="str">
            <v>160</v>
          </cell>
          <cell r="G1147" t="str">
            <v>7</v>
          </cell>
          <cell r="H1147">
            <v>0</v>
          </cell>
        </row>
        <row r="1148">
          <cell r="B1148">
            <v>8686</v>
          </cell>
          <cell r="C1148" t="str">
            <v>Quinones; Leopoldo A</v>
          </cell>
          <cell r="D1148" t="str">
            <v>1C</v>
          </cell>
          <cell r="E1148" t="str">
            <v>IBEWOUT</v>
          </cell>
          <cell r="F1148" t="str">
            <v>1245</v>
          </cell>
          <cell r="G1148" t="str">
            <v>17</v>
          </cell>
          <cell r="H1148">
            <v>0</v>
          </cell>
        </row>
        <row r="1149">
          <cell r="B1149">
            <v>8687</v>
          </cell>
          <cell r="C1149" t="str">
            <v>Quick; Brett A.</v>
          </cell>
          <cell r="D1149" t="str">
            <v>1C</v>
          </cell>
          <cell r="E1149" t="str">
            <v>IBEWOUT</v>
          </cell>
          <cell r="F1149" t="str">
            <v>769</v>
          </cell>
          <cell r="G1149" t="str">
            <v>16</v>
          </cell>
          <cell r="H1149">
            <v>0</v>
          </cell>
        </row>
        <row r="1150">
          <cell r="B1150">
            <v>8688</v>
          </cell>
          <cell r="C1150" t="str">
            <v>Quinlan; Robert J.</v>
          </cell>
          <cell r="D1150" t="str">
            <v>1C</v>
          </cell>
          <cell r="E1150" t="str">
            <v>IBEWOUT</v>
          </cell>
          <cell r="F1150" t="str">
            <v>47</v>
          </cell>
          <cell r="G1150" t="str">
            <v>7</v>
          </cell>
          <cell r="H1150">
            <v>0</v>
          </cell>
        </row>
        <row r="1151">
          <cell r="B1151">
            <v>8689</v>
          </cell>
          <cell r="C1151" t="str">
            <v>Quicker; William B</v>
          </cell>
          <cell r="D1151" t="str">
            <v>1</v>
          </cell>
          <cell r="E1151" t="str">
            <v>IBEWOUT</v>
          </cell>
          <cell r="F1151" t="str">
            <v>160</v>
          </cell>
          <cell r="G1151" t="str">
            <v>14</v>
          </cell>
          <cell r="H1151">
            <v>0</v>
          </cell>
        </row>
        <row r="1152">
          <cell r="B1152">
            <v>8690</v>
          </cell>
          <cell r="C1152" t="str">
            <v>Quinn; Benjamin D.</v>
          </cell>
          <cell r="D1152" t="str">
            <v>1C</v>
          </cell>
          <cell r="E1152" t="str">
            <v>IBEWIN</v>
          </cell>
          <cell r="F1152" t="str">
            <v>714</v>
          </cell>
          <cell r="G1152" t="str">
            <v>8I</v>
          </cell>
          <cell r="H1152">
            <v>0</v>
          </cell>
        </row>
        <row r="1153">
          <cell r="B1153">
            <v>8692</v>
          </cell>
          <cell r="C1153" t="str">
            <v>Quintana; Edward A</v>
          </cell>
          <cell r="D1153" t="str">
            <v>1C</v>
          </cell>
          <cell r="E1153" t="str">
            <v>IBEWOUT</v>
          </cell>
          <cell r="F1153" t="str">
            <v>769</v>
          </cell>
          <cell r="G1153" t="str">
            <v>8</v>
          </cell>
          <cell r="H1153">
            <v>0</v>
          </cell>
        </row>
        <row r="1154">
          <cell r="B1154">
            <v>8693</v>
          </cell>
          <cell r="C1154" t="str">
            <v>Quiroz; Arnulfo M</v>
          </cell>
          <cell r="D1154" t="str">
            <v>1</v>
          </cell>
          <cell r="E1154" t="str">
            <v>IBEWOUT</v>
          </cell>
          <cell r="F1154" t="str">
            <v>769</v>
          </cell>
          <cell r="G1154" t="str">
            <v>7</v>
          </cell>
          <cell r="H1154">
            <v>0</v>
          </cell>
        </row>
        <row r="1155">
          <cell r="B1155">
            <v>8700</v>
          </cell>
          <cell r="C1155" t="str">
            <v>Quist; Michael L</v>
          </cell>
          <cell r="D1155" t="str">
            <v>1</v>
          </cell>
          <cell r="E1155">
            <v>8700</v>
          </cell>
          <cell r="F1155">
            <v>8700</v>
          </cell>
          <cell r="G1155">
            <v>8700</v>
          </cell>
          <cell r="H1155">
            <v>1</v>
          </cell>
        </row>
        <row r="1156">
          <cell r="B1156">
            <v>8732</v>
          </cell>
          <cell r="C1156" t="str">
            <v>Rabon; Leland C.</v>
          </cell>
          <cell r="D1156" t="str">
            <v>1C</v>
          </cell>
          <cell r="E1156" t="str">
            <v>IBEWOUT</v>
          </cell>
          <cell r="F1156" t="str">
            <v>47</v>
          </cell>
          <cell r="G1156" t="str">
            <v>16</v>
          </cell>
          <cell r="H1156">
            <v>0</v>
          </cell>
        </row>
        <row r="1157">
          <cell r="B1157">
            <v>8735</v>
          </cell>
          <cell r="C1157" t="str">
            <v>Radant; Cody D</v>
          </cell>
          <cell r="D1157" t="str">
            <v>1C</v>
          </cell>
          <cell r="E1157" t="str">
            <v>IBEWOUT</v>
          </cell>
          <cell r="F1157" t="str">
            <v>125</v>
          </cell>
          <cell r="G1157" t="str">
            <v>8</v>
          </cell>
          <cell r="H1157">
            <v>0</v>
          </cell>
        </row>
        <row r="1158">
          <cell r="B1158">
            <v>8746</v>
          </cell>
          <cell r="C1158" t="str">
            <v>Raffety; Michael Shawn</v>
          </cell>
          <cell r="D1158" t="str">
            <v>1C</v>
          </cell>
          <cell r="E1158" t="str">
            <v>IBEWOUT</v>
          </cell>
          <cell r="F1158" t="str">
            <v>47</v>
          </cell>
          <cell r="G1158" t="str">
            <v>8</v>
          </cell>
          <cell r="H1158">
            <v>0</v>
          </cell>
        </row>
        <row r="1159">
          <cell r="B1159">
            <v>8747</v>
          </cell>
          <cell r="C1159" t="str">
            <v>Ragen II; Daniel W</v>
          </cell>
          <cell r="D1159" t="str">
            <v>1</v>
          </cell>
          <cell r="E1159" t="str">
            <v>IBEWOUT</v>
          </cell>
          <cell r="F1159" t="str">
            <v>160</v>
          </cell>
          <cell r="G1159" t="str">
            <v>15</v>
          </cell>
          <cell r="H1159">
            <v>0</v>
          </cell>
        </row>
        <row r="1160">
          <cell r="B1160">
            <v>8750</v>
          </cell>
          <cell r="C1160" t="str">
            <v>Ragsdale; Glenn Franklin</v>
          </cell>
          <cell r="D1160" t="str">
            <v>1</v>
          </cell>
          <cell r="E1160" t="str">
            <v>IBEWOUT</v>
          </cell>
          <cell r="F1160" t="str">
            <v>47</v>
          </cell>
          <cell r="G1160" t="str">
            <v>16</v>
          </cell>
          <cell r="H1160">
            <v>0</v>
          </cell>
        </row>
        <row r="1161">
          <cell r="B1161">
            <v>8751</v>
          </cell>
          <cell r="C1161" t="str">
            <v>Ragsdale; William Ryan</v>
          </cell>
          <cell r="D1161" t="str">
            <v>1</v>
          </cell>
          <cell r="E1161" t="str">
            <v>IBEWOUT</v>
          </cell>
          <cell r="F1161" t="str">
            <v>160</v>
          </cell>
          <cell r="G1161" t="str">
            <v>18</v>
          </cell>
          <cell r="H1161">
            <v>0</v>
          </cell>
        </row>
        <row r="1162">
          <cell r="B1162">
            <v>8756</v>
          </cell>
          <cell r="C1162" t="str">
            <v>Rains; Travis G.</v>
          </cell>
          <cell r="D1162" t="str">
            <v>1C</v>
          </cell>
          <cell r="E1162" t="str">
            <v>IBEWOUT</v>
          </cell>
          <cell r="F1162" t="str">
            <v>1245</v>
          </cell>
          <cell r="G1162" t="str">
            <v>8</v>
          </cell>
          <cell r="H1162">
            <v>0</v>
          </cell>
        </row>
        <row r="1163">
          <cell r="B1163">
            <v>8770</v>
          </cell>
          <cell r="C1163" t="str">
            <v>Ramaker; Brian H</v>
          </cell>
          <cell r="D1163" t="str">
            <v>1C</v>
          </cell>
          <cell r="E1163" t="str">
            <v>IBEWOUT</v>
          </cell>
          <cell r="F1163" t="str">
            <v>1245</v>
          </cell>
          <cell r="G1163" t="str">
            <v>7</v>
          </cell>
          <cell r="H1163">
            <v>0</v>
          </cell>
        </row>
        <row r="1164">
          <cell r="B1164">
            <v>8771</v>
          </cell>
          <cell r="C1164" t="str">
            <v>Ramer; Patrick K</v>
          </cell>
          <cell r="D1164" t="str">
            <v>1</v>
          </cell>
          <cell r="E1164" t="str">
            <v>IBEWOUT</v>
          </cell>
          <cell r="F1164" t="str">
            <v>1245</v>
          </cell>
          <cell r="G1164" t="str">
            <v>17</v>
          </cell>
          <cell r="H1164">
            <v>0</v>
          </cell>
        </row>
        <row r="1165">
          <cell r="B1165">
            <v>8772</v>
          </cell>
          <cell r="C1165" t="str">
            <v>Ramirez; Ernesto D.</v>
          </cell>
          <cell r="D1165" t="str">
            <v>1C</v>
          </cell>
          <cell r="E1165" t="str">
            <v>IBEWOUT</v>
          </cell>
          <cell r="F1165" t="str">
            <v>47</v>
          </cell>
          <cell r="G1165" t="str">
            <v>14</v>
          </cell>
          <cell r="H1165">
            <v>0</v>
          </cell>
        </row>
        <row r="1166">
          <cell r="B1166">
            <v>8774</v>
          </cell>
          <cell r="C1166" t="str">
            <v>Ramirez; Joseph</v>
          </cell>
          <cell r="D1166" t="str">
            <v>1C</v>
          </cell>
          <cell r="E1166" t="str">
            <v>IBEWOUT</v>
          </cell>
          <cell r="F1166" t="str">
            <v>1245</v>
          </cell>
          <cell r="G1166" t="str">
            <v>17</v>
          </cell>
          <cell r="H1166">
            <v>0</v>
          </cell>
        </row>
        <row r="1167">
          <cell r="B1167">
            <v>8777</v>
          </cell>
          <cell r="C1167" t="str">
            <v>Ramirez-Gomez; Marco I</v>
          </cell>
          <cell r="D1167" t="str">
            <v>1C</v>
          </cell>
          <cell r="E1167" t="str">
            <v>IBEWOUT</v>
          </cell>
          <cell r="F1167" t="str">
            <v>1245</v>
          </cell>
          <cell r="G1167" t="str">
            <v>17</v>
          </cell>
          <cell r="H1167">
            <v>0</v>
          </cell>
        </row>
        <row r="1168">
          <cell r="B1168">
            <v>8778</v>
          </cell>
          <cell r="C1168" t="str">
            <v>Ramirez; Mark A</v>
          </cell>
          <cell r="D1168" t="str">
            <v>1</v>
          </cell>
          <cell r="E1168" t="str">
            <v>IBEWOUT</v>
          </cell>
          <cell r="F1168" t="str">
            <v>47</v>
          </cell>
          <cell r="G1168" t="str">
            <v>17</v>
          </cell>
          <cell r="H1168">
            <v>0</v>
          </cell>
        </row>
        <row r="1169">
          <cell r="B1169">
            <v>8785</v>
          </cell>
          <cell r="C1169" t="str">
            <v>Randall; Robert D</v>
          </cell>
          <cell r="D1169" t="str">
            <v>1</v>
          </cell>
          <cell r="E1169" t="str">
            <v>IBEWOUT</v>
          </cell>
          <cell r="F1169" t="str">
            <v>1245</v>
          </cell>
          <cell r="G1169" t="str">
            <v>7</v>
          </cell>
          <cell r="H1169">
            <v>0</v>
          </cell>
        </row>
        <row r="1170">
          <cell r="B1170">
            <v>8786</v>
          </cell>
          <cell r="C1170" t="str">
            <v>Ransom; William B.</v>
          </cell>
          <cell r="D1170" t="str">
            <v>1C</v>
          </cell>
          <cell r="E1170" t="str">
            <v>IBEWOUT</v>
          </cell>
          <cell r="F1170" t="str">
            <v>47</v>
          </cell>
          <cell r="G1170" t="str">
            <v>8</v>
          </cell>
          <cell r="H1170">
            <v>0</v>
          </cell>
        </row>
        <row r="1171">
          <cell r="B1171">
            <v>8787</v>
          </cell>
          <cell r="C1171" t="str">
            <v>Rapozo; Titus K</v>
          </cell>
          <cell r="D1171" t="str">
            <v>1C</v>
          </cell>
          <cell r="E1171" t="str">
            <v>IBEWOUT</v>
          </cell>
          <cell r="F1171" t="str">
            <v>104</v>
          </cell>
          <cell r="G1171" t="str">
            <v>7</v>
          </cell>
          <cell r="H1171">
            <v>0</v>
          </cell>
        </row>
        <row r="1172">
          <cell r="B1172">
            <v>8790</v>
          </cell>
          <cell r="C1172" t="str">
            <v>Ratti; Byron J</v>
          </cell>
          <cell r="D1172" t="str">
            <v>1C</v>
          </cell>
          <cell r="E1172" t="str">
            <v>IBEWOUT</v>
          </cell>
          <cell r="F1172" t="str">
            <v>47</v>
          </cell>
          <cell r="G1172" t="str">
            <v>17</v>
          </cell>
          <cell r="H1172">
            <v>0</v>
          </cell>
        </row>
        <row r="1173">
          <cell r="B1173">
            <v>8792</v>
          </cell>
          <cell r="C1173" t="str">
            <v>Rasmussen; Anita</v>
          </cell>
          <cell r="D1173" t="str">
            <v>1C</v>
          </cell>
          <cell r="E1173" t="str">
            <v>IBEWOUT</v>
          </cell>
          <cell r="F1173" t="str">
            <v>396</v>
          </cell>
          <cell r="G1173" t="str">
            <v>17</v>
          </cell>
          <cell r="H1173">
            <v>0</v>
          </cell>
        </row>
        <row r="1174">
          <cell r="B1174">
            <v>8797</v>
          </cell>
          <cell r="C1174" t="str">
            <v>Raunig; Fred L.</v>
          </cell>
          <cell r="D1174" t="str">
            <v>1</v>
          </cell>
          <cell r="E1174" t="str">
            <v>IBEWOUT</v>
          </cell>
          <cell r="F1174" t="str">
            <v>769</v>
          </cell>
          <cell r="G1174" t="str">
            <v>7</v>
          </cell>
          <cell r="H1174">
            <v>0</v>
          </cell>
        </row>
        <row r="1175">
          <cell r="B1175">
            <v>8798</v>
          </cell>
          <cell r="C1175" t="str">
            <v>Raunig; Fred Michael</v>
          </cell>
          <cell r="D1175" t="str">
            <v>1</v>
          </cell>
          <cell r="E1175" t="str">
            <v>IBEWOUT</v>
          </cell>
          <cell r="F1175" t="str">
            <v>769</v>
          </cell>
          <cell r="G1175" t="str">
            <v>1</v>
          </cell>
          <cell r="H1175">
            <v>0</v>
          </cell>
        </row>
        <row r="1176">
          <cell r="B1176">
            <v>8817</v>
          </cell>
          <cell r="C1176" t="str">
            <v>Reavis; Sam H</v>
          </cell>
          <cell r="D1176" t="str">
            <v>1C</v>
          </cell>
          <cell r="E1176" t="str">
            <v>IBEWOUT</v>
          </cell>
          <cell r="F1176" t="str">
            <v>1245</v>
          </cell>
          <cell r="G1176" t="str">
            <v>11</v>
          </cell>
          <cell r="H1176">
            <v>0</v>
          </cell>
        </row>
        <row r="1177">
          <cell r="B1177">
            <v>8819</v>
          </cell>
          <cell r="C1177" t="str">
            <v>Reau; Nelson L</v>
          </cell>
          <cell r="D1177" t="str">
            <v>1</v>
          </cell>
          <cell r="E1177" t="str">
            <v>IBEWOUT</v>
          </cell>
          <cell r="F1177" t="str">
            <v>1245</v>
          </cell>
          <cell r="G1177" t="str">
            <v>16</v>
          </cell>
          <cell r="H1177">
            <v>0</v>
          </cell>
        </row>
        <row r="1178">
          <cell r="B1178">
            <v>8824</v>
          </cell>
          <cell r="C1178" t="str">
            <v>Rednour; Renee S</v>
          </cell>
          <cell r="D1178" t="str">
            <v>1</v>
          </cell>
          <cell r="E1178">
            <v>8824</v>
          </cell>
          <cell r="F1178">
            <v>8824</v>
          </cell>
          <cell r="G1178">
            <v>8824</v>
          </cell>
          <cell r="H1178">
            <v>1</v>
          </cell>
        </row>
        <row r="1179">
          <cell r="B1179">
            <v>8826</v>
          </cell>
          <cell r="C1179" t="str">
            <v>Reed; Eddie R</v>
          </cell>
          <cell r="D1179" t="str">
            <v>1C</v>
          </cell>
          <cell r="E1179" t="str">
            <v>IBEWOUT</v>
          </cell>
          <cell r="F1179" t="str">
            <v>1245</v>
          </cell>
          <cell r="G1179" t="str">
            <v>7</v>
          </cell>
          <cell r="H1179">
            <v>0</v>
          </cell>
        </row>
        <row r="1180">
          <cell r="B1180">
            <v>8827</v>
          </cell>
          <cell r="C1180" t="str">
            <v>Reeves; Kyle F</v>
          </cell>
          <cell r="D1180" t="str">
            <v>1</v>
          </cell>
          <cell r="E1180" t="str">
            <v>IBEWOUT</v>
          </cell>
          <cell r="F1180" t="str">
            <v>160</v>
          </cell>
          <cell r="G1180" t="str">
            <v>18</v>
          </cell>
          <cell r="H1180">
            <v>0</v>
          </cell>
        </row>
        <row r="1181">
          <cell r="B1181">
            <v>8829</v>
          </cell>
          <cell r="C1181" t="str">
            <v>Richmond; Cordell D</v>
          </cell>
          <cell r="D1181" t="str">
            <v>1C</v>
          </cell>
          <cell r="E1181" t="str">
            <v>IBEWOUT</v>
          </cell>
          <cell r="F1181" t="str">
            <v>602R</v>
          </cell>
          <cell r="G1181" t="str">
            <v>14T</v>
          </cell>
          <cell r="H1181">
            <v>0</v>
          </cell>
        </row>
        <row r="1182">
          <cell r="B1182">
            <v>8830</v>
          </cell>
          <cell r="C1182" t="str">
            <v>Reeves Jr.; Fredrick Wayne</v>
          </cell>
          <cell r="D1182" t="str">
            <v>1</v>
          </cell>
          <cell r="E1182" t="str">
            <v>IBEWOUT</v>
          </cell>
          <cell r="F1182" t="str">
            <v>160</v>
          </cell>
          <cell r="G1182" t="str">
            <v>7</v>
          </cell>
          <cell r="H1182">
            <v>0</v>
          </cell>
        </row>
        <row r="1183">
          <cell r="B1183">
            <v>8832</v>
          </cell>
          <cell r="C1183" t="str">
            <v>Renn; Shane T.</v>
          </cell>
          <cell r="D1183" t="str">
            <v>1C</v>
          </cell>
          <cell r="E1183" t="str">
            <v>IBEWOUT</v>
          </cell>
          <cell r="F1183" t="str">
            <v>1245</v>
          </cell>
          <cell r="G1183" t="str">
            <v>7</v>
          </cell>
          <cell r="H1183">
            <v>0</v>
          </cell>
        </row>
        <row r="1184">
          <cell r="B1184">
            <v>8833</v>
          </cell>
          <cell r="C1184" t="str">
            <v>Ressa; Joshua W.</v>
          </cell>
          <cell r="D1184" t="str">
            <v>1C</v>
          </cell>
          <cell r="E1184" t="str">
            <v>IBEWOUT</v>
          </cell>
          <cell r="F1184" t="str">
            <v>77</v>
          </cell>
          <cell r="G1184" t="str">
            <v>16</v>
          </cell>
          <cell r="H1184">
            <v>0</v>
          </cell>
        </row>
        <row r="1185">
          <cell r="B1185">
            <v>8836</v>
          </cell>
          <cell r="C1185" t="str">
            <v>Richmond; Shawn J.</v>
          </cell>
          <cell r="D1185" t="str">
            <v>1C</v>
          </cell>
          <cell r="E1185" t="str">
            <v>IBEWOUT</v>
          </cell>
          <cell r="F1185" t="str">
            <v>1245</v>
          </cell>
          <cell r="G1185" t="str">
            <v>8</v>
          </cell>
          <cell r="H1185">
            <v>0</v>
          </cell>
        </row>
        <row r="1186">
          <cell r="B1186">
            <v>8837</v>
          </cell>
          <cell r="C1186" t="str">
            <v>Ricker; Chad M</v>
          </cell>
          <cell r="D1186" t="str">
            <v>1C</v>
          </cell>
          <cell r="E1186" t="str">
            <v>IBEWOUT</v>
          </cell>
          <cell r="F1186" t="str">
            <v>47</v>
          </cell>
          <cell r="G1186" t="str">
            <v>8</v>
          </cell>
          <cell r="H1186">
            <v>0</v>
          </cell>
        </row>
        <row r="1187">
          <cell r="B1187">
            <v>8841</v>
          </cell>
          <cell r="C1187" t="str">
            <v>Renteria; Miguel A</v>
          </cell>
          <cell r="D1187" t="str">
            <v>1</v>
          </cell>
          <cell r="E1187" t="str">
            <v>IBEWOUT</v>
          </cell>
          <cell r="F1187" t="str">
            <v>1245</v>
          </cell>
          <cell r="G1187" t="str">
            <v>17</v>
          </cell>
          <cell r="H1187">
            <v>0</v>
          </cell>
        </row>
        <row r="1188">
          <cell r="B1188">
            <v>8845</v>
          </cell>
          <cell r="C1188" t="str">
            <v>Renteria; Juan Carlos</v>
          </cell>
          <cell r="D1188" t="str">
            <v>1C</v>
          </cell>
          <cell r="E1188" t="str">
            <v>IBEWOUT</v>
          </cell>
          <cell r="F1188" t="str">
            <v>1245</v>
          </cell>
          <cell r="G1188" t="str">
            <v>12</v>
          </cell>
          <cell r="H1188">
            <v>0</v>
          </cell>
        </row>
        <row r="1189">
          <cell r="B1189">
            <v>8846</v>
          </cell>
          <cell r="C1189" t="str">
            <v>Rondeau Jr.; William A</v>
          </cell>
          <cell r="D1189" t="str">
            <v>1C</v>
          </cell>
          <cell r="E1189" t="str">
            <v>IBEWOUT</v>
          </cell>
          <cell r="F1189" t="str">
            <v>126</v>
          </cell>
          <cell r="G1189" t="str">
            <v>8</v>
          </cell>
          <cell r="H1189">
            <v>0</v>
          </cell>
        </row>
        <row r="1190">
          <cell r="B1190">
            <v>8855</v>
          </cell>
          <cell r="C1190" t="str">
            <v>Robbins; Nathan Ray</v>
          </cell>
          <cell r="D1190" t="str">
            <v>1C</v>
          </cell>
          <cell r="E1190" t="str">
            <v>IBEWOUT</v>
          </cell>
          <cell r="F1190" t="str">
            <v>77</v>
          </cell>
          <cell r="G1190" t="str">
            <v>9</v>
          </cell>
          <cell r="H1190">
            <v>0</v>
          </cell>
        </row>
        <row r="1191">
          <cell r="B1191">
            <v>8856</v>
          </cell>
          <cell r="C1191" t="str">
            <v>Rethi; Attila Alex</v>
          </cell>
          <cell r="D1191" t="str">
            <v>1C</v>
          </cell>
          <cell r="E1191" t="str">
            <v>IBEWOUT</v>
          </cell>
          <cell r="F1191" t="str">
            <v>1245</v>
          </cell>
          <cell r="G1191" t="str">
            <v>16</v>
          </cell>
          <cell r="H1191">
            <v>0</v>
          </cell>
        </row>
        <row r="1192">
          <cell r="B1192">
            <v>8857</v>
          </cell>
          <cell r="C1192" t="str">
            <v>Romberg; Grant M</v>
          </cell>
          <cell r="D1192" t="str">
            <v>1C</v>
          </cell>
          <cell r="E1192" t="str">
            <v>IBEWOUT</v>
          </cell>
          <cell r="F1192" t="str">
            <v>160</v>
          </cell>
          <cell r="G1192" t="str">
            <v>8</v>
          </cell>
          <cell r="H1192">
            <v>0</v>
          </cell>
        </row>
        <row r="1193">
          <cell r="B1193">
            <v>8858</v>
          </cell>
          <cell r="C1193" t="str">
            <v>Romero; Johnny O</v>
          </cell>
          <cell r="D1193" t="str">
            <v>1C</v>
          </cell>
          <cell r="E1193" t="str">
            <v>IBEWOUT</v>
          </cell>
          <cell r="F1193" t="str">
            <v>611</v>
          </cell>
          <cell r="G1193" t="str">
            <v>12</v>
          </cell>
          <cell r="H1193">
            <v>0</v>
          </cell>
        </row>
        <row r="1194">
          <cell r="B1194">
            <v>8859</v>
          </cell>
          <cell r="C1194" t="str">
            <v>Roman; Nicholas J</v>
          </cell>
          <cell r="D1194" t="str">
            <v>1C</v>
          </cell>
          <cell r="E1194" t="str">
            <v>IBEWOUT</v>
          </cell>
          <cell r="F1194" t="str">
            <v>77</v>
          </cell>
          <cell r="G1194" t="str">
            <v>8</v>
          </cell>
          <cell r="H1194">
            <v>0</v>
          </cell>
        </row>
        <row r="1195">
          <cell r="B1195">
            <v>8860</v>
          </cell>
          <cell r="C1195" t="str">
            <v>Rice; Everett L</v>
          </cell>
          <cell r="D1195" t="str">
            <v>1C</v>
          </cell>
          <cell r="E1195" t="str">
            <v>IBEWOUT</v>
          </cell>
          <cell r="F1195" t="str">
            <v>77</v>
          </cell>
          <cell r="G1195" t="str">
            <v>8</v>
          </cell>
          <cell r="H1195">
            <v>0</v>
          </cell>
        </row>
        <row r="1196">
          <cell r="B1196">
            <v>8861</v>
          </cell>
          <cell r="C1196" t="str">
            <v>Rhodes; Sam A</v>
          </cell>
          <cell r="D1196" t="str">
            <v>1C</v>
          </cell>
          <cell r="E1196" t="str">
            <v>IBEWOUT</v>
          </cell>
          <cell r="F1196" t="str">
            <v>77</v>
          </cell>
          <cell r="G1196" t="str">
            <v>8</v>
          </cell>
          <cell r="H1196">
            <v>0</v>
          </cell>
        </row>
        <row r="1197">
          <cell r="B1197">
            <v>8862</v>
          </cell>
          <cell r="C1197" t="str">
            <v>Rex; Paul Arthur</v>
          </cell>
          <cell r="D1197" t="str">
            <v>1C</v>
          </cell>
          <cell r="E1197" t="str">
            <v>IBEWOUT</v>
          </cell>
          <cell r="F1197" t="str">
            <v>47</v>
          </cell>
          <cell r="G1197" t="str">
            <v>60</v>
          </cell>
          <cell r="H1197">
            <v>0</v>
          </cell>
        </row>
        <row r="1198">
          <cell r="B1198">
            <v>8864</v>
          </cell>
          <cell r="C1198" t="str">
            <v>Rhodes; Shawn A</v>
          </cell>
          <cell r="D1198" t="str">
            <v>1</v>
          </cell>
          <cell r="E1198">
            <v>8864</v>
          </cell>
          <cell r="F1198">
            <v>8864</v>
          </cell>
          <cell r="G1198">
            <v>8864</v>
          </cell>
          <cell r="H1198">
            <v>0</v>
          </cell>
        </row>
        <row r="1199">
          <cell r="B1199">
            <v>8865</v>
          </cell>
          <cell r="C1199" t="str">
            <v>Rivet Jr.; Lipton J</v>
          </cell>
          <cell r="D1199" t="str">
            <v>1C</v>
          </cell>
          <cell r="E1199" t="str">
            <v>IBEWOUT</v>
          </cell>
          <cell r="F1199" t="str">
            <v>160</v>
          </cell>
          <cell r="G1199" t="str">
            <v>8</v>
          </cell>
          <cell r="H1199">
            <v>0</v>
          </cell>
        </row>
        <row r="1200">
          <cell r="B1200">
            <v>8866</v>
          </cell>
          <cell r="C1200" t="str">
            <v>Richlie; Michael J</v>
          </cell>
          <cell r="D1200" t="str">
            <v>1</v>
          </cell>
          <cell r="E1200" t="str">
            <v>IBEWOUT</v>
          </cell>
          <cell r="F1200" t="str">
            <v>160</v>
          </cell>
          <cell r="G1200" t="str">
            <v>16</v>
          </cell>
          <cell r="H1200">
            <v>0</v>
          </cell>
        </row>
        <row r="1201">
          <cell r="B1201">
            <v>8867</v>
          </cell>
          <cell r="C1201" t="str">
            <v>Richardson; Rex D</v>
          </cell>
          <cell r="D1201" t="str">
            <v>1C</v>
          </cell>
          <cell r="E1201" t="str">
            <v>IBEWOUT</v>
          </cell>
          <cell r="F1201" t="str">
            <v>1245</v>
          </cell>
          <cell r="G1201" t="str">
            <v>7</v>
          </cell>
          <cell r="H1201">
            <v>0</v>
          </cell>
        </row>
        <row r="1202">
          <cell r="B1202">
            <v>8887</v>
          </cell>
          <cell r="C1202" t="str">
            <v>Riley; Brian Patrick</v>
          </cell>
          <cell r="D1202" t="str">
            <v>1C</v>
          </cell>
          <cell r="E1202">
            <v>8887</v>
          </cell>
          <cell r="F1202">
            <v>8887</v>
          </cell>
          <cell r="G1202">
            <v>8887</v>
          </cell>
          <cell r="H1202">
            <v>0</v>
          </cell>
        </row>
        <row r="1203">
          <cell r="B1203">
            <v>8888</v>
          </cell>
          <cell r="C1203" t="str">
            <v>Rinehimer; Geary M</v>
          </cell>
          <cell r="D1203" t="str">
            <v>1C</v>
          </cell>
          <cell r="E1203" t="str">
            <v>IBEWOUT</v>
          </cell>
          <cell r="F1203" t="str">
            <v>1319</v>
          </cell>
          <cell r="G1203" t="str">
            <v>13</v>
          </cell>
          <cell r="H1203">
            <v>0</v>
          </cell>
        </row>
        <row r="1204">
          <cell r="B1204">
            <v>8890</v>
          </cell>
          <cell r="C1204" t="str">
            <v>Roberts; Joseph P.</v>
          </cell>
          <cell r="D1204" t="str">
            <v>1C</v>
          </cell>
          <cell r="E1204" t="str">
            <v>IBEWOUT</v>
          </cell>
          <cell r="F1204" t="str">
            <v>47</v>
          </cell>
          <cell r="G1204" t="str">
            <v>8</v>
          </cell>
          <cell r="H1204">
            <v>0</v>
          </cell>
        </row>
        <row r="1205">
          <cell r="B1205">
            <v>8891</v>
          </cell>
          <cell r="C1205" t="str">
            <v>Rinella; Philip M</v>
          </cell>
          <cell r="D1205" t="str">
            <v>1</v>
          </cell>
          <cell r="E1205">
            <v>8891</v>
          </cell>
          <cell r="F1205">
            <v>8891</v>
          </cell>
          <cell r="G1205">
            <v>8891</v>
          </cell>
          <cell r="H1205">
            <v>0</v>
          </cell>
        </row>
        <row r="1206">
          <cell r="B1206">
            <v>8895</v>
          </cell>
          <cell r="C1206" t="str">
            <v>Roan; Dustin Michael</v>
          </cell>
          <cell r="D1206" t="str">
            <v>1C</v>
          </cell>
          <cell r="E1206" t="str">
            <v>IBEWOUT</v>
          </cell>
          <cell r="F1206" t="str">
            <v>769</v>
          </cell>
          <cell r="G1206" t="str">
            <v>33</v>
          </cell>
          <cell r="H1206">
            <v>0</v>
          </cell>
        </row>
        <row r="1207">
          <cell r="B1207">
            <v>8899</v>
          </cell>
          <cell r="C1207" t="str">
            <v>Rigg; Stuart N</v>
          </cell>
          <cell r="D1207" t="str">
            <v>1C</v>
          </cell>
          <cell r="E1207" t="str">
            <v>IBEWOUT</v>
          </cell>
          <cell r="F1207" t="str">
            <v>1245</v>
          </cell>
          <cell r="G1207" t="str">
            <v>8</v>
          </cell>
          <cell r="H1207">
            <v>0</v>
          </cell>
        </row>
        <row r="1208">
          <cell r="B1208">
            <v>8904</v>
          </cell>
          <cell r="C1208" t="str">
            <v>Rivera; Amando A</v>
          </cell>
          <cell r="D1208" t="str">
            <v>1C</v>
          </cell>
          <cell r="E1208" t="str">
            <v>IBEWOUT</v>
          </cell>
          <cell r="F1208" t="str">
            <v>47</v>
          </cell>
          <cell r="G1208" t="str">
            <v>8</v>
          </cell>
          <cell r="H1208">
            <v>0</v>
          </cell>
        </row>
        <row r="1209">
          <cell r="B1209">
            <v>8905</v>
          </cell>
          <cell r="C1209" t="str">
            <v>Rieskamp; Amanda M</v>
          </cell>
          <cell r="D1209" t="str">
            <v>1C</v>
          </cell>
          <cell r="E1209">
            <v>8905</v>
          </cell>
          <cell r="F1209">
            <v>8905</v>
          </cell>
          <cell r="G1209">
            <v>8905</v>
          </cell>
          <cell r="H1209">
            <v>0</v>
          </cell>
        </row>
        <row r="1210">
          <cell r="B1210">
            <v>8906</v>
          </cell>
          <cell r="C1210" t="str">
            <v>Rivera; Luis C</v>
          </cell>
          <cell r="D1210" t="str">
            <v>1C</v>
          </cell>
          <cell r="E1210" t="str">
            <v>IBEWOUT</v>
          </cell>
          <cell r="F1210" t="str">
            <v>47</v>
          </cell>
          <cell r="G1210" t="str">
            <v>7</v>
          </cell>
          <cell r="H1210">
            <v>0</v>
          </cell>
        </row>
        <row r="1211">
          <cell r="B1211">
            <v>8907</v>
          </cell>
          <cell r="C1211" t="str">
            <v>Rivera; Jose R</v>
          </cell>
          <cell r="D1211" t="str">
            <v>1</v>
          </cell>
          <cell r="E1211" t="str">
            <v>IBEWOUT</v>
          </cell>
          <cell r="F1211" t="str">
            <v>47</v>
          </cell>
          <cell r="G1211" t="str">
            <v>8</v>
          </cell>
          <cell r="H1211">
            <v>0</v>
          </cell>
        </row>
        <row r="1212">
          <cell r="B1212">
            <v>8908</v>
          </cell>
          <cell r="C1212" t="str">
            <v>Rivera; Andrew L</v>
          </cell>
          <cell r="D1212" t="str">
            <v>1C</v>
          </cell>
          <cell r="E1212" t="str">
            <v>IBEWOUT</v>
          </cell>
          <cell r="F1212" t="str">
            <v>611</v>
          </cell>
          <cell r="G1212" t="str">
            <v>13</v>
          </cell>
          <cell r="H1212">
            <v>0</v>
          </cell>
        </row>
        <row r="1213">
          <cell r="B1213">
            <v>8910</v>
          </cell>
          <cell r="C1213" t="str">
            <v>Rimer Jr; James D</v>
          </cell>
          <cell r="D1213" t="str">
            <v>1C</v>
          </cell>
          <cell r="E1213" t="str">
            <v>IBEWOUT</v>
          </cell>
          <cell r="F1213" t="str">
            <v>1245</v>
          </cell>
          <cell r="G1213" t="str">
            <v>8</v>
          </cell>
          <cell r="H1213">
            <v>0</v>
          </cell>
        </row>
        <row r="1214">
          <cell r="B1214">
            <v>8911</v>
          </cell>
          <cell r="C1214" t="str">
            <v>Rivas; Byron R</v>
          </cell>
          <cell r="D1214" t="str">
            <v>1</v>
          </cell>
          <cell r="E1214" t="str">
            <v>IBEWOUT</v>
          </cell>
          <cell r="F1214" t="str">
            <v>47</v>
          </cell>
          <cell r="G1214" t="str">
            <v>16</v>
          </cell>
          <cell r="H1214">
            <v>0</v>
          </cell>
        </row>
        <row r="1215">
          <cell r="B1215">
            <v>8930</v>
          </cell>
          <cell r="C1215" t="str">
            <v>Roark; Dale B.</v>
          </cell>
          <cell r="D1215" t="str">
            <v>1C</v>
          </cell>
          <cell r="E1215" t="str">
            <v>IBEWOUT</v>
          </cell>
          <cell r="F1215" t="str">
            <v>47</v>
          </cell>
          <cell r="G1215" t="str">
            <v>8</v>
          </cell>
          <cell r="H1215">
            <v>0</v>
          </cell>
        </row>
        <row r="1216">
          <cell r="B1216">
            <v>8931</v>
          </cell>
          <cell r="C1216" t="str">
            <v>Rocha; Jonathan M</v>
          </cell>
          <cell r="D1216" t="str">
            <v>1C</v>
          </cell>
          <cell r="E1216" t="str">
            <v>IBEWOUT</v>
          </cell>
          <cell r="F1216" t="str">
            <v>1245</v>
          </cell>
          <cell r="G1216" t="str">
            <v>13</v>
          </cell>
          <cell r="H1216">
            <v>0</v>
          </cell>
        </row>
        <row r="1217">
          <cell r="B1217">
            <v>8960</v>
          </cell>
          <cell r="C1217" t="str">
            <v>Rodriguez; Ruben</v>
          </cell>
          <cell r="D1217" t="str">
            <v>1C</v>
          </cell>
          <cell r="E1217" t="str">
            <v>IBEWOUT</v>
          </cell>
          <cell r="F1217" t="str">
            <v>769</v>
          </cell>
          <cell r="G1217" t="str">
            <v>14</v>
          </cell>
          <cell r="H1217">
            <v>0</v>
          </cell>
        </row>
        <row r="1218">
          <cell r="B1218">
            <v>8996</v>
          </cell>
          <cell r="C1218" t="str">
            <v>Roose; Kallan P</v>
          </cell>
          <cell r="D1218" t="str">
            <v>1</v>
          </cell>
          <cell r="E1218" t="str">
            <v>IBEWOUT</v>
          </cell>
          <cell r="F1218" t="str">
            <v>47</v>
          </cell>
          <cell r="G1218" t="str">
            <v>7</v>
          </cell>
          <cell r="H1218">
            <v>0</v>
          </cell>
        </row>
        <row r="1219">
          <cell r="B1219">
            <v>9010</v>
          </cell>
          <cell r="C1219" t="str">
            <v>Roberts; James W.</v>
          </cell>
          <cell r="D1219" t="str">
            <v>1</v>
          </cell>
          <cell r="E1219" t="str">
            <v>IBEWOUT</v>
          </cell>
          <cell r="F1219" t="str">
            <v>1245</v>
          </cell>
          <cell r="G1219" t="str">
            <v>1</v>
          </cell>
          <cell r="H1219">
            <v>0</v>
          </cell>
        </row>
        <row r="1220">
          <cell r="B1220">
            <v>9011</v>
          </cell>
          <cell r="C1220" t="str">
            <v>Roberts; Steven C</v>
          </cell>
          <cell r="D1220" t="str">
            <v>1C</v>
          </cell>
          <cell r="E1220" t="str">
            <v>IBEWOUT</v>
          </cell>
          <cell r="F1220" t="str">
            <v>47</v>
          </cell>
          <cell r="G1220" t="str">
            <v>8</v>
          </cell>
          <cell r="H1220">
            <v>0</v>
          </cell>
        </row>
        <row r="1221">
          <cell r="B1221">
            <v>9012</v>
          </cell>
          <cell r="C1221" t="str">
            <v>Robinett; Austin R.</v>
          </cell>
          <cell r="D1221" t="str">
            <v>1C</v>
          </cell>
          <cell r="E1221">
            <v>9012</v>
          </cell>
          <cell r="F1221">
            <v>9012</v>
          </cell>
          <cell r="G1221">
            <v>9012</v>
          </cell>
          <cell r="H1221">
            <v>1</v>
          </cell>
        </row>
        <row r="1222">
          <cell r="B1222">
            <v>9015</v>
          </cell>
          <cell r="C1222" t="str">
            <v>Roemhildt; Keegan M.</v>
          </cell>
          <cell r="D1222" t="str">
            <v>1</v>
          </cell>
          <cell r="E1222">
            <v>9015</v>
          </cell>
          <cell r="F1222">
            <v>9015</v>
          </cell>
          <cell r="G1222">
            <v>9015</v>
          </cell>
          <cell r="H1222">
            <v>1</v>
          </cell>
        </row>
        <row r="1223">
          <cell r="B1223">
            <v>9026</v>
          </cell>
          <cell r="C1223" t="str">
            <v>Rojas; Hilario O</v>
          </cell>
          <cell r="D1223" t="str">
            <v>1C</v>
          </cell>
          <cell r="E1223" t="str">
            <v>IBEWOUT</v>
          </cell>
          <cell r="F1223" t="str">
            <v>611</v>
          </cell>
          <cell r="G1223" t="str">
            <v>15</v>
          </cell>
          <cell r="H1223">
            <v>0</v>
          </cell>
        </row>
        <row r="1224">
          <cell r="B1224">
            <v>9037</v>
          </cell>
          <cell r="C1224" t="str">
            <v>Rogers; Chadd Anthony</v>
          </cell>
          <cell r="D1224" t="str">
            <v>1</v>
          </cell>
          <cell r="E1224" t="str">
            <v>IBEWOUT</v>
          </cell>
          <cell r="F1224" t="str">
            <v>47</v>
          </cell>
          <cell r="G1224" t="str">
            <v>1</v>
          </cell>
          <cell r="H1224">
            <v>0</v>
          </cell>
        </row>
        <row r="1225">
          <cell r="B1225">
            <v>9047</v>
          </cell>
          <cell r="C1225" t="str">
            <v>Rose; Bob R</v>
          </cell>
          <cell r="D1225" t="str">
            <v>1C</v>
          </cell>
          <cell r="E1225" t="str">
            <v>IBEWOUT</v>
          </cell>
          <cell r="F1225" t="str">
            <v>77</v>
          </cell>
          <cell r="G1225" t="str">
            <v>16</v>
          </cell>
          <cell r="H1225">
            <v>0</v>
          </cell>
        </row>
        <row r="1226">
          <cell r="B1226">
            <v>9048</v>
          </cell>
          <cell r="C1226" t="str">
            <v>Roy; Cameron Russell</v>
          </cell>
          <cell r="D1226" t="str">
            <v>1</v>
          </cell>
          <cell r="E1226">
            <v>9048</v>
          </cell>
          <cell r="F1226">
            <v>9048</v>
          </cell>
          <cell r="G1226">
            <v>9048</v>
          </cell>
          <cell r="H1226">
            <v>1</v>
          </cell>
        </row>
        <row r="1227">
          <cell r="B1227">
            <v>9072</v>
          </cell>
          <cell r="C1227" t="str">
            <v>Rowley; Jared N</v>
          </cell>
          <cell r="D1227" t="str">
            <v>1C</v>
          </cell>
          <cell r="E1227" t="str">
            <v>IBEWOUT</v>
          </cell>
          <cell r="F1227" t="str">
            <v>1245</v>
          </cell>
          <cell r="G1227" t="str">
            <v>13</v>
          </cell>
          <cell r="H1227">
            <v>0</v>
          </cell>
        </row>
        <row r="1228">
          <cell r="B1228">
            <v>9083</v>
          </cell>
          <cell r="C1228" t="str">
            <v>Rydecki; Christopher E</v>
          </cell>
          <cell r="D1228" t="str">
            <v>1C</v>
          </cell>
          <cell r="E1228" t="str">
            <v>IBEWOUT</v>
          </cell>
          <cell r="F1228" t="str">
            <v>47</v>
          </cell>
          <cell r="G1228" t="str">
            <v>8</v>
          </cell>
          <cell r="H1228">
            <v>0</v>
          </cell>
        </row>
        <row r="1229">
          <cell r="B1229">
            <v>9084</v>
          </cell>
          <cell r="C1229" t="str">
            <v>Ruiz Castillo; Lorenzo</v>
          </cell>
          <cell r="D1229" t="str">
            <v>1C</v>
          </cell>
          <cell r="E1229">
            <v>9084</v>
          </cell>
          <cell r="F1229">
            <v>9084</v>
          </cell>
          <cell r="G1229">
            <v>9084</v>
          </cell>
          <cell r="H1229">
            <v>1</v>
          </cell>
        </row>
        <row r="1230">
          <cell r="B1230">
            <v>9087</v>
          </cell>
          <cell r="C1230" t="str">
            <v>Rossiter; Dustin R</v>
          </cell>
          <cell r="D1230" t="str">
            <v>1C</v>
          </cell>
          <cell r="E1230">
            <v>9087</v>
          </cell>
          <cell r="F1230">
            <v>9087</v>
          </cell>
          <cell r="G1230">
            <v>9087</v>
          </cell>
          <cell r="H1230">
            <v>1</v>
          </cell>
        </row>
        <row r="1231">
          <cell r="B1231">
            <v>9091</v>
          </cell>
          <cell r="C1231" t="str">
            <v>Rosenlund; David Joel</v>
          </cell>
          <cell r="D1231" t="str">
            <v>1C</v>
          </cell>
          <cell r="E1231" t="str">
            <v>IBEWOUT</v>
          </cell>
          <cell r="F1231" t="str">
            <v>1245</v>
          </cell>
          <cell r="G1231" t="str">
            <v>8</v>
          </cell>
          <cell r="H1231">
            <v>0</v>
          </cell>
        </row>
        <row r="1232">
          <cell r="B1232">
            <v>9092</v>
          </cell>
          <cell r="C1232" t="str">
            <v>Rosengrant; Jeffrey M</v>
          </cell>
          <cell r="D1232" t="str">
            <v>1C</v>
          </cell>
          <cell r="E1232" t="str">
            <v>IBEWOUT</v>
          </cell>
          <cell r="F1232" t="str">
            <v>1319</v>
          </cell>
          <cell r="G1232" t="str">
            <v>8</v>
          </cell>
          <cell r="H1232">
            <v>0</v>
          </cell>
        </row>
        <row r="1233">
          <cell r="B1233">
            <v>9101</v>
          </cell>
          <cell r="C1233" t="str">
            <v>Rubadue; Sean Daniel</v>
          </cell>
          <cell r="D1233" t="str">
            <v>1C</v>
          </cell>
          <cell r="E1233" t="str">
            <v>IBEWOUT</v>
          </cell>
          <cell r="F1233" t="str">
            <v>1245</v>
          </cell>
          <cell r="G1233" t="str">
            <v>8</v>
          </cell>
          <cell r="H1233">
            <v>0</v>
          </cell>
        </row>
        <row r="1234">
          <cell r="B1234">
            <v>9107</v>
          </cell>
          <cell r="C1234" t="str">
            <v>Ross; Joe P.</v>
          </cell>
          <cell r="D1234" t="str">
            <v>1C</v>
          </cell>
          <cell r="E1234" t="str">
            <v>IBEWOUT</v>
          </cell>
          <cell r="F1234" t="str">
            <v>602R</v>
          </cell>
          <cell r="G1234" t="str">
            <v>33</v>
          </cell>
          <cell r="H1234">
            <v>0</v>
          </cell>
        </row>
        <row r="1235">
          <cell r="B1235">
            <v>9108</v>
          </cell>
          <cell r="C1235" t="str">
            <v>Robbins; Christopher A.</v>
          </cell>
          <cell r="D1235" t="str">
            <v>1C</v>
          </cell>
          <cell r="E1235" t="str">
            <v>IBEWOUT</v>
          </cell>
          <cell r="F1235" t="str">
            <v>396</v>
          </cell>
          <cell r="G1235" t="str">
            <v>10</v>
          </cell>
          <cell r="H1235">
            <v>0</v>
          </cell>
        </row>
        <row r="1236">
          <cell r="B1236">
            <v>9110</v>
          </cell>
          <cell r="C1236" t="str">
            <v>Rodriguez; Roberto J</v>
          </cell>
          <cell r="D1236" t="str">
            <v>1C</v>
          </cell>
          <cell r="E1236" t="str">
            <v>IBEWOUT</v>
          </cell>
          <cell r="F1236" t="str">
            <v>1245</v>
          </cell>
          <cell r="G1236" t="str">
            <v>7</v>
          </cell>
          <cell r="H1236">
            <v>0</v>
          </cell>
        </row>
        <row r="1237">
          <cell r="B1237">
            <v>9111</v>
          </cell>
          <cell r="C1237" t="str">
            <v>Rodriguez; Daniel N.</v>
          </cell>
          <cell r="D1237" t="str">
            <v>1C</v>
          </cell>
          <cell r="E1237" t="str">
            <v>IBEWOUT</v>
          </cell>
          <cell r="F1237" t="str">
            <v>47</v>
          </cell>
          <cell r="G1237" t="str">
            <v>17</v>
          </cell>
          <cell r="H1237">
            <v>0</v>
          </cell>
        </row>
        <row r="1238">
          <cell r="B1238">
            <v>9114</v>
          </cell>
          <cell r="C1238" t="str">
            <v>Rodriguez; Ricardo R.</v>
          </cell>
          <cell r="D1238" t="str">
            <v>1C</v>
          </cell>
          <cell r="E1238" t="str">
            <v>IBEWOUT</v>
          </cell>
          <cell r="F1238" t="str">
            <v>396</v>
          </cell>
          <cell r="G1238" t="str">
            <v>8</v>
          </cell>
          <cell r="H1238">
            <v>0</v>
          </cell>
        </row>
        <row r="1239">
          <cell r="B1239">
            <v>9116</v>
          </cell>
          <cell r="C1239" t="str">
            <v>Rogers; Jason A.</v>
          </cell>
          <cell r="D1239" t="str">
            <v>1C</v>
          </cell>
          <cell r="E1239" t="str">
            <v>IBEWOUT</v>
          </cell>
          <cell r="F1239" t="str">
            <v>1245</v>
          </cell>
          <cell r="G1239" t="str">
            <v>10</v>
          </cell>
          <cell r="H1239">
            <v>0</v>
          </cell>
        </row>
        <row r="1240">
          <cell r="B1240">
            <v>9117</v>
          </cell>
          <cell r="C1240" t="str">
            <v>Ross; Amie D</v>
          </cell>
          <cell r="D1240" t="str">
            <v>1C</v>
          </cell>
          <cell r="E1240">
            <v>9117</v>
          </cell>
          <cell r="F1240">
            <v>9117</v>
          </cell>
          <cell r="G1240">
            <v>9117</v>
          </cell>
          <cell r="H1240">
            <v>0</v>
          </cell>
        </row>
        <row r="1241">
          <cell r="B1241">
            <v>9118</v>
          </cell>
          <cell r="C1241" t="str">
            <v>Rodriguez; Ramon O</v>
          </cell>
          <cell r="D1241" t="str">
            <v>1C</v>
          </cell>
          <cell r="E1241" t="str">
            <v>IBEWOUT</v>
          </cell>
          <cell r="F1241" t="str">
            <v>1245</v>
          </cell>
          <cell r="G1241" t="str">
            <v>15</v>
          </cell>
          <cell r="H1241">
            <v>0</v>
          </cell>
        </row>
        <row r="1242">
          <cell r="B1242">
            <v>9119</v>
          </cell>
          <cell r="C1242" t="str">
            <v>Roberts; Chaney C</v>
          </cell>
          <cell r="D1242" t="str">
            <v>1C</v>
          </cell>
          <cell r="E1242" t="str">
            <v>IBEWOUT</v>
          </cell>
          <cell r="F1242" t="str">
            <v>47</v>
          </cell>
          <cell r="G1242" t="str">
            <v>17</v>
          </cell>
          <cell r="H1242">
            <v>0</v>
          </cell>
        </row>
        <row r="1243">
          <cell r="B1243">
            <v>9121</v>
          </cell>
          <cell r="C1243" t="str">
            <v>Ross; Earl L</v>
          </cell>
          <cell r="D1243" t="str">
            <v>1</v>
          </cell>
          <cell r="E1243" t="str">
            <v>IBEWOUT</v>
          </cell>
          <cell r="F1243" t="str">
            <v>160</v>
          </cell>
          <cell r="G1243" t="str">
            <v>8</v>
          </cell>
          <cell r="H1243">
            <v>0</v>
          </cell>
        </row>
        <row r="1244">
          <cell r="B1244">
            <v>9140</v>
          </cell>
          <cell r="C1244" t="str">
            <v>Rust; James S.</v>
          </cell>
          <cell r="D1244" t="str">
            <v>1C</v>
          </cell>
          <cell r="E1244" t="str">
            <v>IBEWOUT</v>
          </cell>
          <cell r="F1244" t="str">
            <v>1245</v>
          </cell>
          <cell r="G1244" t="str">
            <v>8</v>
          </cell>
          <cell r="H1244">
            <v>0</v>
          </cell>
        </row>
        <row r="1245">
          <cell r="B1245">
            <v>9155</v>
          </cell>
          <cell r="C1245" t="str">
            <v>Salloum; Firas H</v>
          </cell>
          <cell r="D1245" t="str">
            <v>1C</v>
          </cell>
          <cell r="E1245" t="str">
            <v>IBEWOUT</v>
          </cell>
          <cell r="F1245" t="str">
            <v>769</v>
          </cell>
          <cell r="G1245" t="str">
            <v>20</v>
          </cell>
          <cell r="H1245">
            <v>0</v>
          </cell>
        </row>
        <row r="1246">
          <cell r="B1246">
            <v>9160</v>
          </cell>
          <cell r="C1246" t="str">
            <v>Salloum; Joseph</v>
          </cell>
          <cell r="D1246" t="str">
            <v>1C</v>
          </cell>
          <cell r="E1246" t="str">
            <v>IBEWOUT</v>
          </cell>
          <cell r="F1246" t="str">
            <v>769</v>
          </cell>
          <cell r="G1246" t="str">
            <v>7</v>
          </cell>
          <cell r="H1246">
            <v>0</v>
          </cell>
        </row>
        <row r="1247">
          <cell r="B1247">
            <v>9161</v>
          </cell>
          <cell r="C1247" t="str">
            <v>Sac-Natareno; Guillermo</v>
          </cell>
          <cell r="D1247" t="str">
            <v>1</v>
          </cell>
          <cell r="E1247" t="str">
            <v>IBEWOUT</v>
          </cell>
          <cell r="F1247" t="str">
            <v>47</v>
          </cell>
          <cell r="G1247" t="str">
            <v>8</v>
          </cell>
          <cell r="H1247">
            <v>0</v>
          </cell>
        </row>
        <row r="1248">
          <cell r="B1248">
            <v>9162</v>
          </cell>
          <cell r="C1248" t="str">
            <v>Sadler; Christopher S.</v>
          </cell>
          <cell r="D1248" t="str">
            <v>1C</v>
          </cell>
          <cell r="E1248" t="str">
            <v>IBEWOUT</v>
          </cell>
          <cell r="F1248" t="str">
            <v>47</v>
          </cell>
          <cell r="G1248" t="str">
            <v>8</v>
          </cell>
          <cell r="H1248">
            <v>0</v>
          </cell>
        </row>
        <row r="1249">
          <cell r="B1249">
            <v>9163</v>
          </cell>
          <cell r="C1249" t="str">
            <v>Saatzer; Michael B</v>
          </cell>
          <cell r="D1249" t="str">
            <v>1</v>
          </cell>
          <cell r="E1249" t="str">
            <v>IBEWOUT</v>
          </cell>
          <cell r="F1249" t="str">
            <v>160</v>
          </cell>
          <cell r="G1249" t="str">
            <v>16</v>
          </cell>
          <cell r="H1249">
            <v>0</v>
          </cell>
        </row>
        <row r="1250">
          <cell r="B1250">
            <v>9164</v>
          </cell>
          <cell r="C1250" t="str">
            <v>Saiz; Robert B.</v>
          </cell>
          <cell r="D1250" t="str">
            <v>1C</v>
          </cell>
          <cell r="E1250" t="str">
            <v>IBEWOUT</v>
          </cell>
          <cell r="F1250" t="str">
            <v>769</v>
          </cell>
          <cell r="G1250" t="str">
            <v>14</v>
          </cell>
          <cell r="H1250">
            <v>0</v>
          </cell>
        </row>
        <row r="1251">
          <cell r="B1251">
            <v>9168</v>
          </cell>
          <cell r="C1251" t="str">
            <v>Sakae; Jasen D</v>
          </cell>
          <cell r="D1251" t="str">
            <v>1C</v>
          </cell>
          <cell r="E1251" t="str">
            <v>IBEWOUT</v>
          </cell>
          <cell r="F1251" t="str">
            <v>47</v>
          </cell>
          <cell r="G1251" t="str">
            <v>13</v>
          </cell>
          <cell r="H1251">
            <v>0</v>
          </cell>
        </row>
        <row r="1252">
          <cell r="B1252">
            <v>9172</v>
          </cell>
          <cell r="C1252" t="str">
            <v>Saenz; Daniel C</v>
          </cell>
          <cell r="D1252" t="str">
            <v>1</v>
          </cell>
          <cell r="E1252" t="str">
            <v>IBEWOUT</v>
          </cell>
          <cell r="F1252" t="str">
            <v>1245</v>
          </cell>
          <cell r="G1252" t="str">
            <v>13</v>
          </cell>
          <cell r="H1252">
            <v>0</v>
          </cell>
        </row>
        <row r="1253">
          <cell r="B1253">
            <v>9181</v>
          </cell>
          <cell r="C1253" t="str">
            <v>Salt; Ronald Robert</v>
          </cell>
          <cell r="D1253" t="str">
            <v>1C</v>
          </cell>
          <cell r="E1253" t="str">
            <v>IBEWOUT</v>
          </cell>
          <cell r="F1253" t="str">
            <v>769</v>
          </cell>
          <cell r="G1253" t="str">
            <v>8</v>
          </cell>
          <cell r="H1253">
            <v>0</v>
          </cell>
        </row>
        <row r="1254">
          <cell r="B1254">
            <v>9182</v>
          </cell>
          <cell r="C1254" t="str">
            <v>Sample; Michael K</v>
          </cell>
          <cell r="D1254" t="str">
            <v>1C</v>
          </cell>
          <cell r="E1254" t="str">
            <v>IBEWOUT</v>
          </cell>
          <cell r="F1254" t="str">
            <v>1245</v>
          </cell>
          <cell r="G1254" t="str">
            <v>8</v>
          </cell>
          <cell r="H1254">
            <v>0</v>
          </cell>
        </row>
        <row r="1255">
          <cell r="B1255">
            <v>9183</v>
          </cell>
          <cell r="C1255" t="str">
            <v>Salyers Jr.; Joseph Lee</v>
          </cell>
          <cell r="D1255" t="str">
            <v>1C</v>
          </cell>
          <cell r="E1255" t="str">
            <v>IBEWOUT</v>
          </cell>
          <cell r="F1255" t="str">
            <v>1245</v>
          </cell>
          <cell r="G1255" t="str">
            <v>8</v>
          </cell>
          <cell r="H1255">
            <v>0</v>
          </cell>
        </row>
        <row r="1256">
          <cell r="B1256">
            <v>9184</v>
          </cell>
          <cell r="C1256" t="str">
            <v>Sanchez; Brainer I</v>
          </cell>
          <cell r="D1256" t="str">
            <v>1</v>
          </cell>
          <cell r="E1256" t="str">
            <v>IBEWOUT</v>
          </cell>
          <cell r="F1256" t="str">
            <v>1245</v>
          </cell>
          <cell r="G1256" t="str">
            <v>8</v>
          </cell>
          <cell r="H1256">
            <v>0</v>
          </cell>
        </row>
        <row r="1257">
          <cell r="B1257">
            <v>9185</v>
          </cell>
          <cell r="C1257" t="str">
            <v>Salazar; Rolando</v>
          </cell>
          <cell r="D1257" t="str">
            <v>1</v>
          </cell>
          <cell r="E1257" t="str">
            <v>IBEWOUT</v>
          </cell>
          <cell r="F1257" t="str">
            <v>47</v>
          </cell>
          <cell r="G1257" t="str">
            <v>7</v>
          </cell>
          <cell r="H1257">
            <v>0</v>
          </cell>
        </row>
        <row r="1258">
          <cell r="B1258">
            <v>9188</v>
          </cell>
          <cell r="C1258" t="str">
            <v>Salazar; Christopher</v>
          </cell>
          <cell r="D1258" t="str">
            <v>1C</v>
          </cell>
          <cell r="E1258" t="str">
            <v>IBEWOUT</v>
          </cell>
          <cell r="F1258" t="str">
            <v>769</v>
          </cell>
          <cell r="G1258" t="str">
            <v>20</v>
          </cell>
          <cell r="H1258">
            <v>0</v>
          </cell>
        </row>
        <row r="1259">
          <cell r="B1259">
            <v>9191</v>
          </cell>
          <cell r="C1259" t="str">
            <v>Salazar; Michael</v>
          </cell>
          <cell r="D1259" t="str">
            <v>1C</v>
          </cell>
          <cell r="E1259" t="str">
            <v>IBEWOUT</v>
          </cell>
          <cell r="F1259" t="str">
            <v>769</v>
          </cell>
          <cell r="G1259" t="str">
            <v>8</v>
          </cell>
          <cell r="H1259">
            <v>0</v>
          </cell>
        </row>
        <row r="1260">
          <cell r="B1260">
            <v>9195</v>
          </cell>
          <cell r="C1260" t="str">
            <v>Saranto; Blake W</v>
          </cell>
          <cell r="D1260" t="str">
            <v>1C</v>
          </cell>
          <cell r="E1260" t="str">
            <v>IBEWOUT</v>
          </cell>
          <cell r="F1260" t="str">
            <v>77</v>
          </cell>
          <cell r="G1260" t="str">
            <v>16</v>
          </cell>
          <cell r="H1260">
            <v>0</v>
          </cell>
        </row>
        <row r="1261">
          <cell r="B1261">
            <v>9197</v>
          </cell>
          <cell r="C1261" t="str">
            <v>Sarmento; William J</v>
          </cell>
          <cell r="D1261" t="str">
            <v>1C</v>
          </cell>
          <cell r="E1261" t="str">
            <v>IBEWOUT</v>
          </cell>
          <cell r="F1261" t="str">
            <v>1245</v>
          </cell>
          <cell r="G1261" t="str">
            <v>15</v>
          </cell>
          <cell r="H1261">
            <v>0</v>
          </cell>
        </row>
        <row r="1262">
          <cell r="B1262">
            <v>9198</v>
          </cell>
          <cell r="C1262" t="str">
            <v>Sarinana; Ricardo</v>
          </cell>
          <cell r="D1262" t="str">
            <v>1C</v>
          </cell>
          <cell r="E1262" t="str">
            <v>IBEWOUT</v>
          </cell>
          <cell r="F1262" t="str">
            <v>47</v>
          </cell>
          <cell r="G1262" t="str">
            <v>8</v>
          </cell>
          <cell r="H1262">
            <v>0</v>
          </cell>
        </row>
        <row r="1263">
          <cell r="B1263">
            <v>9199</v>
          </cell>
          <cell r="C1263" t="str">
            <v>Sarkinen; Maxwell D</v>
          </cell>
          <cell r="D1263" t="str">
            <v>1</v>
          </cell>
          <cell r="E1263" t="str">
            <v>IBEWOUT</v>
          </cell>
          <cell r="F1263" t="str">
            <v>160</v>
          </cell>
          <cell r="G1263" t="str">
            <v>14</v>
          </cell>
          <cell r="H1263">
            <v>0</v>
          </cell>
        </row>
        <row r="1264">
          <cell r="B1264">
            <v>9207</v>
          </cell>
          <cell r="C1264" t="str">
            <v>Saul; Mark Allen</v>
          </cell>
          <cell r="D1264" t="str">
            <v>1C</v>
          </cell>
          <cell r="E1264" t="str">
            <v>IBEWOUT</v>
          </cell>
          <cell r="F1264" t="str">
            <v>47</v>
          </cell>
          <cell r="G1264" t="str">
            <v>7</v>
          </cell>
          <cell r="H1264">
            <v>0</v>
          </cell>
        </row>
        <row r="1265">
          <cell r="B1265">
            <v>9217</v>
          </cell>
          <cell r="C1265" t="str">
            <v>Schaefer; Kurtis Jon</v>
          </cell>
          <cell r="D1265" t="str">
            <v>1C</v>
          </cell>
          <cell r="E1265" t="str">
            <v>IBEWOUT</v>
          </cell>
          <cell r="F1265" t="str">
            <v>77</v>
          </cell>
          <cell r="G1265" t="str">
            <v>7</v>
          </cell>
          <cell r="H1265">
            <v>0</v>
          </cell>
        </row>
        <row r="1266">
          <cell r="B1266">
            <v>9235</v>
          </cell>
          <cell r="C1266" t="str">
            <v>Szarkowski; Curt Thomas</v>
          </cell>
          <cell r="D1266" t="str">
            <v>1C</v>
          </cell>
          <cell r="E1266" t="str">
            <v>IBEWOUT</v>
          </cell>
          <cell r="F1266" t="str">
            <v>125</v>
          </cell>
          <cell r="G1266" t="str">
            <v>33</v>
          </cell>
          <cell r="H1266">
            <v>0</v>
          </cell>
        </row>
        <row r="1267">
          <cell r="B1267">
            <v>9238</v>
          </cell>
          <cell r="C1267" t="str">
            <v>Sanchez; John R</v>
          </cell>
          <cell r="D1267" t="str">
            <v>1C</v>
          </cell>
          <cell r="E1267" t="str">
            <v>IBEWOUT</v>
          </cell>
          <cell r="F1267" t="str">
            <v>1245</v>
          </cell>
          <cell r="G1267" t="str">
            <v>16</v>
          </cell>
          <cell r="H1267">
            <v>0</v>
          </cell>
        </row>
        <row r="1268">
          <cell r="B1268">
            <v>9240</v>
          </cell>
          <cell r="C1268" t="str">
            <v>Sanchez; Garrett H</v>
          </cell>
          <cell r="D1268" t="str">
            <v>1C</v>
          </cell>
          <cell r="E1268" t="str">
            <v>IBEWOUT</v>
          </cell>
          <cell r="F1268" t="str">
            <v>769</v>
          </cell>
          <cell r="G1268" t="str">
            <v>14</v>
          </cell>
          <cell r="H1268">
            <v>0</v>
          </cell>
        </row>
        <row r="1269">
          <cell r="B1269">
            <v>9242</v>
          </cell>
          <cell r="C1269" t="str">
            <v>Schmidt; Eric M</v>
          </cell>
          <cell r="D1269" t="str">
            <v>1</v>
          </cell>
          <cell r="E1269" t="str">
            <v>IBEWOUT</v>
          </cell>
          <cell r="F1269" t="str">
            <v>1245</v>
          </cell>
          <cell r="G1269" t="str">
            <v>1</v>
          </cell>
          <cell r="H1269">
            <v>0</v>
          </cell>
        </row>
        <row r="1270">
          <cell r="B1270">
            <v>9246</v>
          </cell>
          <cell r="C1270" t="str">
            <v>Schlenker; Michael Keith</v>
          </cell>
          <cell r="D1270" t="str">
            <v>1C</v>
          </cell>
          <cell r="E1270" t="str">
            <v>IBEWOUT</v>
          </cell>
          <cell r="F1270" t="str">
            <v>1245</v>
          </cell>
          <cell r="G1270" t="str">
            <v>7</v>
          </cell>
          <cell r="H1270">
            <v>0</v>
          </cell>
        </row>
        <row r="1271">
          <cell r="B1271">
            <v>9247</v>
          </cell>
          <cell r="C1271" t="str">
            <v>Sanchez; Jesse</v>
          </cell>
          <cell r="D1271" t="str">
            <v>1C</v>
          </cell>
          <cell r="E1271" t="str">
            <v>IBEWOUT</v>
          </cell>
          <cell r="F1271" t="str">
            <v>1245</v>
          </cell>
          <cell r="G1271" t="str">
            <v>17</v>
          </cell>
          <cell r="H1271">
            <v>0</v>
          </cell>
        </row>
        <row r="1272">
          <cell r="B1272">
            <v>9257</v>
          </cell>
          <cell r="C1272" t="str">
            <v>Schmerber; Raymond L</v>
          </cell>
          <cell r="D1272" t="str">
            <v>1C</v>
          </cell>
          <cell r="E1272" t="str">
            <v>IBEWOUT</v>
          </cell>
          <cell r="F1272" t="str">
            <v>611</v>
          </cell>
          <cell r="G1272" t="str">
            <v>14</v>
          </cell>
          <cell r="H1272">
            <v>0</v>
          </cell>
        </row>
        <row r="1273">
          <cell r="B1273">
            <v>9258</v>
          </cell>
          <cell r="C1273" t="str">
            <v>Scott; Nevin P.</v>
          </cell>
          <cell r="D1273" t="str">
            <v>1C</v>
          </cell>
          <cell r="E1273" t="str">
            <v>IBEWOUT</v>
          </cell>
          <cell r="F1273" t="str">
            <v>611</v>
          </cell>
          <cell r="G1273" t="str">
            <v>20</v>
          </cell>
          <cell r="H1273">
            <v>0</v>
          </cell>
        </row>
        <row r="1274">
          <cell r="B1274">
            <v>9259</v>
          </cell>
          <cell r="C1274" t="str">
            <v>Scott; Bryan David</v>
          </cell>
          <cell r="D1274" t="str">
            <v>1C</v>
          </cell>
          <cell r="E1274">
            <v>9259</v>
          </cell>
          <cell r="F1274">
            <v>9259</v>
          </cell>
          <cell r="G1274">
            <v>9259</v>
          </cell>
          <cell r="H1274">
            <v>1</v>
          </cell>
        </row>
        <row r="1275">
          <cell r="B1275">
            <v>9260</v>
          </cell>
          <cell r="C1275" t="str">
            <v>Scott; Brian E</v>
          </cell>
          <cell r="D1275" t="str">
            <v>1C</v>
          </cell>
          <cell r="E1275" t="str">
            <v>IBEWOUT</v>
          </cell>
          <cell r="F1275" t="str">
            <v>602R</v>
          </cell>
          <cell r="G1275" t="str">
            <v>8</v>
          </cell>
          <cell r="H1275">
            <v>0</v>
          </cell>
        </row>
        <row r="1276">
          <cell r="B1276">
            <v>9261</v>
          </cell>
          <cell r="C1276" t="str">
            <v>Scott; Coltin B</v>
          </cell>
          <cell r="D1276" t="str">
            <v>1</v>
          </cell>
          <cell r="E1276">
            <v>9261</v>
          </cell>
          <cell r="F1276">
            <v>9261</v>
          </cell>
          <cell r="G1276">
            <v>9261</v>
          </cell>
          <cell r="H1276">
            <v>1</v>
          </cell>
        </row>
        <row r="1277">
          <cell r="B1277">
            <v>9262</v>
          </cell>
          <cell r="C1277" t="str">
            <v>Sanders; Travis P.</v>
          </cell>
          <cell r="D1277" t="str">
            <v>1</v>
          </cell>
          <cell r="E1277" t="str">
            <v>IBEWOUT</v>
          </cell>
          <cell r="F1277" t="str">
            <v>1245</v>
          </cell>
          <cell r="G1277" t="str">
            <v>1</v>
          </cell>
          <cell r="H1277">
            <v>0</v>
          </cell>
        </row>
        <row r="1278">
          <cell r="B1278">
            <v>9265</v>
          </cell>
          <cell r="C1278" t="str">
            <v>Schmeusser; Randy J</v>
          </cell>
          <cell r="D1278" t="str">
            <v>1C</v>
          </cell>
          <cell r="E1278" t="str">
            <v>IBEWOUT</v>
          </cell>
          <cell r="F1278" t="str">
            <v>125</v>
          </cell>
          <cell r="G1278" t="str">
            <v>17</v>
          </cell>
          <cell r="H1278">
            <v>0</v>
          </cell>
        </row>
        <row r="1279">
          <cell r="B1279">
            <v>9267</v>
          </cell>
          <cell r="C1279" t="str">
            <v>Sepulveda; Oscar</v>
          </cell>
          <cell r="D1279" t="str">
            <v>1</v>
          </cell>
          <cell r="E1279" t="str">
            <v>IBEWOUT</v>
          </cell>
          <cell r="F1279" t="str">
            <v>47</v>
          </cell>
          <cell r="G1279" t="str">
            <v>15</v>
          </cell>
          <cell r="H1279">
            <v>0</v>
          </cell>
        </row>
        <row r="1280">
          <cell r="B1280">
            <v>9270</v>
          </cell>
          <cell r="C1280" t="str">
            <v>Scroggie; Michael L</v>
          </cell>
          <cell r="D1280" t="str">
            <v>1C</v>
          </cell>
          <cell r="E1280" t="str">
            <v>IBEWOUT</v>
          </cell>
          <cell r="F1280" t="str">
            <v>1049</v>
          </cell>
          <cell r="G1280" t="str">
            <v>8</v>
          </cell>
          <cell r="H1280">
            <v>0</v>
          </cell>
        </row>
        <row r="1281">
          <cell r="B1281">
            <v>9272</v>
          </cell>
          <cell r="C1281" t="str">
            <v>Seabourn; Lee W</v>
          </cell>
          <cell r="D1281" t="str">
            <v>1C</v>
          </cell>
          <cell r="E1281" t="str">
            <v>IBEWOUT</v>
          </cell>
          <cell r="F1281" t="str">
            <v>1245</v>
          </cell>
          <cell r="G1281" t="str">
            <v>1</v>
          </cell>
          <cell r="H1281">
            <v>0</v>
          </cell>
        </row>
        <row r="1282">
          <cell r="B1282">
            <v>9273</v>
          </cell>
          <cell r="C1282" t="str">
            <v>Seabourn; David D</v>
          </cell>
          <cell r="D1282" t="str">
            <v>1C</v>
          </cell>
          <cell r="E1282" t="str">
            <v>IBEWOUT</v>
          </cell>
          <cell r="F1282" t="str">
            <v>1245</v>
          </cell>
          <cell r="G1282" t="str">
            <v>16</v>
          </cell>
          <cell r="H1282">
            <v>0</v>
          </cell>
        </row>
        <row r="1283">
          <cell r="B1283">
            <v>9280</v>
          </cell>
          <cell r="C1283" t="str">
            <v>Sexton; Taylor M</v>
          </cell>
          <cell r="D1283" t="str">
            <v>1</v>
          </cell>
          <cell r="E1283" t="str">
            <v>IBEWOUT</v>
          </cell>
          <cell r="F1283" t="str">
            <v>47</v>
          </cell>
          <cell r="G1283" t="str">
            <v>16</v>
          </cell>
          <cell r="H1283">
            <v>0</v>
          </cell>
        </row>
        <row r="1284">
          <cell r="B1284">
            <v>9284</v>
          </cell>
          <cell r="C1284" t="str">
            <v>Seger; Christopher R</v>
          </cell>
          <cell r="D1284" t="str">
            <v>1C</v>
          </cell>
          <cell r="E1284" t="str">
            <v>IBEWOUT</v>
          </cell>
          <cell r="F1284" t="str">
            <v>47</v>
          </cell>
          <cell r="G1284" t="str">
            <v>8</v>
          </cell>
          <cell r="H1284">
            <v>0</v>
          </cell>
        </row>
        <row r="1285">
          <cell r="B1285">
            <v>9285</v>
          </cell>
          <cell r="C1285" t="str">
            <v>Sedlak; Anthony Michael</v>
          </cell>
          <cell r="D1285" t="str">
            <v>1C</v>
          </cell>
          <cell r="E1285" t="str">
            <v>IBEWOUT</v>
          </cell>
          <cell r="F1285" t="str">
            <v>769</v>
          </cell>
          <cell r="G1285" t="str">
            <v>22</v>
          </cell>
          <cell r="H1285">
            <v>0</v>
          </cell>
        </row>
        <row r="1286">
          <cell r="B1286">
            <v>9286</v>
          </cell>
          <cell r="C1286" t="str">
            <v>Severson; Cody D</v>
          </cell>
          <cell r="D1286" t="str">
            <v>1C</v>
          </cell>
          <cell r="E1286" t="str">
            <v>IBEWOUT</v>
          </cell>
          <cell r="F1286" t="str">
            <v>1245</v>
          </cell>
          <cell r="G1286" t="str">
            <v>8</v>
          </cell>
          <cell r="H1286">
            <v>0</v>
          </cell>
        </row>
        <row r="1287">
          <cell r="B1287">
            <v>9287</v>
          </cell>
          <cell r="C1287" t="str">
            <v>Sheridan; Anthony W</v>
          </cell>
          <cell r="D1287" t="str">
            <v>1C</v>
          </cell>
          <cell r="E1287" t="str">
            <v>IBEWOUT</v>
          </cell>
          <cell r="F1287" t="str">
            <v>47</v>
          </cell>
          <cell r="G1287" t="str">
            <v>8</v>
          </cell>
          <cell r="H1287">
            <v>0</v>
          </cell>
        </row>
        <row r="1288">
          <cell r="B1288">
            <v>9288</v>
          </cell>
          <cell r="C1288" t="str">
            <v>Servin; Carlos E.</v>
          </cell>
          <cell r="D1288" t="str">
            <v>1C</v>
          </cell>
          <cell r="E1288" t="str">
            <v>IBEWOUT</v>
          </cell>
          <cell r="F1288" t="str">
            <v>1245</v>
          </cell>
          <cell r="G1288" t="str">
            <v>10</v>
          </cell>
          <cell r="H1288">
            <v>0</v>
          </cell>
        </row>
        <row r="1289">
          <cell r="B1289">
            <v>9289</v>
          </cell>
          <cell r="C1289" t="str">
            <v>Sheridan; Jimmy L.</v>
          </cell>
          <cell r="D1289" t="str">
            <v>1C</v>
          </cell>
          <cell r="E1289" t="str">
            <v>IBEWOUT</v>
          </cell>
          <cell r="F1289" t="str">
            <v>47</v>
          </cell>
          <cell r="G1289" t="str">
            <v>8</v>
          </cell>
          <cell r="H1289">
            <v>0</v>
          </cell>
        </row>
        <row r="1290">
          <cell r="B1290">
            <v>9290</v>
          </cell>
          <cell r="C1290" t="str">
            <v>Severne; Keith T.</v>
          </cell>
          <cell r="D1290" t="str">
            <v>1</v>
          </cell>
          <cell r="E1290" t="str">
            <v>IBEWOUT</v>
          </cell>
          <cell r="F1290" t="str">
            <v>1245</v>
          </cell>
          <cell r="G1290" t="str">
            <v>7</v>
          </cell>
          <cell r="H1290">
            <v>0</v>
          </cell>
        </row>
        <row r="1291">
          <cell r="B1291">
            <v>9291</v>
          </cell>
          <cell r="C1291" t="str">
            <v>Shaffer; David D</v>
          </cell>
          <cell r="D1291" t="str">
            <v>1C</v>
          </cell>
          <cell r="E1291">
            <v>9291</v>
          </cell>
          <cell r="F1291">
            <v>9291</v>
          </cell>
          <cell r="G1291">
            <v>9291</v>
          </cell>
          <cell r="H1291">
            <v>0</v>
          </cell>
        </row>
        <row r="1292">
          <cell r="B1292">
            <v>9293</v>
          </cell>
          <cell r="C1292" t="str">
            <v>Shaddy; Jeffrey</v>
          </cell>
          <cell r="D1292" t="str">
            <v>1C</v>
          </cell>
          <cell r="E1292" t="str">
            <v>IBEWOUT</v>
          </cell>
          <cell r="F1292" t="str">
            <v>1245</v>
          </cell>
          <cell r="G1292" t="str">
            <v>13</v>
          </cell>
          <cell r="H1292">
            <v>0</v>
          </cell>
        </row>
        <row r="1293">
          <cell r="B1293">
            <v>9295</v>
          </cell>
          <cell r="C1293" t="str">
            <v>Shaw; William R.</v>
          </cell>
          <cell r="D1293" t="str">
            <v>1C</v>
          </cell>
          <cell r="E1293" t="str">
            <v>IBEWOUT</v>
          </cell>
          <cell r="F1293" t="str">
            <v>77</v>
          </cell>
          <cell r="G1293" t="str">
            <v>8</v>
          </cell>
          <cell r="H1293">
            <v>0</v>
          </cell>
        </row>
        <row r="1294">
          <cell r="B1294">
            <v>9297</v>
          </cell>
          <cell r="C1294" t="str">
            <v>Shaw; Austin M</v>
          </cell>
          <cell r="D1294" t="str">
            <v>1C</v>
          </cell>
          <cell r="E1294" t="str">
            <v>IBEWOUT</v>
          </cell>
          <cell r="F1294" t="str">
            <v>1245</v>
          </cell>
          <cell r="G1294" t="str">
            <v>14</v>
          </cell>
          <cell r="H1294">
            <v>0</v>
          </cell>
        </row>
        <row r="1295">
          <cell r="B1295">
            <v>9298</v>
          </cell>
          <cell r="C1295" t="str">
            <v>Shelton; William M</v>
          </cell>
          <cell r="D1295" t="str">
            <v>1C</v>
          </cell>
          <cell r="E1295" t="str">
            <v>IBEWOUT</v>
          </cell>
          <cell r="F1295" t="str">
            <v>47</v>
          </cell>
          <cell r="G1295" t="str">
            <v>8</v>
          </cell>
          <cell r="H1295">
            <v>0</v>
          </cell>
        </row>
        <row r="1296">
          <cell r="B1296">
            <v>9299</v>
          </cell>
          <cell r="C1296" t="str">
            <v>Shelton; Jacob R.</v>
          </cell>
          <cell r="D1296" t="str">
            <v>1C</v>
          </cell>
          <cell r="E1296" t="str">
            <v>IBEWOUT</v>
          </cell>
          <cell r="F1296" t="str">
            <v>1245</v>
          </cell>
          <cell r="G1296" t="str">
            <v>8</v>
          </cell>
          <cell r="H1296">
            <v>0</v>
          </cell>
        </row>
        <row r="1297">
          <cell r="B1297">
            <v>9300</v>
          </cell>
          <cell r="C1297" t="str">
            <v>Shearer; Kaylee A</v>
          </cell>
          <cell r="D1297" t="str">
            <v>1C</v>
          </cell>
          <cell r="E1297">
            <v>9300</v>
          </cell>
          <cell r="F1297">
            <v>9300</v>
          </cell>
          <cell r="G1297">
            <v>9300</v>
          </cell>
          <cell r="H1297">
            <v>0</v>
          </cell>
        </row>
        <row r="1298">
          <cell r="B1298">
            <v>9305</v>
          </cell>
          <cell r="C1298" t="str">
            <v>Sharpe; Ricky L.</v>
          </cell>
          <cell r="D1298" t="str">
            <v>1</v>
          </cell>
          <cell r="E1298">
            <v>9305</v>
          </cell>
          <cell r="F1298">
            <v>9305</v>
          </cell>
          <cell r="G1298">
            <v>9305</v>
          </cell>
          <cell r="H1298">
            <v>1</v>
          </cell>
        </row>
        <row r="1299">
          <cell r="B1299">
            <v>9306</v>
          </cell>
          <cell r="C1299" t="str">
            <v>Shelton; Matthew Scott</v>
          </cell>
          <cell r="D1299" t="str">
            <v>1C</v>
          </cell>
          <cell r="E1299">
            <v>9306</v>
          </cell>
          <cell r="F1299">
            <v>9306</v>
          </cell>
          <cell r="G1299">
            <v>9306</v>
          </cell>
          <cell r="H1299">
            <v>1</v>
          </cell>
        </row>
        <row r="1300">
          <cell r="B1300">
            <v>9307</v>
          </cell>
          <cell r="C1300" t="str">
            <v>Sheen; Frederick W.</v>
          </cell>
          <cell r="D1300" t="str">
            <v>1C</v>
          </cell>
          <cell r="E1300" t="str">
            <v>IBEWOUT</v>
          </cell>
          <cell r="F1300" t="str">
            <v>125</v>
          </cell>
          <cell r="G1300" t="str">
            <v>8</v>
          </cell>
          <cell r="H1300">
            <v>0</v>
          </cell>
        </row>
        <row r="1301">
          <cell r="B1301">
            <v>9312</v>
          </cell>
          <cell r="C1301" t="str">
            <v>Shiflett; William J</v>
          </cell>
          <cell r="D1301" t="str">
            <v>1C</v>
          </cell>
          <cell r="E1301" t="str">
            <v>IBEWOUT</v>
          </cell>
          <cell r="F1301" t="str">
            <v>77</v>
          </cell>
          <cell r="G1301" t="str">
            <v>8</v>
          </cell>
          <cell r="H1301">
            <v>0</v>
          </cell>
        </row>
        <row r="1302">
          <cell r="B1302">
            <v>9314</v>
          </cell>
          <cell r="C1302" t="str">
            <v>Simpson; Benjamin A</v>
          </cell>
          <cell r="D1302" t="str">
            <v>1</v>
          </cell>
          <cell r="E1302" t="str">
            <v>IBEWOUT</v>
          </cell>
          <cell r="F1302" t="str">
            <v>47</v>
          </cell>
          <cell r="G1302" t="str">
            <v>8</v>
          </cell>
          <cell r="H1302">
            <v>0</v>
          </cell>
        </row>
        <row r="1303">
          <cell r="B1303">
            <v>9315</v>
          </cell>
          <cell r="C1303" t="str">
            <v>Sherlock; Andrew C</v>
          </cell>
          <cell r="D1303" t="str">
            <v>1C</v>
          </cell>
          <cell r="E1303" t="str">
            <v>IBEWOUT</v>
          </cell>
          <cell r="F1303" t="str">
            <v>769</v>
          </cell>
          <cell r="G1303" t="str">
            <v>8</v>
          </cell>
          <cell r="H1303">
            <v>0</v>
          </cell>
        </row>
        <row r="1304">
          <cell r="B1304">
            <v>9317</v>
          </cell>
          <cell r="C1304" t="str">
            <v>Shrum; Joel R</v>
          </cell>
          <cell r="D1304" t="str">
            <v>1C</v>
          </cell>
          <cell r="E1304" t="str">
            <v>IBEWOUT</v>
          </cell>
          <cell r="F1304" t="str">
            <v>1245</v>
          </cell>
          <cell r="G1304" t="str">
            <v>7</v>
          </cell>
          <cell r="H1304">
            <v>0</v>
          </cell>
        </row>
        <row r="1305">
          <cell r="B1305">
            <v>9318</v>
          </cell>
          <cell r="C1305" t="str">
            <v>Shipman; Audie L.</v>
          </cell>
          <cell r="D1305" t="str">
            <v>1C</v>
          </cell>
          <cell r="E1305" t="str">
            <v>IBEWOUT</v>
          </cell>
          <cell r="F1305" t="str">
            <v>47</v>
          </cell>
          <cell r="G1305" t="str">
            <v>8</v>
          </cell>
          <cell r="H1305">
            <v>0</v>
          </cell>
        </row>
        <row r="1306">
          <cell r="B1306">
            <v>9328</v>
          </cell>
          <cell r="C1306" t="str">
            <v>Silvas; Raul Torres</v>
          </cell>
          <cell r="D1306" t="str">
            <v>1C</v>
          </cell>
          <cell r="E1306" t="str">
            <v>IBEWOUT</v>
          </cell>
          <cell r="F1306" t="str">
            <v>47</v>
          </cell>
          <cell r="G1306" t="str">
            <v>8</v>
          </cell>
          <cell r="H1306">
            <v>0</v>
          </cell>
        </row>
        <row r="1307">
          <cell r="B1307">
            <v>9329</v>
          </cell>
          <cell r="C1307" t="str">
            <v>Silvas; Enrique</v>
          </cell>
          <cell r="D1307" t="str">
            <v>1C</v>
          </cell>
          <cell r="E1307" t="str">
            <v>IBEWOUT</v>
          </cell>
          <cell r="F1307" t="str">
            <v>47</v>
          </cell>
          <cell r="G1307" t="str">
            <v>8</v>
          </cell>
          <cell r="H1307">
            <v>0</v>
          </cell>
        </row>
        <row r="1308">
          <cell r="B1308">
            <v>9337</v>
          </cell>
          <cell r="C1308" t="str">
            <v>Sibley; Anthony E</v>
          </cell>
          <cell r="D1308" t="str">
            <v>1C</v>
          </cell>
          <cell r="E1308" t="str">
            <v>IBEWOUT</v>
          </cell>
          <cell r="F1308" t="str">
            <v>396</v>
          </cell>
          <cell r="G1308" t="str">
            <v>8</v>
          </cell>
          <cell r="H1308">
            <v>0</v>
          </cell>
        </row>
        <row r="1309">
          <cell r="B1309">
            <v>9338</v>
          </cell>
          <cell r="C1309" t="str">
            <v>Sichak; Keith Douglas</v>
          </cell>
          <cell r="D1309" t="str">
            <v>1</v>
          </cell>
          <cell r="E1309">
            <v>9338</v>
          </cell>
          <cell r="F1309">
            <v>9338</v>
          </cell>
          <cell r="G1309">
            <v>9338</v>
          </cell>
          <cell r="H1309">
            <v>1</v>
          </cell>
        </row>
        <row r="1310">
          <cell r="B1310">
            <v>9340</v>
          </cell>
          <cell r="C1310" t="str">
            <v>Side; Ryan P</v>
          </cell>
          <cell r="D1310" t="str">
            <v>1</v>
          </cell>
          <cell r="E1310" t="str">
            <v>IBEWOUT</v>
          </cell>
          <cell r="F1310" t="str">
            <v>47</v>
          </cell>
          <cell r="G1310" t="str">
            <v>7</v>
          </cell>
          <cell r="H1310">
            <v>0</v>
          </cell>
        </row>
        <row r="1311">
          <cell r="B1311">
            <v>9354</v>
          </cell>
          <cell r="C1311" t="str">
            <v>Sparks; Kyle Gene</v>
          </cell>
          <cell r="D1311" t="str">
            <v>1C</v>
          </cell>
          <cell r="E1311" t="str">
            <v>IBEWOUT</v>
          </cell>
          <cell r="F1311" t="str">
            <v>1245</v>
          </cell>
          <cell r="G1311" t="str">
            <v>1</v>
          </cell>
          <cell r="H1311">
            <v>0</v>
          </cell>
        </row>
        <row r="1312">
          <cell r="B1312">
            <v>9355</v>
          </cell>
          <cell r="C1312" t="str">
            <v>Spargo; Joseph C</v>
          </cell>
          <cell r="D1312" t="str">
            <v>1C</v>
          </cell>
          <cell r="E1312" t="str">
            <v>IBEWOUT</v>
          </cell>
          <cell r="F1312" t="str">
            <v>47</v>
          </cell>
          <cell r="G1312" t="str">
            <v>17</v>
          </cell>
          <cell r="H1312">
            <v>0</v>
          </cell>
        </row>
        <row r="1313">
          <cell r="B1313">
            <v>9364</v>
          </cell>
          <cell r="C1313" t="str">
            <v>Sprunt; Stuart Gregory</v>
          </cell>
          <cell r="D1313" t="str">
            <v>1C</v>
          </cell>
          <cell r="E1313" t="str">
            <v>IBEWOUT</v>
          </cell>
          <cell r="F1313" t="str">
            <v>769</v>
          </cell>
          <cell r="G1313" t="str">
            <v>8</v>
          </cell>
          <cell r="H1313">
            <v>0</v>
          </cell>
        </row>
        <row r="1314">
          <cell r="B1314">
            <v>9365</v>
          </cell>
          <cell r="C1314" t="str">
            <v>Shorty; Darrell Thomas</v>
          </cell>
          <cell r="D1314" t="str">
            <v>1C</v>
          </cell>
          <cell r="E1314" t="str">
            <v>IBEWOUT</v>
          </cell>
          <cell r="F1314" t="str">
            <v>769</v>
          </cell>
          <cell r="G1314" t="str">
            <v>8</v>
          </cell>
          <cell r="H1314">
            <v>0</v>
          </cell>
        </row>
        <row r="1315">
          <cell r="B1315">
            <v>9374</v>
          </cell>
          <cell r="C1315" t="str">
            <v>Simons; Nicholas R.</v>
          </cell>
          <cell r="D1315" t="str">
            <v>1C</v>
          </cell>
          <cell r="E1315" t="str">
            <v>IBEWOUT</v>
          </cell>
          <cell r="F1315" t="str">
            <v>1245</v>
          </cell>
          <cell r="G1315" t="str">
            <v>7</v>
          </cell>
          <cell r="H1315">
            <v>0</v>
          </cell>
        </row>
        <row r="1316">
          <cell r="B1316">
            <v>9375</v>
          </cell>
          <cell r="C1316" t="str">
            <v>Simmons; Cyrus E.</v>
          </cell>
          <cell r="D1316" t="str">
            <v>1C</v>
          </cell>
          <cell r="E1316" t="str">
            <v>IBEWOUT</v>
          </cell>
          <cell r="F1316" t="str">
            <v>1245</v>
          </cell>
          <cell r="G1316" t="str">
            <v>8</v>
          </cell>
          <cell r="H1316">
            <v>0</v>
          </cell>
        </row>
        <row r="1317">
          <cell r="B1317">
            <v>9377</v>
          </cell>
          <cell r="C1317" t="str">
            <v>Singledecker; Devin J.</v>
          </cell>
          <cell r="D1317" t="str">
            <v>1C</v>
          </cell>
          <cell r="E1317" t="str">
            <v>IBEWOUT</v>
          </cell>
          <cell r="F1317" t="str">
            <v>77</v>
          </cell>
          <cell r="G1317" t="str">
            <v>13</v>
          </cell>
          <cell r="H1317">
            <v>0</v>
          </cell>
        </row>
        <row r="1318">
          <cell r="B1318">
            <v>9380</v>
          </cell>
          <cell r="C1318" t="str">
            <v>Spears; Harvey L.</v>
          </cell>
          <cell r="D1318" t="str">
            <v>1C</v>
          </cell>
          <cell r="E1318" t="str">
            <v>IBEWOUT</v>
          </cell>
          <cell r="F1318" t="str">
            <v>47</v>
          </cell>
          <cell r="G1318" t="str">
            <v>8</v>
          </cell>
          <cell r="H1318">
            <v>0</v>
          </cell>
        </row>
        <row r="1319">
          <cell r="B1319">
            <v>9382</v>
          </cell>
          <cell r="C1319" t="str">
            <v>Spear; George J</v>
          </cell>
          <cell r="D1319" t="str">
            <v>1C</v>
          </cell>
          <cell r="E1319" t="str">
            <v>IBEWOUT</v>
          </cell>
          <cell r="F1319" t="str">
            <v>77</v>
          </cell>
          <cell r="G1319" t="str">
            <v>8</v>
          </cell>
          <cell r="H1319">
            <v>0</v>
          </cell>
        </row>
        <row r="1320">
          <cell r="B1320">
            <v>9396</v>
          </cell>
          <cell r="C1320" t="str">
            <v>Skaar; Nicholas D</v>
          </cell>
          <cell r="D1320" t="str">
            <v>1</v>
          </cell>
          <cell r="E1320" t="str">
            <v>IBEWOUT</v>
          </cell>
          <cell r="F1320" t="str">
            <v>77</v>
          </cell>
          <cell r="G1320" t="str">
            <v>12</v>
          </cell>
          <cell r="H1320">
            <v>0</v>
          </cell>
        </row>
        <row r="1321">
          <cell r="B1321">
            <v>9400</v>
          </cell>
          <cell r="C1321" t="str">
            <v>Slater; Anthony W.</v>
          </cell>
          <cell r="D1321" t="str">
            <v>1C</v>
          </cell>
          <cell r="E1321" t="str">
            <v>IBEWOUT</v>
          </cell>
          <cell r="F1321" t="str">
            <v>47</v>
          </cell>
          <cell r="G1321" t="str">
            <v>8</v>
          </cell>
          <cell r="H1321">
            <v>0</v>
          </cell>
        </row>
        <row r="1322">
          <cell r="B1322">
            <v>9457</v>
          </cell>
          <cell r="C1322" t="str">
            <v>Smith; Alfred D</v>
          </cell>
          <cell r="D1322" t="str">
            <v>1C</v>
          </cell>
          <cell r="E1322" t="str">
            <v>IBEWOUT</v>
          </cell>
          <cell r="F1322" t="str">
            <v>47</v>
          </cell>
          <cell r="G1322" t="str">
            <v>17</v>
          </cell>
          <cell r="H1322">
            <v>0</v>
          </cell>
        </row>
        <row r="1323">
          <cell r="B1323">
            <v>9461</v>
          </cell>
          <cell r="C1323" t="str">
            <v>Smith; Christopher B</v>
          </cell>
          <cell r="D1323" t="str">
            <v>1C</v>
          </cell>
          <cell r="E1323" t="str">
            <v>IBEWOUT</v>
          </cell>
          <cell r="F1323" t="str">
            <v>160</v>
          </cell>
          <cell r="G1323" t="str">
            <v>8</v>
          </cell>
          <cell r="H1323">
            <v>0</v>
          </cell>
        </row>
        <row r="1324">
          <cell r="B1324">
            <v>9463</v>
          </cell>
          <cell r="C1324" t="str">
            <v>Smith; George M</v>
          </cell>
          <cell r="D1324" t="str">
            <v>1C</v>
          </cell>
          <cell r="E1324" t="str">
            <v>IBEWOUT</v>
          </cell>
          <cell r="F1324" t="str">
            <v>1245</v>
          </cell>
          <cell r="G1324" t="str">
            <v>7</v>
          </cell>
          <cell r="H1324">
            <v>0</v>
          </cell>
        </row>
        <row r="1325">
          <cell r="B1325">
            <v>9475</v>
          </cell>
          <cell r="C1325" t="str">
            <v>Smith; Darren R.</v>
          </cell>
          <cell r="D1325" t="str">
            <v>1C</v>
          </cell>
          <cell r="E1325" t="str">
            <v>IBEWOUT</v>
          </cell>
          <cell r="F1325" t="str">
            <v>47</v>
          </cell>
          <cell r="G1325" t="str">
            <v>8</v>
          </cell>
          <cell r="H1325">
            <v>0</v>
          </cell>
        </row>
        <row r="1326">
          <cell r="B1326">
            <v>9489</v>
          </cell>
          <cell r="C1326" t="str">
            <v>Smith; Dustin A</v>
          </cell>
          <cell r="D1326" t="str">
            <v>1</v>
          </cell>
          <cell r="E1326">
            <v>9489</v>
          </cell>
          <cell r="F1326">
            <v>9489</v>
          </cell>
          <cell r="G1326">
            <v>9489</v>
          </cell>
          <cell r="H1326">
            <v>0</v>
          </cell>
        </row>
        <row r="1327">
          <cell r="B1327">
            <v>9494</v>
          </cell>
          <cell r="C1327" t="str">
            <v>Smith; Karl V</v>
          </cell>
          <cell r="D1327" t="str">
            <v>1C</v>
          </cell>
          <cell r="E1327" t="str">
            <v>IBEWOUT</v>
          </cell>
          <cell r="F1327" t="str">
            <v>1245</v>
          </cell>
          <cell r="G1327" t="str">
            <v>8</v>
          </cell>
          <cell r="H1327">
            <v>0</v>
          </cell>
        </row>
        <row r="1328">
          <cell r="B1328">
            <v>9503</v>
          </cell>
          <cell r="C1328" t="str">
            <v>Schneider; Howard I</v>
          </cell>
          <cell r="D1328" t="str">
            <v>1C</v>
          </cell>
          <cell r="E1328" t="str">
            <v>IBEWOUT</v>
          </cell>
          <cell r="F1328" t="str">
            <v>77</v>
          </cell>
          <cell r="G1328" t="str">
            <v>17</v>
          </cell>
          <cell r="H1328">
            <v>0</v>
          </cell>
        </row>
        <row r="1329">
          <cell r="B1329">
            <v>9505</v>
          </cell>
          <cell r="C1329" t="str">
            <v>Smith; Wayne A</v>
          </cell>
          <cell r="D1329" t="str">
            <v>1</v>
          </cell>
          <cell r="E1329">
            <v>9505</v>
          </cell>
          <cell r="F1329">
            <v>9505</v>
          </cell>
          <cell r="G1329">
            <v>9505</v>
          </cell>
          <cell r="H1329">
            <v>0</v>
          </cell>
        </row>
        <row r="1330">
          <cell r="B1330">
            <v>9506</v>
          </cell>
          <cell r="C1330" t="str">
            <v>Smith; Jerry D.</v>
          </cell>
          <cell r="D1330" t="str">
            <v>1C</v>
          </cell>
          <cell r="E1330">
            <v>9506</v>
          </cell>
          <cell r="F1330">
            <v>9506</v>
          </cell>
          <cell r="G1330">
            <v>9506</v>
          </cell>
          <cell r="H1330">
            <v>0</v>
          </cell>
        </row>
        <row r="1331">
          <cell r="B1331">
            <v>9508</v>
          </cell>
          <cell r="C1331" t="str">
            <v>Smith; David C</v>
          </cell>
          <cell r="D1331" t="str">
            <v>1C</v>
          </cell>
          <cell r="E1331" t="str">
            <v>IBEWOUT</v>
          </cell>
          <cell r="F1331" t="str">
            <v>47</v>
          </cell>
          <cell r="G1331" t="str">
            <v>8</v>
          </cell>
          <cell r="H1331">
            <v>0</v>
          </cell>
        </row>
        <row r="1332">
          <cell r="B1332">
            <v>9509</v>
          </cell>
          <cell r="C1332" t="str">
            <v>Smith; Joel J</v>
          </cell>
          <cell r="D1332" t="str">
            <v>1C</v>
          </cell>
          <cell r="E1332" t="str">
            <v>IBEWOUT</v>
          </cell>
          <cell r="F1332" t="str">
            <v>611</v>
          </cell>
          <cell r="G1332" t="str">
            <v>17</v>
          </cell>
          <cell r="H1332">
            <v>0</v>
          </cell>
        </row>
        <row r="1333">
          <cell r="B1333">
            <v>9511</v>
          </cell>
          <cell r="C1333" t="str">
            <v>Smith; Wayne A</v>
          </cell>
          <cell r="D1333" t="str">
            <v>1C</v>
          </cell>
          <cell r="E1333" t="str">
            <v>IBEWOUT</v>
          </cell>
          <cell r="F1333" t="str">
            <v>1245</v>
          </cell>
          <cell r="G1333" t="str">
            <v>8</v>
          </cell>
          <cell r="H1333">
            <v>0</v>
          </cell>
        </row>
        <row r="1334">
          <cell r="B1334">
            <v>9520</v>
          </cell>
          <cell r="C1334" t="str">
            <v>Smith; Patrick T.</v>
          </cell>
          <cell r="D1334" t="str">
            <v>1</v>
          </cell>
          <cell r="E1334" t="str">
            <v>IBEWOUT</v>
          </cell>
          <cell r="F1334" t="str">
            <v>1245</v>
          </cell>
          <cell r="G1334" t="str">
            <v>6</v>
          </cell>
          <cell r="H1334">
            <v>0</v>
          </cell>
        </row>
        <row r="1335">
          <cell r="B1335">
            <v>9534</v>
          </cell>
          <cell r="C1335" t="str">
            <v>Smothermon; Archie DeWayne</v>
          </cell>
          <cell r="D1335" t="str">
            <v>1C</v>
          </cell>
          <cell r="E1335" t="str">
            <v>IBEWOUT</v>
          </cell>
          <cell r="F1335" t="str">
            <v>77</v>
          </cell>
          <cell r="G1335" t="str">
            <v>8</v>
          </cell>
          <cell r="H1335">
            <v>0</v>
          </cell>
        </row>
        <row r="1336">
          <cell r="B1336">
            <v>9540</v>
          </cell>
          <cell r="C1336" t="str">
            <v>Schnider; Jacob Clinton</v>
          </cell>
          <cell r="D1336" t="str">
            <v>1C</v>
          </cell>
          <cell r="E1336" t="str">
            <v>IBEWOUT</v>
          </cell>
          <cell r="F1336" t="str">
            <v>1245</v>
          </cell>
          <cell r="G1336" t="str">
            <v>8</v>
          </cell>
          <cell r="H1336">
            <v>0</v>
          </cell>
        </row>
        <row r="1337">
          <cell r="B1337">
            <v>9542</v>
          </cell>
          <cell r="C1337" t="str">
            <v>Schnider; Kyle Rod</v>
          </cell>
          <cell r="D1337" t="str">
            <v>1</v>
          </cell>
          <cell r="E1337" t="str">
            <v>IBEWOUT</v>
          </cell>
          <cell r="F1337" t="str">
            <v>47</v>
          </cell>
          <cell r="G1337" t="str">
            <v>1</v>
          </cell>
          <cell r="H1337">
            <v>0</v>
          </cell>
        </row>
        <row r="1338">
          <cell r="B1338">
            <v>9552</v>
          </cell>
          <cell r="C1338" t="str">
            <v>Schreiner; Stephen A</v>
          </cell>
          <cell r="D1338" t="str">
            <v>1C</v>
          </cell>
          <cell r="E1338" t="str">
            <v>IBEWOUT</v>
          </cell>
          <cell r="F1338" t="str">
            <v>47</v>
          </cell>
          <cell r="G1338" t="str">
            <v>13</v>
          </cell>
          <cell r="H1338">
            <v>0</v>
          </cell>
        </row>
        <row r="1339">
          <cell r="B1339">
            <v>9554</v>
          </cell>
          <cell r="C1339" t="str">
            <v>Schumacher; Matthew J</v>
          </cell>
          <cell r="D1339" t="str">
            <v>1</v>
          </cell>
          <cell r="E1339" t="str">
            <v>IBEWOUT</v>
          </cell>
          <cell r="F1339" t="str">
            <v>47</v>
          </cell>
          <cell r="G1339" t="str">
            <v>16</v>
          </cell>
          <cell r="H1339">
            <v>0</v>
          </cell>
        </row>
        <row r="1340">
          <cell r="B1340">
            <v>9555</v>
          </cell>
          <cell r="C1340" t="str">
            <v>Schnider Sr.; Kevin Todd</v>
          </cell>
          <cell r="D1340" t="str">
            <v>1</v>
          </cell>
          <cell r="E1340" t="str">
            <v>IBEWOUT</v>
          </cell>
          <cell r="F1340" t="str">
            <v>769</v>
          </cell>
          <cell r="G1340" t="str">
            <v>1</v>
          </cell>
          <cell r="H1340">
            <v>0</v>
          </cell>
        </row>
        <row r="1341">
          <cell r="B1341">
            <v>9559</v>
          </cell>
          <cell r="C1341" t="str">
            <v>Schumacher; Anthony J</v>
          </cell>
          <cell r="D1341" t="str">
            <v>1</v>
          </cell>
          <cell r="E1341" t="str">
            <v>IBEWOUT</v>
          </cell>
          <cell r="F1341" t="str">
            <v>160</v>
          </cell>
          <cell r="G1341" t="str">
            <v>7</v>
          </cell>
          <cell r="H1341">
            <v>0</v>
          </cell>
        </row>
        <row r="1342">
          <cell r="B1342">
            <v>9561</v>
          </cell>
          <cell r="C1342" t="str">
            <v>Sokolovich; Eduard</v>
          </cell>
          <cell r="D1342" t="str">
            <v>1C</v>
          </cell>
          <cell r="E1342" t="str">
            <v>IBEWOUT</v>
          </cell>
          <cell r="F1342" t="str">
            <v>769</v>
          </cell>
          <cell r="G1342" t="str">
            <v>12</v>
          </cell>
          <cell r="H1342">
            <v>0</v>
          </cell>
        </row>
        <row r="1343">
          <cell r="B1343">
            <v>9563</v>
          </cell>
          <cell r="C1343" t="str">
            <v>Sotelo; Demis C.</v>
          </cell>
          <cell r="D1343" t="str">
            <v>1C</v>
          </cell>
          <cell r="E1343" t="str">
            <v>IBEWOUT</v>
          </cell>
          <cell r="F1343" t="str">
            <v>47</v>
          </cell>
          <cell r="G1343" t="str">
            <v>16</v>
          </cell>
          <cell r="H1343">
            <v>0</v>
          </cell>
        </row>
        <row r="1344">
          <cell r="B1344">
            <v>9566</v>
          </cell>
          <cell r="C1344" t="str">
            <v>Somers; Daniel R</v>
          </cell>
          <cell r="D1344" t="str">
            <v>1C</v>
          </cell>
          <cell r="E1344" t="str">
            <v>IBEWOUT</v>
          </cell>
          <cell r="F1344" t="str">
            <v>1245</v>
          </cell>
          <cell r="G1344" t="str">
            <v>8</v>
          </cell>
          <cell r="H1344">
            <v>0</v>
          </cell>
        </row>
        <row r="1345">
          <cell r="B1345">
            <v>9568</v>
          </cell>
          <cell r="C1345" t="str">
            <v>Soha; John Matthew</v>
          </cell>
          <cell r="D1345" t="str">
            <v>1C</v>
          </cell>
          <cell r="E1345" t="str">
            <v>IBEWOUT</v>
          </cell>
          <cell r="F1345" t="str">
            <v>1245</v>
          </cell>
          <cell r="G1345" t="str">
            <v>8</v>
          </cell>
          <cell r="H1345">
            <v>0</v>
          </cell>
        </row>
        <row r="1346">
          <cell r="B1346">
            <v>9569</v>
          </cell>
          <cell r="C1346" t="str">
            <v>Schuyleman; Jay R.</v>
          </cell>
          <cell r="D1346" t="str">
            <v>1</v>
          </cell>
          <cell r="E1346" t="str">
            <v>IBEWOUT</v>
          </cell>
          <cell r="F1346" t="str">
            <v>47</v>
          </cell>
          <cell r="G1346" t="str">
            <v>33</v>
          </cell>
          <cell r="H1346">
            <v>0</v>
          </cell>
        </row>
        <row r="1347">
          <cell r="B1347">
            <v>9570</v>
          </cell>
          <cell r="C1347" t="str">
            <v>Solis; Gerardo</v>
          </cell>
          <cell r="D1347" t="str">
            <v>1</v>
          </cell>
          <cell r="E1347" t="str">
            <v>IBEWOUT</v>
          </cell>
          <cell r="F1347" t="str">
            <v>1245</v>
          </cell>
          <cell r="G1347" t="str">
            <v>8</v>
          </cell>
          <cell r="H1347">
            <v>0</v>
          </cell>
        </row>
        <row r="1348">
          <cell r="B1348">
            <v>9573</v>
          </cell>
          <cell r="C1348" t="str">
            <v>Suchoski; Jesse P</v>
          </cell>
          <cell r="D1348" t="str">
            <v>1</v>
          </cell>
          <cell r="E1348" t="str">
            <v>IBEWOUT</v>
          </cell>
          <cell r="F1348" t="str">
            <v>77</v>
          </cell>
          <cell r="G1348" t="str">
            <v>15</v>
          </cell>
          <cell r="H1348">
            <v>0</v>
          </cell>
        </row>
        <row r="1349">
          <cell r="B1349">
            <v>9575</v>
          </cell>
          <cell r="C1349" t="str">
            <v>Sorensen; Kelly</v>
          </cell>
          <cell r="D1349" t="str">
            <v>1C</v>
          </cell>
          <cell r="E1349" t="str">
            <v>IBEWOUT</v>
          </cell>
          <cell r="F1349" t="str">
            <v>1245</v>
          </cell>
          <cell r="G1349" t="str">
            <v>16</v>
          </cell>
          <cell r="H1349">
            <v>0</v>
          </cell>
        </row>
        <row r="1350">
          <cell r="B1350">
            <v>9605</v>
          </cell>
          <cell r="C1350" t="str">
            <v>Sorensen; Ryan K</v>
          </cell>
          <cell r="D1350" t="str">
            <v>1</v>
          </cell>
          <cell r="E1350" t="str">
            <v>IBEWOUT</v>
          </cell>
          <cell r="F1350" t="str">
            <v>1245</v>
          </cell>
          <cell r="G1350" t="str">
            <v>17</v>
          </cell>
          <cell r="H1350">
            <v>0</v>
          </cell>
        </row>
        <row r="1351">
          <cell r="B1351">
            <v>9612</v>
          </cell>
          <cell r="C1351" t="str">
            <v>Stafford; Miles Randolph</v>
          </cell>
          <cell r="D1351" t="str">
            <v>1C</v>
          </cell>
          <cell r="E1351" t="str">
            <v>IBEWOUT</v>
          </cell>
          <cell r="F1351" t="str">
            <v>77</v>
          </cell>
          <cell r="G1351" t="str">
            <v>17</v>
          </cell>
          <cell r="H1351">
            <v>0</v>
          </cell>
        </row>
        <row r="1352">
          <cell r="B1352">
            <v>9613</v>
          </cell>
          <cell r="C1352" t="str">
            <v>Staniforth; Cory D</v>
          </cell>
          <cell r="D1352" t="str">
            <v>1C</v>
          </cell>
          <cell r="E1352" t="str">
            <v>IBEWOUT</v>
          </cell>
          <cell r="F1352" t="str">
            <v>1245</v>
          </cell>
          <cell r="G1352" t="str">
            <v>8</v>
          </cell>
          <cell r="H1352">
            <v>0</v>
          </cell>
        </row>
        <row r="1353">
          <cell r="B1353">
            <v>9615</v>
          </cell>
          <cell r="C1353" t="str">
            <v>Stanton; Adam M</v>
          </cell>
          <cell r="D1353" t="str">
            <v>1C</v>
          </cell>
          <cell r="E1353" t="str">
            <v>IBEWOUT</v>
          </cell>
          <cell r="F1353" t="str">
            <v>126</v>
          </cell>
          <cell r="G1353" t="str">
            <v>12</v>
          </cell>
          <cell r="H1353">
            <v>0</v>
          </cell>
        </row>
        <row r="1354">
          <cell r="B1354">
            <v>9616</v>
          </cell>
          <cell r="C1354" t="str">
            <v>Stanchfield; Kendall W</v>
          </cell>
          <cell r="D1354" t="str">
            <v>1</v>
          </cell>
          <cell r="E1354" t="str">
            <v>IBEWOUT</v>
          </cell>
          <cell r="F1354" t="str">
            <v>1245</v>
          </cell>
          <cell r="G1354" t="str">
            <v>8</v>
          </cell>
          <cell r="H1354">
            <v>0</v>
          </cell>
        </row>
        <row r="1355">
          <cell r="B1355">
            <v>9618</v>
          </cell>
          <cell r="C1355" t="str">
            <v>Standifer; Eddie L</v>
          </cell>
          <cell r="D1355" t="str">
            <v>1C</v>
          </cell>
          <cell r="E1355" t="str">
            <v>IBEWOUT</v>
          </cell>
          <cell r="F1355" t="str">
            <v>1245</v>
          </cell>
          <cell r="G1355" t="str">
            <v>60</v>
          </cell>
          <cell r="H1355">
            <v>0</v>
          </cell>
        </row>
        <row r="1356">
          <cell r="B1356">
            <v>9619</v>
          </cell>
          <cell r="C1356" t="str">
            <v>Stansberry; Thomas H</v>
          </cell>
          <cell r="D1356" t="str">
            <v>1</v>
          </cell>
          <cell r="E1356" t="str">
            <v>IBEWOUT</v>
          </cell>
          <cell r="F1356" t="str">
            <v>1245</v>
          </cell>
          <cell r="G1356" t="str">
            <v>16</v>
          </cell>
          <cell r="H1356">
            <v>0</v>
          </cell>
        </row>
        <row r="1357">
          <cell r="B1357">
            <v>9620</v>
          </cell>
          <cell r="C1357" t="str">
            <v>Stanley; Lucas C.</v>
          </cell>
          <cell r="D1357" t="str">
            <v>1C</v>
          </cell>
          <cell r="E1357" t="str">
            <v>IBEWOUT</v>
          </cell>
          <cell r="F1357" t="str">
            <v>1245</v>
          </cell>
          <cell r="G1357" t="str">
            <v>11</v>
          </cell>
          <cell r="H1357">
            <v>0</v>
          </cell>
        </row>
        <row r="1358">
          <cell r="B1358">
            <v>9622</v>
          </cell>
          <cell r="C1358" t="str">
            <v>Stotz; Rodney M</v>
          </cell>
          <cell r="D1358" t="str">
            <v>1</v>
          </cell>
          <cell r="E1358">
            <v>9622</v>
          </cell>
          <cell r="F1358">
            <v>9622</v>
          </cell>
          <cell r="G1358">
            <v>9622</v>
          </cell>
          <cell r="H1358">
            <v>1</v>
          </cell>
        </row>
        <row r="1359">
          <cell r="B1359">
            <v>9626</v>
          </cell>
          <cell r="C1359" t="str">
            <v>Stewart; Aubrey Lamar</v>
          </cell>
          <cell r="D1359" t="str">
            <v>1</v>
          </cell>
          <cell r="E1359" t="str">
            <v>IBEWOUT</v>
          </cell>
          <cell r="F1359" t="str">
            <v>1245</v>
          </cell>
          <cell r="G1359" t="str">
            <v>7</v>
          </cell>
          <cell r="H1359">
            <v>0</v>
          </cell>
        </row>
        <row r="1360">
          <cell r="B1360">
            <v>9627</v>
          </cell>
          <cell r="C1360" t="str">
            <v>Stansbury; Ben A</v>
          </cell>
          <cell r="D1360" t="str">
            <v>1C</v>
          </cell>
          <cell r="E1360" t="str">
            <v>IBEWOUT</v>
          </cell>
          <cell r="F1360" t="str">
            <v>602R</v>
          </cell>
          <cell r="G1360" t="str">
            <v>8</v>
          </cell>
          <cell r="H1360">
            <v>0</v>
          </cell>
        </row>
        <row r="1361">
          <cell r="B1361">
            <v>9628</v>
          </cell>
          <cell r="C1361" t="str">
            <v>Stark; Jeff Thomas</v>
          </cell>
          <cell r="D1361" t="str">
            <v>1</v>
          </cell>
          <cell r="E1361">
            <v>9628</v>
          </cell>
          <cell r="F1361">
            <v>9628</v>
          </cell>
          <cell r="G1361">
            <v>9628</v>
          </cell>
          <cell r="H1361">
            <v>1</v>
          </cell>
        </row>
        <row r="1362">
          <cell r="B1362">
            <v>9630</v>
          </cell>
          <cell r="C1362" t="str">
            <v>Stout; Brandon M</v>
          </cell>
          <cell r="D1362" t="str">
            <v>1</v>
          </cell>
          <cell r="E1362">
            <v>9630</v>
          </cell>
          <cell r="F1362">
            <v>9630</v>
          </cell>
          <cell r="G1362">
            <v>9630</v>
          </cell>
          <cell r="H1362">
            <v>0</v>
          </cell>
        </row>
        <row r="1363">
          <cell r="B1363">
            <v>9631</v>
          </cell>
          <cell r="C1363" t="str">
            <v>Steward; Thomas J</v>
          </cell>
          <cell r="D1363" t="str">
            <v>1C</v>
          </cell>
          <cell r="E1363" t="str">
            <v>IBEWOUT</v>
          </cell>
          <cell r="F1363" t="str">
            <v>47</v>
          </cell>
          <cell r="G1363" t="str">
            <v>8</v>
          </cell>
          <cell r="H1363">
            <v>0</v>
          </cell>
        </row>
        <row r="1364">
          <cell r="B1364">
            <v>9634</v>
          </cell>
          <cell r="C1364" t="str">
            <v>Starbird; Alvaro</v>
          </cell>
          <cell r="D1364" t="str">
            <v>1</v>
          </cell>
          <cell r="E1364" t="str">
            <v>IBEWOUT</v>
          </cell>
          <cell r="F1364" t="str">
            <v>769</v>
          </cell>
          <cell r="G1364" t="str">
            <v>8</v>
          </cell>
          <cell r="H1364">
            <v>0</v>
          </cell>
        </row>
        <row r="1365">
          <cell r="B1365">
            <v>9639</v>
          </cell>
          <cell r="C1365" t="str">
            <v>Stinton; Marco Isaiah</v>
          </cell>
          <cell r="D1365" t="str">
            <v>1C</v>
          </cell>
          <cell r="E1365" t="str">
            <v>IBEWOUT</v>
          </cell>
          <cell r="F1365" t="str">
            <v>47</v>
          </cell>
          <cell r="G1365" t="str">
            <v>13</v>
          </cell>
          <cell r="H1365">
            <v>0</v>
          </cell>
        </row>
        <row r="1366">
          <cell r="B1366">
            <v>9640</v>
          </cell>
          <cell r="C1366" t="str">
            <v>Stimmler; Justin E</v>
          </cell>
          <cell r="D1366" t="str">
            <v>1C</v>
          </cell>
          <cell r="E1366" t="str">
            <v>IBEWOUT</v>
          </cell>
          <cell r="F1366" t="str">
            <v>126</v>
          </cell>
          <cell r="G1366" t="str">
            <v>33</v>
          </cell>
          <cell r="H1366">
            <v>0</v>
          </cell>
        </row>
        <row r="1367">
          <cell r="B1367">
            <v>9662</v>
          </cell>
          <cell r="C1367" t="str">
            <v>Stewart; Joseph Benjamin</v>
          </cell>
          <cell r="D1367" t="str">
            <v>1C</v>
          </cell>
          <cell r="E1367" t="str">
            <v>IBEWOUT</v>
          </cell>
          <cell r="F1367" t="str">
            <v>47</v>
          </cell>
          <cell r="G1367" t="str">
            <v>8</v>
          </cell>
          <cell r="H1367">
            <v>0</v>
          </cell>
        </row>
        <row r="1368">
          <cell r="B1368">
            <v>9663</v>
          </cell>
          <cell r="C1368" t="str">
            <v>Stewart; Joshua A</v>
          </cell>
          <cell r="D1368" t="str">
            <v>1C</v>
          </cell>
          <cell r="E1368" t="str">
            <v>IBEWOUT</v>
          </cell>
          <cell r="F1368" t="str">
            <v>104</v>
          </cell>
          <cell r="G1368" t="str">
            <v>8</v>
          </cell>
          <cell r="H1368">
            <v>0</v>
          </cell>
        </row>
        <row r="1369">
          <cell r="B1369">
            <v>9664</v>
          </cell>
          <cell r="C1369" t="str">
            <v>Stranger; Andrew C</v>
          </cell>
          <cell r="D1369" t="str">
            <v>1</v>
          </cell>
          <cell r="E1369" t="str">
            <v>IBEWOUT</v>
          </cell>
          <cell r="F1369" t="str">
            <v>160</v>
          </cell>
          <cell r="G1369" t="str">
            <v>8</v>
          </cell>
          <cell r="H1369">
            <v>0</v>
          </cell>
        </row>
        <row r="1370">
          <cell r="B1370">
            <v>9670</v>
          </cell>
          <cell r="C1370" t="str">
            <v>Stewart; Vincent Ray</v>
          </cell>
          <cell r="D1370" t="str">
            <v>1C</v>
          </cell>
          <cell r="E1370" t="str">
            <v>IBEWOUT</v>
          </cell>
          <cell r="F1370" t="str">
            <v>1245</v>
          </cell>
          <cell r="G1370" t="str">
            <v>8</v>
          </cell>
          <cell r="H1370">
            <v>0</v>
          </cell>
        </row>
        <row r="1371">
          <cell r="B1371">
            <v>9688</v>
          </cell>
          <cell r="C1371" t="str">
            <v>Strickland-Wynn; Anthony J</v>
          </cell>
          <cell r="D1371" t="str">
            <v>1C</v>
          </cell>
          <cell r="E1371" t="str">
            <v>IBEWOUT</v>
          </cell>
          <cell r="F1371" t="str">
            <v>1245</v>
          </cell>
          <cell r="G1371" t="str">
            <v>8</v>
          </cell>
          <cell r="H1371">
            <v>0</v>
          </cell>
        </row>
        <row r="1372">
          <cell r="B1372">
            <v>9690</v>
          </cell>
          <cell r="C1372" t="str">
            <v>Swanberg; Joe Mitchell</v>
          </cell>
          <cell r="D1372" t="str">
            <v>1</v>
          </cell>
          <cell r="E1372" t="str">
            <v>IBEWOUT</v>
          </cell>
          <cell r="F1372" t="str">
            <v>77</v>
          </cell>
          <cell r="G1372" t="str">
            <v>16</v>
          </cell>
          <cell r="H1372">
            <v>0</v>
          </cell>
        </row>
        <row r="1373">
          <cell r="B1373">
            <v>9695</v>
          </cell>
          <cell r="C1373" t="str">
            <v>Sturdevant; Darin D.</v>
          </cell>
          <cell r="D1373" t="str">
            <v>1</v>
          </cell>
          <cell r="E1373">
            <v>9695</v>
          </cell>
          <cell r="F1373">
            <v>9695</v>
          </cell>
          <cell r="G1373">
            <v>9695</v>
          </cell>
          <cell r="H1373">
            <v>1</v>
          </cell>
        </row>
        <row r="1374">
          <cell r="B1374">
            <v>9703</v>
          </cell>
          <cell r="C1374" t="str">
            <v>Stephens; Brandon P</v>
          </cell>
          <cell r="D1374" t="str">
            <v>1C</v>
          </cell>
          <cell r="E1374" t="str">
            <v>IBEWOUT</v>
          </cell>
          <cell r="F1374" t="str">
            <v>611</v>
          </cell>
          <cell r="G1374" t="str">
            <v>8</v>
          </cell>
          <cell r="H1374">
            <v>0</v>
          </cell>
        </row>
        <row r="1375">
          <cell r="B1375">
            <v>9708</v>
          </cell>
          <cell r="C1375" t="str">
            <v>Stephens; Richard L</v>
          </cell>
          <cell r="D1375" t="str">
            <v>1C</v>
          </cell>
          <cell r="E1375" t="str">
            <v>IBEWOUT</v>
          </cell>
          <cell r="F1375" t="str">
            <v>1245</v>
          </cell>
          <cell r="G1375" t="str">
            <v>13</v>
          </cell>
          <cell r="H1375">
            <v>0</v>
          </cell>
        </row>
        <row r="1376">
          <cell r="B1376">
            <v>9712</v>
          </cell>
          <cell r="C1376" t="str">
            <v>Strand; Sheldon R.</v>
          </cell>
          <cell r="D1376" t="str">
            <v>1</v>
          </cell>
          <cell r="E1376">
            <v>9712</v>
          </cell>
          <cell r="F1376">
            <v>9712</v>
          </cell>
          <cell r="G1376">
            <v>9712</v>
          </cell>
          <cell r="H1376">
            <v>0</v>
          </cell>
        </row>
        <row r="1377">
          <cell r="B1377">
            <v>9717</v>
          </cell>
          <cell r="C1377" t="str">
            <v>Stephens; William M.</v>
          </cell>
          <cell r="D1377" t="str">
            <v>1C</v>
          </cell>
          <cell r="E1377">
            <v>9717</v>
          </cell>
          <cell r="F1377">
            <v>9717</v>
          </cell>
          <cell r="G1377">
            <v>9717</v>
          </cell>
          <cell r="H1377">
            <v>0</v>
          </cell>
        </row>
        <row r="1378">
          <cell r="B1378">
            <v>9718</v>
          </cell>
          <cell r="C1378" t="str">
            <v>Stoneburner; Robert H.</v>
          </cell>
          <cell r="D1378" t="str">
            <v>1C</v>
          </cell>
          <cell r="E1378" t="str">
            <v>IBEWOUT</v>
          </cell>
          <cell r="F1378" t="str">
            <v>222</v>
          </cell>
          <cell r="G1378" t="str">
            <v>13</v>
          </cell>
          <cell r="H1378">
            <v>0</v>
          </cell>
        </row>
        <row r="1379">
          <cell r="B1379">
            <v>9721</v>
          </cell>
          <cell r="C1379" t="str">
            <v>Stevenson; Trent H.</v>
          </cell>
          <cell r="D1379" t="str">
            <v>1</v>
          </cell>
          <cell r="E1379" t="str">
            <v>IBEWOUT</v>
          </cell>
          <cell r="F1379" t="str">
            <v>1245</v>
          </cell>
          <cell r="G1379" t="str">
            <v>8</v>
          </cell>
          <cell r="H1379">
            <v>0</v>
          </cell>
        </row>
        <row r="1380">
          <cell r="B1380">
            <v>9723</v>
          </cell>
          <cell r="C1380" t="str">
            <v>Stevens; Raymond</v>
          </cell>
          <cell r="D1380" t="str">
            <v>1C</v>
          </cell>
          <cell r="E1380" t="str">
            <v>IBEWOUT</v>
          </cell>
          <cell r="F1380" t="str">
            <v>1245</v>
          </cell>
          <cell r="G1380" t="str">
            <v>8</v>
          </cell>
          <cell r="H1380">
            <v>0</v>
          </cell>
        </row>
        <row r="1381">
          <cell r="B1381">
            <v>9726</v>
          </cell>
          <cell r="C1381" t="str">
            <v>Strader; Edward A</v>
          </cell>
          <cell r="D1381" t="str">
            <v>1C</v>
          </cell>
          <cell r="E1381" t="str">
            <v>IBEWOUT</v>
          </cell>
          <cell r="F1381" t="str">
            <v>611</v>
          </cell>
          <cell r="G1381" t="str">
            <v>7</v>
          </cell>
          <cell r="H1381">
            <v>0</v>
          </cell>
        </row>
        <row r="1382">
          <cell r="B1382">
            <v>9727</v>
          </cell>
          <cell r="C1382" t="str">
            <v>Stevens; Cole L</v>
          </cell>
          <cell r="D1382" t="str">
            <v>1C</v>
          </cell>
          <cell r="E1382" t="str">
            <v>IBEWOUT</v>
          </cell>
          <cell r="F1382" t="str">
            <v>77</v>
          </cell>
          <cell r="G1382" t="str">
            <v>13</v>
          </cell>
          <cell r="H1382">
            <v>0</v>
          </cell>
        </row>
        <row r="1383">
          <cell r="B1383">
            <v>9731</v>
          </cell>
          <cell r="C1383" t="str">
            <v>Sugerik; David B</v>
          </cell>
          <cell r="D1383" t="str">
            <v>1C</v>
          </cell>
          <cell r="E1383" t="str">
            <v>IBEWOUT</v>
          </cell>
          <cell r="F1383" t="str">
            <v>1319</v>
          </cell>
          <cell r="G1383" t="str">
            <v>8</v>
          </cell>
          <cell r="H1383">
            <v>0</v>
          </cell>
        </row>
        <row r="1384">
          <cell r="B1384">
            <v>9732</v>
          </cell>
          <cell r="C1384" t="str">
            <v>Symonds; Roy D</v>
          </cell>
          <cell r="D1384" t="str">
            <v>1C</v>
          </cell>
          <cell r="E1384" t="str">
            <v>IBEWOUT</v>
          </cell>
          <cell r="F1384" t="str">
            <v>602R</v>
          </cell>
          <cell r="G1384" t="str">
            <v>8</v>
          </cell>
          <cell r="H1384">
            <v>0</v>
          </cell>
        </row>
        <row r="1385">
          <cell r="B1385">
            <v>9733</v>
          </cell>
          <cell r="C1385" t="str">
            <v>Strader; Edward A</v>
          </cell>
          <cell r="D1385" t="str">
            <v>1C</v>
          </cell>
          <cell r="E1385" t="str">
            <v>IBEWOUT</v>
          </cell>
          <cell r="F1385" t="str">
            <v>611</v>
          </cell>
          <cell r="G1385" t="str">
            <v>18</v>
          </cell>
          <cell r="H1385">
            <v>0</v>
          </cell>
        </row>
        <row r="1386">
          <cell r="B1386">
            <v>9734</v>
          </cell>
          <cell r="C1386" t="str">
            <v>Stevenson; Micah J</v>
          </cell>
          <cell r="D1386" t="str">
            <v>1C</v>
          </cell>
          <cell r="E1386">
            <v>9734</v>
          </cell>
          <cell r="F1386">
            <v>9734</v>
          </cell>
          <cell r="G1386">
            <v>9734</v>
          </cell>
          <cell r="H1386">
            <v>1</v>
          </cell>
        </row>
        <row r="1387">
          <cell r="B1387">
            <v>9736</v>
          </cell>
          <cell r="C1387" t="str">
            <v>Strasser; Richard L</v>
          </cell>
          <cell r="D1387" t="str">
            <v>1</v>
          </cell>
          <cell r="E1387" t="str">
            <v>IBEWOUT</v>
          </cell>
          <cell r="F1387" t="str">
            <v>47</v>
          </cell>
          <cell r="G1387" t="str">
            <v>17</v>
          </cell>
          <cell r="H1387">
            <v>0</v>
          </cell>
        </row>
        <row r="1388">
          <cell r="B1388">
            <v>9737</v>
          </cell>
          <cell r="C1388" t="str">
            <v>Steinbach; Allen R</v>
          </cell>
          <cell r="D1388" t="str">
            <v>1</v>
          </cell>
          <cell r="E1388" t="str">
            <v>IBEWOUT</v>
          </cell>
          <cell r="F1388" t="str">
            <v>160</v>
          </cell>
          <cell r="G1388" t="str">
            <v>22</v>
          </cell>
          <cell r="H1388">
            <v>0</v>
          </cell>
        </row>
        <row r="1389">
          <cell r="B1389">
            <v>9738</v>
          </cell>
          <cell r="C1389" t="str">
            <v>Stolz; Brandon N</v>
          </cell>
          <cell r="D1389" t="str">
            <v>1C</v>
          </cell>
          <cell r="E1389" t="str">
            <v>IBEWOUT</v>
          </cell>
          <cell r="F1389" t="str">
            <v>160</v>
          </cell>
          <cell r="G1389" t="str">
            <v>15</v>
          </cell>
          <cell r="H1389">
            <v>0</v>
          </cell>
        </row>
        <row r="1390">
          <cell r="B1390">
            <v>9740</v>
          </cell>
          <cell r="C1390" t="str">
            <v>Swain; Cody J.</v>
          </cell>
          <cell r="D1390" t="str">
            <v>1C</v>
          </cell>
          <cell r="E1390" t="str">
            <v>IBEWOUT</v>
          </cell>
          <cell r="F1390" t="str">
            <v>1245</v>
          </cell>
          <cell r="G1390" t="str">
            <v>8</v>
          </cell>
          <cell r="H1390">
            <v>0</v>
          </cell>
        </row>
        <row r="1391">
          <cell r="B1391">
            <v>9746</v>
          </cell>
          <cell r="C1391" t="str">
            <v>Swenson;TJ</v>
          </cell>
          <cell r="D1391" t="str">
            <v>1</v>
          </cell>
          <cell r="E1391" t="str">
            <v>IBEWOUT</v>
          </cell>
          <cell r="F1391" t="str">
            <v>160</v>
          </cell>
          <cell r="G1391" t="str">
            <v>12</v>
          </cell>
          <cell r="H1391">
            <v>0</v>
          </cell>
        </row>
        <row r="1392">
          <cell r="B1392">
            <v>9747</v>
          </cell>
          <cell r="C1392" t="str">
            <v>Swegan; David L</v>
          </cell>
          <cell r="D1392" t="str">
            <v>1</v>
          </cell>
          <cell r="E1392" t="str">
            <v>IBEWOUT</v>
          </cell>
          <cell r="F1392" t="str">
            <v>769</v>
          </cell>
          <cell r="G1392" t="str">
            <v>13</v>
          </cell>
          <cell r="H1392">
            <v>0</v>
          </cell>
        </row>
        <row r="1393">
          <cell r="B1393">
            <v>9750</v>
          </cell>
          <cell r="C1393" t="str">
            <v>Swiger; Robert H</v>
          </cell>
          <cell r="D1393" t="str">
            <v>1C</v>
          </cell>
          <cell r="E1393" t="str">
            <v>IBEWOUT</v>
          </cell>
          <cell r="F1393" t="str">
            <v>77</v>
          </cell>
          <cell r="G1393" t="str">
            <v>8</v>
          </cell>
          <cell r="H1393">
            <v>0</v>
          </cell>
        </row>
        <row r="1394">
          <cell r="B1394">
            <v>9763</v>
          </cell>
          <cell r="C1394" t="str">
            <v>Spindler; Alexander G</v>
          </cell>
          <cell r="D1394" t="str">
            <v>1</v>
          </cell>
          <cell r="E1394" t="str">
            <v>IBEWOUT</v>
          </cell>
          <cell r="F1394" t="str">
            <v>160</v>
          </cell>
          <cell r="G1394" t="str">
            <v>15</v>
          </cell>
          <cell r="H1394">
            <v>0</v>
          </cell>
        </row>
        <row r="1395">
          <cell r="B1395">
            <v>9819</v>
          </cell>
          <cell r="C1395" t="str">
            <v>Tadday; Kyle C</v>
          </cell>
          <cell r="D1395" t="str">
            <v>1</v>
          </cell>
          <cell r="E1395" t="str">
            <v>IBEWOUT</v>
          </cell>
          <cell r="F1395" t="str">
            <v>47</v>
          </cell>
          <cell r="G1395" t="str">
            <v>7</v>
          </cell>
          <cell r="H1395">
            <v>0</v>
          </cell>
        </row>
        <row r="1396">
          <cell r="B1396">
            <v>9822</v>
          </cell>
          <cell r="C1396" t="str">
            <v>Taglieri; Matthew D</v>
          </cell>
          <cell r="D1396" t="str">
            <v>1C</v>
          </cell>
          <cell r="E1396" t="str">
            <v>IBEWOUT</v>
          </cell>
          <cell r="F1396" t="str">
            <v>1245</v>
          </cell>
          <cell r="G1396" t="str">
            <v>15</v>
          </cell>
          <cell r="H1396">
            <v>0</v>
          </cell>
        </row>
        <row r="1397">
          <cell r="B1397">
            <v>9823</v>
          </cell>
          <cell r="C1397" t="str">
            <v>Taghon; Elijah D</v>
          </cell>
          <cell r="D1397" t="str">
            <v>1</v>
          </cell>
          <cell r="E1397">
            <v>9823</v>
          </cell>
          <cell r="F1397">
            <v>9823</v>
          </cell>
          <cell r="G1397">
            <v>9823</v>
          </cell>
          <cell r="H1397">
            <v>0</v>
          </cell>
        </row>
        <row r="1398">
          <cell r="B1398">
            <v>9830</v>
          </cell>
          <cell r="C1398" t="str">
            <v>Talbott; William Gale</v>
          </cell>
          <cell r="D1398" t="str">
            <v>1</v>
          </cell>
          <cell r="E1398" t="str">
            <v>IBEWOUT</v>
          </cell>
          <cell r="F1398" t="str">
            <v>160</v>
          </cell>
          <cell r="G1398" t="str">
            <v>33</v>
          </cell>
          <cell r="H1398">
            <v>0</v>
          </cell>
        </row>
        <row r="1399">
          <cell r="B1399">
            <v>9835</v>
          </cell>
          <cell r="C1399" t="str">
            <v>Tatro; Lynn D</v>
          </cell>
          <cell r="D1399" t="str">
            <v>1C</v>
          </cell>
          <cell r="E1399" t="str">
            <v>IBEWOUT</v>
          </cell>
          <cell r="F1399" t="str">
            <v>77</v>
          </cell>
          <cell r="G1399" t="str">
            <v>16</v>
          </cell>
          <cell r="H1399">
            <v>0</v>
          </cell>
        </row>
        <row r="1400">
          <cell r="B1400">
            <v>9836</v>
          </cell>
          <cell r="C1400" t="str">
            <v>Tamez; Javier</v>
          </cell>
          <cell r="D1400" t="str">
            <v>1C</v>
          </cell>
          <cell r="E1400" t="str">
            <v>IBEWOUT</v>
          </cell>
          <cell r="F1400" t="str">
            <v>47</v>
          </cell>
          <cell r="G1400" t="str">
            <v>17</v>
          </cell>
          <cell r="H1400">
            <v>0</v>
          </cell>
        </row>
        <row r="1401">
          <cell r="B1401">
            <v>9838</v>
          </cell>
          <cell r="C1401" t="str">
            <v>Tasa; Brenden S</v>
          </cell>
          <cell r="D1401" t="str">
            <v>1C</v>
          </cell>
          <cell r="E1401" t="str">
            <v>IBEWOUT</v>
          </cell>
          <cell r="F1401" t="str">
            <v>611</v>
          </cell>
          <cell r="G1401" t="str">
            <v>12</v>
          </cell>
          <cell r="H1401">
            <v>0</v>
          </cell>
        </row>
        <row r="1402">
          <cell r="B1402">
            <v>9839</v>
          </cell>
          <cell r="C1402" t="str">
            <v>Taylor; Dalthard Ronald</v>
          </cell>
          <cell r="D1402" t="str">
            <v>1C</v>
          </cell>
          <cell r="E1402" t="str">
            <v>IBEWOUT</v>
          </cell>
          <cell r="F1402" t="str">
            <v>47</v>
          </cell>
          <cell r="G1402" t="str">
            <v>8</v>
          </cell>
          <cell r="H1402">
            <v>0</v>
          </cell>
        </row>
        <row r="1403">
          <cell r="B1403">
            <v>9840</v>
          </cell>
          <cell r="C1403" t="str">
            <v>Tapani; Randall J</v>
          </cell>
          <cell r="D1403" t="str">
            <v>1</v>
          </cell>
          <cell r="E1403" t="str">
            <v>IBEWOUT</v>
          </cell>
          <cell r="F1403" t="str">
            <v>77</v>
          </cell>
          <cell r="G1403" t="str">
            <v>13</v>
          </cell>
          <cell r="H1403">
            <v>0</v>
          </cell>
        </row>
        <row r="1404">
          <cell r="B1404">
            <v>9841</v>
          </cell>
          <cell r="C1404" t="str">
            <v>Taylor; Dalthard Grant</v>
          </cell>
          <cell r="D1404" t="str">
            <v>1C</v>
          </cell>
          <cell r="E1404" t="str">
            <v>IBEWOUT</v>
          </cell>
          <cell r="F1404" t="str">
            <v>769</v>
          </cell>
          <cell r="G1404" t="str">
            <v>16</v>
          </cell>
          <cell r="H1404">
            <v>0</v>
          </cell>
        </row>
        <row r="1405">
          <cell r="B1405">
            <v>9847</v>
          </cell>
          <cell r="C1405" t="str">
            <v>Taylor; Corey M</v>
          </cell>
          <cell r="D1405" t="str">
            <v>1C</v>
          </cell>
          <cell r="E1405" t="str">
            <v>IBEWOUT</v>
          </cell>
          <cell r="F1405" t="str">
            <v>1245</v>
          </cell>
          <cell r="G1405" t="str">
            <v>8</v>
          </cell>
          <cell r="H1405">
            <v>0</v>
          </cell>
        </row>
        <row r="1406">
          <cell r="B1406">
            <v>9848</v>
          </cell>
          <cell r="C1406" t="str">
            <v>Taylor; Jerome D</v>
          </cell>
          <cell r="D1406" t="str">
            <v>1</v>
          </cell>
          <cell r="E1406" t="str">
            <v>IBEWOUT</v>
          </cell>
          <cell r="F1406" t="str">
            <v>47</v>
          </cell>
          <cell r="G1406" t="str">
            <v>15</v>
          </cell>
          <cell r="H1406">
            <v>0</v>
          </cell>
        </row>
        <row r="1407">
          <cell r="B1407">
            <v>9849</v>
          </cell>
          <cell r="C1407" t="str">
            <v>Taylor; John R</v>
          </cell>
          <cell r="D1407" t="str">
            <v>1C</v>
          </cell>
          <cell r="E1407" t="str">
            <v>IBEWOUT</v>
          </cell>
          <cell r="F1407" t="str">
            <v>611</v>
          </cell>
          <cell r="G1407" t="str">
            <v>17</v>
          </cell>
          <cell r="H1407">
            <v>0</v>
          </cell>
        </row>
        <row r="1408">
          <cell r="B1408">
            <v>9862</v>
          </cell>
          <cell r="C1408" t="str">
            <v>Tellez; John Henry</v>
          </cell>
          <cell r="D1408" t="str">
            <v>1C</v>
          </cell>
          <cell r="E1408">
            <v>9862</v>
          </cell>
          <cell r="F1408">
            <v>9862</v>
          </cell>
          <cell r="G1408">
            <v>9862</v>
          </cell>
          <cell r="H1408">
            <v>1</v>
          </cell>
        </row>
        <row r="1409">
          <cell r="B1409">
            <v>9868</v>
          </cell>
          <cell r="C1409" t="str">
            <v>Terlep; Greg J.</v>
          </cell>
          <cell r="D1409" t="str">
            <v>1C</v>
          </cell>
          <cell r="E1409" t="str">
            <v>IBEWOUT</v>
          </cell>
          <cell r="F1409" t="str">
            <v>1245</v>
          </cell>
          <cell r="G1409" t="str">
            <v>60</v>
          </cell>
          <cell r="H1409">
            <v>0</v>
          </cell>
        </row>
        <row r="1410">
          <cell r="B1410">
            <v>9869</v>
          </cell>
          <cell r="C1410" t="str">
            <v>Tepesano; Pablo A</v>
          </cell>
          <cell r="D1410" t="str">
            <v>1C</v>
          </cell>
          <cell r="E1410" t="str">
            <v>IBEWOUT</v>
          </cell>
          <cell r="F1410" t="str">
            <v>47</v>
          </cell>
          <cell r="G1410" t="str">
            <v>8</v>
          </cell>
          <cell r="H1410">
            <v>0</v>
          </cell>
        </row>
        <row r="1411">
          <cell r="B1411">
            <v>9871</v>
          </cell>
          <cell r="C1411" t="str">
            <v>Tenney; Michael J</v>
          </cell>
          <cell r="D1411" t="str">
            <v>1C</v>
          </cell>
          <cell r="E1411" t="str">
            <v>IBEWOUT</v>
          </cell>
          <cell r="F1411" t="str">
            <v>1245</v>
          </cell>
          <cell r="G1411" t="str">
            <v>8</v>
          </cell>
          <cell r="H1411">
            <v>0</v>
          </cell>
        </row>
        <row r="1412">
          <cell r="B1412">
            <v>9872</v>
          </cell>
          <cell r="C1412" t="str">
            <v>Terry; Donald Dean</v>
          </cell>
          <cell r="D1412" t="str">
            <v>1</v>
          </cell>
          <cell r="E1412" t="str">
            <v>IBEWOUT</v>
          </cell>
          <cell r="F1412" t="str">
            <v>47</v>
          </cell>
          <cell r="G1412" t="str">
            <v>16</v>
          </cell>
          <cell r="H1412">
            <v>0</v>
          </cell>
        </row>
        <row r="1413">
          <cell r="B1413">
            <v>9875</v>
          </cell>
          <cell r="C1413" t="str">
            <v>Tennell; Rodrick Q</v>
          </cell>
          <cell r="D1413" t="str">
            <v>1</v>
          </cell>
          <cell r="E1413" t="str">
            <v>IBEWOUT</v>
          </cell>
          <cell r="F1413" t="str">
            <v>611</v>
          </cell>
          <cell r="G1413" t="str">
            <v>13</v>
          </cell>
          <cell r="H1413">
            <v>0</v>
          </cell>
        </row>
        <row r="1414">
          <cell r="B1414">
            <v>9910</v>
          </cell>
          <cell r="C1414" t="str">
            <v>Thagon; Robert G</v>
          </cell>
          <cell r="D1414" t="str">
            <v>1C</v>
          </cell>
          <cell r="E1414">
            <v>9910</v>
          </cell>
          <cell r="F1414">
            <v>9910</v>
          </cell>
          <cell r="G1414">
            <v>9910</v>
          </cell>
          <cell r="H1414">
            <v>1</v>
          </cell>
        </row>
        <row r="1415">
          <cell r="B1415">
            <v>9941</v>
          </cell>
          <cell r="C1415" t="str">
            <v>Thomas; Justin M</v>
          </cell>
          <cell r="D1415" t="str">
            <v>1C</v>
          </cell>
          <cell r="E1415" t="str">
            <v>IBEWOUT</v>
          </cell>
          <cell r="F1415" t="str">
            <v>1245</v>
          </cell>
          <cell r="G1415" t="str">
            <v>8</v>
          </cell>
          <cell r="H1415">
            <v>0</v>
          </cell>
        </row>
        <row r="1416">
          <cell r="B1416">
            <v>9943</v>
          </cell>
          <cell r="C1416" t="str">
            <v>Thomas; Kyle R</v>
          </cell>
          <cell r="D1416" t="str">
            <v>1C</v>
          </cell>
          <cell r="E1416" t="str">
            <v>IBEWOUT</v>
          </cell>
          <cell r="F1416" t="str">
            <v>1245</v>
          </cell>
          <cell r="G1416" t="str">
            <v>8</v>
          </cell>
          <cell r="H1416">
            <v>0</v>
          </cell>
        </row>
        <row r="1417">
          <cell r="B1417">
            <v>9946</v>
          </cell>
          <cell r="C1417" t="str">
            <v>Thomas; Dustin James</v>
          </cell>
          <cell r="D1417" t="str">
            <v>1</v>
          </cell>
          <cell r="E1417" t="str">
            <v>IBEWOUT</v>
          </cell>
          <cell r="F1417" t="str">
            <v>1245</v>
          </cell>
          <cell r="G1417" t="str">
            <v>20</v>
          </cell>
          <cell r="H1417">
            <v>0</v>
          </cell>
        </row>
        <row r="1418">
          <cell r="B1418">
            <v>9947</v>
          </cell>
          <cell r="C1418" t="str">
            <v>Thomas; Calvin L</v>
          </cell>
          <cell r="D1418" t="str">
            <v>1</v>
          </cell>
          <cell r="E1418" t="str">
            <v>IBEWOUT</v>
          </cell>
          <cell r="F1418" t="str">
            <v>47</v>
          </cell>
          <cell r="G1418" t="str">
            <v>16</v>
          </cell>
          <cell r="H1418">
            <v>0</v>
          </cell>
        </row>
        <row r="1419">
          <cell r="B1419">
            <v>9949</v>
          </cell>
          <cell r="C1419" t="str">
            <v>Thomas; Cody L.</v>
          </cell>
          <cell r="D1419" t="str">
            <v>1</v>
          </cell>
          <cell r="E1419" t="str">
            <v>IBEWOUT</v>
          </cell>
          <cell r="F1419" t="str">
            <v>47</v>
          </cell>
          <cell r="G1419" t="str">
            <v>7</v>
          </cell>
          <cell r="H1419">
            <v>0</v>
          </cell>
        </row>
        <row r="1420">
          <cell r="B1420">
            <v>9950</v>
          </cell>
          <cell r="C1420" t="str">
            <v>Thomas; Vance L</v>
          </cell>
          <cell r="D1420" t="str">
            <v>1C</v>
          </cell>
          <cell r="E1420" t="str">
            <v>IBEWOUT</v>
          </cell>
          <cell r="F1420" t="str">
            <v>47</v>
          </cell>
          <cell r="G1420" t="str">
            <v>8</v>
          </cell>
          <cell r="H1420">
            <v>0</v>
          </cell>
        </row>
        <row r="1421">
          <cell r="B1421">
            <v>9957</v>
          </cell>
          <cell r="C1421" t="str">
            <v>Thomas; Samuel Troy</v>
          </cell>
          <cell r="D1421" t="str">
            <v>1C</v>
          </cell>
          <cell r="E1421" t="str">
            <v>IBEWOUT</v>
          </cell>
          <cell r="F1421" t="str">
            <v>77</v>
          </cell>
          <cell r="G1421" t="str">
            <v>16</v>
          </cell>
          <cell r="H1421">
            <v>0</v>
          </cell>
        </row>
        <row r="1422">
          <cell r="B1422">
            <v>9959</v>
          </cell>
          <cell r="C1422" t="str">
            <v>Thompson; Glen S</v>
          </cell>
          <cell r="D1422" t="str">
            <v>1C</v>
          </cell>
          <cell r="E1422" t="str">
            <v>IBEWOUT</v>
          </cell>
          <cell r="F1422" t="str">
            <v>160</v>
          </cell>
          <cell r="G1422" t="str">
            <v>8</v>
          </cell>
          <cell r="H1422">
            <v>0</v>
          </cell>
        </row>
        <row r="1423">
          <cell r="B1423">
            <v>9960</v>
          </cell>
          <cell r="C1423" t="str">
            <v>Thompson; Ryan M.</v>
          </cell>
          <cell r="D1423" t="str">
            <v>1C</v>
          </cell>
          <cell r="E1423" t="str">
            <v>IBEWOUT</v>
          </cell>
          <cell r="F1423" t="str">
            <v>77</v>
          </cell>
          <cell r="G1423" t="str">
            <v>10</v>
          </cell>
          <cell r="H1423">
            <v>0</v>
          </cell>
        </row>
        <row r="1424">
          <cell r="B1424">
            <v>9961</v>
          </cell>
          <cell r="C1424" t="str">
            <v>Thompson; Padraic K</v>
          </cell>
          <cell r="D1424" t="str">
            <v>1C</v>
          </cell>
          <cell r="E1424" t="str">
            <v>IBEWOUT</v>
          </cell>
          <cell r="F1424" t="str">
            <v>1245</v>
          </cell>
          <cell r="G1424" t="str">
            <v>8</v>
          </cell>
          <cell r="H1424">
            <v>0</v>
          </cell>
        </row>
        <row r="1425">
          <cell r="B1425">
            <v>9964</v>
          </cell>
          <cell r="C1425" t="str">
            <v>Thomson; Michael D.</v>
          </cell>
          <cell r="D1425" t="str">
            <v>1C</v>
          </cell>
          <cell r="E1425" t="str">
            <v>IBEWOUT</v>
          </cell>
          <cell r="F1425" t="str">
            <v>769</v>
          </cell>
          <cell r="G1425" t="str">
            <v>20</v>
          </cell>
          <cell r="H1425">
            <v>0</v>
          </cell>
        </row>
        <row r="1426">
          <cell r="B1426">
            <v>9973</v>
          </cell>
          <cell r="C1426" t="str">
            <v>Thygesen; Brian R.</v>
          </cell>
          <cell r="D1426" t="str">
            <v>1C</v>
          </cell>
          <cell r="E1426" t="str">
            <v>IBEWOUT</v>
          </cell>
          <cell r="F1426" t="str">
            <v>77</v>
          </cell>
          <cell r="G1426" t="str">
            <v>12</v>
          </cell>
          <cell r="H1426">
            <v>0</v>
          </cell>
        </row>
        <row r="1427">
          <cell r="B1427">
            <v>9984</v>
          </cell>
          <cell r="C1427" t="str">
            <v>Toovey; Louis A</v>
          </cell>
          <cell r="D1427" t="str">
            <v>1C</v>
          </cell>
          <cell r="E1427" t="str">
            <v>IBEWOUT</v>
          </cell>
          <cell r="F1427" t="str">
            <v>769</v>
          </cell>
          <cell r="G1427" t="str">
            <v>17</v>
          </cell>
          <cell r="H1427">
            <v>0</v>
          </cell>
        </row>
        <row r="1428">
          <cell r="B1428">
            <v>9985</v>
          </cell>
          <cell r="C1428" t="str">
            <v>Tucker; Michael W.</v>
          </cell>
          <cell r="D1428" t="str">
            <v>1C</v>
          </cell>
          <cell r="E1428" t="str">
            <v>IBEWOUT</v>
          </cell>
          <cell r="F1428" t="str">
            <v>47</v>
          </cell>
          <cell r="G1428" t="str">
            <v>20</v>
          </cell>
          <cell r="H1428">
            <v>0</v>
          </cell>
        </row>
        <row r="1429">
          <cell r="B1429">
            <v>9988</v>
          </cell>
          <cell r="C1429" t="str">
            <v>Torres; Victor M.</v>
          </cell>
          <cell r="D1429" t="str">
            <v>1C</v>
          </cell>
          <cell r="E1429" t="str">
            <v>IBEWOUT</v>
          </cell>
          <cell r="F1429" t="str">
            <v>769</v>
          </cell>
          <cell r="G1429" t="str">
            <v>16</v>
          </cell>
          <cell r="H1429">
            <v>0</v>
          </cell>
        </row>
        <row r="1430">
          <cell r="B1430">
            <v>9992</v>
          </cell>
          <cell r="C1430" t="str">
            <v>Tomlinson; Matthew A.</v>
          </cell>
          <cell r="D1430" t="str">
            <v>1</v>
          </cell>
          <cell r="E1430" t="str">
            <v>IBEWOUT</v>
          </cell>
          <cell r="F1430" t="str">
            <v>47</v>
          </cell>
          <cell r="G1430" t="str">
            <v>16</v>
          </cell>
          <cell r="H1430">
            <v>0</v>
          </cell>
        </row>
        <row r="1431">
          <cell r="B1431">
            <v>9994</v>
          </cell>
          <cell r="C1431" t="str">
            <v>Tonasket; Justin L</v>
          </cell>
          <cell r="D1431" t="str">
            <v>1C</v>
          </cell>
          <cell r="E1431" t="str">
            <v>IBEWOUT</v>
          </cell>
          <cell r="F1431" t="str">
            <v>1245</v>
          </cell>
          <cell r="G1431" t="str">
            <v>13</v>
          </cell>
          <cell r="H1431">
            <v>0</v>
          </cell>
        </row>
        <row r="1432">
          <cell r="B1432">
            <v>9995</v>
          </cell>
          <cell r="C1432" t="str">
            <v>Tom; Antonio J</v>
          </cell>
          <cell r="D1432" t="str">
            <v>1C</v>
          </cell>
          <cell r="E1432" t="str">
            <v>IBEWOUT</v>
          </cell>
          <cell r="F1432" t="str">
            <v>769</v>
          </cell>
          <cell r="G1432" t="str">
            <v>15</v>
          </cell>
          <cell r="H1432">
            <v>0</v>
          </cell>
        </row>
        <row r="1433">
          <cell r="B1433">
            <v>9996</v>
          </cell>
          <cell r="C1433" t="str">
            <v>Toftdahl; Nels R.</v>
          </cell>
          <cell r="D1433" t="str">
            <v>1</v>
          </cell>
          <cell r="E1433" t="str">
            <v>IBEWOUT</v>
          </cell>
          <cell r="F1433" t="str">
            <v>77</v>
          </cell>
          <cell r="G1433" t="str">
            <v>8</v>
          </cell>
          <cell r="H1433">
            <v>0</v>
          </cell>
        </row>
        <row r="1434">
          <cell r="B1434">
            <v>9997</v>
          </cell>
          <cell r="C1434" t="str">
            <v>Tolson; Chad A</v>
          </cell>
          <cell r="D1434" t="str">
            <v>1C</v>
          </cell>
          <cell r="E1434" t="str">
            <v>IBEWOUT</v>
          </cell>
          <cell r="F1434" t="str">
            <v>1245</v>
          </cell>
          <cell r="G1434" t="str">
            <v>15</v>
          </cell>
          <cell r="H1434">
            <v>0</v>
          </cell>
        </row>
        <row r="1435">
          <cell r="B1435">
            <v>9999</v>
          </cell>
          <cell r="C1435" t="str">
            <v>Tramblie; Tanner David</v>
          </cell>
          <cell r="D1435" t="str">
            <v>1C</v>
          </cell>
          <cell r="E1435" t="str">
            <v>IBEWOUT</v>
          </cell>
          <cell r="F1435" t="str">
            <v>77</v>
          </cell>
          <cell r="G1435" t="str">
            <v>8</v>
          </cell>
          <cell r="H1435">
            <v>0</v>
          </cell>
        </row>
        <row r="1436">
          <cell r="B1436">
            <v>10001</v>
          </cell>
          <cell r="C1436" t="str">
            <v>Tohara; John D.</v>
          </cell>
          <cell r="D1436" t="str">
            <v>1C</v>
          </cell>
          <cell r="E1436" t="str">
            <v>IBEWOUT</v>
          </cell>
          <cell r="F1436" t="str">
            <v>396</v>
          </cell>
          <cell r="G1436" t="str">
            <v>21</v>
          </cell>
          <cell r="H1436">
            <v>0</v>
          </cell>
        </row>
        <row r="1437">
          <cell r="B1437">
            <v>10002</v>
          </cell>
          <cell r="C1437" t="str">
            <v>Toman; Lance E</v>
          </cell>
          <cell r="D1437" t="str">
            <v>1C</v>
          </cell>
          <cell r="E1437" t="str">
            <v>IBEWOUT</v>
          </cell>
          <cell r="F1437" t="str">
            <v>1245</v>
          </cell>
          <cell r="G1437" t="str">
            <v>8</v>
          </cell>
          <cell r="H1437">
            <v>0</v>
          </cell>
        </row>
        <row r="1438">
          <cell r="B1438">
            <v>10004</v>
          </cell>
          <cell r="C1438" t="str">
            <v>Tudor; Michael R</v>
          </cell>
          <cell r="D1438" t="str">
            <v>1</v>
          </cell>
          <cell r="E1438" t="str">
            <v>IBEWOUT</v>
          </cell>
          <cell r="F1438" t="str">
            <v>1245</v>
          </cell>
          <cell r="G1438" t="str">
            <v>8</v>
          </cell>
          <cell r="H1438">
            <v>0</v>
          </cell>
        </row>
        <row r="1439">
          <cell r="B1439">
            <v>10007</v>
          </cell>
          <cell r="C1439" t="str">
            <v>Torbet; William Wesley</v>
          </cell>
          <cell r="D1439" t="str">
            <v>1</v>
          </cell>
          <cell r="E1439">
            <v>10007</v>
          </cell>
          <cell r="F1439">
            <v>10007</v>
          </cell>
          <cell r="G1439">
            <v>10007</v>
          </cell>
          <cell r="H1439">
            <v>1</v>
          </cell>
        </row>
        <row r="1440">
          <cell r="B1440">
            <v>10015</v>
          </cell>
          <cell r="C1440" t="str">
            <v>Torres; Jose R</v>
          </cell>
          <cell r="D1440" t="str">
            <v>1</v>
          </cell>
          <cell r="E1440" t="str">
            <v>IBEWOUT</v>
          </cell>
          <cell r="F1440" t="str">
            <v>160</v>
          </cell>
          <cell r="G1440" t="str">
            <v>20</v>
          </cell>
          <cell r="H1440">
            <v>0</v>
          </cell>
        </row>
        <row r="1441">
          <cell r="B1441">
            <v>10016</v>
          </cell>
          <cell r="C1441" t="str">
            <v>Torres; Luis R</v>
          </cell>
          <cell r="D1441" t="str">
            <v>1</v>
          </cell>
          <cell r="E1441" t="str">
            <v>IBEWOUT</v>
          </cell>
          <cell r="F1441" t="str">
            <v>1245</v>
          </cell>
          <cell r="G1441" t="str">
            <v>70</v>
          </cell>
          <cell r="H1441">
            <v>0</v>
          </cell>
        </row>
        <row r="1442">
          <cell r="B1442">
            <v>10026</v>
          </cell>
          <cell r="C1442" t="str">
            <v>Trimnal; Jerry Gamble</v>
          </cell>
          <cell r="D1442" t="str">
            <v>1C</v>
          </cell>
          <cell r="E1442" t="str">
            <v>IBEWOUT</v>
          </cell>
          <cell r="F1442" t="str">
            <v>47</v>
          </cell>
          <cell r="G1442" t="str">
            <v>7</v>
          </cell>
          <cell r="H1442">
            <v>0</v>
          </cell>
        </row>
        <row r="1443">
          <cell r="B1443">
            <v>10028</v>
          </cell>
          <cell r="C1443" t="str">
            <v>Triner; Jeremy BJ</v>
          </cell>
          <cell r="D1443" t="str">
            <v>1C</v>
          </cell>
          <cell r="E1443" t="str">
            <v>IBEWOUT</v>
          </cell>
          <cell r="F1443" t="str">
            <v>47</v>
          </cell>
          <cell r="G1443" t="str">
            <v>8</v>
          </cell>
          <cell r="H1443">
            <v>0</v>
          </cell>
        </row>
        <row r="1444">
          <cell r="B1444">
            <v>10030</v>
          </cell>
          <cell r="C1444" t="str">
            <v>Tritten; Eric W</v>
          </cell>
          <cell r="D1444" t="str">
            <v>1C</v>
          </cell>
          <cell r="E1444" t="str">
            <v>IBEWOUT</v>
          </cell>
          <cell r="F1444" t="str">
            <v>126</v>
          </cell>
          <cell r="G1444" t="str">
            <v>13</v>
          </cell>
          <cell r="H1444">
            <v>0</v>
          </cell>
        </row>
        <row r="1445">
          <cell r="B1445">
            <v>10031</v>
          </cell>
          <cell r="C1445" t="str">
            <v>Triplett; Bret M</v>
          </cell>
          <cell r="D1445" t="str">
            <v>1C</v>
          </cell>
          <cell r="E1445" t="str">
            <v>IBEWOUT</v>
          </cell>
          <cell r="F1445" t="str">
            <v>1319</v>
          </cell>
          <cell r="G1445" t="str">
            <v>15</v>
          </cell>
          <cell r="H1445">
            <v>0</v>
          </cell>
        </row>
        <row r="1446">
          <cell r="B1446">
            <v>10034</v>
          </cell>
          <cell r="C1446" t="str">
            <v>Tropkoff; Robert J</v>
          </cell>
          <cell r="D1446" t="str">
            <v>1C</v>
          </cell>
          <cell r="E1446" t="str">
            <v>IBEWOUT</v>
          </cell>
          <cell r="F1446" t="str">
            <v>1319</v>
          </cell>
          <cell r="G1446" t="str">
            <v>21</v>
          </cell>
          <cell r="H1446">
            <v>0</v>
          </cell>
        </row>
        <row r="1447">
          <cell r="B1447">
            <v>10038</v>
          </cell>
          <cell r="C1447" t="str">
            <v>Tsosie; Michael Samuel</v>
          </cell>
          <cell r="D1447" t="str">
            <v>1</v>
          </cell>
          <cell r="E1447" t="str">
            <v>IBEWOUT</v>
          </cell>
          <cell r="F1447" t="str">
            <v>769</v>
          </cell>
          <cell r="G1447" t="str">
            <v>7</v>
          </cell>
          <cell r="H1447">
            <v>0</v>
          </cell>
        </row>
        <row r="1448">
          <cell r="B1448">
            <v>10039</v>
          </cell>
          <cell r="C1448" t="str">
            <v>Tsuha; Mark</v>
          </cell>
          <cell r="D1448" t="str">
            <v>1C</v>
          </cell>
          <cell r="E1448" t="str">
            <v>IBEWOUT</v>
          </cell>
          <cell r="F1448" t="str">
            <v>77</v>
          </cell>
          <cell r="G1448" t="str">
            <v>16</v>
          </cell>
          <cell r="H1448">
            <v>0</v>
          </cell>
        </row>
        <row r="1449">
          <cell r="B1449">
            <v>10044</v>
          </cell>
          <cell r="C1449" t="str">
            <v>Trujillo; James Joseph</v>
          </cell>
          <cell r="D1449" t="str">
            <v>1</v>
          </cell>
          <cell r="E1449" t="str">
            <v>IBEWOUT</v>
          </cell>
          <cell r="F1449" t="str">
            <v>1245</v>
          </cell>
          <cell r="G1449" t="str">
            <v>59</v>
          </cell>
          <cell r="H1449">
            <v>0</v>
          </cell>
        </row>
        <row r="1450">
          <cell r="B1450">
            <v>10046</v>
          </cell>
          <cell r="C1450" t="str">
            <v>Turner; Caleb Dwayne</v>
          </cell>
          <cell r="D1450" t="str">
            <v>1</v>
          </cell>
          <cell r="E1450" t="str">
            <v>IBEWOUT</v>
          </cell>
          <cell r="F1450" t="str">
            <v>47</v>
          </cell>
          <cell r="G1450" t="str">
            <v>17</v>
          </cell>
          <cell r="H1450">
            <v>0</v>
          </cell>
        </row>
        <row r="1451">
          <cell r="B1451">
            <v>10050</v>
          </cell>
          <cell r="C1451" t="str">
            <v>Tow; Andrew J</v>
          </cell>
          <cell r="D1451" t="str">
            <v>1C</v>
          </cell>
          <cell r="E1451" t="str">
            <v>IBEWOUT</v>
          </cell>
          <cell r="F1451" t="str">
            <v>1245</v>
          </cell>
          <cell r="G1451" t="str">
            <v>7</v>
          </cell>
          <cell r="H1451">
            <v>0</v>
          </cell>
        </row>
        <row r="1452">
          <cell r="B1452">
            <v>10051</v>
          </cell>
          <cell r="C1452" t="str">
            <v>Treadwell; Joshua S</v>
          </cell>
          <cell r="D1452" t="str">
            <v>1C</v>
          </cell>
          <cell r="E1452" t="str">
            <v>IBEWOUT</v>
          </cell>
          <cell r="F1452" t="str">
            <v>602R</v>
          </cell>
          <cell r="G1452" t="str">
            <v>8</v>
          </cell>
          <cell r="H1452">
            <v>0</v>
          </cell>
        </row>
        <row r="1453">
          <cell r="B1453">
            <v>10055</v>
          </cell>
          <cell r="C1453" t="str">
            <v>Torres; Isaac</v>
          </cell>
          <cell r="D1453" t="str">
            <v>1C</v>
          </cell>
          <cell r="E1453" t="str">
            <v>IBEWOUT</v>
          </cell>
          <cell r="F1453" t="str">
            <v>1245</v>
          </cell>
          <cell r="G1453" t="str">
            <v>8</v>
          </cell>
          <cell r="H1453">
            <v>0</v>
          </cell>
        </row>
        <row r="1454">
          <cell r="B1454">
            <v>10056</v>
          </cell>
          <cell r="C1454" t="str">
            <v>Torres; Federico R</v>
          </cell>
          <cell r="D1454" t="str">
            <v>1</v>
          </cell>
          <cell r="E1454">
            <v>10056</v>
          </cell>
          <cell r="F1454">
            <v>10056</v>
          </cell>
          <cell r="G1454">
            <v>10056</v>
          </cell>
          <cell r="H1454">
            <v>1</v>
          </cell>
        </row>
        <row r="1455">
          <cell r="B1455">
            <v>10057</v>
          </cell>
          <cell r="C1455" t="str">
            <v>Torres; Carlos</v>
          </cell>
          <cell r="D1455" t="str">
            <v>1C</v>
          </cell>
          <cell r="E1455" t="str">
            <v>IBEWOUT</v>
          </cell>
          <cell r="F1455" t="str">
            <v>1245</v>
          </cell>
          <cell r="G1455" t="str">
            <v>17</v>
          </cell>
          <cell r="H1455">
            <v>0</v>
          </cell>
        </row>
        <row r="1456">
          <cell r="B1456">
            <v>10058</v>
          </cell>
          <cell r="C1456" t="str">
            <v>Towns; Isaac W</v>
          </cell>
          <cell r="D1456" t="str">
            <v>1C</v>
          </cell>
          <cell r="E1456" t="str">
            <v>IBEWOUT</v>
          </cell>
          <cell r="F1456" t="str">
            <v>47</v>
          </cell>
          <cell r="G1456" t="str">
            <v>8</v>
          </cell>
          <cell r="H1456">
            <v>0</v>
          </cell>
        </row>
        <row r="1457">
          <cell r="B1457">
            <v>10060</v>
          </cell>
          <cell r="C1457" t="str">
            <v>Tweed; Herbert Coke</v>
          </cell>
          <cell r="D1457" t="str">
            <v>1</v>
          </cell>
          <cell r="E1457" t="str">
            <v>IBEWOUT</v>
          </cell>
          <cell r="F1457" t="str">
            <v>160</v>
          </cell>
          <cell r="G1457" t="str">
            <v>7</v>
          </cell>
          <cell r="H1457">
            <v>1</v>
          </cell>
        </row>
        <row r="1458">
          <cell r="B1458">
            <v>10067</v>
          </cell>
          <cell r="C1458" t="str">
            <v>Tune; Christopher D</v>
          </cell>
          <cell r="D1458" t="str">
            <v>1C</v>
          </cell>
          <cell r="E1458" t="str">
            <v>IBEWOUT</v>
          </cell>
          <cell r="F1458" t="str">
            <v>77</v>
          </cell>
          <cell r="G1458" t="str">
            <v>8</v>
          </cell>
          <cell r="H1458">
            <v>0</v>
          </cell>
        </row>
        <row r="1459">
          <cell r="B1459">
            <v>10068</v>
          </cell>
          <cell r="C1459" t="str">
            <v>Trevino; Jesus M</v>
          </cell>
          <cell r="D1459" t="str">
            <v>1C</v>
          </cell>
          <cell r="E1459" t="str">
            <v>IBEWOUT</v>
          </cell>
          <cell r="F1459" t="str">
            <v>47</v>
          </cell>
          <cell r="G1459" t="str">
            <v>8</v>
          </cell>
          <cell r="H1459">
            <v>0</v>
          </cell>
        </row>
        <row r="1460">
          <cell r="B1460">
            <v>10069</v>
          </cell>
          <cell r="C1460" t="str">
            <v>Turner; Bradley S.</v>
          </cell>
          <cell r="D1460" t="str">
            <v>1C</v>
          </cell>
          <cell r="E1460" t="str">
            <v>IBEWOUT</v>
          </cell>
          <cell r="F1460" t="str">
            <v>47</v>
          </cell>
          <cell r="G1460" t="str">
            <v>60</v>
          </cell>
          <cell r="H1460">
            <v>0</v>
          </cell>
        </row>
        <row r="1461">
          <cell r="B1461">
            <v>10076</v>
          </cell>
          <cell r="C1461" t="str">
            <v>Uitto; Jacob P</v>
          </cell>
          <cell r="D1461" t="str">
            <v>1C</v>
          </cell>
          <cell r="E1461" t="str">
            <v>IBEWOUT</v>
          </cell>
          <cell r="F1461" t="str">
            <v>77</v>
          </cell>
          <cell r="G1461" t="str">
            <v>13</v>
          </cell>
          <cell r="H1461">
            <v>0</v>
          </cell>
        </row>
        <row r="1462">
          <cell r="B1462">
            <v>10078</v>
          </cell>
          <cell r="C1462" t="str">
            <v>Uhlenkott; Nicholas P</v>
          </cell>
          <cell r="D1462" t="str">
            <v>1C</v>
          </cell>
          <cell r="E1462" t="str">
            <v>IBEWOUT</v>
          </cell>
          <cell r="F1462" t="str">
            <v>77</v>
          </cell>
          <cell r="G1462" t="str">
            <v>8</v>
          </cell>
          <cell r="H1462">
            <v>0</v>
          </cell>
        </row>
        <row r="1463">
          <cell r="B1463">
            <v>10085</v>
          </cell>
          <cell r="C1463" t="str">
            <v>Unsworth; Isaac W</v>
          </cell>
          <cell r="D1463" t="str">
            <v>1C</v>
          </cell>
          <cell r="E1463" t="str">
            <v>IBEWOUT</v>
          </cell>
          <cell r="F1463" t="str">
            <v>47</v>
          </cell>
          <cell r="G1463" t="str">
            <v>7</v>
          </cell>
          <cell r="H1463">
            <v>0</v>
          </cell>
        </row>
        <row r="1464">
          <cell r="B1464">
            <v>10086</v>
          </cell>
          <cell r="C1464" t="str">
            <v>Unruh; Spencer J</v>
          </cell>
          <cell r="D1464" t="str">
            <v>1C</v>
          </cell>
          <cell r="E1464" t="str">
            <v>IBEWOUT</v>
          </cell>
          <cell r="F1464" t="str">
            <v>1245</v>
          </cell>
          <cell r="G1464" t="str">
            <v>8</v>
          </cell>
          <cell r="H1464">
            <v>0</v>
          </cell>
        </row>
        <row r="1465">
          <cell r="B1465">
            <v>10090</v>
          </cell>
          <cell r="C1465" t="str">
            <v>Uribe; Jorge</v>
          </cell>
          <cell r="D1465" t="str">
            <v>1C</v>
          </cell>
          <cell r="E1465" t="str">
            <v>IBEWOUT</v>
          </cell>
          <cell r="F1465" t="str">
            <v>1245</v>
          </cell>
          <cell r="G1465" t="str">
            <v>16</v>
          </cell>
          <cell r="H1465">
            <v>0</v>
          </cell>
        </row>
        <row r="1466">
          <cell r="B1466">
            <v>10105</v>
          </cell>
          <cell r="C1466" t="str">
            <v>Urquijo; Bernardo</v>
          </cell>
          <cell r="D1466" t="str">
            <v>1C</v>
          </cell>
          <cell r="E1466" t="str">
            <v>IBEWOUT</v>
          </cell>
          <cell r="F1466" t="str">
            <v>1245</v>
          </cell>
          <cell r="G1466" t="str">
            <v>8</v>
          </cell>
          <cell r="H1466">
            <v>0</v>
          </cell>
        </row>
        <row r="1467">
          <cell r="B1467">
            <v>10112</v>
          </cell>
          <cell r="C1467" t="str">
            <v>Valenzuela; Mark</v>
          </cell>
          <cell r="D1467" t="str">
            <v>1C</v>
          </cell>
          <cell r="E1467" t="str">
            <v>IBEWOUT</v>
          </cell>
          <cell r="F1467" t="str">
            <v>47</v>
          </cell>
          <cell r="G1467" t="str">
            <v>17</v>
          </cell>
          <cell r="H1467">
            <v>0</v>
          </cell>
        </row>
        <row r="1468">
          <cell r="B1468">
            <v>10123</v>
          </cell>
          <cell r="C1468" t="str">
            <v>Valenzuela; Ariel A</v>
          </cell>
          <cell r="D1468" t="str">
            <v>1C</v>
          </cell>
          <cell r="E1468" t="str">
            <v>IBEWOUT</v>
          </cell>
          <cell r="F1468" t="str">
            <v>1245</v>
          </cell>
          <cell r="G1468" t="str">
            <v>12</v>
          </cell>
          <cell r="H1468">
            <v>0</v>
          </cell>
        </row>
        <row r="1469">
          <cell r="B1469">
            <v>10139</v>
          </cell>
          <cell r="C1469" t="str">
            <v>Vanwert Jr.; Richard A</v>
          </cell>
          <cell r="D1469" t="str">
            <v>1C</v>
          </cell>
          <cell r="E1469" t="str">
            <v>IBEWOUT</v>
          </cell>
          <cell r="F1469" t="str">
            <v>1319</v>
          </cell>
          <cell r="G1469" t="str">
            <v>8</v>
          </cell>
          <cell r="H1469">
            <v>0</v>
          </cell>
        </row>
        <row r="1470">
          <cell r="B1470">
            <v>10140</v>
          </cell>
          <cell r="C1470" t="str">
            <v>Vann; Tyhein E</v>
          </cell>
          <cell r="D1470" t="str">
            <v>1C</v>
          </cell>
          <cell r="E1470" t="str">
            <v>IBEWOUT</v>
          </cell>
          <cell r="F1470" t="str">
            <v>126</v>
          </cell>
          <cell r="G1470" t="str">
            <v>8</v>
          </cell>
          <cell r="H1470">
            <v>0</v>
          </cell>
        </row>
        <row r="1471">
          <cell r="B1471">
            <v>10146</v>
          </cell>
          <cell r="C1471" t="str">
            <v>Valencia; Gary S</v>
          </cell>
          <cell r="D1471" t="str">
            <v>1C</v>
          </cell>
          <cell r="E1471" t="str">
            <v>IBEWOUT</v>
          </cell>
          <cell r="F1471" t="str">
            <v>1245</v>
          </cell>
          <cell r="G1471" t="str">
            <v>13</v>
          </cell>
          <cell r="H1471">
            <v>0</v>
          </cell>
        </row>
        <row r="1472">
          <cell r="B1472">
            <v>10148</v>
          </cell>
          <cell r="C1472" t="str">
            <v>Vanderheiden; Ricky J.</v>
          </cell>
          <cell r="D1472" t="str">
            <v>1C</v>
          </cell>
          <cell r="E1472" t="str">
            <v>IBEWOUT</v>
          </cell>
          <cell r="F1472" t="str">
            <v>47</v>
          </cell>
          <cell r="G1472" t="str">
            <v>8</v>
          </cell>
          <cell r="H1472">
            <v>0</v>
          </cell>
        </row>
        <row r="1473">
          <cell r="B1473">
            <v>10149</v>
          </cell>
          <cell r="C1473" t="str">
            <v>Vargas; Joe F</v>
          </cell>
          <cell r="D1473" t="str">
            <v>1C</v>
          </cell>
          <cell r="E1473" t="str">
            <v>IBEWOUT</v>
          </cell>
          <cell r="F1473" t="str">
            <v>1245</v>
          </cell>
          <cell r="G1473" t="str">
            <v>12</v>
          </cell>
          <cell r="H1473">
            <v>0</v>
          </cell>
        </row>
        <row r="1474">
          <cell r="B1474">
            <v>10154</v>
          </cell>
          <cell r="C1474" t="str">
            <v>Vanderwood; Eric L</v>
          </cell>
          <cell r="D1474" t="str">
            <v>1C</v>
          </cell>
          <cell r="E1474">
            <v>10154</v>
          </cell>
          <cell r="F1474">
            <v>10154</v>
          </cell>
          <cell r="G1474">
            <v>10154</v>
          </cell>
          <cell r="H1474">
            <v>0</v>
          </cell>
        </row>
        <row r="1475">
          <cell r="B1475">
            <v>10155</v>
          </cell>
          <cell r="C1475" t="str">
            <v>Vandyke; Jess D</v>
          </cell>
          <cell r="D1475" t="str">
            <v>1C</v>
          </cell>
          <cell r="E1475" t="str">
            <v>IBEWOUT</v>
          </cell>
          <cell r="F1475" t="str">
            <v>1245</v>
          </cell>
          <cell r="G1475" t="str">
            <v>8</v>
          </cell>
          <cell r="H1475">
            <v>0</v>
          </cell>
        </row>
        <row r="1476">
          <cell r="B1476">
            <v>10157</v>
          </cell>
          <cell r="C1476" t="str">
            <v>Vaughters; Brett Randall</v>
          </cell>
          <cell r="D1476" t="str">
            <v>1</v>
          </cell>
          <cell r="E1476">
            <v>10157</v>
          </cell>
          <cell r="F1476">
            <v>10157</v>
          </cell>
          <cell r="G1476">
            <v>10157</v>
          </cell>
          <cell r="H1476">
            <v>1</v>
          </cell>
        </row>
        <row r="1477">
          <cell r="B1477">
            <v>10158</v>
          </cell>
          <cell r="C1477" t="str">
            <v>Valis; Theodore G.</v>
          </cell>
          <cell r="D1477" t="str">
            <v>1C</v>
          </cell>
          <cell r="E1477" t="str">
            <v>IBEWOUT</v>
          </cell>
          <cell r="F1477" t="str">
            <v>769</v>
          </cell>
          <cell r="G1477" t="str">
            <v>8</v>
          </cell>
          <cell r="H1477">
            <v>0</v>
          </cell>
        </row>
        <row r="1478">
          <cell r="B1478">
            <v>10160</v>
          </cell>
          <cell r="C1478" t="str">
            <v>Varnell; Derek B</v>
          </cell>
          <cell r="D1478" t="str">
            <v>1C</v>
          </cell>
          <cell r="E1478" t="str">
            <v>IBEWOUT</v>
          </cell>
          <cell r="F1478" t="str">
            <v>602R</v>
          </cell>
          <cell r="G1478" t="str">
            <v>11T</v>
          </cell>
          <cell r="H1478">
            <v>0</v>
          </cell>
        </row>
        <row r="1479">
          <cell r="B1479">
            <v>10161</v>
          </cell>
          <cell r="C1479" t="str">
            <v>Vargas; Andre A</v>
          </cell>
          <cell r="D1479" t="str">
            <v>1</v>
          </cell>
          <cell r="E1479">
            <v>10161</v>
          </cell>
          <cell r="F1479">
            <v>10161</v>
          </cell>
          <cell r="G1479">
            <v>10161</v>
          </cell>
          <cell r="H1479">
            <v>1</v>
          </cell>
        </row>
        <row r="1480">
          <cell r="B1480">
            <v>10163</v>
          </cell>
          <cell r="C1480" t="str">
            <v>Van Zeeland Jr; Roy J</v>
          </cell>
          <cell r="D1480" t="str">
            <v>1</v>
          </cell>
          <cell r="E1480" t="str">
            <v>IBEWOUT</v>
          </cell>
          <cell r="F1480" t="str">
            <v>160</v>
          </cell>
          <cell r="G1480" t="str">
            <v>14</v>
          </cell>
          <cell r="H1480">
            <v>0</v>
          </cell>
        </row>
        <row r="1481">
          <cell r="B1481">
            <v>10170</v>
          </cell>
          <cell r="C1481" t="str">
            <v>Vega-Brown; Elias</v>
          </cell>
          <cell r="D1481" t="str">
            <v>1C</v>
          </cell>
          <cell r="E1481" t="str">
            <v>IBEWOUT</v>
          </cell>
          <cell r="F1481" t="str">
            <v>1245</v>
          </cell>
          <cell r="G1481" t="str">
            <v>8</v>
          </cell>
          <cell r="H1481">
            <v>0</v>
          </cell>
        </row>
        <row r="1482">
          <cell r="B1482">
            <v>10171</v>
          </cell>
          <cell r="C1482" t="str">
            <v>VanAntwerp; Derek R.</v>
          </cell>
          <cell r="D1482" t="str">
            <v>1C</v>
          </cell>
          <cell r="E1482" t="str">
            <v>IBEWOUT</v>
          </cell>
          <cell r="F1482" t="str">
            <v>1245</v>
          </cell>
          <cell r="G1482" t="str">
            <v>7</v>
          </cell>
          <cell r="H1482">
            <v>0</v>
          </cell>
        </row>
        <row r="1483">
          <cell r="B1483">
            <v>10172</v>
          </cell>
          <cell r="C1483" t="str">
            <v>Venegas; Maurilio</v>
          </cell>
          <cell r="D1483" t="str">
            <v>1</v>
          </cell>
          <cell r="E1483" t="str">
            <v>IBEWOUT</v>
          </cell>
          <cell r="F1483" t="str">
            <v>769</v>
          </cell>
          <cell r="G1483" t="str">
            <v>10</v>
          </cell>
          <cell r="H1483">
            <v>0</v>
          </cell>
        </row>
        <row r="1484">
          <cell r="B1484">
            <v>10173</v>
          </cell>
          <cell r="C1484" t="str">
            <v>Vessel; Derick L</v>
          </cell>
          <cell r="D1484" t="str">
            <v>1C</v>
          </cell>
          <cell r="E1484" t="str">
            <v>IBEWOUT</v>
          </cell>
          <cell r="F1484" t="str">
            <v>769</v>
          </cell>
          <cell r="G1484" t="str">
            <v>12</v>
          </cell>
          <cell r="H1484">
            <v>0</v>
          </cell>
        </row>
        <row r="1485">
          <cell r="B1485">
            <v>10177</v>
          </cell>
          <cell r="C1485" t="str">
            <v>Verkler; Jacob M</v>
          </cell>
          <cell r="D1485" t="str">
            <v>1C</v>
          </cell>
          <cell r="E1485" t="str">
            <v>IBEWOUT</v>
          </cell>
          <cell r="F1485" t="str">
            <v>1245</v>
          </cell>
          <cell r="G1485" t="str">
            <v>15</v>
          </cell>
          <cell r="H1485">
            <v>0</v>
          </cell>
        </row>
        <row r="1486">
          <cell r="B1486">
            <v>10180</v>
          </cell>
          <cell r="C1486" t="str">
            <v>Vermeire; Damon L</v>
          </cell>
          <cell r="D1486" t="str">
            <v>1</v>
          </cell>
          <cell r="E1486" t="str">
            <v>IBEWOUT</v>
          </cell>
          <cell r="F1486" t="str">
            <v>77</v>
          </cell>
          <cell r="G1486" t="str">
            <v>7</v>
          </cell>
          <cell r="H1486">
            <v>0</v>
          </cell>
        </row>
        <row r="1487">
          <cell r="B1487">
            <v>10181</v>
          </cell>
          <cell r="C1487" t="str">
            <v>Vick; Clinton W</v>
          </cell>
          <cell r="D1487" t="str">
            <v>1C</v>
          </cell>
          <cell r="E1487" t="str">
            <v>IBEWOUT</v>
          </cell>
          <cell r="F1487" t="str">
            <v>160</v>
          </cell>
          <cell r="G1487" t="str">
            <v>7</v>
          </cell>
          <cell r="H1487">
            <v>0</v>
          </cell>
        </row>
        <row r="1488">
          <cell r="B1488">
            <v>10183</v>
          </cell>
          <cell r="C1488" t="str">
            <v>Vickers; Tom E</v>
          </cell>
          <cell r="D1488" t="str">
            <v>1C</v>
          </cell>
          <cell r="E1488" t="str">
            <v>IBEWOUT</v>
          </cell>
          <cell r="F1488" t="str">
            <v>1245</v>
          </cell>
          <cell r="G1488" t="str">
            <v>17</v>
          </cell>
          <cell r="H1488">
            <v>0</v>
          </cell>
        </row>
        <row r="1489">
          <cell r="B1489">
            <v>10184</v>
          </cell>
          <cell r="C1489" t="str">
            <v>Vickhammer; Bryan S</v>
          </cell>
          <cell r="D1489" t="str">
            <v>1C</v>
          </cell>
          <cell r="E1489" t="str">
            <v>IBEWOUT</v>
          </cell>
          <cell r="F1489" t="str">
            <v>1245</v>
          </cell>
          <cell r="G1489" t="str">
            <v>12</v>
          </cell>
          <cell r="H1489">
            <v>0</v>
          </cell>
        </row>
        <row r="1490">
          <cell r="B1490">
            <v>10195</v>
          </cell>
          <cell r="C1490" t="str">
            <v>Vogt; Jay A.</v>
          </cell>
          <cell r="D1490" t="str">
            <v>1C</v>
          </cell>
          <cell r="E1490" t="str">
            <v>IBEWOUT</v>
          </cell>
          <cell r="F1490" t="str">
            <v>47</v>
          </cell>
          <cell r="G1490" t="str">
            <v>8</v>
          </cell>
          <cell r="H1490">
            <v>0</v>
          </cell>
        </row>
        <row r="1491">
          <cell r="B1491">
            <v>10203</v>
          </cell>
          <cell r="C1491" t="str">
            <v>Vigil; Darian Marie</v>
          </cell>
          <cell r="D1491" t="str">
            <v>1</v>
          </cell>
          <cell r="E1491">
            <v>10203</v>
          </cell>
          <cell r="F1491">
            <v>10203</v>
          </cell>
          <cell r="G1491">
            <v>10203</v>
          </cell>
          <cell r="H1491">
            <v>0</v>
          </cell>
        </row>
        <row r="1492">
          <cell r="B1492">
            <v>10205</v>
          </cell>
          <cell r="C1492" t="str">
            <v>Vorce; Brian M</v>
          </cell>
          <cell r="D1492" t="str">
            <v>1C</v>
          </cell>
          <cell r="E1492" t="str">
            <v>IBEWOUT</v>
          </cell>
          <cell r="F1492" t="str">
            <v>1245</v>
          </cell>
          <cell r="G1492" t="str">
            <v>8</v>
          </cell>
          <cell r="H1492">
            <v>0</v>
          </cell>
        </row>
        <row r="1493">
          <cell r="B1493">
            <v>10209</v>
          </cell>
          <cell r="C1493" t="str">
            <v>Voshall; Jared C</v>
          </cell>
          <cell r="D1493" t="str">
            <v>1C</v>
          </cell>
          <cell r="E1493" t="str">
            <v>IBEWOUT</v>
          </cell>
          <cell r="F1493" t="str">
            <v>1245</v>
          </cell>
          <cell r="G1493" t="str">
            <v>7</v>
          </cell>
          <cell r="H1493">
            <v>0</v>
          </cell>
        </row>
        <row r="1494">
          <cell r="B1494">
            <v>10210</v>
          </cell>
          <cell r="C1494" t="str">
            <v>Villarreal; Gil</v>
          </cell>
          <cell r="D1494" t="str">
            <v>1</v>
          </cell>
          <cell r="E1494" t="str">
            <v>IBEWOUT</v>
          </cell>
          <cell r="F1494" t="str">
            <v>1245</v>
          </cell>
          <cell r="G1494" t="str">
            <v>17</v>
          </cell>
          <cell r="H1494">
            <v>0</v>
          </cell>
        </row>
        <row r="1495">
          <cell r="B1495">
            <v>10212</v>
          </cell>
          <cell r="C1495" t="str">
            <v>Villa Jr.; Arturo</v>
          </cell>
          <cell r="D1495" t="str">
            <v>1C</v>
          </cell>
          <cell r="E1495" t="str">
            <v>IBEWOUT</v>
          </cell>
          <cell r="F1495" t="str">
            <v>1245</v>
          </cell>
          <cell r="G1495" t="str">
            <v>15</v>
          </cell>
          <cell r="H1495">
            <v>0</v>
          </cell>
        </row>
        <row r="1496">
          <cell r="B1496">
            <v>10214</v>
          </cell>
          <cell r="C1496" t="str">
            <v>Villa; Marcos B</v>
          </cell>
          <cell r="D1496" t="str">
            <v>1</v>
          </cell>
          <cell r="E1496" t="str">
            <v>IBEWOUT</v>
          </cell>
          <cell r="F1496" t="str">
            <v>769</v>
          </cell>
          <cell r="G1496" t="str">
            <v>7</v>
          </cell>
          <cell r="H1496">
            <v>0</v>
          </cell>
        </row>
        <row r="1497">
          <cell r="B1497">
            <v>10216</v>
          </cell>
          <cell r="C1497" t="str">
            <v>Volesky; Dakota R</v>
          </cell>
          <cell r="D1497" t="str">
            <v>1C</v>
          </cell>
          <cell r="E1497">
            <v>10216</v>
          </cell>
          <cell r="F1497">
            <v>10216</v>
          </cell>
          <cell r="G1497">
            <v>10216</v>
          </cell>
          <cell r="H1497">
            <v>1</v>
          </cell>
        </row>
        <row r="1498">
          <cell r="B1498">
            <v>10231</v>
          </cell>
          <cell r="C1498" t="str">
            <v>Wager; Brett L.</v>
          </cell>
          <cell r="D1498" t="str">
            <v>1C</v>
          </cell>
          <cell r="E1498" t="str">
            <v>IBEWOUT</v>
          </cell>
          <cell r="F1498" t="str">
            <v>611</v>
          </cell>
          <cell r="G1498" t="str">
            <v>9</v>
          </cell>
          <cell r="H1498">
            <v>0</v>
          </cell>
        </row>
        <row r="1499">
          <cell r="B1499">
            <v>10252</v>
          </cell>
          <cell r="C1499" t="str">
            <v>Waite; Ronald Eric</v>
          </cell>
          <cell r="D1499" t="str">
            <v>1C</v>
          </cell>
          <cell r="E1499">
            <v>10252</v>
          </cell>
          <cell r="F1499">
            <v>10252</v>
          </cell>
          <cell r="G1499">
            <v>10252</v>
          </cell>
          <cell r="H1499">
            <v>1</v>
          </cell>
        </row>
        <row r="1500">
          <cell r="B1500">
            <v>10253</v>
          </cell>
          <cell r="C1500" t="str">
            <v>Wakefield; Josiah T</v>
          </cell>
          <cell r="D1500" t="str">
            <v>1C</v>
          </cell>
          <cell r="E1500">
            <v>10253</v>
          </cell>
          <cell r="F1500">
            <v>10253</v>
          </cell>
          <cell r="G1500">
            <v>10253</v>
          </cell>
          <cell r="H1500">
            <v>1</v>
          </cell>
        </row>
        <row r="1501">
          <cell r="B1501">
            <v>10257</v>
          </cell>
          <cell r="C1501" t="str">
            <v>Wakeland; Alex R</v>
          </cell>
          <cell r="D1501" t="str">
            <v>1C</v>
          </cell>
          <cell r="E1501" t="str">
            <v>IBEWOUT</v>
          </cell>
          <cell r="F1501" t="str">
            <v>602R</v>
          </cell>
          <cell r="G1501" t="str">
            <v>8</v>
          </cell>
          <cell r="H1501">
            <v>0</v>
          </cell>
        </row>
        <row r="1502">
          <cell r="B1502">
            <v>10263</v>
          </cell>
          <cell r="C1502" t="str">
            <v>Walden; Chauncey L.</v>
          </cell>
          <cell r="D1502" t="str">
            <v>1C</v>
          </cell>
          <cell r="E1502" t="str">
            <v>IBEWOUT</v>
          </cell>
          <cell r="F1502" t="str">
            <v>602R</v>
          </cell>
          <cell r="G1502" t="str">
            <v>8</v>
          </cell>
          <cell r="H1502">
            <v>0</v>
          </cell>
        </row>
        <row r="1503">
          <cell r="B1503">
            <v>10273</v>
          </cell>
          <cell r="C1503" t="str">
            <v>Walker; Matthew R.</v>
          </cell>
          <cell r="D1503" t="str">
            <v>1C</v>
          </cell>
          <cell r="E1503" t="str">
            <v>IBEWOUT</v>
          </cell>
          <cell r="F1503" t="str">
            <v>1245</v>
          </cell>
          <cell r="G1503" t="str">
            <v>8</v>
          </cell>
          <cell r="H1503">
            <v>0</v>
          </cell>
        </row>
        <row r="1504">
          <cell r="B1504">
            <v>10275</v>
          </cell>
          <cell r="C1504" t="str">
            <v>Walker; Danny L</v>
          </cell>
          <cell r="D1504" t="str">
            <v>1C</v>
          </cell>
          <cell r="E1504" t="str">
            <v>IBEWOUT</v>
          </cell>
          <cell r="F1504" t="str">
            <v>47</v>
          </cell>
          <cell r="G1504" t="str">
            <v>17</v>
          </cell>
          <cell r="H1504">
            <v>0</v>
          </cell>
        </row>
        <row r="1505">
          <cell r="B1505">
            <v>10279</v>
          </cell>
          <cell r="C1505" t="str">
            <v>Walker; Stephanie G.</v>
          </cell>
          <cell r="D1505" t="str">
            <v>1</v>
          </cell>
          <cell r="E1505">
            <v>10279</v>
          </cell>
          <cell r="F1505">
            <v>10279</v>
          </cell>
          <cell r="G1505">
            <v>10279</v>
          </cell>
          <cell r="H1505">
            <v>1</v>
          </cell>
        </row>
        <row r="1506">
          <cell r="B1506">
            <v>10285</v>
          </cell>
          <cell r="C1506" t="str">
            <v>Wallace; Scott A</v>
          </cell>
          <cell r="D1506" t="str">
            <v>1</v>
          </cell>
          <cell r="E1506" t="str">
            <v>IBEWOUT</v>
          </cell>
          <cell r="F1506" t="str">
            <v>1245</v>
          </cell>
          <cell r="G1506" t="str">
            <v>8</v>
          </cell>
          <cell r="H1506">
            <v>0</v>
          </cell>
        </row>
        <row r="1507">
          <cell r="B1507">
            <v>10289</v>
          </cell>
          <cell r="C1507" t="str">
            <v>Wallace; Benjamin D.</v>
          </cell>
          <cell r="D1507" t="str">
            <v>1C</v>
          </cell>
          <cell r="E1507" t="str">
            <v>IBEWOUT</v>
          </cell>
          <cell r="F1507" t="str">
            <v>47</v>
          </cell>
          <cell r="G1507" t="str">
            <v>8</v>
          </cell>
          <cell r="H1507">
            <v>0</v>
          </cell>
        </row>
        <row r="1508">
          <cell r="B1508">
            <v>10291</v>
          </cell>
          <cell r="C1508" t="str">
            <v>Walter; Ryan A.</v>
          </cell>
          <cell r="D1508" t="str">
            <v>1C</v>
          </cell>
          <cell r="E1508" t="str">
            <v>IBEWOUT</v>
          </cell>
          <cell r="F1508" t="str">
            <v>1245</v>
          </cell>
          <cell r="G1508" t="str">
            <v>8</v>
          </cell>
          <cell r="H1508">
            <v>0</v>
          </cell>
        </row>
        <row r="1509">
          <cell r="B1509">
            <v>10305</v>
          </cell>
          <cell r="C1509" t="str">
            <v>Wallace; Scott A.</v>
          </cell>
          <cell r="D1509" t="str">
            <v>1C</v>
          </cell>
          <cell r="E1509" t="str">
            <v>IBEWOUT</v>
          </cell>
          <cell r="F1509" t="str">
            <v>769</v>
          </cell>
          <cell r="G1509" t="str">
            <v>11</v>
          </cell>
          <cell r="H1509">
            <v>0</v>
          </cell>
        </row>
        <row r="1510">
          <cell r="B1510">
            <v>10432</v>
          </cell>
          <cell r="C1510" t="str">
            <v>Ward; Barry E</v>
          </cell>
          <cell r="D1510" t="str">
            <v>1C</v>
          </cell>
          <cell r="E1510" t="str">
            <v>IBEWOUT</v>
          </cell>
          <cell r="F1510" t="str">
            <v>1245</v>
          </cell>
          <cell r="G1510" t="str">
            <v>8</v>
          </cell>
          <cell r="H1510">
            <v>0</v>
          </cell>
        </row>
        <row r="1511">
          <cell r="B1511">
            <v>10437</v>
          </cell>
          <cell r="C1511" t="str">
            <v>Warner; Dusty D</v>
          </cell>
          <cell r="D1511" t="str">
            <v>1</v>
          </cell>
          <cell r="E1511" t="str">
            <v>IBEWOUT</v>
          </cell>
          <cell r="F1511" t="str">
            <v>1245</v>
          </cell>
          <cell r="G1511" t="str">
            <v>16</v>
          </cell>
          <cell r="H1511">
            <v>0</v>
          </cell>
        </row>
        <row r="1512">
          <cell r="B1512">
            <v>10438</v>
          </cell>
          <cell r="C1512" t="str">
            <v>Wamsher; Jacob S</v>
          </cell>
          <cell r="D1512" t="str">
            <v>1</v>
          </cell>
          <cell r="E1512" t="str">
            <v>IBEWOUT</v>
          </cell>
          <cell r="F1512" t="str">
            <v>160</v>
          </cell>
          <cell r="G1512" t="str">
            <v>8</v>
          </cell>
          <cell r="H1512">
            <v>0</v>
          </cell>
        </row>
        <row r="1513">
          <cell r="B1513">
            <v>10439</v>
          </cell>
          <cell r="C1513" t="str">
            <v>Washington; Donell</v>
          </cell>
          <cell r="D1513" t="str">
            <v>1C</v>
          </cell>
          <cell r="E1513" t="str">
            <v>IBEWOUT</v>
          </cell>
          <cell r="F1513" t="str">
            <v>396</v>
          </cell>
          <cell r="G1513" t="str">
            <v>33</v>
          </cell>
          <cell r="H1513">
            <v>0</v>
          </cell>
        </row>
        <row r="1514">
          <cell r="B1514">
            <v>10440</v>
          </cell>
          <cell r="C1514" t="str">
            <v>Wasdin; Jimmy L</v>
          </cell>
          <cell r="D1514" t="str">
            <v>1</v>
          </cell>
          <cell r="E1514" t="str">
            <v>IBEWOUT</v>
          </cell>
          <cell r="F1514" t="str">
            <v>1245</v>
          </cell>
          <cell r="G1514" t="str">
            <v>8</v>
          </cell>
          <cell r="H1514">
            <v>0</v>
          </cell>
        </row>
        <row r="1515">
          <cell r="B1515">
            <v>10445</v>
          </cell>
          <cell r="C1515" t="str">
            <v>Watkins; Garrett L</v>
          </cell>
          <cell r="D1515" t="str">
            <v>1C</v>
          </cell>
          <cell r="E1515" t="str">
            <v>IBEWOUT</v>
          </cell>
          <cell r="F1515" t="str">
            <v>126</v>
          </cell>
          <cell r="G1515" t="str">
            <v>16</v>
          </cell>
          <cell r="H1515">
            <v>0</v>
          </cell>
        </row>
        <row r="1516">
          <cell r="B1516">
            <v>10449</v>
          </cell>
          <cell r="C1516" t="str">
            <v>Watkins; Gary L</v>
          </cell>
          <cell r="D1516" t="str">
            <v>1C</v>
          </cell>
          <cell r="E1516" t="str">
            <v>IBEWOUT</v>
          </cell>
          <cell r="F1516" t="str">
            <v>126</v>
          </cell>
          <cell r="G1516" t="str">
            <v>8</v>
          </cell>
          <cell r="H1516">
            <v>0</v>
          </cell>
        </row>
        <row r="1517">
          <cell r="B1517">
            <v>10453</v>
          </cell>
          <cell r="C1517" t="str">
            <v>Watson; Frederic M.</v>
          </cell>
          <cell r="D1517" t="str">
            <v>1C</v>
          </cell>
          <cell r="E1517" t="str">
            <v>IBEWIN</v>
          </cell>
          <cell r="F1517" t="str">
            <v>714</v>
          </cell>
          <cell r="G1517" t="str">
            <v>8I</v>
          </cell>
          <cell r="H1517">
            <v>0</v>
          </cell>
        </row>
        <row r="1518">
          <cell r="B1518">
            <v>10548</v>
          </cell>
          <cell r="C1518" t="str">
            <v>Wernli; Keith Cameron</v>
          </cell>
          <cell r="D1518" t="str">
            <v>1</v>
          </cell>
          <cell r="E1518">
            <v>10548</v>
          </cell>
          <cell r="F1518">
            <v>10548</v>
          </cell>
          <cell r="G1518">
            <v>10548</v>
          </cell>
          <cell r="H1518">
            <v>0</v>
          </cell>
        </row>
        <row r="1519">
          <cell r="B1519">
            <v>10549</v>
          </cell>
          <cell r="C1519" t="str">
            <v>Werner; Allen</v>
          </cell>
          <cell r="D1519" t="str">
            <v>1C</v>
          </cell>
          <cell r="E1519" t="str">
            <v>IBEWOUT</v>
          </cell>
          <cell r="F1519" t="str">
            <v>1245</v>
          </cell>
          <cell r="G1519" t="str">
            <v>60</v>
          </cell>
          <cell r="H1519">
            <v>0</v>
          </cell>
        </row>
        <row r="1520">
          <cell r="B1520">
            <v>10550</v>
          </cell>
          <cell r="C1520" t="str">
            <v>Weathers; Kenneth Wilford</v>
          </cell>
          <cell r="D1520" t="str">
            <v>1</v>
          </cell>
          <cell r="E1520">
            <v>10550</v>
          </cell>
          <cell r="F1520">
            <v>10550</v>
          </cell>
          <cell r="G1520">
            <v>10550</v>
          </cell>
          <cell r="H1520">
            <v>1</v>
          </cell>
        </row>
        <row r="1521">
          <cell r="B1521">
            <v>10552</v>
          </cell>
          <cell r="C1521" t="str">
            <v>Weaver; Emmett Lynn</v>
          </cell>
          <cell r="D1521" t="str">
            <v>1</v>
          </cell>
          <cell r="E1521" t="str">
            <v>IBEWOUT</v>
          </cell>
          <cell r="F1521" t="str">
            <v>160</v>
          </cell>
          <cell r="G1521" t="str">
            <v>33</v>
          </cell>
          <cell r="H1521">
            <v>0</v>
          </cell>
        </row>
        <row r="1522">
          <cell r="B1522">
            <v>10556</v>
          </cell>
          <cell r="C1522" t="str">
            <v>Weaver; Benjamin P.</v>
          </cell>
          <cell r="D1522" t="str">
            <v>1C</v>
          </cell>
          <cell r="E1522" t="str">
            <v>IBEWOUT</v>
          </cell>
          <cell r="F1522" t="str">
            <v>1319</v>
          </cell>
          <cell r="G1522" t="str">
            <v>8</v>
          </cell>
          <cell r="H1522">
            <v>0</v>
          </cell>
        </row>
        <row r="1523">
          <cell r="B1523">
            <v>10557</v>
          </cell>
          <cell r="C1523" t="str">
            <v>Weber; Jeremy Louis</v>
          </cell>
          <cell r="D1523" t="str">
            <v>1C</v>
          </cell>
          <cell r="E1523" t="str">
            <v>IBEWOUT</v>
          </cell>
          <cell r="F1523" t="str">
            <v>77</v>
          </cell>
          <cell r="G1523" t="str">
            <v>7</v>
          </cell>
          <cell r="H1523">
            <v>0</v>
          </cell>
        </row>
        <row r="1524">
          <cell r="B1524">
            <v>10558</v>
          </cell>
          <cell r="C1524" t="str">
            <v>Webber; Cody C</v>
          </cell>
          <cell r="D1524" t="str">
            <v>1C</v>
          </cell>
          <cell r="E1524" t="str">
            <v>IBEWOUT</v>
          </cell>
          <cell r="F1524" t="str">
            <v>1245</v>
          </cell>
          <cell r="G1524" t="str">
            <v>8</v>
          </cell>
          <cell r="H1524">
            <v>0</v>
          </cell>
        </row>
        <row r="1525">
          <cell r="B1525">
            <v>10559</v>
          </cell>
          <cell r="C1525" t="str">
            <v>Weekes; Bruce S</v>
          </cell>
          <cell r="D1525" t="str">
            <v>1C</v>
          </cell>
          <cell r="E1525" t="str">
            <v>IBEWOUT</v>
          </cell>
          <cell r="F1525" t="str">
            <v>1245</v>
          </cell>
          <cell r="G1525" t="str">
            <v>8</v>
          </cell>
          <cell r="H1525">
            <v>0</v>
          </cell>
        </row>
        <row r="1526">
          <cell r="B1526">
            <v>10560</v>
          </cell>
          <cell r="C1526" t="str">
            <v>Weber; Austin J</v>
          </cell>
          <cell r="D1526" t="str">
            <v>1C</v>
          </cell>
          <cell r="E1526" t="str">
            <v>IBEWOUT</v>
          </cell>
          <cell r="F1526" t="str">
            <v>77</v>
          </cell>
          <cell r="G1526" t="str">
            <v>13</v>
          </cell>
          <cell r="H1526">
            <v>0</v>
          </cell>
        </row>
        <row r="1527">
          <cell r="B1527">
            <v>10563</v>
          </cell>
          <cell r="C1527" t="str">
            <v>Webb; Jeffrey A</v>
          </cell>
          <cell r="D1527" t="str">
            <v>1</v>
          </cell>
          <cell r="E1527" t="str">
            <v>IBEWOUT</v>
          </cell>
          <cell r="F1527" t="str">
            <v>1245</v>
          </cell>
          <cell r="G1527" t="str">
            <v>8</v>
          </cell>
          <cell r="H1527">
            <v>0</v>
          </cell>
        </row>
        <row r="1528">
          <cell r="B1528">
            <v>10580</v>
          </cell>
          <cell r="C1528" t="str">
            <v>Wells; Chris A.</v>
          </cell>
          <cell r="D1528" t="str">
            <v>1C</v>
          </cell>
          <cell r="E1528" t="str">
            <v>IBEWOUT</v>
          </cell>
          <cell r="F1528" t="str">
            <v>769</v>
          </cell>
          <cell r="G1528" t="str">
            <v>20</v>
          </cell>
          <cell r="H1528">
            <v>0</v>
          </cell>
        </row>
        <row r="1529">
          <cell r="B1529">
            <v>10581</v>
          </cell>
          <cell r="C1529" t="str">
            <v>Wells; Robert O</v>
          </cell>
          <cell r="D1529" t="str">
            <v>1C</v>
          </cell>
          <cell r="E1529" t="str">
            <v>IBEWOUT</v>
          </cell>
          <cell r="F1529" t="str">
            <v>602R</v>
          </cell>
          <cell r="G1529" t="str">
            <v>8</v>
          </cell>
          <cell r="H1529">
            <v>0</v>
          </cell>
        </row>
        <row r="1530">
          <cell r="B1530">
            <v>10584</v>
          </cell>
          <cell r="C1530" t="str">
            <v>Weiss; Jason A</v>
          </cell>
          <cell r="D1530" t="str">
            <v>1</v>
          </cell>
          <cell r="E1530" t="str">
            <v>IBEWOUT</v>
          </cell>
          <cell r="F1530" t="str">
            <v>47</v>
          </cell>
          <cell r="G1530" t="str">
            <v>8</v>
          </cell>
          <cell r="H1530">
            <v>0</v>
          </cell>
        </row>
        <row r="1531">
          <cell r="B1531">
            <v>10585</v>
          </cell>
          <cell r="C1531" t="str">
            <v>Welsh; Riley J</v>
          </cell>
          <cell r="D1531" t="str">
            <v>1</v>
          </cell>
          <cell r="E1531" t="str">
            <v>IBEWOUT</v>
          </cell>
          <cell r="F1531" t="str">
            <v>1245</v>
          </cell>
          <cell r="G1531" t="str">
            <v>13</v>
          </cell>
          <cell r="H1531">
            <v>0</v>
          </cell>
        </row>
        <row r="1532">
          <cell r="B1532">
            <v>10586</v>
          </cell>
          <cell r="C1532" t="str">
            <v>Welch; David A</v>
          </cell>
          <cell r="D1532" t="str">
            <v>1C</v>
          </cell>
          <cell r="E1532" t="str">
            <v>IBEWOUT</v>
          </cell>
          <cell r="F1532" t="str">
            <v>1245</v>
          </cell>
          <cell r="G1532" t="str">
            <v>15</v>
          </cell>
          <cell r="H1532">
            <v>0</v>
          </cell>
        </row>
        <row r="1533">
          <cell r="B1533">
            <v>10587</v>
          </cell>
          <cell r="C1533" t="str">
            <v>Wendt; Matthew S</v>
          </cell>
          <cell r="D1533" t="str">
            <v>1C</v>
          </cell>
          <cell r="E1533" t="str">
            <v>IBEWOUT</v>
          </cell>
          <cell r="F1533" t="str">
            <v>47</v>
          </cell>
          <cell r="G1533" t="str">
            <v>7</v>
          </cell>
          <cell r="H1533">
            <v>0</v>
          </cell>
        </row>
        <row r="1534">
          <cell r="B1534">
            <v>10590</v>
          </cell>
          <cell r="C1534" t="str">
            <v>Weisz; Cody J</v>
          </cell>
          <cell r="D1534" t="str">
            <v>1</v>
          </cell>
          <cell r="E1534">
            <v>10590</v>
          </cell>
          <cell r="F1534">
            <v>10590</v>
          </cell>
          <cell r="G1534">
            <v>10590</v>
          </cell>
          <cell r="H1534">
            <v>0</v>
          </cell>
        </row>
        <row r="1535">
          <cell r="B1535">
            <v>10594</v>
          </cell>
          <cell r="C1535" t="str">
            <v>Weldon; Brett A</v>
          </cell>
          <cell r="D1535" t="str">
            <v>1</v>
          </cell>
          <cell r="E1535" t="str">
            <v>IBEWOUT</v>
          </cell>
          <cell r="F1535" t="str">
            <v>47</v>
          </cell>
          <cell r="G1535" t="str">
            <v>8</v>
          </cell>
          <cell r="H1535">
            <v>0</v>
          </cell>
        </row>
        <row r="1536">
          <cell r="B1536">
            <v>10595</v>
          </cell>
          <cell r="C1536" t="str">
            <v>Weideman; Michael R</v>
          </cell>
          <cell r="D1536" t="str">
            <v>1C</v>
          </cell>
          <cell r="E1536" t="str">
            <v>IBEWOUT</v>
          </cell>
          <cell r="F1536" t="str">
            <v>1245</v>
          </cell>
          <cell r="G1536" t="str">
            <v>8</v>
          </cell>
          <cell r="H1536">
            <v>0</v>
          </cell>
        </row>
        <row r="1537">
          <cell r="B1537">
            <v>10596</v>
          </cell>
          <cell r="C1537" t="str">
            <v>Wemeier; Jacob R</v>
          </cell>
          <cell r="D1537" t="str">
            <v>1</v>
          </cell>
          <cell r="E1537" t="str">
            <v>IBEWOUT</v>
          </cell>
          <cell r="F1537" t="str">
            <v>160</v>
          </cell>
          <cell r="G1537" t="str">
            <v>14</v>
          </cell>
          <cell r="H1537">
            <v>0</v>
          </cell>
        </row>
        <row r="1538">
          <cell r="B1538">
            <v>10597</v>
          </cell>
          <cell r="C1538" t="str">
            <v>West; Rueben James</v>
          </cell>
          <cell r="D1538" t="str">
            <v>1C</v>
          </cell>
          <cell r="E1538" t="str">
            <v>IBEWOUT</v>
          </cell>
          <cell r="F1538" t="str">
            <v>1049</v>
          </cell>
          <cell r="G1538" t="str">
            <v>1</v>
          </cell>
          <cell r="H1538">
            <v>0</v>
          </cell>
        </row>
        <row r="1539">
          <cell r="B1539">
            <v>10610</v>
          </cell>
          <cell r="C1539" t="str">
            <v>Wetterstrom; Harvey T</v>
          </cell>
          <cell r="D1539" t="str">
            <v>1C</v>
          </cell>
          <cell r="E1539" t="str">
            <v>IBEWOUT</v>
          </cell>
          <cell r="F1539" t="str">
            <v>77</v>
          </cell>
          <cell r="G1539" t="str">
            <v>14</v>
          </cell>
          <cell r="H1539">
            <v>0</v>
          </cell>
        </row>
        <row r="1540">
          <cell r="B1540">
            <v>10630</v>
          </cell>
          <cell r="C1540" t="str">
            <v>White; Jamail</v>
          </cell>
          <cell r="D1540" t="str">
            <v>1C</v>
          </cell>
          <cell r="E1540" t="str">
            <v>IBEWOUT</v>
          </cell>
          <cell r="F1540" t="str">
            <v>47</v>
          </cell>
          <cell r="G1540" t="str">
            <v>8</v>
          </cell>
          <cell r="H1540">
            <v>0</v>
          </cell>
        </row>
        <row r="1541">
          <cell r="B1541">
            <v>10642</v>
          </cell>
          <cell r="C1541" t="str">
            <v>Wheeler; Shane M</v>
          </cell>
          <cell r="D1541" t="str">
            <v>1C</v>
          </cell>
          <cell r="E1541" t="str">
            <v>IBEWOUT</v>
          </cell>
          <cell r="F1541" t="str">
            <v>77</v>
          </cell>
          <cell r="G1541" t="str">
            <v>16</v>
          </cell>
          <cell r="H1541">
            <v>0</v>
          </cell>
        </row>
        <row r="1542">
          <cell r="B1542">
            <v>10647</v>
          </cell>
          <cell r="C1542" t="str">
            <v>Whitaker; Justin W</v>
          </cell>
          <cell r="D1542" t="str">
            <v>1C</v>
          </cell>
          <cell r="E1542" t="str">
            <v>IBEWOUT</v>
          </cell>
          <cell r="F1542" t="str">
            <v>47</v>
          </cell>
          <cell r="G1542" t="str">
            <v>8</v>
          </cell>
          <cell r="H1542">
            <v>0</v>
          </cell>
        </row>
        <row r="1543">
          <cell r="B1543">
            <v>10648</v>
          </cell>
          <cell r="C1543" t="str">
            <v>Whitcomb; Shawn M</v>
          </cell>
          <cell r="D1543" t="str">
            <v>1C</v>
          </cell>
          <cell r="E1543" t="str">
            <v>IBEWOUT</v>
          </cell>
          <cell r="F1543" t="str">
            <v>396</v>
          </cell>
          <cell r="G1543" t="str">
            <v>8</v>
          </cell>
          <cell r="H1543">
            <v>0</v>
          </cell>
        </row>
        <row r="1544">
          <cell r="B1544">
            <v>10652</v>
          </cell>
          <cell r="C1544" t="str">
            <v>Whitney; Jason K</v>
          </cell>
          <cell r="D1544" t="str">
            <v>1C</v>
          </cell>
          <cell r="E1544" t="str">
            <v>IBEWOUT</v>
          </cell>
          <cell r="F1544" t="str">
            <v>1245</v>
          </cell>
          <cell r="G1544" t="str">
            <v>7</v>
          </cell>
          <cell r="H1544">
            <v>0</v>
          </cell>
        </row>
        <row r="1545">
          <cell r="B1545">
            <v>10665</v>
          </cell>
          <cell r="C1545" t="str">
            <v>Whiting; Kenneth E.</v>
          </cell>
          <cell r="D1545" t="str">
            <v>1C</v>
          </cell>
          <cell r="E1545" t="str">
            <v>IBEWOUT</v>
          </cell>
          <cell r="F1545" t="str">
            <v>47</v>
          </cell>
          <cell r="G1545" t="str">
            <v>8</v>
          </cell>
          <cell r="H1545">
            <v>0</v>
          </cell>
        </row>
        <row r="1546">
          <cell r="B1546">
            <v>10672</v>
          </cell>
          <cell r="C1546" t="str">
            <v>Wickman; David S.</v>
          </cell>
          <cell r="D1546" t="str">
            <v>1C</v>
          </cell>
          <cell r="E1546" t="str">
            <v>IBEWOUT</v>
          </cell>
          <cell r="F1546" t="str">
            <v>125</v>
          </cell>
          <cell r="G1546" t="str">
            <v>14</v>
          </cell>
          <cell r="H1546">
            <v>0</v>
          </cell>
        </row>
        <row r="1547">
          <cell r="B1547">
            <v>10679</v>
          </cell>
          <cell r="C1547" t="str">
            <v>Wilburn; Sean D.</v>
          </cell>
          <cell r="D1547" t="str">
            <v>1C</v>
          </cell>
          <cell r="E1547" t="str">
            <v>IBEWOUT</v>
          </cell>
          <cell r="F1547" t="str">
            <v>1245</v>
          </cell>
          <cell r="G1547" t="str">
            <v>8</v>
          </cell>
          <cell r="H1547">
            <v>0</v>
          </cell>
        </row>
        <row r="1548">
          <cell r="B1548">
            <v>10687</v>
          </cell>
          <cell r="C1548" t="str">
            <v>Wilcox; Freddy H.</v>
          </cell>
          <cell r="D1548" t="str">
            <v>1C</v>
          </cell>
          <cell r="E1548" t="str">
            <v>IBEWOUT</v>
          </cell>
          <cell r="F1548" t="str">
            <v>125</v>
          </cell>
          <cell r="G1548" t="str">
            <v>15</v>
          </cell>
          <cell r="H1548">
            <v>0</v>
          </cell>
        </row>
        <row r="1549">
          <cell r="B1549">
            <v>10723</v>
          </cell>
          <cell r="C1549" t="str">
            <v>Wilkinson; Cody M</v>
          </cell>
          <cell r="D1549" t="str">
            <v>1C</v>
          </cell>
          <cell r="E1549" t="str">
            <v>IBEWOUT</v>
          </cell>
          <cell r="F1549" t="str">
            <v>1245</v>
          </cell>
          <cell r="G1549" t="str">
            <v>8</v>
          </cell>
          <cell r="H1549">
            <v>0</v>
          </cell>
        </row>
        <row r="1550">
          <cell r="B1550">
            <v>10730</v>
          </cell>
          <cell r="C1550" t="str">
            <v>Worlinsky; Benjamin C.</v>
          </cell>
          <cell r="D1550" t="str">
            <v>1C</v>
          </cell>
          <cell r="E1550" t="str">
            <v>IBEWOUT</v>
          </cell>
          <cell r="F1550" t="str">
            <v>1319</v>
          </cell>
          <cell r="G1550" t="str">
            <v>13</v>
          </cell>
          <cell r="H1550">
            <v>0</v>
          </cell>
        </row>
        <row r="1551">
          <cell r="B1551">
            <v>10731</v>
          </cell>
          <cell r="C1551" t="str">
            <v>Williams; Arik C</v>
          </cell>
          <cell r="D1551" t="str">
            <v>1C</v>
          </cell>
          <cell r="E1551" t="str">
            <v>IBEWOUT</v>
          </cell>
          <cell r="F1551" t="str">
            <v>1245</v>
          </cell>
          <cell r="G1551" t="str">
            <v>8</v>
          </cell>
          <cell r="H1551">
            <v>0</v>
          </cell>
        </row>
        <row r="1552">
          <cell r="B1552">
            <v>10747</v>
          </cell>
          <cell r="C1552" t="str">
            <v>Williams; Anthony J</v>
          </cell>
          <cell r="D1552" t="str">
            <v>1C</v>
          </cell>
          <cell r="E1552" t="str">
            <v>IBEWOUT</v>
          </cell>
          <cell r="F1552" t="str">
            <v>1245</v>
          </cell>
          <cell r="G1552" t="str">
            <v>8</v>
          </cell>
          <cell r="H1552">
            <v>0</v>
          </cell>
        </row>
        <row r="1553">
          <cell r="B1553">
            <v>10749</v>
          </cell>
          <cell r="C1553" t="str">
            <v>Williams II; Orville C.</v>
          </cell>
          <cell r="D1553" t="str">
            <v>1C</v>
          </cell>
          <cell r="E1553" t="str">
            <v>IBEWOUT</v>
          </cell>
          <cell r="F1553" t="str">
            <v>769</v>
          </cell>
          <cell r="G1553" t="str">
            <v>20</v>
          </cell>
          <cell r="H1553">
            <v>0</v>
          </cell>
        </row>
        <row r="1554">
          <cell r="B1554">
            <v>10750</v>
          </cell>
          <cell r="C1554" t="str">
            <v>Williams; Harley L.</v>
          </cell>
          <cell r="D1554" t="str">
            <v>1C</v>
          </cell>
          <cell r="E1554" t="str">
            <v>IBEWOUT</v>
          </cell>
          <cell r="F1554" t="str">
            <v>769</v>
          </cell>
          <cell r="G1554" t="str">
            <v>33</v>
          </cell>
          <cell r="H1554">
            <v>1</v>
          </cell>
        </row>
        <row r="1555">
          <cell r="B1555">
            <v>10756</v>
          </cell>
          <cell r="C1555" t="str">
            <v>Williams; Michael Lavell</v>
          </cell>
          <cell r="D1555" t="str">
            <v>1C</v>
          </cell>
          <cell r="E1555" t="str">
            <v>IBEWOUT</v>
          </cell>
          <cell r="F1555" t="str">
            <v>396</v>
          </cell>
          <cell r="G1555" t="str">
            <v>18</v>
          </cell>
          <cell r="H1555">
            <v>0</v>
          </cell>
        </row>
        <row r="1556">
          <cell r="B1556">
            <v>10759</v>
          </cell>
          <cell r="C1556" t="str">
            <v>Williams; Travis J</v>
          </cell>
          <cell r="D1556" t="str">
            <v>1C</v>
          </cell>
          <cell r="E1556" t="str">
            <v>IBEWOUT</v>
          </cell>
          <cell r="F1556" t="str">
            <v>160</v>
          </cell>
          <cell r="G1556" t="str">
            <v>18</v>
          </cell>
          <cell r="H1556">
            <v>0</v>
          </cell>
        </row>
        <row r="1557">
          <cell r="B1557">
            <v>10763</v>
          </cell>
          <cell r="C1557" t="str">
            <v>Williams; Rodney L.</v>
          </cell>
          <cell r="D1557" t="str">
            <v>1</v>
          </cell>
          <cell r="E1557" t="str">
            <v>IBEWOUT</v>
          </cell>
          <cell r="F1557" t="str">
            <v>160</v>
          </cell>
          <cell r="G1557" t="str">
            <v>7</v>
          </cell>
          <cell r="H1557">
            <v>0</v>
          </cell>
        </row>
        <row r="1558">
          <cell r="B1558">
            <v>10776</v>
          </cell>
          <cell r="C1558" t="str">
            <v>Williams; Kyle D</v>
          </cell>
          <cell r="D1558" t="str">
            <v>1</v>
          </cell>
          <cell r="E1558" t="str">
            <v>IBEWOUT</v>
          </cell>
          <cell r="F1558" t="str">
            <v>160</v>
          </cell>
          <cell r="G1558" t="str">
            <v>15</v>
          </cell>
          <cell r="H1558">
            <v>0</v>
          </cell>
        </row>
        <row r="1559">
          <cell r="B1559">
            <v>10780</v>
          </cell>
          <cell r="C1559" t="str">
            <v>Williams Jr.; Rich W.</v>
          </cell>
          <cell r="D1559" t="str">
            <v>1C</v>
          </cell>
          <cell r="E1559" t="str">
            <v>IBEWOUT</v>
          </cell>
          <cell r="F1559" t="str">
            <v>125</v>
          </cell>
          <cell r="G1559" t="str">
            <v>1</v>
          </cell>
          <cell r="H1559">
            <v>1</v>
          </cell>
        </row>
        <row r="1560">
          <cell r="B1560">
            <v>10781</v>
          </cell>
          <cell r="C1560" t="str">
            <v>Woodrich; Tyson O</v>
          </cell>
          <cell r="D1560" t="str">
            <v>1</v>
          </cell>
          <cell r="E1560" t="str">
            <v>IBEWOUT</v>
          </cell>
          <cell r="F1560" t="str">
            <v>160</v>
          </cell>
          <cell r="G1560" t="str">
            <v>12</v>
          </cell>
          <cell r="H1560">
            <v>0</v>
          </cell>
        </row>
        <row r="1561">
          <cell r="B1561">
            <v>10784</v>
          </cell>
          <cell r="C1561" t="str">
            <v>Wimberly; Bryan E</v>
          </cell>
          <cell r="D1561" t="str">
            <v>1C</v>
          </cell>
          <cell r="E1561" t="str">
            <v>IBEWOUT</v>
          </cell>
          <cell r="F1561" t="str">
            <v>47</v>
          </cell>
          <cell r="G1561" t="str">
            <v>17</v>
          </cell>
          <cell r="H1561">
            <v>0</v>
          </cell>
        </row>
        <row r="1562">
          <cell r="B1562">
            <v>10787</v>
          </cell>
          <cell r="C1562" t="str">
            <v>Winkler; Jessie E.</v>
          </cell>
          <cell r="D1562" t="str">
            <v>1C</v>
          </cell>
          <cell r="E1562" t="str">
            <v>IBEWOUT</v>
          </cell>
          <cell r="F1562" t="str">
            <v>1319</v>
          </cell>
          <cell r="G1562" t="str">
            <v>8</v>
          </cell>
          <cell r="H1562">
            <v>0</v>
          </cell>
        </row>
        <row r="1563">
          <cell r="B1563">
            <v>10789</v>
          </cell>
          <cell r="C1563" t="str">
            <v>Woods; Kyle E.</v>
          </cell>
          <cell r="D1563" t="str">
            <v>1C</v>
          </cell>
          <cell r="E1563" t="str">
            <v>IBEWOUT</v>
          </cell>
          <cell r="F1563" t="str">
            <v>1245</v>
          </cell>
          <cell r="G1563" t="str">
            <v>8</v>
          </cell>
          <cell r="H1563">
            <v>0</v>
          </cell>
        </row>
        <row r="1564">
          <cell r="B1564">
            <v>10792</v>
          </cell>
          <cell r="C1564" t="str">
            <v>Wilson; Hayward L</v>
          </cell>
          <cell r="D1564" t="str">
            <v>1</v>
          </cell>
          <cell r="E1564">
            <v>10792</v>
          </cell>
          <cell r="F1564">
            <v>10792</v>
          </cell>
          <cell r="G1564">
            <v>10792</v>
          </cell>
          <cell r="H1564">
            <v>1</v>
          </cell>
        </row>
        <row r="1565">
          <cell r="B1565">
            <v>10795</v>
          </cell>
          <cell r="C1565" t="str">
            <v>Wilmarth; Lewis Day</v>
          </cell>
          <cell r="D1565" t="str">
            <v>1C</v>
          </cell>
          <cell r="E1565" t="str">
            <v>IBEWOUT</v>
          </cell>
          <cell r="F1565" t="str">
            <v>47</v>
          </cell>
          <cell r="G1565" t="str">
            <v>16</v>
          </cell>
          <cell r="H1565">
            <v>0</v>
          </cell>
        </row>
        <row r="1566">
          <cell r="B1566">
            <v>10797</v>
          </cell>
          <cell r="C1566" t="str">
            <v>Wilson; Glenn M</v>
          </cell>
          <cell r="D1566" t="str">
            <v>1</v>
          </cell>
          <cell r="E1566">
            <v>10797</v>
          </cell>
          <cell r="F1566">
            <v>10797</v>
          </cell>
          <cell r="G1566">
            <v>10797</v>
          </cell>
          <cell r="H1566">
            <v>0</v>
          </cell>
        </row>
        <row r="1567">
          <cell r="B1567">
            <v>10798</v>
          </cell>
          <cell r="C1567" t="str">
            <v>Winslow; Andy J</v>
          </cell>
          <cell r="D1567" t="str">
            <v>1C</v>
          </cell>
          <cell r="E1567">
            <v>10798</v>
          </cell>
          <cell r="F1567">
            <v>10798</v>
          </cell>
          <cell r="G1567">
            <v>10798</v>
          </cell>
          <cell r="H1567">
            <v>1</v>
          </cell>
        </row>
        <row r="1568">
          <cell r="B1568">
            <v>10799</v>
          </cell>
          <cell r="C1568" t="str">
            <v>Wilson; John D.</v>
          </cell>
          <cell r="D1568" t="str">
            <v>1C</v>
          </cell>
          <cell r="E1568" t="str">
            <v>IBEWOUT</v>
          </cell>
          <cell r="F1568" t="str">
            <v>47</v>
          </cell>
          <cell r="G1568" t="str">
            <v>7</v>
          </cell>
          <cell r="H1568">
            <v>0</v>
          </cell>
        </row>
        <row r="1569">
          <cell r="B1569">
            <v>10800</v>
          </cell>
          <cell r="C1569" t="str">
            <v>Wiseley II; Carl W.</v>
          </cell>
          <cell r="D1569" t="str">
            <v>1C</v>
          </cell>
          <cell r="E1569" t="str">
            <v>IBEWOUT</v>
          </cell>
          <cell r="F1569" t="str">
            <v>1245</v>
          </cell>
          <cell r="G1569" t="str">
            <v>8</v>
          </cell>
          <cell r="H1569">
            <v>0</v>
          </cell>
        </row>
        <row r="1570">
          <cell r="B1570">
            <v>10803</v>
          </cell>
          <cell r="C1570" t="str">
            <v>Wimer; Christopher R</v>
          </cell>
          <cell r="D1570" t="str">
            <v>1C</v>
          </cell>
          <cell r="E1570" t="str">
            <v>IBEWOUT</v>
          </cell>
          <cell r="F1570" t="str">
            <v>1245</v>
          </cell>
          <cell r="G1570" t="str">
            <v>11</v>
          </cell>
          <cell r="H1570">
            <v>0</v>
          </cell>
        </row>
        <row r="1571">
          <cell r="B1571">
            <v>10806</v>
          </cell>
          <cell r="C1571" t="str">
            <v>Wing; Chad E</v>
          </cell>
          <cell r="D1571" t="str">
            <v>1C</v>
          </cell>
          <cell r="E1571" t="str">
            <v>IBEWOUT</v>
          </cell>
          <cell r="F1571" t="str">
            <v>1245</v>
          </cell>
          <cell r="G1571" t="str">
            <v>12</v>
          </cell>
          <cell r="H1571">
            <v>0</v>
          </cell>
        </row>
        <row r="1572">
          <cell r="B1572">
            <v>10808</v>
          </cell>
          <cell r="C1572" t="str">
            <v>Wobbema; Austin R</v>
          </cell>
          <cell r="D1572" t="str">
            <v>1</v>
          </cell>
          <cell r="E1572" t="str">
            <v>IBEWOUT</v>
          </cell>
          <cell r="F1572" t="str">
            <v>1049</v>
          </cell>
          <cell r="G1572" t="str">
            <v>8</v>
          </cell>
          <cell r="H1572">
            <v>0</v>
          </cell>
        </row>
        <row r="1573">
          <cell r="B1573">
            <v>10811</v>
          </cell>
          <cell r="C1573" t="str">
            <v>Wolford; Cabot L.</v>
          </cell>
          <cell r="D1573" t="str">
            <v>1</v>
          </cell>
          <cell r="E1573">
            <v>10811</v>
          </cell>
          <cell r="F1573">
            <v>10811</v>
          </cell>
          <cell r="G1573">
            <v>10811</v>
          </cell>
          <cell r="H1573">
            <v>1</v>
          </cell>
        </row>
        <row r="1574">
          <cell r="B1574">
            <v>10821</v>
          </cell>
          <cell r="C1574" t="str">
            <v>Wilson; Robby A</v>
          </cell>
          <cell r="D1574" t="str">
            <v>1</v>
          </cell>
          <cell r="E1574" t="str">
            <v>IBEWOUT</v>
          </cell>
          <cell r="F1574" t="str">
            <v>47</v>
          </cell>
          <cell r="G1574" t="str">
            <v>7</v>
          </cell>
          <cell r="H1574">
            <v>0</v>
          </cell>
        </row>
        <row r="1575">
          <cell r="B1575">
            <v>10823</v>
          </cell>
          <cell r="C1575" t="str">
            <v>Wylie; Jared D</v>
          </cell>
          <cell r="D1575" t="str">
            <v>1C</v>
          </cell>
          <cell r="E1575" t="str">
            <v>IBEWOUT</v>
          </cell>
          <cell r="F1575" t="str">
            <v>1245</v>
          </cell>
          <cell r="G1575" t="str">
            <v>13</v>
          </cell>
          <cell r="H1575">
            <v>0</v>
          </cell>
        </row>
        <row r="1576">
          <cell r="B1576">
            <v>10830</v>
          </cell>
          <cell r="C1576" t="str">
            <v>Wisener; Brian T.</v>
          </cell>
          <cell r="D1576" t="str">
            <v>1C</v>
          </cell>
          <cell r="E1576" t="str">
            <v>IBEWOUT</v>
          </cell>
          <cell r="F1576" t="str">
            <v>77</v>
          </cell>
          <cell r="G1576" t="str">
            <v>8</v>
          </cell>
          <cell r="H1576">
            <v>0</v>
          </cell>
        </row>
        <row r="1577">
          <cell r="B1577">
            <v>10831</v>
          </cell>
          <cell r="C1577" t="str">
            <v>Wofford; Joseph W</v>
          </cell>
          <cell r="D1577" t="str">
            <v>1C</v>
          </cell>
          <cell r="E1577" t="str">
            <v>IBEWOUT</v>
          </cell>
          <cell r="F1577" t="str">
            <v>47</v>
          </cell>
          <cell r="G1577" t="str">
            <v>16</v>
          </cell>
          <cell r="H1577">
            <v>0</v>
          </cell>
        </row>
        <row r="1578">
          <cell r="B1578">
            <v>10832</v>
          </cell>
          <cell r="C1578" t="str">
            <v>Wolski; Andrew J</v>
          </cell>
          <cell r="D1578" t="str">
            <v>1</v>
          </cell>
          <cell r="E1578">
            <v>10832</v>
          </cell>
          <cell r="F1578">
            <v>10832</v>
          </cell>
          <cell r="G1578">
            <v>10832</v>
          </cell>
          <cell r="H1578">
            <v>0</v>
          </cell>
        </row>
        <row r="1579">
          <cell r="B1579">
            <v>10836</v>
          </cell>
          <cell r="C1579" t="str">
            <v>Woitt; Tom D.</v>
          </cell>
          <cell r="D1579" t="str">
            <v>1C</v>
          </cell>
          <cell r="E1579">
            <v>10836</v>
          </cell>
          <cell r="F1579">
            <v>10836</v>
          </cell>
          <cell r="G1579">
            <v>10836</v>
          </cell>
          <cell r="H1579">
            <v>1</v>
          </cell>
        </row>
        <row r="1580">
          <cell r="B1580">
            <v>10837</v>
          </cell>
          <cell r="C1580" t="str">
            <v>Wolsten; Todd M.</v>
          </cell>
          <cell r="D1580" t="str">
            <v>1C</v>
          </cell>
          <cell r="E1580" t="str">
            <v>IBEWOUT</v>
          </cell>
          <cell r="F1580" t="str">
            <v>1245</v>
          </cell>
          <cell r="G1580" t="str">
            <v>17</v>
          </cell>
          <cell r="H1580">
            <v>0</v>
          </cell>
        </row>
        <row r="1581">
          <cell r="B1581">
            <v>10839</v>
          </cell>
          <cell r="C1581" t="str">
            <v>Woodard; Christopher K</v>
          </cell>
          <cell r="D1581" t="str">
            <v>1C</v>
          </cell>
          <cell r="E1581" t="str">
            <v>IBEWOUT</v>
          </cell>
          <cell r="F1581" t="str">
            <v>47</v>
          </cell>
          <cell r="G1581" t="str">
            <v>8</v>
          </cell>
          <cell r="H1581">
            <v>0</v>
          </cell>
        </row>
        <row r="1582">
          <cell r="B1582">
            <v>10840</v>
          </cell>
          <cell r="C1582" t="str">
            <v>Woodall; David C</v>
          </cell>
          <cell r="D1582" t="str">
            <v>1</v>
          </cell>
          <cell r="E1582" t="str">
            <v>IBEWOUT</v>
          </cell>
          <cell r="F1582" t="str">
            <v>1245</v>
          </cell>
          <cell r="G1582" t="str">
            <v>8</v>
          </cell>
          <cell r="H1582">
            <v>0</v>
          </cell>
        </row>
        <row r="1583">
          <cell r="B1583">
            <v>10841</v>
          </cell>
          <cell r="C1583" t="str">
            <v>Wittner; Adam K</v>
          </cell>
          <cell r="D1583" t="str">
            <v>1C</v>
          </cell>
          <cell r="E1583" t="str">
            <v>IBEWOUT</v>
          </cell>
          <cell r="F1583" t="str">
            <v>77</v>
          </cell>
          <cell r="G1583" t="str">
            <v>8</v>
          </cell>
          <cell r="H1583">
            <v>0</v>
          </cell>
        </row>
        <row r="1584">
          <cell r="B1584">
            <v>10843</v>
          </cell>
          <cell r="C1584" t="str">
            <v>Wurzer; Mark J</v>
          </cell>
          <cell r="D1584" t="str">
            <v>1</v>
          </cell>
          <cell r="E1584" t="str">
            <v>IBEWOUT</v>
          </cell>
          <cell r="F1584" t="str">
            <v>160</v>
          </cell>
          <cell r="G1584" t="str">
            <v>16</v>
          </cell>
          <cell r="H1584">
            <v>0</v>
          </cell>
        </row>
        <row r="1585">
          <cell r="B1585">
            <v>10844</v>
          </cell>
          <cell r="C1585" t="str">
            <v>Wurtz; Derek W</v>
          </cell>
          <cell r="D1585" t="str">
            <v>1</v>
          </cell>
          <cell r="E1585" t="str">
            <v>IBEWOUT</v>
          </cell>
          <cell r="F1585" t="str">
            <v>47</v>
          </cell>
          <cell r="G1585" t="str">
            <v>13</v>
          </cell>
          <cell r="H1585">
            <v>0</v>
          </cell>
        </row>
        <row r="1586">
          <cell r="B1586">
            <v>10845</v>
          </cell>
          <cell r="C1586" t="str">
            <v>Wilson; Tanner J</v>
          </cell>
          <cell r="D1586" t="str">
            <v>1</v>
          </cell>
          <cell r="E1586" t="str">
            <v>IBEWOUT</v>
          </cell>
          <cell r="F1586" t="str">
            <v>160</v>
          </cell>
          <cell r="G1586" t="str">
            <v>31</v>
          </cell>
          <cell r="H1586">
            <v>0</v>
          </cell>
        </row>
        <row r="1587">
          <cell r="B1587">
            <v>10846</v>
          </cell>
          <cell r="C1587" t="str">
            <v>Woodhouse; Alfred Cecil</v>
          </cell>
          <cell r="D1587" t="str">
            <v>1</v>
          </cell>
          <cell r="E1587" t="str">
            <v>IBEWOUT</v>
          </cell>
          <cell r="F1587" t="str">
            <v>160</v>
          </cell>
          <cell r="G1587" t="str">
            <v>7</v>
          </cell>
          <cell r="H1587">
            <v>0</v>
          </cell>
        </row>
        <row r="1588">
          <cell r="B1588">
            <v>10847</v>
          </cell>
          <cell r="C1588" t="str">
            <v>Woodhouse; Matthew W</v>
          </cell>
          <cell r="D1588" t="str">
            <v>1</v>
          </cell>
          <cell r="E1588" t="str">
            <v>IBEWOUT</v>
          </cell>
          <cell r="F1588" t="str">
            <v>160</v>
          </cell>
          <cell r="G1588" t="str">
            <v>8</v>
          </cell>
          <cell r="H1588">
            <v>0</v>
          </cell>
        </row>
        <row r="1589">
          <cell r="B1589">
            <v>10867</v>
          </cell>
          <cell r="C1589" t="str">
            <v>Wright; Warren Edward</v>
          </cell>
          <cell r="D1589" t="str">
            <v>1C</v>
          </cell>
          <cell r="E1589" t="str">
            <v>IBEWOUT</v>
          </cell>
          <cell r="F1589" t="str">
            <v>1245</v>
          </cell>
          <cell r="G1589" t="str">
            <v>60</v>
          </cell>
          <cell r="H1589">
            <v>0</v>
          </cell>
        </row>
        <row r="1590">
          <cell r="B1590">
            <v>10869</v>
          </cell>
          <cell r="C1590" t="str">
            <v>Wilson; Jeffrey M.</v>
          </cell>
          <cell r="D1590" t="str">
            <v>1C</v>
          </cell>
          <cell r="E1590" t="str">
            <v>IBEWOUT</v>
          </cell>
          <cell r="F1590" t="str">
            <v>1245</v>
          </cell>
          <cell r="G1590" t="str">
            <v>8</v>
          </cell>
          <cell r="H1590">
            <v>0</v>
          </cell>
        </row>
        <row r="1591">
          <cell r="B1591">
            <v>10884</v>
          </cell>
          <cell r="C1591" t="str">
            <v>Woll; Mark Anthone</v>
          </cell>
          <cell r="D1591" t="str">
            <v>1</v>
          </cell>
          <cell r="E1591" t="str">
            <v>IBEWOUT</v>
          </cell>
          <cell r="F1591" t="str">
            <v>160</v>
          </cell>
          <cell r="G1591" t="str">
            <v>22</v>
          </cell>
          <cell r="H1591">
            <v>1</v>
          </cell>
        </row>
        <row r="1592">
          <cell r="B1592">
            <v>10889</v>
          </cell>
          <cell r="C1592" t="str">
            <v>Yetka; Brian V.</v>
          </cell>
          <cell r="D1592" t="str">
            <v>1C</v>
          </cell>
          <cell r="E1592" t="str">
            <v>IBEWOUT</v>
          </cell>
          <cell r="F1592" t="str">
            <v>47</v>
          </cell>
          <cell r="G1592" t="str">
            <v>8</v>
          </cell>
          <cell r="H1592">
            <v>0</v>
          </cell>
        </row>
        <row r="1593">
          <cell r="B1593">
            <v>10891</v>
          </cell>
          <cell r="C1593" t="str">
            <v>Yadon; Nicholas J.</v>
          </cell>
          <cell r="D1593" t="str">
            <v>1C</v>
          </cell>
          <cell r="E1593" t="str">
            <v>IBEWOUT</v>
          </cell>
          <cell r="F1593" t="str">
            <v>769</v>
          </cell>
          <cell r="G1593" t="str">
            <v>8</v>
          </cell>
          <cell r="H1593">
            <v>0</v>
          </cell>
        </row>
        <row r="1594">
          <cell r="B1594">
            <v>10893</v>
          </cell>
          <cell r="C1594" t="str">
            <v>Yazzie; Dehn D</v>
          </cell>
          <cell r="D1594" t="str">
            <v>1C</v>
          </cell>
          <cell r="E1594" t="str">
            <v>IBEWOUT</v>
          </cell>
          <cell r="F1594" t="str">
            <v>769</v>
          </cell>
          <cell r="G1594" t="str">
            <v>8</v>
          </cell>
          <cell r="H1594">
            <v>0</v>
          </cell>
        </row>
        <row r="1595">
          <cell r="B1595">
            <v>10894</v>
          </cell>
          <cell r="C1595" t="str">
            <v>Yazzie; Merlon K.</v>
          </cell>
          <cell r="D1595" t="str">
            <v>1C</v>
          </cell>
          <cell r="E1595" t="str">
            <v>IBEWOUT</v>
          </cell>
          <cell r="F1595" t="str">
            <v>769</v>
          </cell>
          <cell r="G1595" t="str">
            <v>8</v>
          </cell>
          <cell r="H1595">
            <v>0</v>
          </cell>
        </row>
        <row r="1596">
          <cell r="B1596">
            <v>10899</v>
          </cell>
          <cell r="C1596" t="str">
            <v>Yochum; Kevin R</v>
          </cell>
          <cell r="D1596" t="str">
            <v>1C</v>
          </cell>
          <cell r="E1596" t="str">
            <v>IBEWOUT</v>
          </cell>
          <cell r="F1596" t="str">
            <v>602R</v>
          </cell>
          <cell r="G1596" t="str">
            <v>8</v>
          </cell>
          <cell r="H1596">
            <v>0</v>
          </cell>
        </row>
        <row r="1597">
          <cell r="B1597">
            <v>10901</v>
          </cell>
          <cell r="C1597" t="str">
            <v>Young; Desiree K.</v>
          </cell>
          <cell r="D1597" t="str">
            <v>1C</v>
          </cell>
          <cell r="E1597" t="str">
            <v>IBEWOUT</v>
          </cell>
          <cell r="F1597" t="str">
            <v>47</v>
          </cell>
          <cell r="G1597" t="str">
            <v>8</v>
          </cell>
          <cell r="H1597">
            <v>0</v>
          </cell>
        </row>
        <row r="1598">
          <cell r="B1598">
            <v>10902</v>
          </cell>
          <cell r="C1598" t="str">
            <v>Young; Greg N</v>
          </cell>
          <cell r="D1598" t="str">
            <v>1C</v>
          </cell>
          <cell r="E1598" t="str">
            <v>IBEWOUT</v>
          </cell>
          <cell r="F1598" t="str">
            <v>1245</v>
          </cell>
          <cell r="G1598" t="str">
            <v>8</v>
          </cell>
          <cell r="H1598">
            <v>0</v>
          </cell>
        </row>
        <row r="1599">
          <cell r="B1599">
            <v>10905</v>
          </cell>
          <cell r="C1599" t="str">
            <v>Zamora; Rod R.</v>
          </cell>
          <cell r="D1599" t="str">
            <v>1C</v>
          </cell>
          <cell r="E1599" t="str">
            <v>IBEWOUT</v>
          </cell>
          <cell r="F1599" t="str">
            <v>47</v>
          </cell>
          <cell r="G1599" t="str">
            <v>17</v>
          </cell>
          <cell r="H1599">
            <v>0</v>
          </cell>
        </row>
        <row r="1600">
          <cell r="B1600">
            <v>10910</v>
          </cell>
          <cell r="C1600" t="str">
            <v>Zinkl; Matthew H</v>
          </cell>
          <cell r="D1600" t="str">
            <v>1C</v>
          </cell>
          <cell r="E1600" t="str">
            <v>IBEWOUT</v>
          </cell>
          <cell r="F1600" t="str">
            <v>47</v>
          </cell>
          <cell r="G1600" t="str">
            <v>13</v>
          </cell>
          <cell r="H1600">
            <v>0</v>
          </cell>
        </row>
        <row r="1601">
          <cell r="B1601">
            <v>10912</v>
          </cell>
          <cell r="C1601" t="str">
            <v>Yanez; Fernando V</v>
          </cell>
          <cell r="D1601" t="str">
            <v>1C</v>
          </cell>
          <cell r="E1601" t="str">
            <v>IBEWOUT</v>
          </cell>
          <cell r="F1601" t="str">
            <v>47</v>
          </cell>
          <cell r="G1601" t="str">
            <v>16</v>
          </cell>
          <cell r="H1601">
            <v>0</v>
          </cell>
        </row>
        <row r="1602">
          <cell r="B1602">
            <v>10923</v>
          </cell>
          <cell r="C1602" t="str">
            <v>Zeulner; Zachariah Robert</v>
          </cell>
          <cell r="D1602" t="str">
            <v>1</v>
          </cell>
          <cell r="E1602" t="str">
            <v>IBEWOUT</v>
          </cell>
          <cell r="F1602" t="str">
            <v>1245</v>
          </cell>
          <cell r="G1602" t="str">
            <v>1</v>
          </cell>
          <cell r="H1602">
            <v>1</v>
          </cell>
        </row>
        <row r="1603">
          <cell r="B1603">
            <v>10924</v>
          </cell>
          <cell r="C1603" t="str">
            <v>Zeveney; Patrick J</v>
          </cell>
          <cell r="D1603" t="str">
            <v>1C</v>
          </cell>
          <cell r="E1603" t="str">
            <v>IBEWOUT</v>
          </cell>
          <cell r="F1603" t="str">
            <v>1319</v>
          </cell>
          <cell r="G1603" t="str">
            <v>8</v>
          </cell>
          <cell r="H1603">
            <v>0</v>
          </cell>
        </row>
        <row r="1604">
          <cell r="B1604">
            <v>10926</v>
          </cell>
          <cell r="C1604" t="str">
            <v>Zacher; Theodore R.</v>
          </cell>
          <cell r="D1604" t="str">
            <v>1</v>
          </cell>
          <cell r="E1604">
            <v>10926</v>
          </cell>
          <cell r="F1604">
            <v>10926</v>
          </cell>
          <cell r="G1604">
            <v>10926</v>
          </cell>
          <cell r="H1604">
            <v>1</v>
          </cell>
        </row>
        <row r="1605">
          <cell r="B1605">
            <v>10929</v>
          </cell>
          <cell r="C1605" t="str">
            <v>Nieves Zarate; Jose</v>
          </cell>
          <cell r="D1605" t="str">
            <v>1C</v>
          </cell>
          <cell r="E1605" t="str">
            <v>IBEWOUT</v>
          </cell>
          <cell r="F1605" t="str">
            <v>47</v>
          </cell>
          <cell r="G1605" t="str">
            <v>8</v>
          </cell>
          <cell r="H1605">
            <v>0</v>
          </cell>
        </row>
        <row r="1606">
          <cell r="B1606">
            <v>10930</v>
          </cell>
          <cell r="C1606" t="str">
            <v>Young; Micah J.</v>
          </cell>
          <cell r="D1606" t="str">
            <v>1C</v>
          </cell>
          <cell r="E1606" t="str">
            <v>IBEWOUT</v>
          </cell>
          <cell r="F1606" t="str">
            <v>1245</v>
          </cell>
          <cell r="G1606" t="str">
            <v>8</v>
          </cell>
          <cell r="H1606">
            <v>0</v>
          </cell>
        </row>
        <row r="1607">
          <cell r="B1607">
            <v>10931</v>
          </cell>
          <cell r="C1607" t="str">
            <v>Zul; Daniel</v>
          </cell>
          <cell r="D1607" t="str">
            <v>1C</v>
          </cell>
          <cell r="E1607" t="str">
            <v>IBEWOUT</v>
          </cell>
          <cell r="F1607" t="str">
            <v>1245</v>
          </cell>
          <cell r="G1607" t="str">
            <v>17</v>
          </cell>
          <cell r="H1607">
            <v>0</v>
          </cell>
        </row>
        <row r="1608">
          <cell r="B1608">
            <v>10932</v>
          </cell>
          <cell r="C1608" t="str">
            <v>Youngblood; Mark O</v>
          </cell>
          <cell r="D1608" t="str">
            <v>1C</v>
          </cell>
          <cell r="E1608" t="str">
            <v>IBEWOUT</v>
          </cell>
          <cell r="F1608" t="str">
            <v>602R</v>
          </cell>
          <cell r="G1608" t="str">
            <v>8</v>
          </cell>
          <cell r="H1608">
            <v>0</v>
          </cell>
        </row>
        <row r="1609">
          <cell r="B1609">
            <v>10933</v>
          </cell>
          <cell r="C1609" t="str">
            <v>Yunkin; Russell</v>
          </cell>
          <cell r="D1609" t="str">
            <v>1C</v>
          </cell>
          <cell r="E1609" t="str">
            <v>IBEWOUT</v>
          </cell>
          <cell r="F1609" t="str">
            <v>126</v>
          </cell>
          <cell r="G1609" t="str">
            <v>8</v>
          </cell>
          <cell r="H1609">
            <v>0</v>
          </cell>
        </row>
        <row r="1610">
          <cell r="B1610">
            <v>10934</v>
          </cell>
          <cell r="C1610" t="str">
            <v>Zeigler; Logan R</v>
          </cell>
          <cell r="D1610" t="str">
            <v>1C</v>
          </cell>
          <cell r="E1610" t="str">
            <v>IBEWOUT</v>
          </cell>
          <cell r="F1610" t="str">
            <v>611</v>
          </cell>
          <cell r="G1610" t="str">
            <v>12</v>
          </cell>
          <cell r="H1610">
            <v>0</v>
          </cell>
        </row>
        <row r="1611">
          <cell r="B1611">
            <v>10936</v>
          </cell>
          <cell r="C1611" t="str">
            <v>Yuriar; Ryan J</v>
          </cell>
          <cell r="D1611" t="str">
            <v>1</v>
          </cell>
          <cell r="E1611" t="str">
            <v>IBEWOUT</v>
          </cell>
          <cell r="F1611" t="str">
            <v>47</v>
          </cell>
          <cell r="G1611" t="str">
            <v>17</v>
          </cell>
          <cell r="H161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lcher"/>
      <sheetName val="Certified Codes"/>
      <sheetName val="Employees"/>
      <sheetName val="Job Details"/>
      <sheetName val="Job List"/>
      <sheetName val="Upload Template"/>
      <sheetName val="Column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Li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ed Codes"/>
      <sheetName val="Job Details"/>
      <sheetName val="Employees"/>
      <sheetName val="Job List"/>
      <sheetName val="Master Tab "/>
      <sheetName val="Master Tab Training"/>
      <sheetName val="Molina- Safety"/>
      <sheetName val="Mackenzie, Austin"/>
      <sheetName val="Tidwell"/>
      <sheetName val="Sanchez"/>
      <sheetName val="Demond"/>
      <sheetName val="Davidson"/>
      <sheetName val="Smith"/>
      <sheetName val="LaMountain"/>
      <sheetName val="Conway"/>
      <sheetName val="Andreotti"/>
      <sheetName val="Powell"/>
      <sheetName val="Boyce"/>
      <sheetName val="Starkey"/>
      <sheetName val="Fierro"/>
      <sheetName val="P Peterson"/>
      <sheetName val="Webb"/>
      <sheetName val="Wade"/>
      <sheetName val="Luiz"/>
      <sheetName val="Brown"/>
      <sheetName val="Wade Trn."/>
      <sheetName val="Luiz Trn."/>
      <sheetName val="Stewart"/>
      <sheetName val="Awong"/>
      <sheetName val="Adams"/>
      <sheetName val="Potter"/>
      <sheetName val="Vinyard"/>
      <sheetName val="Vinyard Trn"/>
      <sheetName val="Kessinger"/>
      <sheetName val="Burkhead"/>
      <sheetName val="Manuel "/>
      <sheetName val="D. Brown"/>
      <sheetName val="Bykonen"/>
      <sheetName val="Tow"/>
      <sheetName val="Harvat"/>
      <sheetName val="Franks"/>
      <sheetName val="Alcorn"/>
      <sheetName val="Keeter"/>
      <sheetName val="Belcher"/>
      <sheetName val="Thompson "/>
      <sheetName val="Tandy"/>
      <sheetName val="Pearson"/>
      <sheetName val="Pannell"/>
      <sheetName val="Simpson"/>
      <sheetName val="Santana"/>
      <sheetName val="Reed"/>
      <sheetName val="Berg"/>
      <sheetName val="Johnson"/>
      <sheetName val="Hirschbock"/>
      <sheetName val="P. Chad Davis"/>
      <sheetName val="Santiago"/>
      <sheetName val="Column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Lis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emplate (9) JOB"/>
      <sheetName val="Certified Codes"/>
      <sheetName val="Employees"/>
      <sheetName val="Job Details"/>
      <sheetName val="Job List"/>
      <sheetName val="Bronson"/>
      <sheetName val="Case"/>
      <sheetName val="Johnson, Brian"/>
      <sheetName val="MacKenzie"/>
      <sheetName val="Galves"/>
      <sheetName val="Sanders"/>
      <sheetName val="Zeulner"/>
      <sheetName val="Bronson TR"/>
      <sheetName val="Case Training"/>
      <sheetName val="Johnson TR"/>
      <sheetName val="MacKenzie TR"/>
      <sheetName val="Galves TR"/>
      <sheetName val="Sanders TR"/>
      <sheetName val="Schmidt TR"/>
      <sheetName val="Zeulner TR"/>
      <sheetName val="Schmidt OH"/>
      <sheetName val="Case OH"/>
      <sheetName val="Sanders OH"/>
      <sheetName val="Johnson, Brian OH"/>
      <sheetName val="ColumnLists"/>
    </sheetNames>
    <sheetDataSet>
      <sheetData sheetId="0"/>
      <sheetData sheetId="1"/>
      <sheetData sheetId="2">
        <row r="1">
          <cell r="B1" t="str">
            <v>Employees</v>
          </cell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1038</v>
          </cell>
          <cell r="C4" t="str">
            <v>Aguilar; Juan A.</v>
          </cell>
          <cell r="D4" t="str">
            <v>1</v>
          </cell>
          <cell r="E4" t="str">
            <v/>
          </cell>
          <cell r="F4" t="str">
            <v/>
          </cell>
          <cell r="G4" t="str">
            <v/>
          </cell>
          <cell r="H4">
            <v>0</v>
          </cell>
        </row>
        <row r="5">
          <cell r="B5">
            <v>1043</v>
          </cell>
          <cell r="C5" t="str">
            <v>Adema; Matthew</v>
          </cell>
          <cell r="D5" t="str">
            <v>1C</v>
          </cell>
          <cell r="E5" t="str">
            <v>IBEWOUT</v>
          </cell>
          <cell r="F5" t="str">
            <v>1245</v>
          </cell>
          <cell r="G5" t="str">
            <v>8</v>
          </cell>
          <cell r="H5">
            <v>0</v>
          </cell>
        </row>
        <row r="6">
          <cell r="B6">
            <v>1046</v>
          </cell>
          <cell r="C6" t="str">
            <v>Alcala Jr.; Juan Antonio</v>
          </cell>
          <cell r="D6" t="str">
            <v>1C</v>
          </cell>
          <cell r="E6" t="str">
            <v>IBEWOUT</v>
          </cell>
          <cell r="F6" t="str">
            <v>47</v>
          </cell>
          <cell r="G6" t="str">
            <v>7</v>
          </cell>
          <cell r="H6">
            <v>0</v>
          </cell>
        </row>
        <row r="7">
          <cell r="B7">
            <v>1055</v>
          </cell>
          <cell r="C7" t="str">
            <v>Adams; Timothy J</v>
          </cell>
          <cell r="D7" t="str">
            <v>1</v>
          </cell>
          <cell r="E7" t="str">
            <v>IBEWOUT</v>
          </cell>
          <cell r="F7" t="str">
            <v>1245</v>
          </cell>
          <cell r="G7" t="str">
            <v>70</v>
          </cell>
          <cell r="H7">
            <v>0</v>
          </cell>
        </row>
        <row r="8">
          <cell r="B8">
            <v>1056</v>
          </cell>
          <cell r="C8" t="str">
            <v>Ewanchew; John F.</v>
          </cell>
          <cell r="D8" t="str">
            <v>1C</v>
          </cell>
          <cell r="E8" t="str">
            <v>IBEWOUT</v>
          </cell>
          <cell r="F8" t="str">
            <v>396</v>
          </cell>
          <cell r="G8" t="str">
            <v>8</v>
          </cell>
          <cell r="H8">
            <v>0</v>
          </cell>
        </row>
        <row r="9">
          <cell r="B9">
            <v>1057</v>
          </cell>
          <cell r="C9" t="str">
            <v>Aguilar; Erik M</v>
          </cell>
          <cell r="D9" t="str">
            <v>1</v>
          </cell>
          <cell r="E9" t="str">
            <v>IBEWOUT</v>
          </cell>
          <cell r="F9" t="str">
            <v>1245</v>
          </cell>
          <cell r="G9" t="str">
            <v>12</v>
          </cell>
          <cell r="H9">
            <v>0</v>
          </cell>
        </row>
        <row r="10">
          <cell r="B10">
            <v>1059</v>
          </cell>
          <cell r="C10" t="str">
            <v>Aleman; Carlos A</v>
          </cell>
          <cell r="D10" t="str">
            <v>1C</v>
          </cell>
          <cell r="E10" t="str">
            <v>IBEWOUT</v>
          </cell>
          <cell r="F10" t="str">
            <v>1245</v>
          </cell>
          <cell r="G10" t="str">
            <v>11</v>
          </cell>
          <cell r="H10">
            <v>0</v>
          </cell>
        </row>
        <row r="11">
          <cell r="B11">
            <v>1061</v>
          </cell>
          <cell r="C11" t="str">
            <v>Alday; Caleb T.</v>
          </cell>
          <cell r="D11" t="str">
            <v>1C</v>
          </cell>
          <cell r="E11" t="str">
            <v>IBEWOUT</v>
          </cell>
          <cell r="F11" t="str">
            <v>1245</v>
          </cell>
          <cell r="G11" t="str">
            <v>8</v>
          </cell>
          <cell r="H11">
            <v>0</v>
          </cell>
        </row>
        <row r="12">
          <cell r="B12">
            <v>1064</v>
          </cell>
          <cell r="C12" t="str">
            <v>Aguilar; Matthias J</v>
          </cell>
          <cell r="D12" t="str">
            <v>1C</v>
          </cell>
          <cell r="E12" t="str">
            <v>IBEWOUT</v>
          </cell>
          <cell r="F12" t="str">
            <v>1245</v>
          </cell>
          <cell r="G12" t="str">
            <v>17</v>
          </cell>
          <cell r="H12">
            <v>0</v>
          </cell>
        </row>
        <row r="13">
          <cell r="B13">
            <v>1085</v>
          </cell>
          <cell r="C13" t="str">
            <v>Almendarez; Raymond K</v>
          </cell>
          <cell r="D13" t="str">
            <v>1C</v>
          </cell>
          <cell r="E13" t="str">
            <v>IBEWOUT</v>
          </cell>
          <cell r="F13" t="str">
            <v>1245</v>
          </cell>
          <cell r="G13" t="str">
            <v>8</v>
          </cell>
          <cell r="H13">
            <v>0</v>
          </cell>
        </row>
        <row r="14">
          <cell r="B14">
            <v>1095</v>
          </cell>
          <cell r="C14" t="str">
            <v>Alexander; James C</v>
          </cell>
          <cell r="D14" t="str">
            <v>1C</v>
          </cell>
          <cell r="E14" t="str">
            <v>IBEWOUT</v>
          </cell>
          <cell r="F14" t="str">
            <v>47</v>
          </cell>
          <cell r="G14" t="str">
            <v>8</v>
          </cell>
          <cell r="H14">
            <v>0</v>
          </cell>
        </row>
        <row r="15">
          <cell r="B15">
            <v>1103</v>
          </cell>
          <cell r="C15" t="str">
            <v>Allen; Corey L.</v>
          </cell>
          <cell r="D15" t="str">
            <v>1C</v>
          </cell>
          <cell r="E15" t="str">
            <v>IBEWOUT</v>
          </cell>
          <cell r="F15" t="str">
            <v>1245</v>
          </cell>
          <cell r="G15" t="str">
            <v>7</v>
          </cell>
          <cell r="H15">
            <v>0</v>
          </cell>
        </row>
        <row r="16">
          <cell r="B16">
            <v>1104</v>
          </cell>
          <cell r="C16" t="str">
            <v>Amburgey; James R</v>
          </cell>
          <cell r="D16" t="str">
            <v>1C</v>
          </cell>
          <cell r="E16" t="str">
            <v>IBEWOUT</v>
          </cell>
          <cell r="F16" t="str">
            <v>769</v>
          </cell>
          <cell r="G16" t="str">
            <v>8</v>
          </cell>
          <cell r="H16">
            <v>0</v>
          </cell>
        </row>
        <row r="17">
          <cell r="B17">
            <v>1106</v>
          </cell>
          <cell r="C17" t="str">
            <v>Archibeque; Larry Michael</v>
          </cell>
          <cell r="D17" t="str">
            <v>1C</v>
          </cell>
          <cell r="E17" t="str">
            <v>IBEWOUT</v>
          </cell>
          <cell r="F17" t="str">
            <v>611</v>
          </cell>
          <cell r="G17" t="str">
            <v>16</v>
          </cell>
          <cell r="H17">
            <v>0</v>
          </cell>
        </row>
        <row r="18">
          <cell r="B18">
            <v>1108</v>
          </cell>
          <cell r="C18" t="str">
            <v>Arehart; Joshua D.</v>
          </cell>
          <cell r="D18" t="str">
            <v>1C</v>
          </cell>
          <cell r="E18" t="str">
            <v>IBEWOUT</v>
          </cell>
          <cell r="F18" t="str">
            <v>125</v>
          </cell>
          <cell r="G18" t="str">
            <v>7</v>
          </cell>
          <cell r="H18">
            <v>0</v>
          </cell>
        </row>
        <row r="19">
          <cell r="B19">
            <v>1109</v>
          </cell>
          <cell r="C19" t="str">
            <v>Atayde; Manuel</v>
          </cell>
          <cell r="D19" t="str">
            <v>1C</v>
          </cell>
          <cell r="E19" t="str">
            <v>IBEWOUT</v>
          </cell>
          <cell r="F19" t="str">
            <v>769</v>
          </cell>
          <cell r="G19" t="str">
            <v>22</v>
          </cell>
          <cell r="H19">
            <v>0</v>
          </cell>
        </row>
        <row r="20">
          <cell r="B20">
            <v>1110</v>
          </cell>
          <cell r="C20" t="str">
            <v>Al-Raies; Sam</v>
          </cell>
          <cell r="D20" t="str">
            <v>1C</v>
          </cell>
          <cell r="E20" t="str">
            <v>IBEWOUT</v>
          </cell>
          <cell r="F20" t="str">
            <v>47</v>
          </cell>
          <cell r="G20" t="str">
            <v>60</v>
          </cell>
          <cell r="H20">
            <v>0</v>
          </cell>
        </row>
        <row r="21">
          <cell r="B21">
            <v>1111</v>
          </cell>
          <cell r="C21" t="str">
            <v>Atchison; Jason E.</v>
          </cell>
          <cell r="D21" t="str">
            <v>1C</v>
          </cell>
          <cell r="E21" t="str">
            <v>IBEWOUT</v>
          </cell>
          <cell r="F21" t="str">
            <v>769</v>
          </cell>
          <cell r="G21" t="str">
            <v>8</v>
          </cell>
          <cell r="H21">
            <v>0</v>
          </cell>
        </row>
        <row r="22">
          <cell r="B22">
            <v>1112</v>
          </cell>
          <cell r="C22" t="str">
            <v>Amato; Pietro</v>
          </cell>
          <cell r="D22" t="str">
            <v>1C</v>
          </cell>
          <cell r="E22" t="str">
            <v>IBEWOUT</v>
          </cell>
          <cell r="F22" t="str">
            <v>1049</v>
          </cell>
          <cell r="G22" t="str">
            <v>15</v>
          </cell>
          <cell r="H22">
            <v>0</v>
          </cell>
        </row>
        <row r="23">
          <cell r="B23">
            <v>1114</v>
          </cell>
          <cell r="C23" t="str">
            <v>Archuleta Jr.; Felix</v>
          </cell>
          <cell r="D23" t="str">
            <v>1C</v>
          </cell>
          <cell r="E23" t="str">
            <v>IBEWOUT</v>
          </cell>
          <cell r="F23" t="str">
            <v>611</v>
          </cell>
          <cell r="G23" t="str">
            <v>10</v>
          </cell>
          <cell r="H23">
            <v>0</v>
          </cell>
        </row>
        <row r="24">
          <cell r="B24">
            <v>1115</v>
          </cell>
          <cell r="C24" t="str">
            <v>Archuleta; Louis A.</v>
          </cell>
          <cell r="D24" t="str">
            <v>1C</v>
          </cell>
          <cell r="E24" t="str">
            <v>IBEWOUT</v>
          </cell>
          <cell r="F24" t="str">
            <v>1245</v>
          </cell>
          <cell r="G24" t="str">
            <v>17</v>
          </cell>
          <cell r="H24">
            <v>0</v>
          </cell>
        </row>
        <row r="25">
          <cell r="B25">
            <v>1130</v>
          </cell>
          <cell r="C25" t="str">
            <v>Allred; Shane M.</v>
          </cell>
          <cell r="D25" t="str">
            <v>1C</v>
          </cell>
          <cell r="E25" t="str">
            <v>IBEWOUT</v>
          </cell>
          <cell r="F25" t="str">
            <v>1245</v>
          </cell>
          <cell r="G25" t="str">
            <v>8</v>
          </cell>
          <cell r="H25">
            <v>0</v>
          </cell>
        </row>
        <row r="26">
          <cell r="B26">
            <v>1180</v>
          </cell>
          <cell r="C26" t="str">
            <v>Atayde; Dimas</v>
          </cell>
          <cell r="D26" t="str">
            <v>1C</v>
          </cell>
          <cell r="E26" t="str">
            <v>IBEWOUT</v>
          </cell>
          <cell r="F26" t="str">
            <v>769</v>
          </cell>
          <cell r="G26" t="str">
            <v>22</v>
          </cell>
          <cell r="H26">
            <v>0</v>
          </cell>
        </row>
        <row r="27">
          <cell r="B27">
            <v>1192</v>
          </cell>
          <cell r="C27" t="str">
            <v>Andersen; David Mitch</v>
          </cell>
          <cell r="D27" t="str">
            <v>1C</v>
          </cell>
          <cell r="E27" t="str">
            <v/>
          </cell>
          <cell r="F27" t="str">
            <v/>
          </cell>
          <cell r="G27" t="str">
            <v/>
          </cell>
          <cell r="H27">
            <v>0</v>
          </cell>
        </row>
        <row r="28">
          <cell r="B28">
            <v>1193</v>
          </cell>
          <cell r="C28" t="str">
            <v>Arredondo; Juan V</v>
          </cell>
          <cell r="D28" t="str">
            <v>1C</v>
          </cell>
          <cell r="E28" t="str">
            <v>IBEWOUT</v>
          </cell>
          <cell r="F28" t="str">
            <v>769</v>
          </cell>
          <cell r="G28" t="str">
            <v>8</v>
          </cell>
          <cell r="H28">
            <v>0</v>
          </cell>
        </row>
        <row r="29">
          <cell r="B29">
            <v>1194</v>
          </cell>
          <cell r="C29" t="str">
            <v>Arreola; George</v>
          </cell>
          <cell r="D29" t="str">
            <v>1C</v>
          </cell>
          <cell r="E29" t="str">
            <v>IBEWOUT</v>
          </cell>
          <cell r="F29" t="str">
            <v>47</v>
          </cell>
          <cell r="G29" t="str">
            <v>17</v>
          </cell>
          <cell r="H29">
            <v>0</v>
          </cell>
        </row>
        <row r="30">
          <cell r="B30">
            <v>1197</v>
          </cell>
          <cell r="C30" t="str">
            <v>Andrea; Josh M</v>
          </cell>
          <cell r="D30" t="str">
            <v>1C</v>
          </cell>
          <cell r="E30" t="str">
            <v>IBEWOUT</v>
          </cell>
          <cell r="F30" t="str">
            <v>77</v>
          </cell>
          <cell r="G30" t="str">
            <v>15</v>
          </cell>
          <cell r="H30">
            <v>0</v>
          </cell>
        </row>
        <row r="31">
          <cell r="B31">
            <v>1199</v>
          </cell>
          <cell r="C31" t="str">
            <v>Andress; Jesse B</v>
          </cell>
          <cell r="D31" t="str">
            <v>1C</v>
          </cell>
          <cell r="E31" t="str">
            <v>IBEWOUT</v>
          </cell>
          <cell r="F31" t="str">
            <v>77</v>
          </cell>
          <cell r="G31" t="str">
            <v>8</v>
          </cell>
          <cell r="H31">
            <v>0</v>
          </cell>
        </row>
        <row r="32">
          <cell r="B32">
            <v>1202</v>
          </cell>
          <cell r="C32" t="str">
            <v>Anderson; Chad M.</v>
          </cell>
          <cell r="D32" t="str">
            <v>1C</v>
          </cell>
          <cell r="E32" t="str">
            <v/>
          </cell>
          <cell r="F32" t="str">
            <v/>
          </cell>
          <cell r="G32" t="str">
            <v/>
          </cell>
          <cell r="H32">
            <v>1</v>
          </cell>
        </row>
        <row r="33">
          <cell r="B33">
            <v>1203</v>
          </cell>
          <cell r="C33" t="str">
            <v>Anderson; Clyde M.</v>
          </cell>
          <cell r="D33" t="str">
            <v>1C</v>
          </cell>
          <cell r="E33" t="str">
            <v/>
          </cell>
          <cell r="F33" t="str">
            <v/>
          </cell>
          <cell r="G33" t="str">
            <v/>
          </cell>
          <cell r="H33">
            <v>1</v>
          </cell>
        </row>
        <row r="34">
          <cell r="B34">
            <v>1217</v>
          </cell>
          <cell r="C34" t="str">
            <v>Andrews; Cory R</v>
          </cell>
          <cell r="D34" t="str">
            <v>1C</v>
          </cell>
          <cell r="E34" t="str">
            <v>IBEWOUT</v>
          </cell>
          <cell r="F34" t="str">
            <v>125</v>
          </cell>
          <cell r="G34" t="str">
            <v>8</v>
          </cell>
          <cell r="H34">
            <v>0</v>
          </cell>
        </row>
        <row r="35">
          <cell r="B35">
            <v>1223</v>
          </cell>
          <cell r="C35" t="str">
            <v>Angulo; Jose L</v>
          </cell>
          <cell r="D35" t="str">
            <v>1C</v>
          </cell>
          <cell r="E35" t="str">
            <v>IBEWOUT</v>
          </cell>
          <cell r="F35" t="str">
            <v>47</v>
          </cell>
          <cell r="G35" t="str">
            <v>17</v>
          </cell>
          <cell r="H35">
            <v>0</v>
          </cell>
        </row>
        <row r="36">
          <cell r="B36">
            <v>1229</v>
          </cell>
          <cell r="C36" t="str">
            <v>Apana; Walter K</v>
          </cell>
          <cell r="D36" t="str">
            <v>1C</v>
          </cell>
          <cell r="E36" t="str">
            <v>IBEWOUT</v>
          </cell>
          <cell r="F36" t="str">
            <v>1186</v>
          </cell>
          <cell r="G36" t="str">
            <v>16</v>
          </cell>
          <cell r="H36">
            <v>0</v>
          </cell>
        </row>
        <row r="37">
          <cell r="B37">
            <v>1231</v>
          </cell>
          <cell r="C37" t="str">
            <v>Aparicio; Diego</v>
          </cell>
          <cell r="D37" t="str">
            <v>1C</v>
          </cell>
          <cell r="E37" t="str">
            <v>IBEWOUT</v>
          </cell>
          <cell r="F37" t="str">
            <v>1245</v>
          </cell>
          <cell r="G37" t="str">
            <v>14</v>
          </cell>
          <cell r="H37">
            <v>0</v>
          </cell>
        </row>
        <row r="38">
          <cell r="B38">
            <v>1232</v>
          </cell>
          <cell r="C38" t="str">
            <v>Apperson; Todd J</v>
          </cell>
          <cell r="D38" t="str">
            <v>1C</v>
          </cell>
          <cell r="E38" t="str">
            <v>IBEWIN</v>
          </cell>
          <cell r="F38" t="str">
            <v>280</v>
          </cell>
          <cell r="G38" t="str">
            <v>62</v>
          </cell>
          <cell r="H38">
            <v>0</v>
          </cell>
        </row>
        <row r="39">
          <cell r="B39">
            <v>1234</v>
          </cell>
          <cell r="C39" t="str">
            <v>Andrews; Riston B.</v>
          </cell>
          <cell r="D39" t="str">
            <v>1C</v>
          </cell>
          <cell r="E39" t="str">
            <v>IBEWOUT</v>
          </cell>
          <cell r="F39" t="str">
            <v>125</v>
          </cell>
          <cell r="G39" t="str">
            <v>17</v>
          </cell>
          <cell r="H39">
            <v>0</v>
          </cell>
        </row>
        <row r="40">
          <cell r="B40">
            <v>1236</v>
          </cell>
          <cell r="C40" t="str">
            <v>Anderson; James N</v>
          </cell>
          <cell r="D40" t="str">
            <v>1C</v>
          </cell>
          <cell r="E40" t="str">
            <v>IBEWOUT</v>
          </cell>
          <cell r="F40" t="str">
            <v>1245</v>
          </cell>
          <cell r="G40" t="str">
            <v>17</v>
          </cell>
          <cell r="H40">
            <v>0</v>
          </cell>
        </row>
        <row r="41">
          <cell r="B41">
            <v>1238</v>
          </cell>
          <cell r="C41" t="str">
            <v>Anderson; Trenton L.</v>
          </cell>
          <cell r="D41" t="str">
            <v>1C</v>
          </cell>
          <cell r="E41" t="str">
            <v>IBEWOUT</v>
          </cell>
          <cell r="F41" t="str">
            <v>47</v>
          </cell>
          <cell r="G41" t="str">
            <v>8</v>
          </cell>
          <cell r="H41">
            <v>0</v>
          </cell>
        </row>
        <row r="42">
          <cell r="B42">
            <v>1240</v>
          </cell>
          <cell r="C42" t="str">
            <v>Anderson; Max C</v>
          </cell>
          <cell r="D42" t="str">
            <v>1C</v>
          </cell>
          <cell r="E42" t="str">
            <v>IBEWOUT</v>
          </cell>
          <cell r="F42" t="str">
            <v>77</v>
          </cell>
          <cell r="G42" t="str">
            <v>8</v>
          </cell>
          <cell r="H42">
            <v>0</v>
          </cell>
        </row>
        <row r="43">
          <cell r="B43">
            <v>1241</v>
          </cell>
          <cell r="C43" t="str">
            <v>Anderson; Michael L.</v>
          </cell>
          <cell r="D43" t="str">
            <v>1C</v>
          </cell>
          <cell r="E43" t="str">
            <v>IBEWOUT</v>
          </cell>
          <cell r="F43" t="str">
            <v>1245</v>
          </cell>
          <cell r="G43" t="str">
            <v>10</v>
          </cell>
          <cell r="H43">
            <v>0</v>
          </cell>
        </row>
        <row r="44">
          <cell r="B44">
            <v>1242</v>
          </cell>
          <cell r="C44" t="str">
            <v>Andrew; Lucas D.</v>
          </cell>
          <cell r="D44" t="str">
            <v>1</v>
          </cell>
          <cell r="E44" t="str">
            <v>IBEWOUT</v>
          </cell>
          <cell r="F44" t="str">
            <v>47</v>
          </cell>
          <cell r="G44" t="str">
            <v>7</v>
          </cell>
          <cell r="H44">
            <v>0</v>
          </cell>
        </row>
        <row r="45">
          <cell r="B45">
            <v>1245</v>
          </cell>
          <cell r="C45" t="str">
            <v>Arnold; Dylan M</v>
          </cell>
          <cell r="D45" t="str">
            <v>1C</v>
          </cell>
          <cell r="E45" t="str">
            <v>IBEWOUT</v>
          </cell>
          <cell r="F45" t="str">
            <v>77</v>
          </cell>
          <cell r="G45" t="str">
            <v>8</v>
          </cell>
          <cell r="H45">
            <v>0</v>
          </cell>
        </row>
        <row r="46">
          <cell r="B46">
            <v>1247</v>
          </cell>
          <cell r="C46" t="str">
            <v>Arana; Daniel I</v>
          </cell>
          <cell r="D46" t="str">
            <v>1C</v>
          </cell>
          <cell r="E46" t="str">
            <v>IBEWOUT</v>
          </cell>
          <cell r="F46" t="str">
            <v>47</v>
          </cell>
          <cell r="G46" t="str">
            <v>13</v>
          </cell>
          <cell r="H46">
            <v>0</v>
          </cell>
        </row>
        <row r="47">
          <cell r="B47">
            <v>1255</v>
          </cell>
          <cell r="C47" t="str">
            <v>Ash IV; Leonard C</v>
          </cell>
          <cell r="D47" t="str">
            <v>1C</v>
          </cell>
          <cell r="E47" t="str">
            <v>IBEWOUT</v>
          </cell>
          <cell r="F47" t="str">
            <v>611</v>
          </cell>
          <cell r="G47" t="str">
            <v>8</v>
          </cell>
          <cell r="H47">
            <v>0</v>
          </cell>
        </row>
        <row r="48">
          <cell r="B48">
            <v>1260</v>
          </cell>
          <cell r="C48" t="str">
            <v>Austin; Berton R.</v>
          </cell>
          <cell r="D48" t="str">
            <v>1C</v>
          </cell>
          <cell r="E48" t="str">
            <v/>
          </cell>
          <cell r="F48" t="str">
            <v/>
          </cell>
          <cell r="G48" t="str">
            <v/>
          </cell>
          <cell r="H48">
            <v>1</v>
          </cell>
        </row>
        <row r="49">
          <cell r="B49">
            <v>1261</v>
          </cell>
          <cell r="C49" t="str">
            <v>Auzston; Russell E</v>
          </cell>
          <cell r="D49" t="str">
            <v>1C</v>
          </cell>
          <cell r="E49" t="str">
            <v>IBEWOUT</v>
          </cell>
          <cell r="F49" t="str">
            <v>47</v>
          </cell>
          <cell r="G49" t="str">
            <v>8</v>
          </cell>
          <cell r="H49">
            <v>0</v>
          </cell>
        </row>
        <row r="50">
          <cell r="B50">
            <v>1263</v>
          </cell>
          <cell r="C50" t="str">
            <v>Atencio; Reynaldo F</v>
          </cell>
          <cell r="D50" t="str">
            <v>1</v>
          </cell>
          <cell r="E50" t="str">
            <v>IBEWOUT</v>
          </cell>
          <cell r="F50" t="str">
            <v>611</v>
          </cell>
          <cell r="G50" t="str">
            <v>11</v>
          </cell>
          <cell r="H50">
            <v>0</v>
          </cell>
        </row>
        <row r="51">
          <cell r="B51">
            <v>1270</v>
          </cell>
          <cell r="C51" t="str">
            <v>Ayers; Christopher S</v>
          </cell>
          <cell r="D51" t="str">
            <v>1C</v>
          </cell>
          <cell r="E51" t="str">
            <v>IBEWOUT</v>
          </cell>
          <cell r="F51" t="str">
            <v>769</v>
          </cell>
          <cell r="G51" t="str">
            <v>15</v>
          </cell>
          <cell r="H51">
            <v>0</v>
          </cell>
        </row>
        <row r="52">
          <cell r="B52">
            <v>1275</v>
          </cell>
          <cell r="C52" t="str">
            <v>Avery; Bella</v>
          </cell>
          <cell r="D52" t="str">
            <v>1C</v>
          </cell>
          <cell r="E52" t="str">
            <v/>
          </cell>
          <cell r="F52" t="str">
            <v/>
          </cell>
          <cell r="G52" t="str">
            <v/>
          </cell>
          <cell r="H52">
            <v>0</v>
          </cell>
        </row>
        <row r="53">
          <cell r="B53">
            <v>1283</v>
          </cell>
          <cell r="C53" t="str">
            <v>Avelar Palacios; Moises</v>
          </cell>
          <cell r="D53" t="str">
            <v>1C</v>
          </cell>
          <cell r="E53" t="str">
            <v>IBEWOUT</v>
          </cell>
          <cell r="F53" t="str">
            <v>1245</v>
          </cell>
          <cell r="G53" t="str">
            <v>11</v>
          </cell>
          <cell r="H53">
            <v>0</v>
          </cell>
        </row>
        <row r="54">
          <cell r="B54">
            <v>1331</v>
          </cell>
          <cell r="C54" t="str">
            <v>Babb; Mitchell R.</v>
          </cell>
          <cell r="D54" t="str">
            <v>1C</v>
          </cell>
          <cell r="E54" t="str">
            <v>IBEWOUT</v>
          </cell>
          <cell r="F54" t="str">
            <v>1245</v>
          </cell>
          <cell r="G54" t="str">
            <v>8</v>
          </cell>
          <cell r="H54">
            <v>0</v>
          </cell>
        </row>
        <row r="55">
          <cell r="B55">
            <v>1335</v>
          </cell>
          <cell r="C55" t="str">
            <v>Badalamente; Joseph A</v>
          </cell>
          <cell r="D55" t="str">
            <v>1C</v>
          </cell>
          <cell r="E55" t="str">
            <v>IBEWOUT</v>
          </cell>
          <cell r="F55" t="str">
            <v>1049</v>
          </cell>
          <cell r="G55" t="str">
            <v>15</v>
          </cell>
          <cell r="H55">
            <v>0</v>
          </cell>
        </row>
        <row r="56">
          <cell r="B56">
            <v>1338</v>
          </cell>
          <cell r="C56" t="str">
            <v>Bair; Ronald</v>
          </cell>
          <cell r="D56" t="str">
            <v>1</v>
          </cell>
          <cell r="E56" t="str">
            <v/>
          </cell>
          <cell r="F56" t="str">
            <v/>
          </cell>
          <cell r="G56" t="str">
            <v/>
          </cell>
          <cell r="H56">
            <v>0</v>
          </cell>
        </row>
        <row r="57">
          <cell r="B57">
            <v>1353</v>
          </cell>
          <cell r="C57" t="str">
            <v>Bannister Jr; Kenneth W</v>
          </cell>
          <cell r="D57" t="str">
            <v>1C</v>
          </cell>
          <cell r="E57" t="str">
            <v>IBEWOUT</v>
          </cell>
          <cell r="F57" t="str">
            <v>1245</v>
          </cell>
          <cell r="G57" t="str">
            <v>8</v>
          </cell>
          <cell r="H57">
            <v>0</v>
          </cell>
        </row>
        <row r="58">
          <cell r="B58">
            <v>1358</v>
          </cell>
          <cell r="C58" t="str">
            <v>Baldovino; Ernest Dion</v>
          </cell>
          <cell r="D58" t="str">
            <v>1C</v>
          </cell>
          <cell r="E58" t="str">
            <v>IBEWOUT</v>
          </cell>
          <cell r="F58" t="str">
            <v>1049</v>
          </cell>
          <cell r="G58" t="str">
            <v>8</v>
          </cell>
          <cell r="H58">
            <v>0</v>
          </cell>
        </row>
        <row r="59">
          <cell r="B59">
            <v>1359</v>
          </cell>
          <cell r="C59" t="str">
            <v>Bailey; Gary D</v>
          </cell>
          <cell r="D59" t="str">
            <v>1C</v>
          </cell>
          <cell r="E59" t="str">
            <v>IBEWOUT</v>
          </cell>
          <cell r="F59" t="str">
            <v>602R</v>
          </cell>
          <cell r="G59" t="str">
            <v>15T</v>
          </cell>
          <cell r="H59">
            <v>0</v>
          </cell>
        </row>
        <row r="60">
          <cell r="B60">
            <v>1361</v>
          </cell>
          <cell r="C60" t="str">
            <v>Bailey; Michael J</v>
          </cell>
          <cell r="D60" t="str">
            <v>1C</v>
          </cell>
          <cell r="E60" t="str">
            <v>IBEWOUT</v>
          </cell>
          <cell r="F60" t="str">
            <v>483</v>
          </cell>
          <cell r="G60" t="str">
            <v>8</v>
          </cell>
          <cell r="H60">
            <v>0</v>
          </cell>
        </row>
        <row r="61">
          <cell r="B61">
            <v>1371</v>
          </cell>
          <cell r="C61" t="str">
            <v>Baggerly; Richard A</v>
          </cell>
          <cell r="D61" t="str">
            <v>1C</v>
          </cell>
          <cell r="E61" t="str">
            <v>IBEWOUT</v>
          </cell>
          <cell r="F61" t="str">
            <v>77</v>
          </cell>
          <cell r="G61" t="str">
            <v>17</v>
          </cell>
          <cell r="H61">
            <v>0</v>
          </cell>
        </row>
        <row r="62">
          <cell r="B62">
            <v>1372</v>
          </cell>
          <cell r="C62" t="str">
            <v>Bamer; Gregory F</v>
          </cell>
          <cell r="D62" t="str">
            <v>1C</v>
          </cell>
          <cell r="E62" t="str">
            <v>IBEWOUT</v>
          </cell>
          <cell r="F62" t="str">
            <v>77</v>
          </cell>
          <cell r="G62" t="str">
            <v>7</v>
          </cell>
          <cell r="H62">
            <v>0</v>
          </cell>
        </row>
        <row r="63">
          <cell r="B63">
            <v>1374</v>
          </cell>
          <cell r="C63" t="str">
            <v>Bailey; Matthew</v>
          </cell>
          <cell r="D63" t="str">
            <v>1C</v>
          </cell>
          <cell r="E63" t="str">
            <v>IBEWOUT</v>
          </cell>
          <cell r="F63" t="str">
            <v>47</v>
          </cell>
          <cell r="G63" t="str">
            <v>8</v>
          </cell>
          <cell r="H63">
            <v>0</v>
          </cell>
        </row>
        <row r="64">
          <cell r="B64">
            <v>1377</v>
          </cell>
          <cell r="C64" t="str">
            <v>Baliaris-Salvi; Rajan A</v>
          </cell>
          <cell r="D64" t="str">
            <v>1C</v>
          </cell>
          <cell r="E64" t="str">
            <v>IBEWOUT</v>
          </cell>
          <cell r="F64" t="str">
            <v>1186</v>
          </cell>
          <cell r="G64" t="str">
            <v>18</v>
          </cell>
          <cell r="H64">
            <v>0</v>
          </cell>
        </row>
        <row r="65">
          <cell r="B65">
            <v>1475</v>
          </cell>
          <cell r="C65" t="str">
            <v>Barley; Tyrone L</v>
          </cell>
          <cell r="D65" t="str">
            <v>1C</v>
          </cell>
          <cell r="E65" t="str">
            <v>IBEWOUT</v>
          </cell>
          <cell r="F65" t="str">
            <v>1245</v>
          </cell>
          <cell r="G65" t="str">
            <v>17</v>
          </cell>
          <cell r="H65">
            <v>0</v>
          </cell>
        </row>
        <row r="66">
          <cell r="B66">
            <v>1482</v>
          </cell>
          <cell r="C66" t="str">
            <v>Barcena; Oscar</v>
          </cell>
          <cell r="D66" t="str">
            <v>1C</v>
          </cell>
          <cell r="E66" t="str">
            <v>IBEWOUT</v>
          </cell>
          <cell r="F66" t="str">
            <v>47</v>
          </cell>
          <cell r="G66" t="str">
            <v>17</v>
          </cell>
          <cell r="H66">
            <v>0</v>
          </cell>
        </row>
        <row r="67">
          <cell r="B67">
            <v>1485</v>
          </cell>
          <cell r="C67" t="str">
            <v>Barker; Kyle D.</v>
          </cell>
          <cell r="D67" t="str">
            <v>1C</v>
          </cell>
          <cell r="E67" t="str">
            <v>IBEWOUT</v>
          </cell>
          <cell r="F67" t="str">
            <v>77</v>
          </cell>
          <cell r="G67" t="str">
            <v>12</v>
          </cell>
          <cell r="H67">
            <v>0</v>
          </cell>
        </row>
        <row r="68">
          <cell r="B68">
            <v>1490</v>
          </cell>
          <cell r="C68" t="str">
            <v>Barlow; Gary L</v>
          </cell>
          <cell r="D68" t="str">
            <v>1C</v>
          </cell>
          <cell r="E68" t="str">
            <v>IBEWOUT</v>
          </cell>
          <cell r="F68" t="str">
            <v>47</v>
          </cell>
          <cell r="G68" t="str">
            <v>17</v>
          </cell>
          <cell r="H68">
            <v>0</v>
          </cell>
        </row>
        <row r="69">
          <cell r="B69">
            <v>1500</v>
          </cell>
          <cell r="C69" t="str">
            <v>Barnes; Brian Dale</v>
          </cell>
          <cell r="D69" t="str">
            <v>1C</v>
          </cell>
          <cell r="E69" t="str">
            <v>IBEWOUT</v>
          </cell>
          <cell r="F69" t="str">
            <v>77</v>
          </cell>
          <cell r="G69" t="str">
            <v>7</v>
          </cell>
          <cell r="H69">
            <v>0</v>
          </cell>
        </row>
        <row r="70">
          <cell r="B70">
            <v>1506</v>
          </cell>
          <cell r="C70" t="str">
            <v>Barnes; Rodney</v>
          </cell>
          <cell r="D70" t="str">
            <v>1C</v>
          </cell>
          <cell r="E70" t="str">
            <v>IBEWOUT</v>
          </cell>
          <cell r="F70" t="str">
            <v>47</v>
          </cell>
          <cell r="G70" t="str">
            <v>8</v>
          </cell>
          <cell r="H70">
            <v>0</v>
          </cell>
        </row>
        <row r="71">
          <cell r="B71">
            <v>1527</v>
          </cell>
          <cell r="C71" t="str">
            <v>Bash; Troy S.</v>
          </cell>
          <cell r="D71" t="str">
            <v>1C</v>
          </cell>
          <cell r="E71" t="str">
            <v>IBEWOUT</v>
          </cell>
          <cell r="F71" t="str">
            <v>769</v>
          </cell>
          <cell r="G71" t="str">
            <v>14</v>
          </cell>
          <cell r="H71">
            <v>0</v>
          </cell>
        </row>
        <row r="72">
          <cell r="B72">
            <v>1530</v>
          </cell>
          <cell r="C72" t="str">
            <v>Basham; Geoffery K</v>
          </cell>
          <cell r="D72" t="str">
            <v>1C</v>
          </cell>
          <cell r="E72" t="str">
            <v>IBEWOUT</v>
          </cell>
          <cell r="F72" t="str">
            <v>602R</v>
          </cell>
          <cell r="G72" t="str">
            <v>18</v>
          </cell>
          <cell r="H72">
            <v>0</v>
          </cell>
        </row>
        <row r="73">
          <cell r="B73">
            <v>1532</v>
          </cell>
          <cell r="C73" t="str">
            <v>Battise; Nikolas T</v>
          </cell>
          <cell r="D73" t="str">
            <v>1C</v>
          </cell>
          <cell r="E73" t="str">
            <v>IBEWOUT</v>
          </cell>
          <cell r="F73" t="str">
            <v>47</v>
          </cell>
          <cell r="G73" t="str">
            <v>8</v>
          </cell>
          <cell r="H73">
            <v>0</v>
          </cell>
        </row>
        <row r="74">
          <cell r="B74">
            <v>1533</v>
          </cell>
          <cell r="C74" t="str">
            <v>Barron; Cameron S</v>
          </cell>
          <cell r="D74" t="str">
            <v>1C</v>
          </cell>
          <cell r="E74" t="str">
            <v>IBEWOUT</v>
          </cell>
          <cell r="F74" t="str">
            <v>602R</v>
          </cell>
          <cell r="G74" t="str">
            <v>14T</v>
          </cell>
          <cell r="H74">
            <v>0</v>
          </cell>
        </row>
        <row r="75">
          <cell r="B75">
            <v>1536</v>
          </cell>
          <cell r="C75" t="str">
            <v>Barrows; Trent D</v>
          </cell>
          <cell r="D75" t="str">
            <v>1</v>
          </cell>
          <cell r="E75" t="str">
            <v>IBEWOUT</v>
          </cell>
          <cell r="F75" t="str">
            <v>47</v>
          </cell>
          <cell r="G75" t="str">
            <v>16</v>
          </cell>
          <cell r="H75">
            <v>0</v>
          </cell>
        </row>
        <row r="76">
          <cell r="B76">
            <v>1554</v>
          </cell>
          <cell r="C76" t="str">
            <v>Beck; Evan D.</v>
          </cell>
          <cell r="D76" t="str">
            <v>1C</v>
          </cell>
          <cell r="E76" t="str">
            <v>IBEWOUT</v>
          </cell>
          <cell r="F76" t="str">
            <v>125</v>
          </cell>
          <cell r="G76" t="str">
            <v>8</v>
          </cell>
          <cell r="H76">
            <v>0</v>
          </cell>
        </row>
        <row r="77">
          <cell r="B77">
            <v>1556</v>
          </cell>
          <cell r="C77" t="str">
            <v>Bednar; Shannon Michael</v>
          </cell>
          <cell r="D77" t="str">
            <v>1C</v>
          </cell>
          <cell r="E77" t="str">
            <v>IBEWOUT</v>
          </cell>
          <cell r="F77" t="str">
            <v>1245</v>
          </cell>
          <cell r="G77" t="str">
            <v>8</v>
          </cell>
          <cell r="H77">
            <v>0</v>
          </cell>
        </row>
        <row r="78">
          <cell r="B78">
            <v>1565</v>
          </cell>
          <cell r="C78" t="str">
            <v>Begaye; Donald</v>
          </cell>
          <cell r="D78" t="str">
            <v>1C</v>
          </cell>
          <cell r="E78" t="str">
            <v>IBEWOUT</v>
          </cell>
          <cell r="F78" t="str">
            <v>769</v>
          </cell>
          <cell r="G78" t="str">
            <v>8</v>
          </cell>
          <cell r="H78">
            <v>0</v>
          </cell>
        </row>
        <row r="79">
          <cell r="B79">
            <v>1568</v>
          </cell>
          <cell r="C79" t="str">
            <v>Beissel; Lee C</v>
          </cell>
          <cell r="D79" t="str">
            <v>1C</v>
          </cell>
          <cell r="E79" t="str">
            <v/>
          </cell>
          <cell r="F79" t="str">
            <v/>
          </cell>
          <cell r="G79" t="str">
            <v/>
          </cell>
          <cell r="H79">
            <v>1</v>
          </cell>
        </row>
        <row r="80">
          <cell r="B80">
            <v>1572</v>
          </cell>
          <cell r="C80" t="str">
            <v>Belcher; Jeffrey James</v>
          </cell>
          <cell r="D80" t="str">
            <v>1C</v>
          </cell>
          <cell r="E80" t="str">
            <v>IBEWOUT</v>
          </cell>
          <cell r="F80" t="str">
            <v>47</v>
          </cell>
          <cell r="G80" t="str">
            <v>8</v>
          </cell>
          <cell r="H80">
            <v>0</v>
          </cell>
        </row>
        <row r="81">
          <cell r="B81">
            <v>1574</v>
          </cell>
          <cell r="C81" t="str">
            <v>Beach; Dale D.</v>
          </cell>
          <cell r="D81" t="str">
            <v>1</v>
          </cell>
          <cell r="E81" t="str">
            <v>IBEWOUT</v>
          </cell>
          <cell r="F81" t="str">
            <v>77</v>
          </cell>
          <cell r="G81" t="str">
            <v>1</v>
          </cell>
          <cell r="H81">
            <v>0</v>
          </cell>
        </row>
        <row r="82">
          <cell r="B82">
            <v>1579</v>
          </cell>
          <cell r="C82" t="str">
            <v>Bauer; Bradley L</v>
          </cell>
          <cell r="D82" t="str">
            <v>1C</v>
          </cell>
          <cell r="E82" t="str">
            <v>IBEWOUT</v>
          </cell>
          <cell r="F82" t="str">
            <v>160</v>
          </cell>
          <cell r="G82" t="str">
            <v>8</v>
          </cell>
          <cell r="H82">
            <v>0</v>
          </cell>
        </row>
        <row r="83">
          <cell r="B83">
            <v>1580</v>
          </cell>
          <cell r="C83" t="str">
            <v>Bell; Edward Douglas</v>
          </cell>
          <cell r="D83" t="str">
            <v>1C</v>
          </cell>
          <cell r="E83" t="str">
            <v>IBEWOUT</v>
          </cell>
          <cell r="F83" t="str">
            <v>1245</v>
          </cell>
          <cell r="G83" t="str">
            <v>8</v>
          </cell>
          <cell r="H83">
            <v>0</v>
          </cell>
        </row>
        <row r="84">
          <cell r="B84">
            <v>1581</v>
          </cell>
          <cell r="C84" t="str">
            <v>Bedoy; Cody J</v>
          </cell>
          <cell r="D84" t="str">
            <v>1C</v>
          </cell>
          <cell r="E84" t="str">
            <v>IBEWOUT</v>
          </cell>
          <cell r="F84" t="str">
            <v>1245</v>
          </cell>
          <cell r="G84" t="str">
            <v>8</v>
          </cell>
          <cell r="H84">
            <v>0</v>
          </cell>
        </row>
        <row r="85">
          <cell r="B85">
            <v>1585</v>
          </cell>
          <cell r="C85" t="str">
            <v>Bellos; Jacob G.</v>
          </cell>
          <cell r="D85" t="str">
            <v>1C</v>
          </cell>
          <cell r="E85" t="str">
            <v>IBEWOUT</v>
          </cell>
          <cell r="F85" t="str">
            <v>77</v>
          </cell>
          <cell r="G85" t="str">
            <v>12</v>
          </cell>
          <cell r="H85">
            <v>0</v>
          </cell>
        </row>
        <row r="86">
          <cell r="B86">
            <v>1586</v>
          </cell>
          <cell r="C86" t="str">
            <v>Beeler; Michael A</v>
          </cell>
          <cell r="D86" t="str">
            <v>1</v>
          </cell>
          <cell r="E86" t="str">
            <v/>
          </cell>
          <cell r="F86" t="str">
            <v/>
          </cell>
          <cell r="G86" t="str">
            <v/>
          </cell>
          <cell r="H86">
            <v>0</v>
          </cell>
        </row>
        <row r="87">
          <cell r="B87">
            <v>1592</v>
          </cell>
          <cell r="C87" t="str">
            <v>Beckstead; Bryce W</v>
          </cell>
          <cell r="D87" t="str">
            <v>1</v>
          </cell>
          <cell r="E87" t="str">
            <v>IBEWOUT</v>
          </cell>
          <cell r="F87" t="str">
            <v>769</v>
          </cell>
          <cell r="G87" t="str">
            <v>11</v>
          </cell>
          <cell r="H87">
            <v>0</v>
          </cell>
        </row>
        <row r="88">
          <cell r="B88">
            <v>1595</v>
          </cell>
          <cell r="C88" t="str">
            <v>Beltran; Juan F</v>
          </cell>
          <cell r="D88" t="str">
            <v>1C</v>
          </cell>
          <cell r="E88" t="str">
            <v>IBEWOUT</v>
          </cell>
          <cell r="F88" t="str">
            <v>47</v>
          </cell>
          <cell r="G88" t="str">
            <v>8</v>
          </cell>
          <cell r="H88">
            <v>0</v>
          </cell>
        </row>
        <row r="89">
          <cell r="B89">
            <v>1598</v>
          </cell>
          <cell r="C89" t="str">
            <v>Becker; Bryan</v>
          </cell>
          <cell r="D89" t="str">
            <v>1C</v>
          </cell>
          <cell r="E89" t="str">
            <v/>
          </cell>
          <cell r="F89" t="str">
            <v/>
          </cell>
          <cell r="G89" t="str">
            <v/>
          </cell>
          <cell r="H89">
            <v>0</v>
          </cell>
        </row>
        <row r="90">
          <cell r="B90">
            <v>1599</v>
          </cell>
          <cell r="C90" t="str">
            <v>Luna Beltran; Ramon</v>
          </cell>
          <cell r="D90" t="str">
            <v>1C</v>
          </cell>
          <cell r="E90" t="str">
            <v>IBEWOUT</v>
          </cell>
          <cell r="F90" t="str">
            <v>1245</v>
          </cell>
          <cell r="G90" t="str">
            <v>17</v>
          </cell>
          <cell r="H90">
            <v>0</v>
          </cell>
        </row>
        <row r="91">
          <cell r="B91">
            <v>1604</v>
          </cell>
          <cell r="C91" t="str">
            <v>Bojt; James E</v>
          </cell>
          <cell r="D91" t="str">
            <v>1C</v>
          </cell>
          <cell r="E91" t="str">
            <v>IBEWOUT</v>
          </cell>
          <cell r="F91" t="str">
            <v>126</v>
          </cell>
          <cell r="G91" t="str">
            <v>7S</v>
          </cell>
          <cell r="H91">
            <v>0</v>
          </cell>
        </row>
        <row r="92">
          <cell r="B92">
            <v>1606</v>
          </cell>
          <cell r="C92" t="str">
            <v>Bock; Nathan Philip</v>
          </cell>
          <cell r="D92" t="str">
            <v>1C</v>
          </cell>
          <cell r="E92" t="str">
            <v>IBEWOUT</v>
          </cell>
          <cell r="F92" t="str">
            <v>77</v>
          </cell>
          <cell r="G92" t="str">
            <v>8</v>
          </cell>
          <cell r="H92">
            <v>0</v>
          </cell>
        </row>
        <row r="93">
          <cell r="B93">
            <v>1608</v>
          </cell>
          <cell r="C93" t="str">
            <v>Boisvert; Harry A</v>
          </cell>
          <cell r="D93" t="str">
            <v>1C</v>
          </cell>
          <cell r="E93" t="str">
            <v>IBEWOUT</v>
          </cell>
          <cell r="F93" t="str">
            <v>47</v>
          </cell>
          <cell r="G93" t="str">
            <v>13</v>
          </cell>
          <cell r="H93">
            <v>0</v>
          </cell>
        </row>
        <row r="94">
          <cell r="B94">
            <v>1610</v>
          </cell>
          <cell r="C94" t="str">
            <v>Belsterling; David J</v>
          </cell>
          <cell r="D94" t="str">
            <v>1C</v>
          </cell>
          <cell r="E94" t="str">
            <v>IBEWOUT</v>
          </cell>
          <cell r="F94" t="str">
            <v>126</v>
          </cell>
          <cell r="G94" t="str">
            <v>13</v>
          </cell>
          <cell r="H94">
            <v>0</v>
          </cell>
        </row>
        <row r="95">
          <cell r="B95">
            <v>1614</v>
          </cell>
          <cell r="C95" t="str">
            <v>Bentley; Lonne</v>
          </cell>
          <cell r="D95" t="str">
            <v>1C</v>
          </cell>
          <cell r="E95" t="str">
            <v>IBEWOUT</v>
          </cell>
          <cell r="F95" t="str">
            <v>77</v>
          </cell>
          <cell r="G95" t="str">
            <v>8</v>
          </cell>
          <cell r="H95">
            <v>0</v>
          </cell>
        </row>
        <row r="96">
          <cell r="B96">
            <v>1616</v>
          </cell>
          <cell r="C96" t="str">
            <v>Bolsover; Amber E</v>
          </cell>
          <cell r="D96" t="str">
            <v>1</v>
          </cell>
          <cell r="E96" t="str">
            <v>IBEWOUT</v>
          </cell>
          <cell r="F96" t="str">
            <v>1245</v>
          </cell>
          <cell r="G96" t="str">
            <v>14</v>
          </cell>
          <cell r="H96">
            <v>0</v>
          </cell>
        </row>
        <row r="97">
          <cell r="B97">
            <v>1621</v>
          </cell>
          <cell r="C97" t="str">
            <v>Boeken; Daniel J</v>
          </cell>
          <cell r="D97" t="str">
            <v>1</v>
          </cell>
          <cell r="E97" t="str">
            <v>IBEWOUT</v>
          </cell>
          <cell r="F97" t="str">
            <v>1245</v>
          </cell>
          <cell r="G97" t="str">
            <v>8</v>
          </cell>
          <cell r="H97">
            <v>0</v>
          </cell>
        </row>
        <row r="98">
          <cell r="B98">
            <v>1647</v>
          </cell>
          <cell r="C98" t="str">
            <v>Baxter; Olliver</v>
          </cell>
          <cell r="D98" t="str">
            <v>1</v>
          </cell>
          <cell r="E98" t="str">
            <v/>
          </cell>
          <cell r="F98" t="str">
            <v/>
          </cell>
          <cell r="G98" t="str">
            <v/>
          </cell>
          <cell r="H98">
            <v>0</v>
          </cell>
        </row>
        <row r="99">
          <cell r="B99">
            <v>1720</v>
          </cell>
          <cell r="C99" t="str">
            <v>Berry; Andrew C.</v>
          </cell>
          <cell r="D99" t="str">
            <v>1</v>
          </cell>
          <cell r="E99" t="str">
            <v>IBEWOUT</v>
          </cell>
          <cell r="F99" t="str">
            <v>47</v>
          </cell>
          <cell r="G99" t="str">
            <v>8</v>
          </cell>
          <cell r="H99">
            <v>0</v>
          </cell>
        </row>
        <row r="100">
          <cell r="B100">
            <v>1738</v>
          </cell>
          <cell r="C100" t="str">
            <v>Bereta Jr; Larry L</v>
          </cell>
          <cell r="D100" t="str">
            <v>1C</v>
          </cell>
          <cell r="E100" t="str">
            <v>IBEWOUT</v>
          </cell>
          <cell r="F100" t="str">
            <v>47</v>
          </cell>
          <cell r="G100" t="str">
            <v>8</v>
          </cell>
          <cell r="H100">
            <v>0</v>
          </cell>
        </row>
        <row r="101">
          <cell r="B101">
            <v>1755</v>
          </cell>
          <cell r="C101" t="str">
            <v>Bibiano; Brandon Lee</v>
          </cell>
          <cell r="D101" t="str">
            <v>1C</v>
          </cell>
          <cell r="E101" t="str">
            <v>IBEWOUT</v>
          </cell>
          <cell r="F101" t="str">
            <v>611</v>
          </cell>
          <cell r="G101" t="str">
            <v>8</v>
          </cell>
          <cell r="H101">
            <v>0</v>
          </cell>
        </row>
        <row r="102">
          <cell r="B102">
            <v>1763</v>
          </cell>
          <cell r="C102" t="str">
            <v>Biggs; Bret S</v>
          </cell>
          <cell r="D102" t="str">
            <v>1C</v>
          </cell>
          <cell r="E102" t="str">
            <v>IBEWOUT</v>
          </cell>
          <cell r="F102" t="str">
            <v>1245</v>
          </cell>
          <cell r="G102" t="str">
            <v>8</v>
          </cell>
          <cell r="H102">
            <v>0</v>
          </cell>
        </row>
        <row r="103">
          <cell r="B103">
            <v>1769</v>
          </cell>
          <cell r="C103" t="str">
            <v>Bindel; Bruce A.</v>
          </cell>
          <cell r="D103" t="str">
            <v>1C</v>
          </cell>
          <cell r="E103" t="str">
            <v>IBEWOUT</v>
          </cell>
          <cell r="F103" t="str">
            <v>1245</v>
          </cell>
          <cell r="G103" t="str">
            <v>17</v>
          </cell>
          <cell r="H103">
            <v>0</v>
          </cell>
        </row>
        <row r="104">
          <cell r="B104">
            <v>1770</v>
          </cell>
          <cell r="C104" t="str">
            <v>Biro; Brandon J</v>
          </cell>
          <cell r="D104" t="str">
            <v>1C</v>
          </cell>
          <cell r="E104" t="str">
            <v>IBEWOUT</v>
          </cell>
          <cell r="F104" t="str">
            <v>769</v>
          </cell>
          <cell r="G104" t="str">
            <v>17</v>
          </cell>
          <cell r="H104">
            <v>0</v>
          </cell>
        </row>
        <row r="105">
          <cell r="B105">
            <v>1774</v>
          </cell>
          <cell r="C105" t="str">
            <v>Bishop; Clark Bryant</v>
          </cell>
          <cell r="D105" t="str">
            <v>1C</v>
          </cell>
          <cell r="E105" t="str">
            <v>IBEWOUT</v>
          </cell>
          <cell r="F105" t="str">
            <v>1245</v>
          </cell>
          <cell r="G105" t="str">
            <v>8</v>
          </cell>
          <cell r="H105">
            <v>0</v>
          </cell>
        </row>
        <row r="106">
          <cell r="B106">
            <v>1775</v>
          </cell>
          <cell r="C106" t="str">
            <v>Bishop; Andrew M</v>
          </cell>
          <cell r="D106" t="str">
            <v>1C</v>
          </cell>
          <cell r="E106" t="str">
            <v>IBEWOUT</v>
          </cell>
          <cell r="F106" t="str">
            <v>77</v>
          </cell>
          <cell r="G106" t="str">
            <v>23</v>
          </cell>
          <cell r="H106">
            <v>0</v>
          </cell>
        </row>
        <row r="107">
          <cell r="B107">
            <v>1778</v>
          </cell>
          <cell r="C107" t="str">
            <v>Bishop; Toby J.</v>
          </cell>
          <cell r="D107" t="str">
            <v>1C</v>
          </cell>
          <cell r="E107" t="str">
            <v>IBEWOUT</v>
          </cell>
          <cell r="F107" t="str">
            <v>396</v>
          </cell>
          <cell r="G107" t="str">
            <v>8</v>
          </cell>
          <cell r="H107">
            <v>0</v>
          </cell>
        </row>
        <row r="108">
          <cell r="B108">
            <v>1780</v>
          </cell>
          <cell r="C108" t="str">
            <v>Bischoff; Robert S</v>
          </cell>
          <cell r="D108" t="str">
            <v>1C</v>
          </cell>
          <cell r="E108" t="str">
            <v>IBEWOUT</v>
          </cell>
          <cell r="F108" t="str">
            <v>1319</v>
          </cell>
          <cell r="G108" t="str">
            <v>8</v>
          </cell>
          <cell r="H108">
            <v>0</v>
          </cell>
        </row>
        <row r="109">
          <cell r="B109">
            <v>1830</v>
          </cell>
          <cell r="C109" t="str">
            <v>Black; Jonathan Michael</v>
          </cell>
          <cell r="D109" t="str">
            <v>1</v>
          </cell>
          <cell r="E109" t="str">
            <v>IBEWOUT</v>
          </cell>
          <cell r="F109" t="str">
            <v>125</v>
          </cell>
          <cell r="G109" t="str">
            <v>8</v>
          </cell>
          <cell r="H109">
            <v>0</v>
          </cell>
        </row>
        <row r="110">
          <cell r="B110">
            <v>1831</v>
          </cell>
          <cell r="C110" t="str">
            <v>Black; Haven</v>
          </cell>
          <cell r="D110" t="str">
            <v>1C</v>
          </cell>
          <cell r="E110" t="str">
            <v>IBEWOUT</v>
          </cell>
          <cell r="F110" t="str">
            <v>47</v>
          </cell>
          <cell r="G110" t="str">
            <v>17</v>
          </cell>
          <cell r="H110">
            <v>0</v>
          </cell>
        </row>
        <row r="111">
          <cell r="B111">
            <v>1835</v>
          </cell>
          <cell r="C111" t="str">
            <v>Blacksheep; Darrell A.</v>
          </cell>
          <cell r="D111" t="str">
            <v>1C</v>
          </cell>
          <cell r="E111" t="str">
            <v>IBEWOUT</v>
          </cell>
          <cell r="F111" t="str">
            <v>769</v>
          </cell>
          <cell r="G111" t="str">
            <v>8</v>
          </cell>
          <cell r="H111">
            <v>0</v>
          </cell>
        </row>
        <row r="112">
          <cell r="B112">
            <v>1839</v>
          </cell>
          <cell r="C112" t="str">
            <v>Blagg; Michael L.</v>
          </cell>
          <cell r="D112" t="str">
            <v>1C</v>
          </cell>
          <cell r="E112" t="str">
            <v>IBEWOUT</v>
          </cell>
          <cell r="F112" t="str">
            <v>602R</v>
          </cell>
          <cell r="G112" t="str">
            <v>8</v>
          </cell>
          <cell r="H112">
            <v>0</v>
          </cell>
        </row>
        <row r="113">
          <cell r="B113">
            <v>1846</v>
          </cell>
          <cell r="C113" t="str">
            <v>Blalock; Michael R</v>
          </cell>
          <cell r="D113" t="str">
            <v>1C</v>
          </cell>
          <cell r="E113" t="str">
            <v>IBEWOUT</v>
          </cell>
          <cell r="F113" t="str">
            <v>769</v>
          </cell>
          <cell r="G113" t="str">
            <v>8</v>
          </cell>
          <cell r="H113">
            <v>0</v>
          </cell>
        </row>
        <row r="114">
          <cell r="B114">
            <v>1849</v>
          </cell>
          <cell r="C114" t="str">
            <v>Blakely Jr.; Steven William</v>
          </cell>
          <cell r="D114" t="str">
            <v>1C</v>
          </cell>
          <cell r="E114" t="str">
            <v>IBEWOUT</v>
          </cell>
          <cell r="F114" t="str">
            <v>769</v>
          </cell>
          <cell r="G114" t="str">
            <v>22</v>
          </cell>
          <cell r="H114">
            <v>0</v>
          </cell>
        </row>
        <row r="115">
          <cell r="B115">
            <v>1850</v>
          </cell>
          <cell r="C115" t="str">
            <v>Blake; Britton R.</v>
          </cell>
          <cell r="D115" t="str">
            <v>1</v>
          </cell>
          <cell r="E115" t="str">
            <v>IBEWOUT</v>
          </cell>
          <cell r="F115" t="str">
            <v>47</v>
          </cell>
          <cell r="G115" t="str">
            <v>8</v>
          </cell>
          <cell r="H115">
            <v>0</v>
          </cell>
        </row>
        <row r="116">
          <cell r="B116">
            <v>1851</v>
          </cell>
          <cell r="C116" t="str">
            <v>Blakely; Taunia M</v>
          </cell>
          <cell r="D116" t="str">
            <v>1C</v>
          </cell>
          <cell r="E116" t="str">
            <v>IBEWIN</v>
          </cell>
          <cell r="F116" t="str">
            <v>280</v>
          </cell>
          <cell r="G116" t="str">
            <v>61</v>
          </cell>
          <cell r="H116">
            <v>0</v>
          </cell>
        </row>
        <row r="117">
          <cell r="B117">
            <v>1860</v>
          </cell>
          <cell r="C117" t="str">
            <v>Bligh; Brandon R</v>
          </cell>
          <cell r="D117" t="str">
            <v>1C</v>
          </cell>
          <cell r="E117" t="str">
            <v>IBEWOUT</v>
          </cell>
          <cell r="F117" t="str">
            <v>47</v>
          </cell>
          <cell r="G117" t="str">
            <v>8</v>
          </cell>
          <cell r="H117">
            <v>0</v>
          </cell>
        </row>
        <row r="118">
          <cell r="B118">
            <v>1871</v>
          </cell>
          <cell r="C118" t="str">
            <v>Blount; Undrae A</v>
          </cell>
          <cell r="D118" t="str">
            <v>1C</v>
          </cell>
          <cell r="E118" t="str">
            <v>IBEWOUT</v>
          </cell>
          <cell r="F118" t="str">
            <v>1049</v>
          </cell>
          <cell r="G118" t="str">
            <v>17</v>
          </cell>
          <cell r="H118">
            <v>0</v>
          </cell>
        </row>
        <row r="119">
          <cell r="B119">
            <v>1940</v>
          </cell>
          <cell r="C119" t="str">
            <v>Bond; Bob M.</v>
          </cell>
          <cell r="D119" t="str">
            <v>1C</v>
          </cell>
          <cell r="E119" t="str">
            <v>IBEWOUT</v>
          </cell>
          <cell r="F119" t="str">
            <v>77</v>
          </cell>
          <cell r="G119" t="str">
            <v>8</v>
          </cell>
          <cell r="H119">
            <v>0</v>
          </cell>
        </row>
        <row r="120">
          <cell r="B120">
            <v>1962</v>
          </cell>
          <cell r="C120" t="str">
            <v>Booker; Chris L</v>
          </cell>
          <cell r="D120" t="str">
            <v>1C</v>
          </cell>
          <cell r="E120" t="str">
            <v>IBEWOUT</v>
          </cell>
          <cell r="F120" t="str">
            <v>1245</v>
          </cell>
          <cell r="G120" t="str">
            <v>8</v>
          </cell>
          <cell r="H120">
            <v>0</v>
          </cell>
        </row>
        <row r="121">
          <cell r="B121">
            <v>1970</v>
          </cell>
          <cell r="C121" t="str">
            <v>Booton; Michael G</v>
          </cell>
          <cell r="D121" t="str">
            <v>1C</v>
          </cell>
          <cell r="E121" t="str">
            <v>IBEWOUT</v>
          </cell>
          <cell r="F121" t="str">
            <v>1245</v>
          </cell>
          <cell r="G121" t="str">
            <v>13</v>
          </cell>
          <cell r="H121">
            <v>0</v>
          </cell>
        </row>
        <row r="122">
          <cell r="B122">
            <v>1980</v>
          </cell>
          <cell r="C122" t="str">
            <v>Borboa; Jose C.</v>
          </cell>
          <cell r="D122" t="str">
            <v>1C</v>
          </cell>
          <cell r="E122" t="str">
            <v>IBEWOUT</v>
          </cell>
          <cell r="F122" t="str">
            <v>769</v>
          </cell>
          <cell r="G122" t="str">
            <v>20</v>
          </cell>
          <cell r="H122">
            <v>0</v>
          </cell>
        </row>
        <row r="123">
          <cell r="B123">
            <v>2068</v>
          </cell>
          <cell r="C123" t="str">
            <v>Bauder; Craig Richard</v>
          </cell>
          <cell r="D123" t="str">
            <v>1</v>
          </cell>
          <cell r="E123" t="str">
            <v/>
          </cell>
          <cell r="F123" t="str">
            <v/>
          </cell>
          <cell r="G123" t="str">
            <v/>
          </cell>
          <cell r="H123">
            <v>1</v>
          </cell>
        </row>
        <row r="124">
          <cell r="B124">
            <v>2085</v>
          </cell>
          <cell r="C124" t="str">
            <v>Boudreau; Rheal B</v>
          </cell>
          <cell r="D124" t="str">
            <v>1</v>
          </cell>
          <cell r="E124" t="str">
            <v>IBEWOUT</v>
          </cell>
          <cell r="F124" t="str">
            <v>1245</v>
          </cell>
          <cell r="G124" t="str">
            <v>7</v>
          </cell>
          <cell r="H124">
            <v>0</v>
          </cell>
        </row>
        <row r="125">
          <cell r="B125">
            <v>2086</v>
          </cell>
          <cell r="C125" t="str">
            <v>Boulden; Alexander A</v>
          </cell>
          <cell r="D125" t="str">
            <v>1C</v>
          </cell>
          <cell r="E125" t="str">
            <v>IBEWOUT</v>
          </cell>
          <cell r="F125" t="str">
            <v>1245</v>
          </cell>
          <cell r="G125" t="str">
            <v>17</v>
          </cell>
          <cell r="H125">
            <v>0</v>
          </cell>
        </row>
        <row r="126">
          <cell r="B126">
            <v>2090</v>
          </cell>
          <cell r="C126" t="str">
            <v>Bourgeois; Russel L</v>
          </cell>
          <cell r="D126" t="str">
            <v>1C</v>
          </cell>
          <cell r="E126" t="str">
            <v>IBEWOUT</v>
          </cell>
          <cell r="F126" t="str">
            <v>77</v>
          </cell>
          <cell r="G126" t="str">
            <v>8</v>
          </cell>
          <cell r="H126">
            <v>0</v>
          </cell>
        </row>
        <row r="127">
          <cell r="B127">
            <v>2093</v>
          </cell>
          <cell r="C127" t="str">
            <v>Boudreau; Dylan J</v>
          </cell>
          <cell r="D127" t="str">
            <v>1</v>
          </cell>
          <cell r="E127" t="str">
            <v>IBEWOUT</v>
          </cell>
          <cell r="F127" t="str">
            <v>1245</v>
          </cell>
          <cell r="G127" t="str">
            <v>8</v>
          </cell>
          <cell r="H127">
            <v>0</v>
          </cell>
        </row>
        <row r="128">
          <cell r="B128">
            <v>2101</v>
          </cell>
          <cell r="C128" t="str">
            <v>Baughman; Heston H</v>
          </cell>
          <cell r="D128" t="str">
            <v>1</v>
          </cell>
          <cell r="E128" t="str">
            <v>IBEWOUT</v>
          </cell>
          <cell r="F128" t="str">
            <v>77</v>
          </cell>
          <cell r="G128" t="str">
            <v>11</v>
          </cell>
          <cell r="H128">
            <v>0</v>
          </cell>
        </row>
        <row r="129">
          <cell r="B129">
            <v>2114</v>
          </cell>
          <cell r="C129" t="str">
            <v>Bowie; William B</v>
          </cell>
          <cell r="D129" t="str">
            <v>1C</v>
          </cell>
          <cell r="E129" t="str">
            <v>IBEWOUT</v>
          </cell>
          <cell r="F129" t="str">
            <v>1049</v>
          </cell>
          <cell r="G129" t="str">
            <v>8</v>
          </cell>
          <cell r="H129">
            <v>0</v>
          </cell>
        </row>
        <row r="130">
          <cell r="B130">
            <v>2115</v>
          </cell>
          <cell r="C130" t="str">
            <v>Bowkett; John D</v>
          </cell>
          <cell r="D130" t="str">
            <v>1</v>
          </cell>
          <cell r="E130" t="str">
            <v>IBEWOUT</v>
          </cell>
          <cell r="F130" t="str">
            <v>611</v>
          </cell>
          <cell r="G130" t="str">
            <v>8</v>
          </cell>
          <cell r="H130">
            <v>0</v>
          </cell>
        </row>
        <row r="131">
          <cell r="B131">
            <v>2118</v>
          </cell>
          <cell r="C131" t="str">
            <v>Bautista; Hector N.</v>
          </cell>
          <cell r="D131" t="str">
            <v>1C</v>
          </cell>
          <cell r="E131" t="str">
            <v>IBEWOUT</v>
          </cell>
          <cell r="F131" t="str">
            <v>396</v>
          </cell>
          <cell r="G131" t="str">
            <v>8</v>
          </cell>
          <cell r="H131">
            <v>0</v>
          </cell>
        </row>
        <row r="132">
          <cell r="B132">
            <v>2119</v>
          </cell>
          <cell r="C132" t="str">
            <v>Brandt; Travis M</v>
          </cell>
          <cell r="D132" t="str">
            <v>1C</v>
          </cell>
          <cell r="E132" t="str">
            <v>IBEWOUT</v>
          </cell>
          <cell r="F132" t="str">
            <v>47</v>
          </cell>
          <cell r="G132" t="str">
            <v>7</v>
          </cell>
          <cell r="H132">
            <v>0</v>
          </cell>
        </row>
        <row r="133">
          <cell r="B133">
            <v>2128</v>
          </cell>
          <cell r="C133" t="str">
            <v>Braaten; Jason W</v>
          </cell>
          <cell r="D133" t="str">
            <v>1C</v>
          </cell>
          <cell r="E133" t="str">
            <v>IBEWOUT</v>
          </cell>
          <cell r="F133" t="str">
            <v>1245</v>
          </cell>
          <cell r="G133" t="str">
            <v>8</v>
          </cell>
          <cell r="H133">
            <v>0</v>
          </cell>
        </row>
        <row r="134">
          <cell r="B134">
            <v>2129</v>
          </cell>
          <cell r="C134" t="str">
            <v>Bradford; Richard</v>
          </cell>
          <cell r="D134" t="str">
            <v>1C</v>
          </cell>
          <cell r="E134" t="str">
            <v>IBEWOUT</v>
          </cell>
          <cell r="F134" t="str">
            <v>602R</v>
          </cell>
          <cell r="G134" t="str">
            <v>7</v>
          </cell>
          <cell r="H134">
            <v>0</v>
          </cell>
        </row>
        <row r="135">
          <cell r="B135">
            <v>2131</v>
          </cell>
          <cell r="C135" t="str">
            <v>Bradley; Michael W.</v>
          </cell>
          <cell r="D135" t="str">
            <v>1C</v>
          </cell>
          <cell r="E135" t="str">
            <v>IBEWOUT</v>
          </cell>
          <cell r="F135" t="str">
            <v>1245</v>
          </cell>
          <cell r="G135" t="str">
            <v>8</v>
          </cell>
          <cell r="H135">
            <v>0</v>
          </cell>
        </row>
        <row r="136">
          <cell r="B136">
            <v>2136</v>
          </cell>
          <cell r="C136" t="str">
            <v>Boyd Jr.; Philip R.</v>
          </cell>
          <cell r="D136" t="str">
            <v>1C</v>
          </cell>
          <cell r="E136" t="str">
            <v>IBEWOUT</v>
          </cell>
          <cell r="F136" t="str">
            <v>1245</v>
          </cell>
          <cell r="G136" t="str">
            <v>8</v>
          </cell>
          <cell r="H136">
            <v>0</v>
          </cell>
        </row>
        <row r="137">
          <cell r="B137">
            <v>2137</v>
          </cell>
          <cell r="C137" t="str">
            <v>Boyd; Joseph M</v>
          </cell>
          <cell r="D137" t="str">
            <v>1</v>
          </cell>
          <cell r="E137" t="str">
            <v>IBEWOUT</v>
          </cell>
          <cell r="F137" t="str">
            <v>77</v>
          </cell>
          <cell r="G137" t="str">
            <v>13</v>
          </cell>
          <cell r="H137">
            <v>0</v>
          </cell>
        </row>
        <row r="138">
          <cell r="B138">
            <v>2140</v>
          </cell>
          <cell r="C138" t="str">
            <v>Brant; Justin</v>
          </cell>
          <cell r="D138" t="str">
            <v>1C</v>
          </cell>
          <cell r="E138" t="str">
            <v/>
          </cell>
          <cell r="F138" t="str">
            <v/>
          </cell>
          <cell r="G138" t="str">
            <v/>
          </cell>
          <cell r="H138">
            <v>0</v>
          </cell>
        </row>
        <row r="139">
          <cell r="B139">
            <v>2141</v>
          </cell>
          <cell r="C139" t="str">
            <v>Boyle; Kevin T.</v>
          </cell>
          <cell r="D139" t="str">
            <v>1C</v>
          </cell>
          <cell r="E139" t="str">
            <v>IBEWOUT</v>
          </cell>
          <cell r="F139" t="str">
            <v>125</v>
          </cell>
          <cell r="G139" t="str">
            <v>12</v>
          </cell>
          <cell r="H139">
            <v>0</v>
          </cell>
        </row>
        <row r="140">
          <cell r="B140">
            <v>2144</v>
          </cell>
          <cell r="C140" t="str">
            <v>Brdlik; Michael R</v>
          </cell>
          <cell r="D140" t="str">
            <v>1C</v>
          </cell>
          <cell r="E140" t="str">
            <v>IBEWOUT</v>
          </cell>
          <cell r="F140" t="str">
            <v>1245</v>
          </cell>
          <cell r="G140" t="str">
            <v>8</v>
          </cell>
          <cell r="H140">
            <v>0</v>
          </cell>
        </row>
        <row r="141">
          <cell r="B141">
            <v>2174</v>
          </cell>
          <cell r="C141" t="str">
            <v>Breaux; Derrick J</v>
          </cell>
          <cell r="D141" t="str">
            <v>1</v>
          </cell>
          <cell r="E141" t="str">
            <v/>
          </cell>
          <cell r="F141" t="str">
            <v/>
          </cell>
          <cell r="G141" t="str">
            <v/>
          </cell>
          <cell r="H141">
            <v>0</v>
          </cell>
        </row>
        <row r="142">
          <cell r="B142">
            <v>2188</v>
          </cell>
          <cell r="C142" t="str">
            <v>Brennan; Michael D.</v>
          </cell>
          <cell r="D142" t="str">
            <v>1</v>
          </cell>
          <cell r="E142" t="str">
            <v>IBEWOUT</v>
          </cell>
          <cell r="F142" t="str">
            <v>611</v>
          </cell>
          <cell r="G142" t="str">
            <v>7</v>
          </cell>
          <cell r="H142">
            <v>0</v>
          </cell>
        </row>
        <row r="143">
          <cell r="B143">
            <v>2203</v>
          </cell>
          <cell r="C143" t="str">
            <v>Britt; Mitchell L.</v>
          </cell>
          <cell r="D143" t="str">
            <v>1C</v>
          </cell>
          <cell r="E143" t="str">
            <v>IBEWOUT</v>
          </cell>
          <cell r="F143" t="str">
            <v>1245</v>
          </cell>
          <cell r="G143" t="str">
            <v>8</v>
          </cell>
          <cell r="H143">
            <v>0</v>
          </cell>
        </row>
        <row r="144">
          <cell r="B144">
            <v>2205</v>
          </cell>
          <cell r="C144" t="str">
            <v>Britton; Mark C</v>
          </cell>
          <cell r="D144" t="str">
            <v>1</v>
          </cell>
          <cell r="E144" t="str">
            <v/>
          </cell>
          <cell r="F144" t="str">
            <v/>
          </cell>
          <cell r="G144" t="str">
            <v/>
          </cell>
          <cell r="H144">
            <v>1</v>
          </cell>
        </row>
        <row r="145">
          <cell r="B145">
            <v>2210</v>
          </cell>
          <cell r="C145" t="str">
            <v>Brogdon; Case O</v>
          </cell>
          <cell r="D145" t="str">
            <v>1C</v>
          </cell>
          <cell r="E145" t="str">
            <v>IBEWOUT</v>
          </cell>
          <cell r="F145" t="str">
            <v>611</v>
          </cell>
          <cell r="G145" t="str">
            <v>11</v>
          </cell>
          <cell r="H145">
            <v>0</v>
          </cell>
        </row>
        <row r="146">
          <cell r="B146">
            <v>2213</v>
          </cell>
          <cell r="C146" t="str">
            <v>Bronson; Jeffrey Wayne</v>
          </cell>
          <cell r="D146" t="str">
            <v>1</v>
          </cell>
          <cell r="E146" t="str">
            <v>IBEWOUT</v>
          </cell>
          <cell r="F146" t="str">
            <v>1245</v>
          </cell>
          <cell r="G146" t="str">
            <v>1</v>
          </cell>
          <cell r="H146">
            <v>1</v>
          </cell>
        </row>
        <row r="147">
          <cell r="B147">
            <v>2221</v>
          </cell>
          <cell r="C147" t="str">
            <v>Brown; Zebulun M</v>
          </cell>
          <cell r="D147" t="str">
            <v>1</v>
          </cell>
          <cell r="E147" t="str">
            <v>IBEWOUT</v>
          </cell>
          <cell r="F147" t="str">
            <v>77</v>
          </cell>
          <cell r="G147" t="str">
            <v>16</v>
          </cell>
          <cell r="H147">
            <v>0</v>
          </cell>
        </row>
        <row r="148">
          <cell r="B148">
            <v>2223</v>
          </cell>
          <cell r="C148" t="str">
            <v>Childers; Clayton J</v>
          </cell>
          <cell r="D148" t="str">
            <v>1C</v>
          </cell>
          <cell r="E148" t="str">
            <v>IBEWOUT</v>
          </cell>
          <cell r="F148" t="str">
            <v>77</v>
          </cell>
          <cell r="G148" t="str">
            <v>8</v>
          </cell>
          <cell r="H148">
            <v>0</v>
          </cell>
        </row>
        <row r="149">
          <cell r="B149">
            <v>2229</v>
          </cell>
          <cell r="C149" t="str">
            <v>Childs; Jeremy D</v>
          </cell>
          <cell r="D149" t="str">
            <v>1</v>
          </cell>
          <cell r="E149" t="str">
            <v>IBEWOUT</v>
          </cell>
          <cell r="F149" t="str">
            <v>47</v>
          </cell>
          <cell r="G149" t="str">
            <v>8</v>
          </cell>
          <cell r="H149">
            <v>0</v>
          </cell>
        </row>
        <row r="150">
          <cell r="B150">
            <v>2243</v>
          </cell>
          <cell r="C150" t="str">
            <v>Brown; Kevin C.</v>
          </cell>
          <cell r="D150" t="str">
            <v>1C</v>
          </cell>
          <cell r="E150" t="str">
            <v>IBEWOUT</v>
          </cell>
          <cell r="F150" t="str">
            <v>1245</v>
          </cell>
          <cell r="G150" t="str">
            <v>7</v>
          </cell>
          <cell r="H150">
            <v>0</v>
          </cell>
        </row>
        <row r="151">
          <cell r="B151">
            <v>2265</v>
          </cell>
          <cell r="C151" t="str">
            <v>Brothers; John W</v>
          </cell>
          <cell r="D151" t="str">
            <v>1C</v>
          </cell>
          <cell r="E151" t="str">
            <v/>
          </cell>
          <cell r="F151" t="str">
            <v/>
          </cell>
          <cell r="G151" t="str">
            <v/>
          </cell>
          <cell r="H151">
            <v>0</v>
          </cell>
        </row>
        <row r="152">
          <cell r="B152">
            <v>2268</v>
          </cell>
          <cell r="C152" t="str">
            <v>Brown; Richard R</v>
          </cell>
          <cell r="D152" t="str">
            <v>1C</v>
          </cell>
          <cell r="E152" t="str">
            <v>IBEWOUT</v>
          </cell>
          <cell r="F152" t="str">
            <v>126</v>
          </cell>
          <cell r="G152" t="str">
            <v>16</v>
          </cell>
          <cell r="H152">
            <v>0</v>
          </cell>
        </row>
        <row r="153">
          <cell r="B153">
            <v>2270</v>
          </cell>
          <cell r="C153" t="str">
            <v>Brown; Floyd W</v>
          </cell>
          <cell r="D153" t="str">
            <v>1C</v>
          </cell>
          <cell r="E153" t="str">
            <v>IBEWOUT</v>
          </cell>
          <cell r="F153" t="str">
            <v>769</v>
          </cell>
          <cell r="G153" t="str">
            <v>8</v>
          </cell>
          <cell r="H153">
            <v>0</v>
          </cell>
        </row>
        <row r="154">
          <cell r="B154">
            <v>2279</v>
          </cell>
          <cell r="C154" t="str">
            <v>Bruce; Carson L</v>
          </cell>
          <cell r="D154" t="str">
            <v>1C</v>
          </cell>
          <cell r="E154" t="str">
            <v>IBEWOUT</v>
          </cell>
          <cell r="F154" t="str">
            <v>1245</v>
          </cell>
          <cell r="G154" t="str">
            <v>7</v>
          </cell>
          <cell r="H154">
            <v>0</v>
          </cell>
        </row>
        <row r="155">
          <cell r="B155">
            <v>2341</v>
          </cell>
          <cell r="C155" t="str">
            <v>Buchanan; Jerrett S</v>
          </cell>
          <cell r="D155" t="str">
            <v>1C</v>
          </cell>
          <cell r="E155" t="str">
            <v>IBEWOUT</v>
          </cell>
          <cell r="F155" t="str">
            <v>125</v>
          </cell>
          <cell r="G155" t="str">
            <v>11</v>
          </cell>
          <cell r="H155">
            <v>0</v>
          </cell>
        </row>
        <row r="156">
          <cell r="B156">
            <v>2355</v>
          </cell>
          <cell r="C156" t="str">
            <v>Buitrago; Daniel Jesse</v>
          </cell>
          <cell r="D156" t="str">
            <v>1</v>
          </cell>
          <cell r="E156" t="str">
            <v>IBEWOUT</v>
          </cell>
          <cell r="F156" t="str">
            <v>47</v>
          </cell>
          <cell r="G156" t="str">
            <v>13</v>
          </cell>
          <cell r="H156">
            <v>0</v>
          </cell>
        </row>
        <row r="157">
          <cell r="B157">
            <v>2360</v>
          </cell>
          <cell r="C157" t="str">
            <v>Bunnell; Gregory L</v>
          </cell>
          <cell r="D157" t="str">
            <v>1C</v>
          </cell>
          <cell r="E157" t="str">
            <v>IBEWOUT</v>
          </cell>
          <cell r="F157" t="str">
            <v>1245</v>
          </cell>
          <cell r="G157" t="str">
            <v>8</v>
          </cell>
          <cell r="H157">
            <v>0</v>
          </cell>
        </row>
        <row r="158">
          <cell r="B158">
            <v>2365</v>
          </cell>
          <cell r="C158" t="str">
            <v>Burkhard; Christopher R</v>
          </cell>
          <cell r="D158" t="str">
            <v>1</v>
          </cell>
          <cell r="E158" t="str">
            <v>IBEWOUT</v>
          </cell>
          <cell r="F158" t="str">
            <v>611</v>
          </cell>
          <cell r="G158" t="str">
            <v>7</v>
          </cell>
          <cell r="H158">
            <v>0</v>
          </cell>
        </row>
        <row r="159">
          <cell r="B159">
            <v>2366</v>
          </cell>
          <cell r="C159" t="str">
            <v>Burchett; Justin D.</v>
          </cell>
          <cell r="D159" t="str">
            <v>1C</v>
          </cell>
          <cell r="E159" t="str">
            <v>IBEWOUT</v>
          </cell>
          <cell r="F159" t="str">
            <v>769</v>
          </cell>
          <cell r="G159" t="str">
            <v>15</v>
          </cell>
          <cell r="H159">
            <v>0</v>
          </cell>
        </row>
        <row r="160">
          <cell r="B160">
            <v>2369</v>
          </cell>
          <cell r="C160" t="str">
            <v>Burridge; Levi J</v>
          </cell>
          <cell r="D160" t="str">
            <v>1</v>
          </cell>
          <cell r="E160" t="str">
            <v>IBEWOUT</v>
          </cell>
          <cell r="F160" t="str">
            <v>1245</v>
          </cell>
          <cell r="G160" t="str">
            <v>9</v>
          </cell>
          <cell r="H160">
            <v>0</v>
          </cell>
        </row>
        <row r="161">
          <cell r="B161">
            <v>2380</v>
          </cell>
          <cell r="C161" t="str">
            <v>Bush; Jeffrey W.</v>
          </cell>
          <cell r="D161" t="str">
            <v>1C</v>
          </cell>
          <cell r="E161" t="str">
            <v>IBEWOUT</v>
          </cell>
          <cell r="F161" t="str">
            <v>769</v>
          </cell>
          <cell r="G161" t="str">
            <v>16</v>
          </cell>
          <cell r="H161">
            <v>0</v>
          </cell>
        </row>
        <row r="162">
          <cell r="B162">
            <v>2388</v>
          </cell>
          <cell r="C162" t="str">
            <v>Buswell; Gannon B.</v>
          </cell>
          <cell r="D162" t="str">
            <v>1</v>
          </cell>
          <cell r="E162" t="str">
            <v/>
          </cell>
          <cell r="F162" t="str">
            <v/>
          </cell>
          <cell r="G162" t="str">
            <v/>
          </cell>
          <cell r="H162">
            <v>1</v>
          </cell>
        </row>
        <row r="163">
          <cell r="B163">
            <v>2402</v>
          </cell>
          <cell r="C163" t="str">
            <v>Burt; Matthew P</v>
          </cell>
          <cell r="D163" t="str">
            <v>1C</v>
          </cell>
          <cell r="E163" t="str">
            <v>IBEWOUT</v>
          </cell>
          <cell r="F163" t="str">
            <v>47</v>
          </cell>
          <cell r="G163" t="str">
            <v>8</v>
          </cell>
          <cell r="H163">
            <v>0</v>
          </cell>
        </row>
        <row r="164">
          <cell r="B164">
            <v>2408</v>
          </cell>
          <cell r="C164" t="str">
            <v>Burnett; Eva M</v>
          </cell>
          <cell r="D164" t="str">
            <v>1C</v>
          </cell>
          <cell r="E164" t="str">
            <v>IBEWOUT</v>
          </cell>
          <cell r="F164" t="str">
            <v>47</v>
          </cell>
          <cell r="G164" t="str">
            <v>17</v>
          </cell>
          <cell r="H164">
            <v>0</v>
          </cell>
        </row>
        <row r="165">
          <cell r="B165">
            <v>2409</v>
          </cell>
          <cell r="C165" t="str">
            <v>Burns; Chad E</v>
          </cell>
          <cell r="D165" t="str">
            <v>1</v>
          </cell>
          <cell r="E165" t="str">
            <v>IBEWOUT</v>
          </cell>
          <cell r="F165" t="str">
            <v>1245</v>
          </cell>
          <cell r="G165" t="str">
            <v>17</v>
          </cell>
          <cell r="H165">
            <v>0</v>
          </cell>
        </row>
        <row r="166">
          <cell r="B166">
            <v>2420</v>
          </cell>
          <cell r="C166" t="str">
            <v>Butcher; Kody A.</v>
          </cell>
          <cell r="D166" t="str">
            <v>1C</v>
          </cell>
          <cell r="E166" t="str">
            <v>IBEWOUT</v>
          </cell>
          <cell r="F166" t="str">
            <v>1319</v>
          </cell>
          <cell r="G166" t="str">
            <v>12</v>
          </cell>
          <cell r="H166">
            <v>0</v>
          </cell>
        </row>
        <row r="167">
          <cell r="B167">
            <v>2425</v>
          </cell>
          <cell r="C167" t="str">
            <v>Bykonen; Shane R</v>
          </cell>
          <cell r="D167" t="str">
            <v>1</v>
          </cell>
          <cell r="E167" t="str">
            <v>IBEWOUT</v>
          </cell>
          <cell r="F167" t="str">
            <v>1245</v>
          </cell>
          <cell r="G167" t="str">
            <v>8</v>
          </cell>
          <cell r="H167">
            <v>0</v>
          </cell>
        </row>
        <row r="168">
          <cell r="B168">
            <v>2555</v>
          </cell>
          <cell r="C168" t="str">
            <v>Cain; Jonathan B</v>
          </cell>
          <cell r="D168" t="str">
            <v>1C</v>
          </cell>
          <cell r="E168" t="str">
            <v>IBEWOUT</v>
          </cell>
          <cell r="F168" t="str">
            <v>1245</v>
          </cell>
          <cell r="G168" t="str">
            <v>8</v>
          </cell>
          <cell r="H168">
            <v>0</v>
          </cell>
        </row>
        <row r="169">
          <cell r="B169">
            <v>2556</v>
          </cell>
          <cell r="C169" t="str">
            <v>Calhoun; Anthony R</v>
          </cell>
          <cell r="D169" t="str">
            <v>1C</v>
          </cell>
          <cell r="E169" t="str">
            <v>IBEWOUT</v>
          </cell>
          <cell r="F169" t="str">
            <v>1245</v>
          </cell>
          <cell r="G169" t="str">
            <v>8</v>
          </cell>
          <cell r="H169">
            <v>0</v>
          </cell>
        </row>
        <row r="170">
          <cell r="B170">
            <v>2557</v>
          </cell>
          <cell r="C170" t="str">
            <v>Caldwell; Shawn D.</v>
          </cell>
          <cell r="D170" t="str">
            <v>1</v>
          </cell>
          <cell r="E170" t="str">
            <v/>
          </cell>
          <cell r="F170" t="str">
            <v/>
          </cell>
          <cell r="G170" t="str">
            <v/>
          </cell>
          <cell r="H170">
            <v>1</v>
          </cell>
        </row>
        <row r="171">
          <cell r="B171">
            <v>2558</v>
          </cell>
          <cell r="C171" t="str">
            <v>Calvillo; Ramon C</v>
          </cell>
          <cell r="D171" t="str">
            <v>1C</v>
          </cell>
          <cell r="E171" t="str">
            <v>IBEWOUT</v>
          </cell>
          <cell r="F171" t="str">
            <v>47</v>
          </cell>
          <cell r="G171" t="str">
            <v>17</v>
          </cell>
          <cell r="H171">
            <v>0</v>
          </cell>
        </row>
        <row r="172">
          <cell r="B172">
            <v>2559</v>
          </cell>
          <cell r="C172" t="str">
            <v>Caldwell; Brian J</v>
          </cell>
          <cell r="D172" t="str">
            <v>1C</v>
          </cell>
          <cell r="E172" t="str">
            <v>IBEWOUT</v>
          </cell>
          <cell r="F172" t="str">
            <v>104</v>
          </cell>
          <cell r="G172" t="str">
            <v>8</v>
          </cell>
          <cell r="H172">
            <v>0</v>
          </cell>
        </row>
        <row r="173">
          <cell r="B173">
            <v>2560</v>
          </cell>
          <cell r="C173" t="str">
            <v>Cage; Cody M</v>
          </cell>
          <cell r="D173" t="str">
            <v>1C</v>
          </cell>
          <cell r="E173" t="str">
            <v>IBEWOUT</v>
          </cell>
          <cell r="F173" t="str">
            <v>1245</v>
          </cell>
          <cell r="G173" t="str">
            <v>8</v>
          </cell>
          <cell r="H173">
            <v>0</v>
          </cell>
        </row>
        <row r="174">
          <cell r="B174">
            <v>2561</v>
          </cell>
          <cell r="C174" t="str">
            <v>Caldwell; Randy C</v>
          </cell>
          <cell r="D174" t="str">
            <v>1C</v>
          </cell>
          <cell r="E174" t="str">
            <v>IBEWOUT</v>
          </cell>
          <cell r="F174" t="str">
            <v>1245</v>
          </cell>
          <cell r="G174" t="str">
            <v>8</v>
          </cell>
          <cell r="H174">
            <v>0</v>
          </cell>
        </row>
        <row r="175">
          <cell r="B175">
            <v>2562</v>
          </cell>
          <cell r="C175" t="str">
            <v>Cady; Chad M</v>
          </cell>
          <cell r="D175" t="str">
            <v>1</v>
          </cell>
          <cell r="E175" t="str">
            <v>IBEWOUT</v>
          </cell>
          <cell r="F175" t="str">
            <v>47</v>
          </cell>
          <cell r="G175" t="str">
            <v>17</v>
          </cell>
          <cell r="H175">
            <v>0</v>
          </cell>
        </row>
        <row r="176">
          <cell r="B176">
            <v>2571</v>
          </cell>
          <cell r="C176" t="str">
            <v>Carey; Sean A</v>
          </cell>
          <cell r="D176" t="str">
            <v>1</v>
          </cell>
          <cell r="E176" t="str">
            <v/>
          </cell>
          <cell r="F176" t="str">
            <v/>
          </cell>
          <cell r="G176" t="str">
            <v/>
          </cell>
          <cell r="H176">
            <v>0</v>
          </cell>
        </row>
        <row r="177">
          <cell r="B177">
            <v>2572</v>
          </cell>
          <cell r="C177" t="str">
            <v>Carbajal Jr.; Robert E</v>
          </cell>
          <cell r="D177" t="str">
            <v>1C</v>
          </cell>
          <cell r="E177" t="str">
            <v>IBEWOUT</v>
          </cell>
          <cell r="F177" t="str">
            <v>47</v>
          </cell>
          <cell r="G177" t="str">
            <v>8</v>
          </cell>
          <cell r="H177">
            <v>0</v>
          </cell>
        </row>
        <row r="178">
          <cell r="B178">
            <v>2575</v>
          </cell>
          <cell r="C178" t="str">
            <v>Carlon; Ramy M.</v>
          </cell>
          <cell r="D178" t="str">
            <v>1C</v>
          </cell>
          <cell r="E178" t="str">
            <v>IBEWOUT</v>
          </cell>
          <cell r="F178" t="str">
            <v>769</v>
          </cell>
          <cell r="G178" t="str">
            <v>20</v>
          </cell>
          <cell r="H178">
            <v>0</v>
          </cell>
        </row>
        <row r="179">
          <cell r="B179">
            <v>2584</v>
          </cell>
          <cell r="C179" t="str">
            <v>Campas; Abdullah J.</v>
          </cell>
          <cell r="D179" t="str">
            <v>1C</v>
          </cell>
          <cell r="E179" t="str">
            <v>IBEWOUT</v>
          </cell>
          <cell r="F179" t="str">
            <v>769</v>
          </cell>
          <cell r="G179" t="str">
            <v>13</v>
          </cell>
          <cell r="H179">
            <v>0</v>
          </cell>
        </row>
        <row r="180">
          <cell r="B180">
            <v>2591</v>
          </cell>
          <cell r="C180" t="str">
            <v>Camacho II; Christopher B</v>
          </cell>
          <cell r="D180" t="str">
            <v>1C</v>
          </cell>
          <cell r="E180" t="str">
            <v>IBEWOUT</v>
          </cell>
          <cell r="F180" t="str">
            <v>47</v>
          </cell>
          <cell r="G180" t="str">
            <v>13</v>
          </cell>
          <cell r="H180">
            <v>0</v>
          </cell>
        </row>
        <row r="181">
          <cell r="B181">
            <v>2597</v>
          </cell>
          <cell r="C181" t="str">
            <v>Campos; Hector A.</v>
          </cell>
          <cell r="D181" t="str">
            <v>1C</v>
          </cell>
          <cell r="E181" t="str">
            <v>IBEWOUT</v>
          </cell>
          <cell r="F181" t="str">
            <v>769</v>
          </cell>
          <cell r="G181" t="str">
            <v>16</v>
          </cell>
          <cell r="H181">
            <v>0</v>
          </cell>
        </row>
        <row r="182">
          <cell r="B182">
            <v>2616</v>
          </cell>
          <cell r="C182" t="str">
            <v>Carr; Jeffrey A</v>
          </cell>
          <cell r="D182" t="str">
            <v>1C</v>
          </cell>
          <cell r="E182" t="str">
            <v>IBEWOUT</v>
          </cell>
          <cell r="F182" t="str">
            <v>1245</v>
          </cell>
          <cell r="G182" t="str">
            <v>9</v>
          </cell>
          <cell r="H182">
            <v>0</v>
          </cell>
        </row>
        <row r="183">
          <cell r="B183">
            <v>2617</v>
          </cell>
          <cell r="C183" t="str">
            <v>Carlson; Dina M</v>
          </cell>
          <cell r="D183" t="str">
            <v>1</v>
          </cell>
          <cell r="E183" t="str">
            <v/>
          </cell>
          <cell r="F183" t="str">
            <v/>
          </cell>
          <cell r="G183" t="str">
            <v/>
          </cell>
          <cell r="H183">
            <v>1</v>
          </cell>
        </row>
        <row r="184">
          <cell r="B184">
            <v>2621</v>
          </cell>
          <cell r="C184" t="str">
            <v>Carlton; Ryan W</v>
          </cell>
          <cell r="D184" t="str">
            <v>1C</v>
          </cell>
          <cell r="E184" t="str">
            <v>IBEWOUT</v>
          </cell>
          <cell r="F184" t="str">
            <v>77</v>
          </cell>
          <cell r="G184" t="str">
            <v>8</v>
          </cell>
          <cell r="H184">
            <v>0</v>
          </cell>
        </row>
        <row r="185">
          <cell r="B185">
            <v>2622</v>
          </cell>
          <cell r="C185" t="str">
            <v>Carmona; Jonathan H</v>
          </cell>
          <cell r="D185" t="str">
            <v>1C</v>
          </cell>
          <cell r="E185" t="str">
            <v>IBEWOUT</v>
          </cell>
          <cell r="F185" t="str">
            <v>1245</v>
          </cell>
          <cell r="G185" t="str">
            <v>17</v>
          </cell>
          <cell r="H185">
            <v>0</v>
          </cell>
        </row>
        <row r="186">
          <cell r="B186">
            <v>2623</v>
          </cell>
          <cell r="C186" t="str">
            <v>Carrillo; Kylie Dianne</v>
          </cell>
          <cell r="D186" t="str">
            <v>1C</v>
          </cell>
          <cell r="E186" t="str">
            <v/>
          </cell>
          <cell r="F186" t="str">
            <v/>
          </cell>
          <cell r="G186" t="str">
            <v/>
          </cell>
          <cell r="H186">
            <v>0</v>
          </cell>
        </row>
        <row r="187">
          <cell r="B187">
            <v>2626</v>
          </cell>
          <cell r="C187" t="str">
            <v>Carstensen; Joshua J</v>
          </cell>
          <cell r="D187" t="str">
            <v>1C</v>
          </cell>
          <cell r="E187" t="str">
            <v>IBEWOUT</v>
          </cell>
          <cell r="F187" t="str">
            <v>769</v>
          </cell>
          <cell r="G187" t="str">
            <v>8</v>
          </cell>
          <cell r="H187">
            <v>0</v>
          </cell>
        </row>
        <row r="188">
          <cell r="B188">
            <v>2627</v>
          </cell>
          <cell r="C188" t="str">
            <v>Carter; Andrew R.</v>
          </cell>
          <cell r="D188" t="str">
            <v>1C</v>
          </cell>
          <cell r="E188" t="str">
            <v/>
          </cell>
          <cell r="F188" t="str">
            <v/>
          </cell>
          <cell r="G188" t="str">
            <v/>
          </cell>
          <cell r="H188">
            <v>0</v>
          </cell>
        </row>
        <row r="189">
          <cell r="B189">
            <v>2628</v>
          </cell>
          <cell r="C189" t="str">
            <v>Carter; Craig A</v>
          </cell>
          <cell r="D189" t="str">
            <v>1C</v>
          </cell>
          <cell r="E189" t="str">
            <v>IBEWOUT</v>
          </cell>
          <cell r="F189" t="str">
            <v>602R</v>
          </cell>
          <cell r="G189" t="str">
            <v>10T</v>
          </cell>
          <cell r="H189">
            <v>0</v>
          </cell>
        </row>
        <row r="190">
          <cell r="B190">
            <v>2631</v>
          </cell>
          <cell r="C190" t="str">
            <v>Carter; Richard Ashley</v>
          </cell>
          <cell r="D190" t="str">
            <v>1</v>
          </cell>
          <cell r="E190" t="str">
            <v/>
          </cell>
          <cell r="F190" t="str">
            <v/>
          </cell>
          <cell r="G190" t="str">
            <v/>
          </cell>
          <cell r="H190">
            <v>0</v>
          </cell>
        </row>
        <row r="191">
          <cell r="B191">
            <v>2634</v>
          </cell>
          <cell r="C191" t="str">
            <v>Case; Kory V</v>
          </cell>
          <cell r="D191" t="str">
            <v>1</v>
          </cell>
          <cell r="E191" t="str">
            <v>IBEWOUT</v>
          </cell>
          <cell r="F191" t="str">
            <v>1245</v>
          </cell>
          <cell r="G191" t="str">
            <v>1</v>
          </cell>
          <cell r="H191">
            <v>0</v>
          </cell>
        </row>
        <row r="192">
          <cell r="B192">
            <v>2635</v>
          </cell>
          <cell r="C192" t="str">
            <v>Case; Scott R</v>
          </cell>
          <cell r="D192" t="str">
            <v>1C</v>
          </cell>
          <cell r="E192" t="str">
            <v>IBEWOUT</v>
          </cell>
          <cell r="F192" t="str">
            <v>47</v>
          </cell>
          <cell r="G192" t="str">
            <v>8</v>
          </cell>
          <cell r="H192">
            <v>0</v>
          </cell>
        </row>
        <row r="193">
          <cell r="B193">
            <v>2637</v>
          </cell>
          <cell r="C193" t="str">
            <v>Casey; Justin B</v>
          </cell>
          <cell r="D193" t="str">
            <v>1C</v>
          </cell>
          <cell r="E193" t="str">
            <v>IBEWOUT</v>
          </cell>
          <cell r="F193" t="str">
            <v>1245</v>
          </cell>
          <cell r="G193" t="str">
            <v>12</v>
          </cell>
          <cell r="H193">
            <v>0</v>
          </cell>
        </row>
        <row r="194">
          <cell r="B194">
            <v>2638</v>
          </cell>
          <cell r="C194" t="str">
            <v>Cashman; William Brady</v>
          </cell>
          <cell r="D194" t="str">
            <v>1C</v>
          </cell>
          <cell r="E194" t="str">
            <v/>
          </cell>
          <cell r="F194" t="str">
            <v/>
          </cell>
          <cell r="G194" t="str">
            <v/>
          </cell>
          <cell r="H194">
            <v>0</v>
          </cell>
        </row>
        <row r="195">
          <cell r="B195">
            <v>2640</v>
          </cell>
          <cell r="C195" t="str">
            <v>Cavanaugh; Thomas</v>
          </cell>
          <cell r="D195" t="str">
            <v>1C</v>
          </cell>
          <cell r="E195" t="str">
            <v>IBEWOUT</v>
          </cell>
          <cell r="F195" t="str">
            <v>104</v>
          </cell>
          <cell r="G195" t="str">
            <v>33</v>
          </cell>
          <cell r="H195">
            <v>0</v>
          </cell>
        </row>
        <row r="196">
          <cell r="B196">
            <v>2641</v>
          </cell>
          <cell r="C196" t="str">
            <v>Caves; Dustan L</v>
          </cell>
          <cell r="D196" t="str">
            <v>1C</v>
          </cell>
          <cell r="E196" t="str">
            <v>IBEWOUT</v>
          </cell>
          <cell r="F196" t="str">
            <v>602R</v>
          </cell>
          <cell r="G196" t="str">
            <v>8</v>
          </cell>
          <cell r="H196">
            <v>0</v>
          </cell>
        </row>
        <row r="197">
          <cell r="B197">
            <v>2642</v>
          </cell>
          <cell r="C197" t="str">
            <v>Cavin; Brandon Michael</v>
          </cell>
          <cell r="D197" t="str">
            <v>1</v>
          </cell>
          <cell r="E197" t="str">
            <v>IBEWOUT</v>
          </cell>
          <cell r="F197" t="str">
            <v>47</v>
          </cell>
          <cell r="G197" t="str">
            <v>8</v>
          </cell>
          <cell r="H197">
            <v>0</v>
          </cell>
        </row>
        <row r="198">
          <cell r="B198">
            <v>2643</v>
          </cell>
          <cell r="C198" t="str">
            <v>Cedillo; Ceasar A</v>
          </cell>
          <cell r="D198" t="str">
            <v>1C</v>
          </cell>
          <cell r="E198" t="str">
            <v>IBEWOUT</v>
          </cell>
          <cell r="F198" t="str">
            <v>47</v>
          </cell>
          <cell r="G198" t="str">
            <v>15</v>
          </cell>
          <cell r="H198">
            <v>0</v>
          </cell>
        </row>
        <row r="199">
          <cell r="B199">
            <v>2646</v>
          </cell>
          <cell r="C199" t="str">
            <v>Castillo; Rudy Remigio</v>
          </cell>
          <cell r="D199" t="str">
            <v>1C</v>
          </cell>
          <cell r="E199" t="str">
            <v>IBEWOUT</v>
          </cell>
          <cell r="F199" t="str">
            <v>47</v>
          </cell>
          <cell r="G199" t="str">
            <v>8</v>
          </cell>
          <cell r="H199">
            <v>0</v>
          </cell>
        </row>
        <row r="200">
          <cell r="B200">
            <v>2647</v>
          </cell>
          <cell r="C200" t="str">
            <v>Castellon; Luis R</v>
          </cell>
          <cell r="D200" t="str">
            <v>1C</v>
          </cell>
          <cell r="E200" t="str">
            <v>IBEWOUT</v>
          </cell>
          <cell r="F200" t="str">
            <v>1245</v>
          </cell>
          <cell r="G200" t="str">
            <v>17</v>
          </cell>
          <cell r="H200">
            <v>0</v>
          </cell>
        </row>
        <row r="201">
          <cell r="B201">
            <v>2652</v>
          </cell>
          <cell r="C201" t="str">
            <v>Catlin; Jeffrey A</v>
          </cell>
          <cell r="D201" t="str">
            <v>1C</v>
          </cell>
          <cell r="E201" t="str">
            <v>IBEWOUT</v>
          </cell>
          <cell r="F201" t="str">
            <v>1245</v>
          </cell>
          <cell r="G201" t="str">
            <v>16</v>
          </cell>
          <cell r="H201">
            <v>0</v>
          </cell>
        </row>
        <row r="202">
          <cell r="B202">
            <v>2653</v>
          </cell>
          <cell r="C202" t="str">
            <v>Campbell; Aaron D</v>
          </cell>
          <cell r="D202" t="str">
            <v>1C</v>
          </cell>
          <cell r="E202" t="str">
            <v>IBEWOUT</v>
          </cell>
          <cell r="F202" t="str">
            <v>77</v>
          </cell>
          <cell r="G202" t="str">
            <v>8</v>
          </cell>
          <cell r="H202">
            <v>0</v>
          </cell>
        </row>
        <row r="203">
          <cell r="B203">
            <v>2658</v>
          </cell>
          <cell r="C203" t="str">
            <v>Casey; Austin J</v>
          </cell>
          <cell r="D203" t="str">
            <v>1C</v>
          </cell>
          <cell r="E203" t="str">
            <v/>
          </cell>
          <cell r="F203" t="str">
            <v/>
          </cell>
          <cell r="G203" t="str">
            <v/>
          </cell>
          <cell r="H203">
            <v>1</v>
          </cell>
        </row>
        <row r="204">
          <cell r="B204">
            <v>2662</v>
          </cell>
          <cell r="C204" t="str">
            <v>Castle; Nicholas C.</v>
          </cell>
          <cell r="D204" t="str">
            <v>1C</v>
          </cell>
          <cell r="E204" t="str">
            <v>IBEWOUT</v>
          </cell>
          <cell r="F204" t="str">
            <v>47</v>
          </cell>
          <cell r="G204" t="str">
            <v>8</v>
          </cell>
          <cell r="H204">
            <v>0</v>
          </cell>
        </row>
        <row r="205">
          <cell r="B205">
            <v>2670</v>
          </cell>
          <cell r="C205" t="str">
            <v>Cartwright; Brandon J</v>
          </cell>
          <cell r="D205" t="str">
            <v>1C</v>
          </cell>
          <cell r="E205" t="str">
            <v>IBEWOUT</v>
          </cell>
          <cell r="F205" t="str">
            <v>1245</v>
          </cell>
          <cell r="G205" t="str">
            <v>8</v>
          </cell>
          <cell r="H205">
            <v>0</v>
          </cell>
        </row>
        <row r="206">
          <cell r="B206">
            <v>2707</v>
          </cell>
          <cell r="C206" t="str">
            <v>Champion; Rusty D.</v>
          </cell>
          <cell r="D206" t="str">
            <v>1C</v>
          </cell>
          <cell r="E206" t="str">
            <v>IBEWOUT</v>
          </cell>
          <cell r="F206" t="str">
            <v>47</v>
          </cell>
          <cell r="G206" t="str">
            <v>17</v>
          </cell>
          <cell r="H206">
            <v>0</v>
          </cell>
        </row>
        <row r="207">
          <cell r="B207">
            <v>2709</v>
          </cell>
          <cell r="C207" t="str">
            <v>Champagne; Ronald R</v>
          </cell>
          <cell r="D207" t="str">
            <v>1C</v>
          </cell>
          <cell r="E207" t="str">
            <v>IBEWOUT</v>
          </cell>
          <cell r="F207" t="str">
            <v>47</v>
          </cell>
          <cell r="G207" t="str">
            <v>8</v>
          </cell>
          <cell r="H207">
            <v>0</v>
          </cell>
        </row>
        <row r="208">
          <cell r="B208">
            <v>2715</v>
          </cell>
          <cell r="C208" t="str">
            <v>Cheatham; Daryl T.</v>
          </cell>
          <cell r="D208" t="str">
            <v>1C</v>
          </cell>
          <cell r="E208" t="str">
            <v>IBEWOUT</v>
          </cell>
          <cell r="F208" t="str">
            <v>47</v>
          </cell>
          <cell r="G208" t="str">
            <v>8</v>
          </cell>
          <cell r="H208">
            <v>0</v>
          </cell>
        </row>
        <row r="209">
          <cell r="B209">
            <v>2716</v>
          </cell>
          <cell r="C209" t="str">
            <v>Chemaly; James Arthur</v>
          </cell>
          <cell r="D209" t="str">
            <v>1</v>
          </cell>
          <cell r="E209" t="str">
            <v>IBEWOUT</v>
          </cell>
          <cell r="F209" t="str">
            <v>769</v>
          </cell>
          <cell r="G209" t="str">
            <v>7</v>
          </cell>
          <cell r="H209">
            <v>0</v>
          </cell>
        </row>
        <row r="210">
          <cell r="B210">
            <v>2718</v>
          </cell>
          <cell r="C210" t="str">
            <v>Chew; Seth D</v>
          </cell>
          <cell r="D210" t="str">
            <v>1C</v>
          </cell>
          <cell r="E210" t="str">
            <v>IBEWOUT</v>
          </cell>
          <cell r="F210" t="str">
            <v>1245</v>
          </cell>
          <cell r="G210" t="str">
            <v>8</v>
          </cell>
          <cell r="H210">
            <v>0</v>
          </cell>
        </row>
        <row r="211">
          <cell r="B211">
            <v>2722</v>
          </cell>
          <cell r="C211" t="str">
            <v>Chennault; Jacob</v>
          </cell>
          <cell r="D211" t="str">
            <v>1C</v>
          </cell>
          <cell r="E211" t="str">
            <v>IBEWOUT</v>
          </cell>
          <cell r="F211" t="str">
            <v>1245</v>
          </cell>
          <cell r="G211" t="str">
            <v>8</v>
          </cell>
          <cell r="H211">
            <v>0</v>
          </cell>
        </row>
        <row r="212">
          <cell r="B212">
            <v>2724</v>
          </cell>
          <cell r="C212" t="str">
            <v>Choron; Romuald Laurent</v>
          </cell>
          <cell r="D212" t="str">
            <v>1C</v>
          </cell>
          <cell r="E212" t="str">
            <v>IBEWOUT</v>
          </cell>
          <cell r="F212" t="str">
            <v>1245</v>
          </cell>
          <cell r="G212" t="str">
            <v>8</v>
          </cell>
          <cell r="H212">
            <v>0</v>
          </cell>
        </row>
        <row r="213">
          <cell r="B213">
            <v>2726</v>
          </cell>
          <cell r="C213" t="str">
            <v>Ciddio; Perez L</v>
          </cell>
          <cell r="D213" t="str">
            <v>1C</v>
          </cell>
          <cell r="E213" t="str">
            <v>IBEWOUT</v>
          </cell>
          <cell r="F213" t="str">
            <v>611</v>
          </cell>
          <cell r="G213" t="str">
            <v>1</v>
          </cell>
          <cell r="H213">
            <v>0</v>
          </cell>
        </row>
        <row r="214">
          <cell r="B214">
            <v>2751</v>
          </cell>
          <cell r="C214" t="str">
            <v>Clark; Benjamin F</v>
          </cell>
          <cell r="D214" t="str">
            <v>1C</v>
          </cell>
          <cell r="E214" t="str">
            <v>IBEWOUT</v>
          </cell>
          <cell r="F214" t="str">
            <v>1245</v>
          </cell>
          <cell r="G214" t="str">
            <v>8</v>
          </cell>
          <cell r="H214">
            <v>0</v>
          </cell>
        </row>
        <row r="215">
          <cell r="B215">
            <v>2753</v>
          </cell>
          <cell r="C215" t="str">
            <v>Clardy; Ryan R</v>
          </cell>
          <cell r="D215" t="str">
            <v>1C</v>
          </cell>
          <cell r="E215" t="str">
            <v>IBEWOUT</v>
          </cell>
          <cell r="F215" t="str">
            <v>602R</v>
          </cell>
          <cell r="G215" t="str">
            <v>8</v>
          </cell>
          <cell r="H215">
            <v>0</v>
          </cell>
        </row>
        <row r="216">
          <cell r="B216">
            <v>2757</v>
          </cell>
          <cell r="C216" t="str">
            <v>Clark; Milton Jay</v>
          </cell>
          <cell r="D216" t="str">
            <v>1</v>
          </cell>
          <cell r="E216" t="str">
            <v>IBEWOUT</v>
          </cell>
          <cell r="F216" t="str">
            <v>47</v>
          </cell>
          <cell r="G216" t="str">
            <v>1</v>
          </cell>
          <cell r="H216">
            <v>0</v>
          </cell>
        </row>
        <row r="217">
          <cell r="B217">
            <v>2759</v>
          </cell>
          <cell r="C217" t="str">
            <v>Clark; Stephen L</v>
          </cell>
          <cell r="D217" t="str">
            <v>1</v>
          </cell>
          <cell r="E217" t="str">
            <v>IBEWOUT</v>
          </cell>
          <cell r="F217" t="str">
            <v>47</v>
          </cell>
          <cell r="G217" t="str">
            <v>8</v>
          </cell>
          <cell r="H217">
            <v>0</v>
          </cell>
        </row>
        <row r="218">
          <cell r="B218">
            <v>2761</v>
          </cell>
          <cell r="C218" t="str">
            <v>Cline; Luke Gordon</v>
          </cell>
          <cell r="D218" t="str">
            <v>1</v>
          </cell>
          <cell r="E218" t="str">
            <v>IBEWOUT</v>
          </cell>
          <cell r="F218" t="str">
            <v>1245</v>
          </cell>
          <cell r="G218" t="str">
            <v>8</v>
          </cell>
          <cell r="H218">
            <v>0</v>
          </cell>
        </row>
        <row r="219">
          <cell r="B219">
            <v>2790</v>
          </cell>
          <cell r="C219" t="str">
            <v>Clawson; Robert R.</v>
          </cell>
          <cell r="D219" t="str">
            <v>1C</v>
          </cell>
          <cell r="E219" t="str">
            <v>IBEWOUT</v>
          </cell>
          <cell r="F219" t="str">
            <v>1245</v>
          </cell>
          <cell r="G219" t="str">
            <v>8</v>
          </cell>
          <cell r="H219">
            <v>0</v>
          </cell>
        </row>
        <row r="220">
          <cell r="B220">
            <v>2796</v>
          </cell>
          <cell r="C220" t="str">
            <v>Clay Jr.; Michael R.</v>
          </cell>
          <cell r="D220" t="str">
            <v>1C</v>
          </cell>
          <cell r="E220" t="str">
            <v>IBEWOUT</v>
          </cell>
          <cell r="F220" t="str">
            <v>47</v>
          </cell>
          <cell r="G220" t="str">
            <v>8</v>
          </cell>
          <cell r="H220">
            <v>0</v>
          </cell>
        </row>
        <row r="221">
          <cell r="B221">
            <v>2798</v>
          </cell>
          <cell r="C221" t="str">
            <v>Chesser; Ronnie E</v>
          </cell>
          <cell r="D221" t="str">
            <v>1</v>
          </cell>
          <cell r="E221" t="str">
            <v>IBEWOUT</v>
          </cell>
          <cell r="F221" t="str">
            <v>1245</v>
          </cell>
          <cell r="G221" t="str">
            <v>7</v>
          </cell>
          <cell r="H221">
            <v>0</v>
          </cell>
        </row>
        <row r="222">
          <cell r="B222">
            <v>2802</v>
          </cell>
          <cell r="C222" t="str">
            <v>Clements; Joshua J.</v>
          </cell>
          <cell r="D222" t="str">
            <v>1C</v>
          </cell>
          <cell r="E222" t="str">
            <v>IBEWOUT</v>
          </cell>
          <cell r="F222" t="str">
            <v>77</v>
          </cell>
          <cell r="G222" t="str">
            <v>7</v>
          </cell>
          <cell r="H222">
            <v>0</v>
          </cell>
        </row>
        <row r="223">
          <cell r="B223">
            <v>2803</v>
          </cell>
          <cell r="C223" t="str">
            <v>Chandler; Allen L</v>
          </cell>
          <cell r="D223" t="str">
            <v>1C</v>
          </cell>
          <cell r="E223" t="str">
            <v>IBEWOUT</v>
          </cell>
          <cell r="F223" t="str">
            <v>77</v>
          </cell>
          <cell r="G223" t="str">
            <v>17</v>
          </cell>
          <cell r="H223">
            <v>0</v>
          </cell>
        </row>
        <row r="224">
          <cell r="B224">
            <v>2805</v>
          </cell>
          <cell r="C224" t="str">
            <v>Chavez; Eugene G</v>
          </cell>
          <cell r="D224" t="str">
            <v>1C</v>
          </cell>
          <cell r="E224" t="str">
            <v>IBEWOUT</v>
          </cell>
          <cell r="F224" t="str">
            <v>611</v>
          </cell>
          <cell r="G224" t="str">
            <v>17</v>
          </cell>
          <cell r="H224">
            <v>0</v>
          </cell>
        </row>
        <row r="225">
          <cell r="B225">
            <v>2807</v>
          </cell>
          <cell r="C225" t="str">
            <v>Chavez Herrara; Jared</v>
          </cell>
          <cell r="D225" t="str">
            <v>1C</v>
          </cell>
          <cell r="E225" t="str">
            <v/>
          </cell>
          <cell r="F225" t="str">
            <v/>
          </cell>
          <cell r="G225" t="str">
            <v/>
          </cell>
          <cell r="H225">
            <v>0</v>
          </cell>
        </row>
        <row r="226">
          <cell r="B226">
            <v>2815</v>
          </cell>
          <cell r="C226" t="str">
            <v>Christopherson; Stephanie M</v>
          </cell>
          <cell r="D226" t="str">
            <v>1</v>
          </cell>
          <cell r="E226" t="str">
            <v/>
          </cell>
          <cell r="F226" t="str">
            <v/>
          </cell>
          <cell r="G226" t="str">
            <v/>
          </cell>
          <cell r="H226">
            <v>1</v>
          </cell>
        </row>
        <row r="227">
          <cell r="B227">
            <v>2816</v>
          </cell>
          <cell r="C227" t="str">
            <v>Christopherson; Isaac Jo</v>
          </cell>
          <cell r="D227" t="str">
            <v>1</v>
          </cell>
          <cell r="E227" t="str">
            <v>IBEWOUT</v>
          </cell>
          <cell r="F227" t="str">
            <v>125</v>
          </cell>
          <cell r="G227" t="str">
            <v>1</v>
          </cell>
          <cell r="H227">
            <v>0</v>
          </cell>
        </row>
        <row r="228">
          <cell r="B228">
            <v>2817</v>
          </cell>
          <cell r="C228" t="str">
            <v>Christie; John Vincent</v>
          </cell>
          <cell r="D228" t="str">
            <v>1C</v>
          </cell>
          <cell r="E228" t="str">
            <v>IBEWOUT</v>
          </cell>
          <cell r="F228" t="str">
            <v>769</v>
          </cell>
          <cell r="G228" t="str">
            <v>8</v>
          </cell>
          <cell r="H228">
            <v>0</v>
          </cell>
        </row>
        <row r="229">
          <cell r="B229">
            <v>2822</v>
          </cell>
          <cell r="C229" t="str">
            <v>Chaves Jr; Arthur R</v>
          </cell>
          <cell r="D229" t="str">
            <v>1C</v>
          </cell>
          <cell r="E229" t="str">
            <v>IBEWOUT</v>
          </cell>
          <cell r="F229" t="str">
            <v>47</v>
          </cell>
          <cell r="G229" t="str">
            <v>17</v>
          </cell>
          <cell r="H229">
            <v>0</v>
          </cell>
        </row>
        <row r="230">
          <cell r="B230">
            <v>2830</v>
          </cell>
          <cell r="C230" t="str">
            <v>Christensen; Shane M</v>
          </cell>
          <cell r="D230" t="str">
            <v>1</v>
          </cell>
          <cell r="E230" t="str">
            <v>IBEWOUT</v>
          </cell>
          <cell r="F230" t="str">
            <v>47</v>
          </cell>
          <cell r="G230" t="str">
            <v>7</v>
          </cell>
          <cell r="H230">
            <v>0</v>
          </cell>
        </row>
        <row r="231">
          <cell r="B231">
            <v>2834</v>
          </cell>
          <cell r="C231" t="str">
            <v>Clause; Jason James</v>
          </cell>
          <cell r="D231" t="str">
            <v>1C</v>
          </cell>
          <cell r="E231" t="str">
            <v>IBEWOUT</v>
          </cell>
          <cell r="F231" t="str">
            <v>1245</v>
          </cell>
          <cell r="G231" t="str">
            <v>8</v>
          </cell>
          <cell r="H231">
            <v>0</v>
          </cell>
        </row>
        <row r="232">
          <cell r="B232">
            <v>2856</v>
          </cell>
          <cell r="C232" t="str">
            <v>Collins; John C</v>
          </cell>
          <cell r="D232" t="str">
            <v>1C</v>
          </cell>
          <cell r="E232" t="str">
            <v/>
          </cell>
          <cell r="F232" t="str">
            <v/>
          </cell>
          <cell r="G232" t="str">
            <v/>
          </cell>
          <cell r="H232">
            <v>0</v>
          </cell>
        </row>
        <row r="233">
          <cell r="B233">
            <v>2881</v>
          </cell>
          <cell r="C233" t="str">
            <v>Conner; Michael Joseph</v>
          </cell>
          <cell r="D233" t="str">
            <v>1C</v>
          </cell>
          <cell r="E233" t="str">
            <v>IBEWOUT</v>
          </cell>
          <cell r="F233" t="str">
            <v>47</v>
          </cell>
          <cell r="G233" t="str">
            <v>16</v>
          </cell>
          <cell r="H233">
            <v>0</v>
          </cell>
        </row>
        <row r="234">
          <cell r="B234">
            <v>2884</v>
          </cell>
          <cell r="C234" t="str">
            <v>Cohen; Steven J</v>
          </cell>
          <cell r="D234" t="str">
            <v>1C</v>
          </cell>
          <cell r="E234" t="str">
            <v>OPERT ENG</v>
          </cell>
          <cell r="F234" t="str">
            <v>138</v>
          </cell>
          <cell r="G234" t="str">
            <v>34</v>
          </cell>
          <cell r="H234">
            <v>0</v>
          </cell>
        </row>
        <row r="235">
          <cell r="B235">
            <v>2885</v>
          </cell>
          <cell r="C235" t="str">
            <v>Coleman; David L</v>
          </cell>
          <cell r="D235" t="str">
            <v>1C</v>
          </cell>
          <cell r="E235" t="str">
            <v>IBEWOUT</v>
          </cell>
          <cell r="F235" t="str">
            <v>1245</v>
          </cell>
          <cell r="G235" t="str">
            <v>7</v>
          </cell>
          <cell r="H235">
            <v>0</v>
          </cell>
        </row>
        <row r="236">
          <cell r="B236">
            <v>2886</v>
          </cell>
          <cell r="C236" t="str">
            <v>Coleman; David Scott</v>
          </cell>
          <cell r="D236" t="str">
            <v>1C</v>
          </cell>
          <cell r="E236" t="str">
            <v>IBEWOUT</v>
          </cell>
          <cell r="F236" t="str">
            <v>769</v>
          </cell>
          <cell r="G236" t="str">
            <v>16</v>
          </cell>
          <cell r="H236">
            <v>0</v>
          </cell>
        </row>
        <row r="237">
          <cell r="B237">
            <v>2889</v>
          </cell>
          <cell r="C237" t="str">
            <v>Condoll; Brenton K.</v>
          </cell>
          <cell r="D237" t="str">
            <v>1C</v>
          </cell>
          <cell r="E237" t="str">
            <v>IBEWOUT</v>
          </cell>
          <cell r="F237" t="str">
            <v>769</v>
          </cell>
          <cell r="G237" t="str">
            <v>8</v>
          </cell>
          <cell r="H237">
            <v>0</v>
          </cell>
        </row>
        <row r="238">
          <cell r="B238">
            <v>2890</v>
          </cell>
          <cell r="C238" t="str">
            <v>Connor; Phillip A.</v>
          </cell>
          <cell r="D238" t="str">
            <v>1</v>
          </cell>
          <cell r="E238" t="str">
            <v/>
          </cell>
          <cell r="F238" t="str">
            <v/>
          </cell>
          <cell r="G238" t="str">
            <v/>
          </cell>
          <cell r="H238">
            <v>1</v>
          </cell>
        </row>
        <row r="239">
          <cell r="B239">
            <v>2893</v>
          </cell>
          <cell r="C239" t="str">
            <v>Churchman; Garyn M</v>
          </cell>
          <cell r="D239" t="str">
            <v>1C</v>
          </cell>
          <cell r="E239" t="str">
            <v>IBEWOUT</v>
          </cell>
          <cell r="F239" t="str">
            <v>77</v>
          </cell>
          <cell r="G239" t="str">
            <v>11</v>
          </cell>
          <cell r="H239">
            <v>0</v>
          </cell>
        </row>
        <row r="240">
          <cell r="B240">
            <v>2894</v>
          </cell>
          <cell r="C240" t="str">
            <v>Coffelt; Kenneth</v>
          </cell>
          <cell r="D240" t="str">
            <v>1C</v>
          </cell>
          <cell r="E240" t="str">
            <v/>
          </cell>
          <cell r="F240" t="str">
            <v/>
          </cell>
          <cell r="G240" t="str">
            <v/>
          </cell>
          <cell r="H240">
            <v>0</v>
          </cell>
        </row>
        <row r="241">
          <cell r="B241">
            <v>2897</v>
          </cell>
          <cell r="C241" t="str">
            <v>Conrad; Pamela A</v>
          </cell>
          <cell r="D241" t="str">
            <v>1C</v>
          </cell>
          <cell r="E241" t="str">
            <v>IBEWOUT</v>
          </cell>
          <cell r="F241" t="str">
            <v>769</v>
          </cell>
          <cell r="G241" t="str">
            <v>7</v>
          </cell>
          <cell r="H241">
            <v>0</v>
          </cell>
        </row>
        <row r="242">
          <cell r="B242">
            <v>2899</v>
          </cell>
          <cell r="C242" t="str">
            <v>Conrad; Thomas H</v>
          </cell>
          <cell r="D242" t="str">
            <v>1C</v>
          </cell>
          <cell r="E242" t="str">
            <v>IBEWOUT</v>
          </cell>
          <cell r="F242" t="str">
            <v>769</v>
          </cell>
          <cell r="G242" t="str">
            <v>7</v>
          </cell>
          <cell r="H242">
            <v>0</v>
          </cell>
        </row>
        <row r="243">
          <cell r="B243">
            <v>2902</v>
          </cell>
          <cell r="C243" t="str">
            <v>Colvin; Brian M</v>
          </cell>
          <cell r="D243" t="str">
            <v>1C</v>
          </cell>
          <cell r="E243" t="str">
            <v>IBEWOUT</v>
          </cell>
          <cell r="F243" t="str">
            <v>1245</v>
          </cell>
          <cell r="G243" t="str">
            <v>8</v>
          </cell>
          <cell r="H243">
            <v>0</v>
          </cell>
        </row>
        <row r="244">
          <cell r="B244">
            <v>2903</v>
          </cell>
          <cell r="C244" t="str">
            <v>Conde; Carleton John</v>
          </cell>
          <cell r="D244" t="str">
            <v>1C</v>
          </cell>
          <cell r="E244" t="str">
            <v>IBEWOUT</v>
          </cell>
          <cell r="F244" t="str">
            <v>769</v>
          </cell>
          <cell r="G244" t="str">
            <v>22</v>
          </cell>
          <cell r="H244">
            <v>0</v>
          </cell>
        </row>
        <row r="245">
          <cell r="B245">
            <v>2904</v>
          </cell>
          <cell r="C245" t="str">
            <v>Cole Jr.; William C.</v>
          </cell>
          <cell r="D245" t="str">
            <v>1C</v>
          </cell>
          <cell r="E245" t="str">
            <v/>
          </cell>
          <cell r="F245" t="str">
            <v/>
          </cell>
          <cell r="G245" t="str">
            <v/>
          </cell>
          <cell r="H245">
            <v>0</v>
          </cell>
        </row>
        <row r="246">
          <cell r="B246">
            <v>2905</v>
          </cell>
          <cell r="C246" t="str">
            <v>Cocotis; Shayne G.</v>
          </cell>
          <cell r="D246" t="str">
            <v>1C</v>
          </cell>
          <cell r="E246" t="str">
            <v>IBEWOUT</v>
          </cell>
          <cell r="F246" t="str">
            <v>1245</v>
          </cell>
          <cell r="G246" t="str">
            <v>14</v>
          </cell>
          <cell r="H246">
            <v>0</v>
          </cell>
        </row>
        <row r="247">
          <cell r="B247">
            <v>2909</v>
          </cell>
          <cell r="C247" t="str">
            <v>Comer; James S</v>
          </cell>
          <cell r="D247" t="str">
            <v>1C</v>
          </cell>
          <cell r="E247" t="str">
            <v>IBEWOUT</v>
          </cell>
          <cell r="F247" t="str">
            <v>1049</v>
          </cell>
          <cell r="G247" t="str">
            <v>8</v>
          </cell>
          <cell r="H247">
            <v>0</v>
          </cell>
        </row>
        <row r="248">
          <cell r="B248">
            <v>2912</v>
          </cell>
          <cell r="C248" t="str">
            <v>Conway; Dustyn D</v>
          </cell>
          <cell r="D248" t="str">
            <v>1</v>
          </cell>
          <cell r="E248" t="str">
            <v>IBEWOUT</v>
          </cell>
          <cell r="F248" t="str">
            <v>1245</v>
          </cell>
          <cell r="G248" t="str">
            <v>8</v>
          </cell>
          <cell r="H248">
            <v>0</v>
          </cell>
        </row>
        <row r="249">
          <cell r="B249">
            <v>2975</v>
          </cell>
          <cell r="C249" t="str">
            <v>Coolbaugh; Brandon S.</v>
          </cell>
          <cell r="D249" t="str">
            <v>1C</v>
          </cell>
          <cell r="E249" t="str">
            <v>IBEWOUT</v>
          </cell>
          <cell r="F249" t="str">
            <v>1319</v>
          </cell>
          <cell r="G249" t="str">
            <v>12</v>
          </cell>
          <cell r="H249">
            <v>0</v>
          </cell>
        </row>
        <row r="250">
          <cell r="B250">
            <v>3002</v>
          </cell>
          <cell r="C250" t="str">
            <v>Cooper; Russell L</v>
          </cell>
          <cell r="D250" t="str">
            <v>1</v>
          </cell>
          <cell r="E250" t="str">
            <v/>
          </cell>
          <cell r="F250" t="str">
            <v/>
          </cell>
          <cell r="G250" t="str">
            <v/>
          </cell>
          <cell r="H250">
            <v>1</v>
          </cell>
        </row>
        <row r="251">
          <cell r="B251">
            <v>3004</v>
          </cell>
          <cell r="C251" t="str">
            <v>Cooper; Kelly D</v>
          </cell>
          <cell r="D251" t="str">
            <v>1C</v>
          </cell>
          <cell r="E251" t="str">
            <v>IBEWOUT</v>
          </cell>
          <cell r="F251" t="str">
            <v>1245</v>
          </cell>
          <cell r="G251" t="str">
            <v>17</v>
          </cell>
          <cell r="H251">
            <v>0</v>
          </cell>
        </row>
        <row r="252">
          <cell r="B252">
            <v>3010</v>
          </cell>
          <cell r="C252" t="str">
            <v>Copen; James R</v>
          </cell>
          <cell r="D252" t="str">
            <v>1C</v>
          </cell>
          <cell r="E252" t="str">
            <v>IBEWOUT</v>
          </cell>
          <cell r="F252" t="str">
            <v>1245</v>
          </cell>
          <cell r="G252" t="str">
            <v>8</v>
          </cell>
          <cell r="H252">
            <v>0</v>
          </cell>
        </row>
        <row r="253">
          <cell r="B253">
            <v>3020</v>
          </cell>
          <cell r="C253" t="str">
            <v>Corbin; Aaron</v>
          </cell>
          <cell r="D253" t="str">
            <v>1C</v>
          </cell>
          <cell r="E253" t="str">
            <v>IBEWOUT</v>
          </cell>
          <cell r="F253" t="str">
            <v>1245</v>
          </cell>
          <cell r="G253" t="str">
            <v>8</v>
          </cell>
          <cell r="H253">
            <v>0</v>
          </cell>
        </row>
        <row r="254">
          <cell r="B254">
            <v>3028</v>
          </cell>
          <cell r="C254" t="str">
            <v>Cornett; Michael J</v>
          </cell>
          <cell r="D254" t="str">
            <v>1C</v>
          </cell>
          <cell r="E254" t="str">
            <v>IBEWOUT</v>
          </cell>
          <cell r="F254" t="str">
            <v>47</v>
          </cell>
          <cell r="G254" t="str">
            <v>17</v>
          </cell>
          <cell r="H254">
            <v>0</v>
          </cell>
        </row>
        <row r="255">
          <cell r="B255">
            <v>3030</v>
          </cell>
          <cell r="C255" t="str">
            <v>Cordova; John J</v>
          </cell>
          <cell r="D255" t="str">
            <v>1C</v>
          </cell>
          <cell r="E255" t="str">
            <v>IBEWOUT</v>
          </cell>
          <cell r="F255" t="str">
            <v>602R</v>
          </cell>
          <cell r="G255" t="str">
            <v>8</v>
          </cell>
          <cell r="H255">
            <v>0</v>
          </cell>
        </row>
        <row r="256">
          <cell r="B256">
            <v>3034</v>
          </cell>
          <cell r="C256" t="str">
            <v>Corsetti; Michael A</v>
          </cell>
          <cell r="D256" t="str">
            <v>1C</v>
          </cell>
          <cell r="E256" t="str">
            <v>IBEWOUT</v>
          </cell>
          <cell r="F256" t="str">
            <v>126</v>
          </cell>
          <cell r="G256" t="str">
            <v>33</v>
          </cell>
          <cell r="H256">
            <v>0</v>
          </cell>
        </row>
        <row r="257">
          <cell r="B257">
            <v>3045</v>
          </cell>
          <cell r="C257" t="str">
            <v>Covey; Lawrence Peter</v>
          </cell>
          <cell r="D257" t="str">
            <v>1C</v>
          </cell>
          <cell r="E257" t="str">
            <v>IBEWOUT</v>
          </cell>
          <cell r="F257" t="str">
            <v>1245</v>
          </cell>
          <cell r="G257" t="str">
            <v>1</v>
          </cell>
          <cell r="H257">
            <v>0</v>
          </cell>
        </row>
        <row r="258">
          <cell r="B258">
            <v>3047</v>
          </cell>
          <cell r="C258" t="str">
            <v>Coulson; Christopher D</v>
          </cell>
          <cell r="D258" t="str">
            <v>1</v>
          </cell>
          <cell r="E258" t="str">
            <v/>
          </cell>
          <cell r="F258" t="str">
            <v/>
          </cell>
          <cell r="G258" t="str">
            <v/>
          </cell>
          <cell r="H258">
            <v>0</v>
          </cell>
        </row>
        <row r="259">
          <cell r="B259">
            <v>3048</v>
          </cell>
          <cell r="C259" t="str">
            <v>Cousland; Peter D.</v>
          </cell>
          <cell r="D259" t="str">
            <v>1C</v>
          </cell>
          <cell r="E259" t="str">
            <v>IBEWOUT</v>
          </cell>
          <cell r="F259" t="str">
            <v>77</v>
          </cell>
          <cell r="G259" t="str">
            <v>8</v>
          </cell>
          <cell r="H259">
            <v>0</v>
          </cell>
        </row>
        <row r="260">
          <cell r="B260">
            <v>3049</v>
          </cell>
          <cell r="C260" t="str">
            <v>Coury; Andrew A</v>
          </cell>
          <cell r="D260" t="str">
            <v>1C</v>
          </cell>
          <cell r="E260" t="str">
            <v>IBEWOUT</v>
          </cell>
          <cell r="F260" t="str">
            <v>1245</v>
          </cell>
          <cell r="G260" t="str">
            <v>8</v>
          </cell>
          <cell r="H260">
            <v>0</v>
          </cell>
        </row>
        <row r="261">
          <cell r="B261">
            <v>3050</v>
          </cell>
          <cell r="C261" t="str">
            <v>Cortez; Daniel R</v>
          </cell>
          <cell r="D261" t="str">
            <v>1</v>
          </cell>
          <cell r="E261" t="str">
            <v>IBEWOUT</v>
          </cell>
          <cell r="F261" t="str">
            <v>47</v>
          </cell>
          <cell r="G261" t="str">
            <v>8</v>
          </cell>
          <cell r="H261">
            <v>0</v>
          </cell>
        </row>
        <row r="262">
          <cell r="B262">
            <v>3051</v>
          </cell>
          <cell r="C262" t="str">
            <v>Cortez; David Esteban</v>
          </cell>
          <cell r="D262" t="str">
            <v>1</v>
          </cell>
          <cell r="E262" t="str">
            <v>IBEWOUT</v>
          </cell>
          <cell r="F262" t="str">
            <v>47</v>
          </cell>
          <cell r="G262" t="str">
            <v>7</v>
          </cell>
          <cell r="H262">
            <v>0</v>
          </cell>
        </row>
        <row r="263">
          <cell r="B263">
            <v>3052</v>
          </cell>
          <cell r="C263" t="str">
            <v>Coscarart; Juan</v>
          </cell>
          <cell r="D263" t="str">
            <v>1C</v>
          </cell>
          <cell r="E263" t="str">
            <v>IBEWOUT</v>
          </cell>
          <cell r="F263" t="str">
            <v>47</v>
          </cell>
          <cell r="G263" t="str">
            <v>8</v>
          </cell>
          <cell r="H263">
            <v>0</v>
          </cell>
        </row>
        <row r="264">
          <cell r="B264">
            <v>3054</v>
          </cell>
          <cell r="C264" t="str">
            <v>Cowett; Shawn E</v>
          </cell>
          <cell r="D264" t="str">
            <v>1</v>
          </cell>
          <cell r="E264" t="str">
            <v/>
          </cell>
          <cell r="F264" t="str">
            <v/>
          </cell>
          <cell r="G264" t="str">
            <v/>
          </cell>
          <cell r="H264">
            <v>0</v>
          </cell>
        </row>
        <row r="265">
          <cell r="B265">
            <v>3056</v>
          </cell>
          <cell r="C265" t="str">
            <v>Cortez; Freddy</v>
          </cell>
          <cell r="D265" t="str">
            <v>1</v>
          </cell>
          <cell r="E265" t="str">
            <v>IBEWOUT</v>
          </cell>
          <cell r="F265" t="str">
            <v>47</v>
          </cell>
          <cell r="G265" t="str">
            <v>9</v>
          </cell>
          <cell r="H265">
            <v>0</v>
          </cell>
        </row>
        <row r="266">
          <cell r="B266">
            <v>3062</v>
          </cell>
          <cell r="C266" t="str">
            <v>Cox; Jody F.</v>
          </cell>
          <cell r="D266" t="str">
            <v>1C</v>
          </cell>
          <cell r="E266" t="str">
            <v>IBEWOUT</v>
          </cell>
          <cell r="F266" t="str">
            <v>47</v>
          </cell>
          <cell r="G266" t="str">
            <v>7</v>
          </cell>
          <cell r="H266">
            <v>0</v>
          </cell>
        </row>
        <row r="267">
          <cell r="B267">
            <v>3068</v>
          </cell>
          <cell r="C267" t="str">
            <v>Crabtree; Leroy J</v>
          </cell>
          <cell r="D267" t="str">
            <v>1C</v>
          </cell>
          <cell r="E267" t="str">
            <v/>
          </cell>
          <cell r="F267" t="str">
            <v/>
          </cell>
          <cell r="G267" t="str">
            <v/>
          </cell>
          <cell r="H267">
            <v>0</v>
          </cell>
        </row>
        <row r="268">
          <cell r="B268">
            <v>3072</v>
          </cell>
          <cell r="C268" t="str">
            <v>Crabtree; Cassandra R.</v>
          </cell>
          <cell r="D268" t="str">
            <v>1</v>
          </cell>
          <cell r="E268" t="str">
            <v>IBEWOUT</v>
          </cell>
          <cell r="F268" t="str">
            <v>77</v>
          </cell>
          <cell r="G268" t="str">
            <v>9</v>
          </cell>
          <cell r="H268">
            <v>0</v>
          </cell>
        </row>
        <row r="269">
          <cell r="B269">
            <v>3075</v>
          </cell>
          <cell r="C269" t="str">
            <v>Craver; Adam S</v>
          </cell>
          <cell r="D269" t="str">
            <v>1C</v>
          </cell>
          <cell r="E269" t="str">
            <v>IBEWOUT</v>
          </cell>
          <cell r="F269" t="str">
            <v>77</v>
          </cell>
          <cell r="G269" t="str">
            <v>8</v>
          </cell>
          <cell r="H269">
            <v>0</v>
          </cell>
        </row>
        <row r="270">
          <cell r="B270">
            <v>3079</v>
          </cell>
          <cell r="C270" t="str">
            <v>Creighton; Mark Jeffrey</v>
          </cell>
          <cell r="D270" t="str">
            <v>1C</v>
          </cell>
          <cell r="E270" t="str">
            <v>IBEWOUT</v>
          </cell>
          <cell r="F270" t="str">
            <v>125</v>
          </cell>
          <cell r="G270" t="str">
            <v>33</v>
          </cell>
          <cell r="H270">
            <v>0</v>
          </cell>
        </row>
        <row r="271">
          <cell r="B271">
            <v>3082</v>
          </cell>
          <cell r="C271" t="str">
            <v>Cross; Mitchel Dee</v>
          </cell>
          <cell r="D271" t="str">
            <v>1C</v>
          </cell>
          <cell r="E271" t="str">
            <v>IBEWOUT</v>
          </cell>
          <cell r="F271" t="str">
            <v>769</v>
          </cell>
          <cell r="G271" t="str">
            <v>7</v>
          </cell>
          <cell r="H271">
            <v>0</v>
          </cell>
        </row>
        <row r="272">
          <cell r="B272">
            <v>3084</v>
          </cell>
          <cell r="C272" t="str">
            <v>Crowder; Joseph Dennis</v>
          </cell>
          <cell r="D272" t="str">
            <v>1C</v>
          </cell>
          <cell r="E272" t="str">
            <v>IBEWOUT</v>
          </cell>
          <cell r="F272" t="str">
            <v>47</v>
          </cell>
          <cell r="G272" t="str">
            <v>16</v>
          </cell>
          <cell r="H272">
            <v>0</v>
          </cell>
        </row>
        <row r="273">
          <cell r="B273">
            <v>3085</v>
          </cell>
          <cell r="C273" t="str">
            <v>Crowder; Travis M</v>
          </cell>
          <cell r="D273" t="str">
            <v>1C</v>
          </cell>
          <cell r="E273" t="str">
            <v>IBEWOUT</v>
          </cell>
          <cell r="F273" t="str">
            <v>77</v>
          </cell>
          <cell r="G273" t="str">
            <v>8</v>
          </cell>
          <cell r="H273">
            <v>0</v>
          </cell>
        </row>
        <row r="274">
          <cell r="B274">
            <v>3095</v>
          </cell>
          <cell r="C274" t="str">
            <v>Crites; Eric J</v>
          </cell>
          <cell r="D274" t="str">
            <v>1C</v>
          </cell>
          <cell r="E274" t="str">
            <v>IBEWOUT</v>
          </cell>
          <cell r="F274" t="str">
            <v>1245</v>
          </cell>
          <cell r="G274" t="str">
            <v>60</v>
          </cell>
          <cell r="H274">
            <v>0</v>
          </cell>
        </row>
        <row r="275">
          <cell r="B275">
            <v>3113</v>
          </cell>
          <cell r="C275" t="str">
            <v>Curry; Patrick Michael</v>
          </cell>
          <cell r="D275" t="str">
            <v>1C</v>
          </cell>
          <cell r="E275" t="str">
            <v>IBEWOUT</v>
          </cell>
          <cell r="F275" t="str">
            <v>77</v>
          </cell>
          <cell r="G275" t="str">
            <v>8</v>
          </cell>
          <cell r="H275">
            <v>0</v>
          </cell>
        </row>
        <row r="276">
          <cell r="B276">
            <v>3118</v>
          </cell>
          <cell r="C276" t="str">
            <v>Crupper; David Daniel</v>
          </cell>
          <cell r="D276" t="str">
            <v>1C</v>
          </cell>
          <cell r="E276" t="str">
            <v/>
          </cell>
          <cell r="F276" t="str">
            <v/>
          </cell>
          <cell r="G276" t="str">
            <v/>
          </cell>
          <cell r="H276">
            <v>0</v>
          </cell>
        </row>
        <row r="277">
          <cell r="B277">
            <v>3120</v>
          </cell>
          <cell r="C277" t="str">
            <v>Cundiff; Bryce E</v>
          </cell>
          <cell r="D277" t="str">
            <v>1</v>
          </cell>
          <cell r="E277" t="str">
            <v>IBEWOUT</v>
          </cell>
          <cell r="F277" t="str">
            <v>611</v>
          </cell>
          <cell r="G277" t="str">
            <v>10</v>
          </cell>
          <cell r="H277">
            <v>0</v>
          </cell>
        </row>
        <row r="278">
          <cell r="B278">
            <v>3124</v>
          </cell>
          <cell r="C278" t="str">
            <v>Currie; Dean Anthony</v>
          </cell>
          <cell r="D278" t="str">
            <v>1C</v>
          </cell>
          <cell r="E278" t="str">
            <v>IBEWOUT</v>
          </cell>
          <cell r="F278" t="str">
            <v>77</v>
          </cell>
          <cell r="G278" t="str">
            <v>8</v>
          </cell>
          <cell r="H278">
            <v>0</v>
          </cell>
        </row>
        <row r="279">
          <cell r="B279">
            <v>3125</v>
          </cell>
          <cell r="C279" t="str">
            <v>Crouch; Daniel Jennings</v>
          </cell>
          <cell r="D279" t="str">
            <v>1C</v>
          </cell>
          <cell r="E279" t="str">
            <v>IBEWOUT</v>
          </cell>
          <cell r="F279" t="str">
            <v>47</v>
          </cell>
          <cell r="G279" t="str">
            <v>8</v>
          </cell>
          <cell r="H279">
            <v>0</v>
          </cell>
        </row>
        <row r="280">
          <cell r="B280">
            <v>3127</v>
          </cell>
          <cell r="C280" t="str">
            <v>Cummings; Mark R</v>
          </cell>
          <cell r="D280" t="str">
            <v>1C</v>
          </cell>
          <cell r="E280" t="str">
            <v/>
          </cell>
          <cell r="F280" t="str">
            <v/>
          </cell>
          <cell r="G280" t="str">
            <v/>
          </cell>
          <cell r="H280">
            <v>0</v>
          </cell>
        </row>
        <row r="281">
          <cell r="B281">
            <v>3128</v>
          </cell>
          <cell r="C281" t="str">
            <v>Crouch; Steven J</v>
          </cell>
          <cell r="D281" t="str">
            <v>1C</v>
          </cell>
          <cell r="E281" t="str">
            <v/>
          </cell>
          <cell r="F281" t="str">
            <v/>
          </cell>
          <cell r="G281" t="str">
            <v/>
          </cell>
          <cell r="H281">
            <v>1</v>
          </cell>
        </row>
        <row r="282">
          <cell r="B282">
            <v>3140</v>
          </cell>
          <cell r="C282" t="str">
            <v>Crosby; Paul S.</v>
          </cell>
          <cell r="D282" t="str">
            <v>1C</v>
          </cell>
          <cell r="E282" t="str">
            <v>IBEWOUT</v>
          </cell>
          <cell r="F282" t="str">
            <v>769</v>
          </cell>
          <cell r="G282" t="str">
            <v>16</v>
          </cell>
          <cell r="H282">
            <v>0</v>
          </cell>
        </row>
        <row r="283">
          <cell r="B283">
            <v>3301</v>
          </cell>
          <cell r="C283" t="str">
            <v>Daggett; Travis S.</v>
          </cell>
          <cell r="D283" t="str">
            <v>1C</v>
          </cell>
          <cell r="E283" t="str">
            <v/>
          </cell>
          <cell r="F283" t="str">
            <v/>
          </cell>
          <cell r="G283" t="str">
            <v/>
          </cell>
          <cell r="H283">
            <v>1</v>
          </cell>
        </row>
        <row r="284">
          <cell r="B284">
            <v>3310</v>
          </cell>
          <cell r="C284" t="str">
            <v>Dalman; Jerrod W</v>
          </cell>
          <cell r="D284" t="str">
            <v>1C</v>
          </cell>
          <cell r="E284" t="str">
            <v>IBEWOUT</v>
          </cell>
          <cell r="F284" t="str">
            <v>602R</v>
          </cell>
          <cell r="G284" t="str">
            <v>8</v>
          </cell>
          <cell r="H284">
            <v>0</v>
          </cell>
        </row>
        <row r="285">
          <cell r="B285">
            <v>3311</v>
          </cell>
          <cell r="C285" t="str">
            <v>Damery; William J.</v>
          </cell>
          <cell r="D285" t="str">
            <v>1C</v>
          </cell>
          <cell r="E285" t="str">
            <v>IBEWOUT</v>
          </cell>
          <cell r="F285" t="str">
            <v>47</v>
          </cell>
          <cell r="G285" t="str">
            <v>16</v>
          </cell>
          <cell r="H285">
            <v>0</v>
          </cell>
        </row>
        <row r="286">
          <cell r="B286">
            <v>3313</v>
          </cell>
          <cell r="C286" t="str">
            <v>Dalman; Joseph W</v>
          </cell>
          <cell r="D286" t="str">
            <v>1C</v>
          </cell>
          <cell r="E286" t="str">
            <v>IBEWOUT</v>
          </cell>
          <cell r="F286" t="str">
            <v>47</v>
          </cell>
          <cell r="G286" t="str">
            <v>8</v>
          </cell>
          <cell r="H286">
            <v>0</v>
          </cell>
        </row>
        <row r="287">
          <cell r="B287">
            <v>3317</v>
          </cell>
          <cell r="C287" t="str">
            <v>Daniels; Dustin J.</v>
          </cell>
          <cell r="D287" t="str">
            <v>1C</v>
          </cell>
          <cell r="E287" t="str">
            <v>IBEWOUT</v>
          </cell>
          <cell r="F287" t="str">
            <v>77</v>
          </cell>
          <cell r="G287" t="str">
            <v>8</v>
          </cell>
          <cell r="H287">
            <v>0</v>
          </cell>
        </row>
        <row r="288">
          <cell r="B288">
            <v>3318</v>
          </cell>
          <cell r="C288" t="str">
            <v>Danielson; Ryan G.</v>
          </cell>
          <cell r="D288" t="str">
            <v>1C</v>
          </cell>
          <cell r="E288" t="str">
            <v>IBEWOUT</v>
          </cell>
          <cell r="F288" t="str">
            <v>769</v>
          </cell>
          <cell r="G288" t="str">
            <v>8</v>
          </cell>
          <cell r="H288">
            <v>0</v>
          </cell>
        </row>
        <row r="289">
          <cell r="B289">
            <v>3320</v>
          </cell>
          <cell r="C289" t="str">
            <v>Danner; Joshua S</v>
          </cell>
          <cell r="D289" t="str">
            <v>1C</v>
          </cell>
          <cell r="E289" t="str">
            <v>IBEWOUT</v>
          </cell>
          <cell r="F289" t="str">
            <v>126</v>
          </cell>
          <cell r="G289" t="str">
            <v>16</v>
          </cell>
          <cell r="H289">
            <v>0</v>
          </cell>
        </row>
        <row r="290">
          <cell r="B290">
            <v>3321</v>
          </cell>
          <cell r="C290" t="str">
            <v>Darr; Taylor W</v>
          </cell>
          <cell r="D290" t="str">
            <v>1C</v>
          </cell>
          <cell r="E290" t="str">
            <v>IBEWOUT</v>
          </cell>
          <cell r="F290" t="str">
            <v>1245</v>
          </cell>
          <cell r="G290" t="str">
            <v>8</v>
          </cell>
          <cell r="H290">
            <v>0</v>
          </cell>
        </row>
        <row r="291">
          <cell r="B291">
            <v>3322</v>
          </cell>
          <cell r="C291" t="str">
            <v>Daugs; Matthew J</v>
          </cell>
          <cell r="D291" t="str">
            <v>1C</v>
          </cell>
          <cell r="E291" t="str">
            <v>IBEWOUT</v>
          </cell>
          <cell r="F291" t="str">
            <v>1245</v>
          </cell>
          <cell r="G291" t="str">
            <v>8</v>
          </cell>
          <cell r="H291">
            <v>0</v>
          </cell>
        </row>
        <row r="292">
          <cell r="B292">
            <v>3324</v>
          </cell>
          <cell r="C292" t="str">
            <v>Daugherty; Jerry Lee</v>
          </cell>
          <cell r="D292" t="str">
            <v>1C</v>
          </cell>
          <cell r="E292" t="str">
            <v>IBEWOUT</v>
          </cell>
          <cell r="F292" t="str">
            <v>1245</v>
          </cell>
          <cell r="G292" t="str">
            <v>8</v>
          </cell>
          <cell r="H292">
            <v>0</v>
          </cell>
        </row>
        <row r="293">
          <cell r="B293">
            <v>3342</v>
          </cell>
          <cell r="C293" t="str">
            <v>Davis; Jayson A</v>
          </cell>
          <cell r="D293" t="str">
            <v>1C</v>
          </cell>
          <cell r="E293" t="str">
            <v>IBEWOUT</v>
          </cell>
          <cell r="F293" t="str">
            <v>126</v>
          </cell>
          <cell r="G293" t="str">
            <v>8</v>
          </cell>
          <cell r="H293">
            <v>0</v>
          </cell>
        </row>
        <row r="294">
          <cell r="B294">
            <v>3349</v>
          </cell>
          <cell r="C294" t="str">
            <v>Davis; Daniel J</v>
          </cell>
          <cell r="D294" t="str">
            <v>1C</v>
          </cell>
          <cell r="E294" t="str">
            <v>IBEWOUT</v>
          </cell>
          <cell r="F294" t="str">
            <v>160</v>
          </cell>
          <cell r="G294" t="str">
            <v>15</v>
          </cell>
          <cell r="H294">
            <v>0</v>
          </cell>
        </row>
        <row r="295">
          <cell r="B295">
            <v>3356</v>
          </cell>
          <cell r="C295" t="str">
            <v>Davis; Keane A</v>
          </cell>
          <cell r="D295" t="str">
            <v>1C</v>
          </cell>
          <cell r="E295" t="str">
            <v>IBEWOUT</v>
          </cell>
          <cell r="F295" t="str">
            <v>1245</v>
          </cell>
          <cell r="G295" t="str">
            <v>8</v>
          </cell>
          <cell r="H295">
            <v>0</v>
          </cell>
        </row>
        <row r="296">
          <cell r="B296">
            <v>3364</v>
          </cell>
          <cell r="C296" t="str">
            <v>Day; Delbert Allen</v>
          </cell>
          <cell r="D296" t="str">
            <v>1</v>
          </cell>
          <cell r="E296" t="str">
            <v>IBEWOUT</v>
          </cell>
          <cell r="F296" t="str">
            <v>1245</v>
          </cell>
          <cell r="G296" t="str">
            <v>70</v>
          </cell>
          <cell r="H296">
            <v>0</v>
          </cell>
        </row>
        <row r="297">
          <cell r="B297">
            <v>3367</v>
          </cell>
          <cell r="C297" t="str">
            <v>De La Torre; Filimon V</v>
          </cell>
          <cell r="D297" t="str">
            <v>1C</v>
          </cell>
          <cell r="E297" t="str">
            <v>IBEWOUT</v>
          </cell>
          <cell r="F297" t="str">
            <v>47</v>
          </cell>
          <cell r="G297" t="str">
            <v>17</v>
          </cell>
          <cell r="H297">
            <v>0</v>
          </cell>
        </row>
        <row r="298">
          <cell r="B298">
            <v>3368</v>
          </cell>
          <cell r="C298" t="str">
            <v>Dees; Bradley A</v>
          </cell>
          <cell r="D298" t="str">
            <v>1C</v>
          </cell>
          <cell r="E298" t="str">
            <v>IBEWOUT</v>
          </cell>
          <cell r="F298" t="str">
            <v>1245</v>
          </cell>
          <cell r="G298" t="str">
            <v>8</v>
          </cell>
          <cell r="H298">
            <v>0</v>
          </cell>
        </row>
        <row r="299">
          <cell r="B299">
            <v>3371</v>
          </cell>
          <cell r="C299" t="str">
            <v>DeBon; Mitchell C</v>
          </cell>
          <cell r="D299" t="str">
            <v>1C</v>
          </cell>
          <cell r="E299" t="str">
            <v>IBEWOUT</v>
          </cell>
          <cell r="F299" t="str">
            <v>1245</v>
          </cell>
          <cell r="G299" t="str">
            <v>17</v>
          </cell>
          <cell r="H299">
            <v>0</v>
          </cell>
        </row>
        <row r="300">
          <cell r="B300">
            <v>3372</v>
          </cell>
          <cell r="C300" t="str">
            <v>DeBruler; Daniel</v>
          </cell>
          <cell r="D300" t="str">
            <v>1</v>
          </cell>
          <cell r="E300" t="str">
            <v/>
          </cell>
          <cell r="F300" t="str">
            <v/>
          </cell>
          <cell r="G300" t="str">
            <v/>
          </cell>
          <cell r="H300">
            <v>1</v>
          </cell>
        </row>
        <row r="301">
          <cell r="B301">
            <v>3373</v>
          </cell>
          <cell r="C301" t="str">
            <v>Dearing; Randy E</v>
          </cell>
          <cell r="D301" t="str">
            <v>1C</v>
          </cell>
          <cell r="E301" t="str">
            <v>IBEWOUT</v>
          </cell>
          <cell r="F301" t="str">
            <v>1245</v>
          </cell>
          <cell r="G301" t="str">
            <v>1</v>
          </cell>
          <cell r="H301">
            <v>0</v>
          </cell>
        </row>
        <row r="302">
          <cell r="B302">
            <v>3377</v>
          </cell>
          <cell r="C302" t="str">
            <v>Deal; Nathan W.</v>
          </cell>
          <cell r="D302" t="str">
            <v>1C</v>
          </cell>
          <cell r="E302" t="str">
            <v>IBEWOUT</v>
          </cell>
          <cell r="F302" t="str">
            <v>125</v>
          </cell>
          <cell r="G302" t="str">
            <v>12</v>
          </cell>
          <cell r="H302">
            <v>0</v>
          </cell>
        </row>
        <row r="303">
          <cell r="B303">
            <v>3382</v>
          </cell>
          <cell r="C303" t="str">
            <v>Deitz; Steve Andrew</v>
          </cell>
          <cell r="D303" t="str">
            <v>1C</v>
          </cell>
          <cell r="E303" t="str">
            <v>IBEWOUT</v>
          </cell>
          <cell r="F303" t="str">
            <v>77</v>
          </cell>
          <cell r="G303" t="str">
            <v>16</v>
          </cell>
          <cell r="H303">
            <v>0</v>
          </cell>
        </row>
        <row r="304">
          <cell r="B304">
            <v>3383</v>
          </cell>
          <cell r="C304" t="str">
            <v>Delong; Joseph Henry</v>
          </cell>
          <cell r="D304" t="str">
            <v>1C</v>
          </cell>
          <cell r="E304" t="str">
            <v/>
          </cell>
          <cell r="F304" t="str">
            <v/>
          </cell>
          <cell r="G304" t="str">
            <v/>
          </cell>
          <cell r="H304">
            <v>0</v>
          </cell>
        </row>
        <row r="305">
          <cell r="B305">
            <v>3386</v>
          </cell>
          <cell r="C305" t="str">
            <v>Denestan; Hector</v>
          </cell>
          <cell r="D305" t="str">
            <v>1C</v>
          </cell>
          <cell r="E305" t="str">
            <v>IBEWOUT</v>
          </cell>
          <cell r="F305" t="str">
            <v>602R</v>
          </cell>
          <cell r="G305" t="str">
            <v>8</v>
          </cell>
          <cell r="H305">
            <v>0</v>
          </cell>
        </row>
        <row r="306">
          <cell r="B306">
            <v>3387</v>
          </cell>
          <cell r="C306" t="str">
            <v>DeWitt; Craig R</v>
          </cell>
          <cell r="D306" t="str">
            <v>1</v>
          </cell>
          <cell r="E306" t="str">
            <v/>
          </cell>
          <cell r="F306" t="str">
            <v/>
          </cell>
          <cell r="G306" t="str">
            <v/>
          </cell>
          <cell r="H306">
            <v>1</v>
          </cell>
        </row>
        <row r="307">
          <cell r="B307">
            <v>3388</v>
          </cell>
          <cell r="C307" t="str">
            <v>Del Pizzo; Scott</v>
          </cell>
          <cell r="D307" t="str">
            <v>1</v>
          </cell>
          <cell r="E307" t="str">
            <v>IBEWOUT</v>
          </cell>
          <cell r="F307" t="str">
            <v>1245</v>
          </cell>
          <cell r="G307" t="str">
            <v>7</v>
          </cell>
          <cell r="H307">
            <v>0</v>
          </cell>
        </row>
        <row r="308">
          <cell r="B308">
            <v>3389</v>
          </cell>
          <cell r="C308" t="str">
            <v>Deluna; Ricardo</v>
          </cell>
          <cell r="D308" t="str">
            <v>1</v>
          </cell>
          <cell r="E308" t="str">
            <v/>
          </cell>
          <cell r="F308" t="str">
            <v/>
          </cell>
          <cell r="G308" t="str">
            <v/>
          </cell>
          <cell r="H308">
            <v>0</v>
          </cell>
        </row>
        <row r="309">
          <cell r="B309">
            <v>3392</v>
          </cell>
          <cell r="C309" t="str">
            <v>Demond; Kyle D</v>
          </cell>
          <cell r="D309" t="str">
            <v>1</v>
          </cell>
          <cell r="E309" t="str">
            <v>IBEWOUT</v>
          </cell>
          <cell r="F309" t="str">
            <v>1245</v>
          </cell>
          <cell r="G309" t="str">
            <v>8</v>
          </cell>
          <cell r="H309">
            <v>0</v>
          </cell>
        </row>
        <row r="310">
          <cell r="B310">
            <v>3394</v>
          </cell>
          <cell r="C310" t="str">
            <v>Delcarlo; Dylan R</v>
          </cell>
          <cell r="D310" t="str">
            <v>1</v>
          </cell>
          <cell r="E310" t="str">
            <v>IBEWOUT</v>
          </cell>
          <cell r="F310" t="str">
            <v>1245</v>
          </cell>
          <cell r="G310" t="str">
            <v>11</v>
          </cell>
          <cell r="H310">
            <v>0</v>
          </cell>
        </row>
        <row r="311">
          <cell r="B311">
            <v>3407</v>
          </cell>
          <cell r="C311" t="str">
            <v>Devine; Chad Emery</v>
          </cell>
          <cell r="D311" t="str">
            <v>1</v>
          </cell>
          <cell r="E311" t="str">
            <v>IBEWOUT</v>
          </cell>
          <cell r="F311" t="str">
            <v>77</v>
          </cell>
          <cell r="G311" t="str">
            <v>1</v>
          </cell>
          <cell r="H311">
            <v>1</v>
          </cell>
        </row>
        <row r="312">
          <cell r="B312">
            <v>3408</v>
          </cell>
          <cell r="C312" t="str">
            <v>Desz; Daniel R</v>
          </cell>
          <cell r="D312" t="str">
            <v>1C</v>
          </cell>
          <cell r="E312" t="str">
            <v>IBEWOUT</v>
          </cell>
          <cell r="F312" t="str">
            <v>1049</v>
          </cell>
          <cell r="G312" t="str">
            <v>15</v>
          </cell>
          <cell r="H312">
            <v>0</v>
          </cell>
        </row>
        <row r="313">
          <cell r="B313">
            <v>3413</v>
          </cell>
          <cell r="C313" t="str">
            <v>Denk; Dean L.</v>
          </cell>
          <cell r="D313" t="str">
            <v>1C</v>
          </cell>
          <cell r="E313" t="str">
            <v>IBEWOUT</v>
          </cell>
          <cell r="F313" t="str">
            <v>769</v>
          </cell>
          <cell r="G313" t="str">
            <v>8</v>
          </cell>
          <cell r="H313">
            <v>0</v>
          </cell>
        </row>
        <row r="314">
          <cell r="B314">
            <v>3417</v>
          </cell>
          <cell r="C314" t="str">
            <v>Domenick; James A</v>
          </cell>
          <cell r="D314" t="str">
            <v>1C</v>
          </cell>
          <cell r="E314" t="str">
            <v>IBEWOUT</v>
          </cell>
          <cell r="F314" t="str">
            <v>396</v>
          </cell>
          <cell r="G314" t="str">
            <v>18</v>
          </cell>
          <cell r="H314">
            <v>0</v>
          </cell>
        </row>
        <row r="315">
          <cell r="B315">
            <v>3435</v>
          </cell>
          <cell r="C315" t="str">
            <v>Diaz; Robert H.</v>
          </cell>
          <cell r="D315" t="str">
            <v>1C</v>
          </cell>
          <cell r="E315" t="str">
            <v>IBEWOUT</v>
          </cell>
          <cell r="F315" t="str">
            <v>47</v>
          </cell>
          <cell r="G315" t="str">
            <v>16</v>
          </cell>
          <cell r="H315">
            <v>0</v>
          </cell>
        </row>
        <row r="316">
          <cell r="B316">
            <v>3438</v>
          </cell>
          <cell r="C316" t="str">
            <v>Andrade Diaz; Jose Rolando</v>
          </cell>
          <cell r="D316" t="str">
            <v>1C</v>
          </cell>
          <cell r="E316" t="str">
            <v>IBEWOUT</v>
          </cell>
          <cell r="F316" t="str">
            <v>1245</v>
          </cell>
          <cell r="G316" t="str">
            <v>70</v>
          </cell>
          <cell r="H316">
            <v>0</v>
          </cell>
        </row>
        <row r="317">
          <cell r="B317">
            <v>3465</v>
          </cell>
          <cell r="C317" t="str">
            <v>Dineen; Timothy J.</v>
          </cell>
          <cell r="D317" t="str">
            <v>1C</v>
          </cell>
          <cell r="E317" t="str">
            <v>IBEWOUT</v>
          </cell>
          <cell r="F317" t="str">
            <v>1319</v>
          </cell>
          <cell r="G317" t="str">
            <v>8</v>
          </cell>
          <cell r="H317">
            <v>0</v>
          </cell>
        </row>
        <row r="318">
          <cell r="B318">
            <v>3470</v>
          </cell>
          <cell r="C318" t="str">
            <v>Dixon; Dustin M.</v>
          </cell>
          <cell r="D318" t="str">
            <v>1C</v>
          </cell>
          <cell r="E318" t="str">
            <v>IBEWOUT</v>
          </cell>
          <cell r="F318" t="str">
            <v>1245</v>
          </cell>
          <cell r="G318" t="str">
            <v>8</v>
          </cell>
          <cell r="H318">
            <v>0</v>
          </cell>
        </row>
        <row r="319">
          <cell r="B319">
            <v>3532</v>
          </cell>
          <cell r="C319" t="str">
            <v>Dodd; Richard L</v>
          </cell>
          <cell r="D319" t="str">
            <v>1C</v>
          </cell>
          <cell r="E319" t="str">
            <v>IBEWOUT</v>
          </cell>
          <cell r="F319" t="str">
            <v>77</v>
          </cell>
          <cell r="G319" t="str">
            <v>60</v>
          </cell>
          <cell r="H319">
            <v>0</v>
          </cell>
        </row>
        <row r="320">
          <cell r="B320">
            <v>3537</v>
          </cell>
          <cell r="C320" t="str">
            <v>Dotson; David Lee</v>
          </cell>
          <cell r="D320" t="str">
            <v>1C</v>
          </cell>
          <cell r="E320" t="str">
            <v/>
          </cell>
          <cell r="F320" t="str">
            <v/>
          </cell>
          <cell r="G320" t="str">
            <v/>
          </cell>
          <cell r="H320">
            <v>0</v>
          </cell>
        </row>
        <row r="321">
          <cell r="B321">
            <v>3547</v>
          </cell>
          <cell r="C321" t="str">
            <v>Dougherty; Timothy J</v>
          </cell>
          <cell r="D321" t="str">
            <v>1</v>
          </cell>
          <cell r="E321" t="str">
            <v>IBEWOUT</v>
          </cell>
          <cell r="F321" t="str">
            <v>769</v>
          </cell>
          <cell r="G321" t="str">
            <v>12</v>
          </cell>
          <cell r="H321">
            <v>0</v>
          </cell>
        </row>
        <row r="322">
          <cell r="B322">
            <v>3548</v>
          </cell>
          <cell r="C322" t="str">
            <v>Douglas; Wyatt J</v>
          </cell>
          <cell r="D322" t="str">
            <v>1</v>
          </cell>
          <cell r="E322" t="str">
            <v/>
          </cell>
          <cell r="F322" t="str">
            <v/>
          </cell>
          <cell r="G322" t="str">
            <v/>
          </cell>
          <cell r="H322">
            <v>1</v>
          </cell>
        </row>
        <row r="323">
          <cell r="B323">
            <v>3549</v>
          </cell>
          <cell r="C323" t="str">
            <v>Early; Darren M</v>
          </cell>
          <cell r="D323" t="str">
            <v>1C</v>
          </cell>
          <cell r="E323" t="str">
            <v/>
          </cell>
          <cell r="F323" t="str">
            <v/>
          </cell>
          <cell r="G323" t="str">
            <v/>
          </cell>
          <cell r="H323">
            <v>0</v>
          </cell>
        </row>
        <row r="324">
          <cell r="B324">
            <v>3550</v>
          </cell>
          <cell r="C324" t="str">
            <v>Giles; Martinez A.</v>
          </cell>
          <cell r="D324" t="str">
            <v>1C</v>
          </cell>
          <cell r="E324" t="str">
            <v>IBEWOUT</v>
          </cell>
          <cell r="F324" t="str">
            <v>1245</v>
          </cell>
          <cell r="G324" t="str">
            <v>8</v>
          </cell>
          <cell r="H324">
            <v>0</v>
          </cell>
        </row>
        <row r="325">
          <cell r="B325">
            <v>3585</v>
          </cell>
          <cell r="C325" t="str">
            <v>Dudley; Eric L</v>
          </cell>
          <cell r="D325" t="str">
            <v>1C</v>
          </cell>
          <cell r="E325" t="str">
            <v>IBEWOUT</v>
          </cell>
          <cell r="F325" t="str">
            <v>125</v>
          </cell>
          <cell r="G325" t="str">
            <v>16</v>
          </cell>
          <cell r="H325">
            <v>0</v>
          </cell>
        </row>
        <row r="326">
          <cell r="B326">
            <v>3588</v>
          </cell>
          <cell r="C326" t="str">
            <v>Duffer; Taylor L</v>
          </cell>
          <cell r="D326" t="str">
            <v>1C</v>
          </cell>
          <cell r="E326" t="str">
            <v>IBEWOUT</v>
          </cell>
          <cell r="F326" t="str">
            <v>769</v>
          </cell>
          <cell r="G326" t="str">
            <v>8</v>
          </cell>
          <cell r="H326">
            <v>0</v>
          </cell>
        </row>
        <row r="327">
          <cell r="B327">
            <v>3594</v>
          </cell>
          <cell r="C327" t="str">
            <v>Duncan; Jerry</v>
          </cell>
          <cell r="D327" t="str">
            <v>1C</v>
          </cell>
          <cell r="E327" t="str">
            <v>IBEWOUT</v>
          </cell>
          <cell r="F327" t="str">
            <v>126</v>
          </cell>
          <cell r="G327" t="str">
            <v>8</v>
          </cell>
          <cell r="H327">
            <v>0</v>
          </cell>
        </row>
        <row r="328">
          <cell r="B328">
            <v>3595</v>
          </cell>
          <cell r="C328" t="str">
            <v>Dungan; Joshua</v>
          </cell>
          <cell r="D328" t="str">
            <v>1C</v>
          </cell>
          <cell r="E328" t="str">
            <v>IBEWOUT</v>
          </cell>
          <cell r="F328" t="str">
            <v>1245</v>
          </cell>
          <cell r="G328" t="str">
            <v>8</v>
          </cell>
          <cell r="H328">
            <v>0</v>
          </cell>
        </row>
        <row r="329">
          <cell r="B329">
            <v>3596</v>
          </cell>
          <cell r="C329" t="str">
            <v>Dunn; Bradley C</v>
          </cell>
          <cell r="D329" t="str">
            <v>1C</v>
          </cell>
          <cell r="E329" t="str">
            <v>IBEWOUT</v>
          </cell>
          <cell r="F329" t="str">
            <v>611</v>
          </cell>
          <cell r="G329" t="str">
            <v>15</v>
          </cell>
          <cell r="H329">
            <v>0</v>
          </cell>
        </row>
        <row r="330">
          <cell r="B330">
            <v>3597</v>
          </cell>
          <cell r="C330" t="str">
            <v>Duncan Jr.; Ronald B</v>
          </cell>
          <cell r="D330" t="str">
            <v>1C</v>
          </cell>
          <cell r="E330" t="str">
            <v>IBEWOUT</v>
          </cell>
          <cell r="F330" t="str">
            <v>77</v>
          </cell>
          <cell r="G330" t="str">
            <v>8</v>
          </cell>
          <cell r="H330">
            <v>0</v>
          </cell>
        </row>
        <row r="331">
          <cell r="B331">
            <v>3598</v>
          </cell>
          <cell r="C331" t="str">
            <v>Dunton; Lewis R</v>
          </cell>
          <cell r="D331" t="str">
            <v>1C</v>
          </cell>
          <cell r="E331" t="str">
            <v>IBEWOUT</v>
          </cell>
          <cell r="F331" t="str">
            <v>77</v>
          </cell>
          <cell r="G331" t="str">
            <v>10</v>
          </cell>
          <cell r="H331">
            <v>0</v>
          </cell>
        </row>
        <row r="332">
          <cell r="B332">
            <v>3600</v>
          </cell>
          <cell r="C332" t="str">
            <v>Dunlap; Chad J</v>
          </cell>
          <cell r="D332" t="str">
            <v>1C</v>
          </cell>
          <cell r="E332" t="str">
            <v/>
          </cell>
          <cell r="F332" t="str">
            <v/>
          </cell>
          <cell r="G332" t="str">
            <v/>
          </cell>
          <cell r="H332">
            <v>0</v>
          </cell>
        </row>
        <row r="333">
          <cell r="B333">
            <v>3604</v>
          </cell>
          <cell r="C333" t="str">
            <v>Dove; Noah C.</v>
          </cell>
          <cell r="D333" t="str">
            <v>1</v>
          </cell>
          <cell r="E333" t="str">
            <v>IBEWOUT</v>
          </cell>
          <cell r="F333" t="str">
            <v>77</v>
          </cell>
          <cell r="G333" t="str">
            <v>7</v>
          </cell>
          <cell r="H333">
            <v>0</v>
          </cell>
        </row>
        <row r="334">
          <cell r="B334">
            <v>3608</v>
          </cell>
          <cell r="C334" t="str">
            <v>Dovichi; Gregory D</v>
          </cell>
          <cell r="D334" t="str">
            <v>1C</v>
          </cell>
          <cell r="E334" t="str">
            <v>IBEWOUT</v>
          </cell>
          <cell r="F334" t="str">
            <v>1245</v>
          </cell>
          <cell r="G334" t="str">
            <v>8</v>
          </cell>
          <cell r="H334">
            <v>0</v>
          </cell>
        </row>
        <row r="335">
          <cell r="B335">
            <v>3610</v>
          </cell>
          <cell r="C335" t="str">
            <v>Driver; Kenneth R</v>
          </cell>
          <cell r="D335" t="str">
            <v>1C</v>
          </cell>
          <cell r="E335" t="str">
            <v>IBEWOUT</v>
          </cell>
          <cell r="F335" t="str">
            <v>1245</v>
          </cell>
          <cell r="G335" t="str">
            <v>17</v>
          </cell>
          <cell r="H335">
            <v>0</v>
          </cell>
        </row>
        <row r="336">
          <cell r="B336">
            <v>3612</v>
          </cell>
          <cell r="C336" t="str">
            <v>Drauschak; Joseph D</v>
          </cell>
          <cell r="D336" t="str">
            <v>1C</v>
          </cell>
          <cell r="E336" t="str">
            <v>IBEWOUT</v>
          </cell>
          <cell r="F336" t="str">
            <v>1319</v>
          </cell>
          <cell r="G336" t="str">
            <v>21</v>
          </cell>
          <cell r="H336">
            <v>0</v>
          </cell>
        </row>
        <row r="337">
          <cell r="B337">
            <v>3614</v>
          </cell>
          <cell r="C337" t="str">
            <v>Duncan; Thomas K</v>
          </cell>
          <cell r="D337" t="str">
            <v>1C</v>
          </cell>
          <cell r="E337" t="str">
            <v>IBEWOUT</v>
          </cell>
          <cell r="F337" t="str">
            <v>77</v>
          </cell>
          <cell r="G337" t="str">
            <v>8</v>
          </cell>
          <cell r="H337">
            <v>0</v>
          </cell>
        </row>
        <row r="338">
          <cell r="B338">
            <v>3615</v>
          </cell>
          <cell r="C338" t="str">
            <v>Durkin; Patrick J</v>
          </cell>
          <cell r="D338" t="str">
            <v>1C</v>
          </cell>
          <cell r="E338" t="str">
            <v>IBEWOUT</v>
          </cell>
          <cell r="F338" t="str">
            <v>104</v>
          </cell>
          <cell r="G338" t="str">
            <v>15</v>
          </cell>
          <cell r="H338">
            <v>0</v>
          </cell>
        </row>
        <row r="339">
          <cell r="B339">
            <v>3616</v>
          </cell>
          <cell r="C339" t="str">
            <v>Dobry; Casey A</v>
          </cell>
          <cell r="D339" t="str">
            <v>1C</v>
          </cell>
          <cell r="E339" t="str">
            <v>IBEWOUT</v>
          </cell>
          <cell r="F339" t="str">
            <v>1245</v>
          </cell>
          <cell r="G339" t="str">
            <v>7</v>
          </cell>
          <cell r="H339">
            <v>0</v>
          </cell>
        </row>
        <row r="340">
          <cell r="B340">
            <v>3617</v>
          </cell>
          <cell r="C340" t="str">
            <v>Durbano; David L</v>
          </cell>
          <cell r="D340" t="str">
            <v>1</v>
          </cell>
          <cell r="E340" t="str">
            <v/>
          </cell>
          <cell r="F340" t="str">
            <v/>
          </cell>
          <cell r="G340" t="str">
            <v/>
          </cell>
          <cell r="H340">
            <v>1</v>
          </cell>
        </row>
        <row r="341">
          <cell r="B341">
            <v>3618</v>
          </cell>
          <cell r="C341" t="str">
            <v>Doan; Christopher P</v>
          </cell>
          <cell r="D341" t="str">
            <v>1C</v>
          </cell>
          <cell r="E341" t="str">
            <v>IBEWOUT</v>
          </cell>
          <cell r="F341" t="str">
            <v>126</v>
          </cell>
          <cell r="G341" t="str">
            <v>33</v>
          </cell>
          <cell r="H341">
            <v>0</v>
          </cell>
        </row>
        <row r="342">
          <cell r="B342">
            <v>3622</v>
          </cell>
          <cell r="C342" t="str">
            <v>Eberhart; Bradley D</v>
          </cell>
          <cell r="D342" t="str">
            <v>1C</v>
          </cell>
          <cell r="E342" t="str">
            <v>IBEWOUT</v>
          </cell>
          <cell r="F342" t="str">
            <v>77</v>
          </cell>
          <cell r="G342" t="str">
            <v>16</v>
          </cell>
          <cell r="H342">
            <v>0</v>
          </cell>
        </row>
        <row r="343">
          <cell r="B343">
            <v>3623</v>
          </cell>
          <cell r="C343" t="str">
            <v>Eckstein; Blake Robert</v>
          </cell>
          <cell r="D343" t="str">
            <v>1C</v>
          </cell>
          <cell r="E343" t="str">
            <v>IBEWOUT</v>
          </cell>
          <cell r="F343" t="str">
            <v>1245</v>
          </cell>
          <cell r="G343" t="str">
            <v>7</v>
          </cell>
          <cell r="H343">
            <v>0</v>
          </cell>
        </row>
        <row r="344">
          <cell r="B344">
            <v>3625</v>
          </cell>
          <cell r="C344" t="str">
            <v>Edwards; Cole</v>
          </cell>
          <cell r="D344" t="str">
            <v>1C</v>
          </cell>
          <cell r="E344" t="str">
            <v>IBEWOUT</v>
          </cell>
          <cell r="F344" t="str">
            <v>1245</v>
          </cell>
          <cell r="G344" t="str">
            <v>12</v>
          </cell>
          <cell r="H344">
            <v>0</v>
          </cell>
        </row>
        <row r="345">
          <cell r="B345">
            <v>3626</v>
          </cell>
          <cell r="C345" t="str">
            <v>Eckhardt; Kenneth R</v>
          </cell>
          <cell r="D345" t="str">
            <v>1</v>
          </cell>
          <cell r="E345" t="str">
            <v>IBEWOUT</v>
          </cell>
          <cell r="F345" t="str">
            <v>47</v>
          </cell>
          <cell r="G345" t="str">
            <v>16</v>
          </cell>
          <cell r="H345">
            <v>0</v>
          </cell>
        </row>
        <row r="346">
          <cell r="B346">
            <v>3627</v>
          </cell>
          <cell r="C346" t="str">
            <v>Dutton; Billy D</v>
          </cell>
          <cell r="D346" t="str">
            <v>1</v>
          </cell>
          <cell r="E346" t="str">
            <v>IBEWOUT</v>
          </cell>
          <cell r="F346" t="str">
            <v>1245</v>
          </cell>
          <cell r="G346" t="str">
            <v>8</v>
          </cell>
          <cell r="H346">
            <v>0</v>
          </cell>
        </row>
        <row r="347">
          <cell r="B347">
            <v>3629</v>
          </cell>
          <cell r="C347" t="str">
            <v>Durbin; Logan B</v>
          </cell>
          <cell r="D347" t="str">
            <v>1C</v>
          </cell>
          <cell r="E347" t="str">
            <v>IBEWOUT</v>
          </cell>
          <cell r="F347" t="str">
            <v>1245</v>
          </cell>
          <cell r="G347" t="str">
            <v>16</v>
          </cell>
          <cell r="H347">
            <v>0</v>
          </cell>
        </row>
        <row r="348">
          <cell r="B348">
            <v>3630</v>
          </cell>
          <cell r="C348" t="str">
            <v>Egress Jr; Frank</v>
          </cell>
          <cell r="D348" t="str">
            <v>1C</v>
          </cell>
          <cell r="E348" t="str">
            <v>IBEWOUT</v>
          </cell>
          <cell r="F348" t="str">
            <v>1245</v>
          </cell>
          <cell r="G348" t="str">
            <v>8</v>
          </cell>
          <cell r="H348">
            <v>0</v>
          </cell>
        </row>
        <row r="349">
          <cell r="B349">
            <v>3645</v>
          </cell>
          <cell r="C349" t="str">
            <v>Elam; John C</v>
          </cell>
          <cell r="D349" t="str">
            <v>1</v>
          </cell>
          <cell r="E349" t="str">
            <v>IBEWOUT</v>
          </cell>
          <cell r="F349" t="str">
            <v>769</v>
          </cell>
          <cell r="G349" t="str">
            <v>8</v>
          </cell>
          <cell r="H349">
            <v>0</v>
          </cell>
        </row>
        <row r="350">
          <cell r="B350">
            <v>3647</v>
          </cell>
          <cell r="C350" t="str">
            <v>Elliott; Charles M</v>
          </cell>
          <cell r="D350" t="str">
            <v>1</v>
          </cell>
          <cell r="E350" t="str">
            <v>IBEWOUT</v>
          </cell>
          <cell r="F350" t="str">
            <v>1245</v>
          </cell>
          <cell r="G350" t="str">
            <v>8</v>
          </cell>
          <cell r="H350">
            <v>0</v>
          </cell>
        </row>
        <row r="351">
          <cell r="B351">
            <v>3662</v>
          </cell>
          <cell r="C351" t="str">
            <v>Elder; John J</v>
          </cell>
          <cell r="D351" t="str">
            <v>1C</v>
          </cell>
          <cell r="E351" t="str">
            <v>IBEWOUT</v>
          </cell>
          <cell r="F351" t="str">
            <v>47</v>
          </cell>
          <cell r="G351" t="str">
            <v>8</v>
          </cell>
          <cell r="H351">
            <v>0</v>
          </cell>
        </row>
        <row r="352">
          <cell r="B352">
            <v>3767</v>
          </cell>
          <cell r="C352" t="str">
            <v>Ellis; Shawn P</v>
          </cell>
          <cell r="D352" t="str">
            <v>1C</v>
          </cell>
          <cell r="E352" t="str">
            <v>IBEWOUT</v>
          </cell>
          <cell r="F352" t="str">
            <v>47</v>
          </cell>
          <cell r="G352" t="str">
            <v>8</v>
          </cell>
          <cell r="H352">
            <v>0</v>
          </cell>
        </row>
        <row r="353">
          <cell r="B353">
            <v>3780</v>
          </cell>
          <cell r="C353" t="str">
            <v>Enders; Rodney J.</v>
          </cell>
          <cell r="D353" t="str">
            <v>1</v>
          </cell>
          <cell r="E353" t="str">
            <v/>
          </cell>
          <cell r="F353" t="str">
            <v/>
          </cell>
          <cell r="G353" t="str">
            <v/>
          </cell>
          <cell r="H353">
            <v>0</v>
          </cell>
        </row>
        <row r="354">
          <cell r="B354">
            <v>3785</v>
          </cell>
          <cell r="C354" t="str">
            <v>English; Richard R</v>
          </cell>
          <cell r="D354" t="str">
            <v>1C</v>
          </cell>
          <cell r="E354" t="str">
            <v>IBEWOUT</v>
          </cell>
          <cell r="F354" t="str">
            <v>77</v>
          </cell>
          <cell r="G354" t="str">
            <v>15</v>
          </cell>
          <cell r="H354">
            <v>0</v>
          </cell>
        </row>
        <row r="355">
          <cell r="B355">
            <v>3920</v>
          </cell>
          <cell r="C355" t="str">
            <v>Edgar; Donald G</v>
          </cell>
          <cell r="D355" t="str">
            <v>1C</v>
          </cell>
          <cell r="E355" t="str">
            <v>IBEWOUT</v>
          </cell>
          <cell r="F355" t="str">
            <v>47</v>
          </cell>
          <cell r="G355" t="str">
            <v>8</v>
          </cell>
          <cell r="H355">
            <v>0</v>
          </cell>
        </row>
        <row r="356">
          <cell r="B356">
            <v>3941</v>
          </cell>
          <cell r="C356" t="str">
            <v>Erby; Bernard R</v>
          </cell>
          <cell r="D356" t="str">
            <v>1</v>
          </cell>
          <cell r="E356" t="str">
            <v>IBEWOUT</v>
          </cell>
          <cell r="F356" t="str">
            <v>47</v>
          </cell>
          <cell r="G356" t="str">
            <v>17</v>
          </cell>
          <cell r="H356">
            <v>0</v>
          </cell>
        </row>
        <row r="357">
          <cell r="B357">
            <v>3942</v>
          </cell>
          <cell r="C357" t="str">
            <v>Erickson; Clancy W</v>
          </cell>
          <cell r="D357" t="str">
            <v>1C</v>
          </cell>
          <cell r="E357" t="str">
            <v>IBEWOUT</v>
          </cell>
          <cell r="F357" t="str">
            <v>1245</v>
          </cell>
          <cell r="G357" t="str">
            <v>8</v>
          </cell>
          <cell r="H357">
            <v>0</v>
          </cell>
        </row>
        <row r="358">
          <cell r="B358">
            <v>3944</v>
          </cell>
          <cell r="C358" t="str">
            <v>Erickson; Mitchell</v>
          </cell>
          <cell r="D358" t="str">
            <v>1C</v>
          </cell>
          <cell r="E358" t="str">
            <v>IBEWOUT</v>
          </cell>
          <cell r="F358" t="str">
            <v>77</v>
          </cell>
          <cell r="G358" t="str">
            <v>17</v>
          </cell>
          <cell r="H358">
            <v>0</v>
          </cell>
        </row>
        <row r="359">
          <cell r="B359">
            <v>3990</v>
          </cell>
          <cell r="C359" t="str">
            <v>Esparza; Joel S.</v>
          </cell>
          <cell r="D359" t="str">
            <v>1C</v>
          </cell>
          <cell r="E359" t="str">
            <v>IBEWOUT</v>
          </cell>
          <cell r="F359" t="str">
            <v>396</v>
          </cell>
          <cell r="G359" t="str">
            <v>8</v>
          </cell>
          <cell r="H359">
            <v>0</v>
          </cell>
        </row>
        <row r="360">
          <cell r="B360">
            <v>3999</v>
          </cell>
          <cell r="C360" t="str">
            <v>Franks; Billy J</v>
          </cell>
          <cell r="D360" t="str">
            <v>1C</v>
          </cell>
          <cell r="E360" t="str">
            <v>IBEWOUT</v>
          </cell>
          <cell r="F360" t="str">
            <v>1245</v>
          </cell>
          <cell r="G360" t="str">
            <v>8</v>
          </cell>
          <cell r="H360">
            <v>0</v>
          </cell>
        </row>
        <row r="361">
          <cell r="B361">
            <v>4005</v>
          </cell>
          <cell r="C361" t="str">
            <v>Espinoza; Joseph A.</v>
          </cell>
          <cell r="D361" t="str">
            <v>1C</v>
          </cell>
          <cell r="E361" t="str">
            <v>IBEWOUT</v>
          </cell>
          <cell r="F361" t="str">
            <v>47</v>
          </cell>
          <cell r="G361" t="str">
            <v>8</v>
          </cell>
          <cell r="H361">
            <v>0</v>
          </cell>
        </row>
        <row r="362">
          <cell r="B362">
            <v>4032</v>
          </cell>
          <cell r="C362" t="str">
            <v>Fahlund; Adam S</v>
          </cell>
          <cell r="D362" t="str">
            <v>1C</v>
          </cell>
          <cell r="E362" t="str">
            <v>IBEWOUT</v>
          </cell>
          <cell r="F362" t="str">
            <v>1049</v>
          </cell>
          <cell r="G362" t="str">
            <v>17</v>
          </cell>
          <cell r="H362">
            <v>0</v>
          </cell>
        </row>
        <row r="363">
          <cell r="B363">
            <v>4051</v>
          </cell>
          <cell r="C363" t="str">
            <v>Farmer; Keith A</v>
          </cell>
          <cell r="D363" t="str">
            <v>1C</v>
          </cell>
          <cell r="E363" t="str">
            <v>IBEWOUT</v>
          </cell>
          <cell r="F363" t="str">
            <v>47</v>
          </cell>
          <cell r="G363" t="str">
            <v>16</v>
          </cell>
          <cell r="H363">
            <v>0</v>
          </cell>
        </row>
        <row r="364">
          <cell r="B364">
            <v>4061</v>
          </cell>
          <cell r="C364" t="str">
            <v>Farris; Christopher J</v>
          </cell>
          <cell r="D364" t="str">
            <v>1C</v>
          </cell>
          <cell r="E364" t="str">
            <v>IBEWOUT</v>
          </cell>
          <cell r="F364" t="str">
            <v>1245</v>
          </cell>
          <cell r="G364" t="str">
            <v>7</v>
          </cell>
          <cell r="H364">
            <v>0</v>
          </cell>
        </row>
        <row r="365">
          <cell r="B365">
            <v>4066</v>
          </cell>
          <cell r="C365" t="str">
            <v>Farias; Jose M</v>
          </cell>
          <cell r="D365" t="str">
            <v>1</v>
          </cell>
          <cell r="E365" t="str">
            <v>IBEWOUT</v>
          </cell>
          <cell r="F365" t="str">
            <v>1245</v>
          </cell>
          <cell r="G365" t="str">
            <v>8</v>
          </cell>
          <cell r="H365">
            <v>0</v>
          </cell>
        </row>
        <row r="366">
          <cell r="B366">
            <v>4067</v>
          </cell>
          <cell r="C366" t="str">
            <v>Fazio; Joseph A.</v>
          </cell>
          <cell r="D366" t="str">
            <v>1C</v>
          </cell>
          <cell r="E366" t="str">
            <v/>
          </cell>
          <cell r="F366" t="str">
            <v/>
          </cell>
          <cell r="G366" t="str">
            <v/>
          </cell>
          <cell r="H366">
            <v>0</v>
          </cell>
        </row>
        <row r="367">
          <cell r="B367">
            <v>4068</v>
          </cell>
          <cell r="C367" t="str">
            <v>Farias; Ramon A</v>
          </cell>
          <cell r="D367" t="str">
            <v>1</v>
          </cell>
          <cell r="E367" t="str">
            <v>IBEWOUT</v>
          </cell>
          <cell r="F367" t="str">
            <v>1245</v>
          </cell>
          <cell r="G367" t="str">
            <v>8</v>
          </cell>
          <cell r="H367">
            <v>0</v>
          </cell>
        </row>
        <row r="368">
          <cell r="B368">
            <v>4071</v>
          </cell>
          <cell r="C368" t="str">
            <v>Fell; Jeffrey C</v>
          </cell>
          <cell r="D368" t="str">
            <v>1C</v>
          </cell>
          <cell r="E368" t="str">
            <v>IBEWOUT</v>
          </cell>
          <cell r="F368" t="str">
            <v>77</v>
          </cell>
          <cell r="G368" t="str">
            <v>7</v>
          </cell>
          <cell r="H368">
            <v>0</v>
          </cell>
        </row>
        <row r="369">
          <cell r="B369">
            <v>4072</v>
          </cell>
          <cell r="C369" t="str">
            <v>Felts; Dallas Z.</v>
          </cell>
          <cell r="D369" t="str">
            <v>1C</v>
          </cell>
          <cell r="E369" t="str">
            <v>IBEWOUT</v>
          </cell>
          <cell r="F369" t="str">
            <v>47</v>
          </cell>
          <cell r="G369" t="str">
            <v>8</v>
          </cell>
          <cell r="H369">
            <v>0</v>
          </cell>
        </row>
        <row r="370">
          <cell r="B370">
            <v>4075</v>
          </cell>
          <cell r="C370" t="str">
            <v>Ferrara; Jeffrey C.</v>
          </cell>
          <cell r="D370" t="str">
            <v>1C</v>
          </cell>
          <cell r="E370" t="str">
            <v>IBEWOUT</v>
          </cell>
          <cell r="F370" t="str">
            <v>47</v>
          </cell>
          <cell r="G370" t="str">
            <v>17</v>
          </cell>
          <cell r="H370">
            <v>0</v>
          </cell>
        </row>
        <row r="371">
          <cell r="B371">
            <v>4076</v>
          </cell>
          <cell r="C371" t="str">
            <v>Ferrari; Michael T</v>
          </cell>
          <cell r="D371" t="str">
            <v>1C</v>
          </cell>
          <cell r="E371" t="str">
            <v>IBEWOUT</v>
          </cell>
          <cell r="F371" t="str">
            <v>769</v>
          </cell>
          <cell r="G371" t="str">
            <v>10</v>
          </cell>
          <cell r="H371">
            <v>0</v>
          </cell>
        </row>
        <row r="372">
          <cell r="B372">
            <v>4079</v>
          </cell>
          <cell r="C372" t="str">
            <v>Fergus; Jeffrey</v>
          </cell>
          <cell r="D372" t="str">
            <v>1C</v>
          </cell>
          <cell r="E372" t="str">
            <v>IBEWOUT</v>
          </cell>
          <cell r="F372" t="str">
            <v>47</v>
          </cell>
          <cell r="G372" t="str">
            <v>60</v>
          </cell>
          <cell r="H372">
            <v>0</v>
          </cell>
        </row>
        <row r="373">
          <cell r="B373">
            <v>4081</v>
          </cell>
          <cell r="C373" t="str">
            <v>Fenstermaker; Marshall D</v>
          </cell>
          <cell r="D373" t="str">
            <v>1C</v>
          </cell>
          <cell r="E373" t="str">
            <v>IBEWOUT</v>
          </cell>
          <cell r="F373" t="str">
            <v>47</v>
          </cell>
          <cell r="G373" t="str">
            <v>8</v>
          </cell>
          <cell r="H373">
            <v>0</v>
          </cell>
        </row>
        <row r="374">
          <cell r="B374">
            <v>4098</v>
          </cell>
          <cell r="C374" t="str">
            <v>Fitzgerald; Thomas L.</v>
          </cell>
          <cell r="D374" t="str">
            <v>1</v>
          </cell>
          <cell r="E374" t="str">
            <v>IBEWOUT</v>
          </cell>
          <cell r="F374" t="str">
            <v>77</v>
          </cell>
          <cell r="G374" t="str">
            <v>7</v>
          </cell>
          <cell r="H374">
            <v>0</v>
          </cell>
        </row>
        <row r="375">
          <cell r="B375">
            <v>4103</v>
          </cell>
          <cell r="C375" t="str">
            <v>Fitzpatrick; John Michael</v>
          </cell>
          <cell r="D375" t="str">
            <v>1C</v>
          </cell>
          <cell r="E375" t="str">
            <v>IBEWOUT</v>
          </cell>
          <cell r="F375" t="str">
            <v>1245</v>
          </cell>
          <cell r="G375" t="str">
            <v>7</v>
          </cell>
          <cell r="H375">
            <v>0</v>
          </cell>
        </row>
        <row r="376">
          <cell r="B376">
            <v>4107</v>
          </cell>
          <cell r="C376" t="str">
            <v>Fisher; Lucas M.</v>
          </cell>
          <cell r="D376" t="str">
            <v>1</v>
          </cell>
          <cell r="E376" t="str">
            <v>IBEWOUT</v>
          </cell>
          <cell r="F376" t="str">
            <v>77</v>
          </cell>
          <cell r="G376" t="str">
            <v>7</v>
          </cell>
          <cell r="H376">
            <v>0</v>
          </cell>
        </row>
        <row r="377">
          <cell r="B377">
            <v>4110</v>
          </cell>
          <cell r="C377" t="str">
            <v>Flanagan; Christopher M</v>
          </cell>
          <cell r="D377" t="str">
            <v>1C</v>
          </cell>
          <cell r="E377" t="str">
            <v>IBEWOUT</v>
          </cell>
          <cell r="F377" t="str">
            <v>47</v>
          </cell>
          <cell r="G377" t="str">
            <v>17</v>
          </cell>
          <cell r="H377">
            <v>0</v>
          </cell>
        </row>
        <row r="378">
          <cell r="B378">
            <v>4115</v>
          </cell>
          <cell r="C378" t="str">
            <v>Flores; Raul D</v>
          </cell>
          <cell r="D378" t="str">
            <v>1</v>
          </cell>
          <cell r="E378" t="str">
            <v>IBEWOUT</v>
          </cell>
          <cell r="F378" t="str">
            <v>1245</v>
          </cell>
          <cell r="G378" t="str">
            <v>8</v>
          </cell>
          <cell r="H378">
            <v>0</v>
          </cell>
        </row>
        <row r="379">
          <cell r="B379">
            <v>4122</v>
          </cell>
          <cell r="C379" t="str">
            <v>Fierro; Anthony</v>
          </cell>
          <cell r="D379" t="str">
            <v>1C</v>
          </cell>
          <cell r="E379" t="str">
            <v>IBEWOUT</v>
          </cell>
          <cell r="F379" t="str">
            <v>1245</v>
          </cell>
          <cell r="G379" t="str">
            <v>8</v>
          </cell>
          <cell r="H379">
            <v>0</v>
          </cell>
        </row>
        <row r="380">
          <cell r="B380">
            <v>4123</v>
          </cell>
          <cell r="C380" t="str">
            <v>Fierro; Abraham M.</v>
          </cell>
          <cell r="D380" t="str">
            <v>1C</v>
          </cell>
          <cell r="E380" t="str">
            <v>IBEWOUT</v>
          </cell>
          <cell r="F380" t="str">
            <v>47</v>
          </cell>
          <cell r="G380" t="str">
            <v>8</v>
          </cell>
          <cell r="H380">
            <v>0</v>
          </cell>
        </row>
        <row r="381">
          <cell r="B381">
            <v>4127</v>
          </cell>
          <cell r="C381" t="str">
            <v>Filkins; Shane K</v>
          </cell>
          <cell r="D381" t="str">
            <v>1C</v>
          </cell>
          <cell r="E381" t="str">
            <v>IBEWOUT</v>
          </cell>
          <cell r="F381" t="str">
            <v>1245</v>
          </cell>
          <cell r="G381" t="str">
            <v>8</v>
          </cell>
          <cell r="H381">
            <v>0</v>
          </cell>
        </row>
        <row r="382">
          <cell r="B382">
            <v>4129</v>
          </cell>
          <cell r="C382" t="str">
            <v>Flynn; Daniel T.</v>
          </cell>
          <cell r="D382" t="str">
            <v>1C</v>
          </cell>
          <cell r="E382" t="str">
            <v>IBEWOUT</v>
          </cell>
          <cell r="F382" t="str">
            <v>47</v>
          </cell>
          <cell r="G382" t="str">
            <v>8</v>
          </cell>
          <cell r="H382">
            <v>0</v>
          </cell>
        </row>
        <row r="383">
          <cell r="B383">
            <v>4130</v>
          </cell>
          <cell r="C383" t="str">
            <v>Filippini; Lucas V</v>
          </cell>
          <cell r="D383" t="str">
            <v>1C</v>
          </cell>
          <cell r="E383" t="str">
            <v>IBEWOUT</v>
          </cell>
          <cell r="F383" t="str">
            <v>47</v>
          </cell>
          <cell r="G383" t="str">
            <v>15</v>
          </cell>
          <cell r="H383">
            <v>0</v>
          </cell>
        </row>
        <row r="384">
          <cell r="B384">
            <v>4134</v>
          </cell>
          <cell r="C384" t="str">
            <v>Fernandez Jr; Rogelio F</v>
          </cell>
          <cell r="D384" t="str">
            <v>1</v>
          </cell>
          <cell r="E384" t="str">
            <v>IBEWOUT</v>
          </cell>
          <cell r="F384" t="str">
            <v>1245</v>
          </cell>
          <cell r="G384" t="str">
            <v>70</v>
          </cell>
          <cell r="H384">
            <v>0</v>
          </cell>
        </row>
        <row r="385">
          <cell r="B385">
            <v>4135</v>
          </cell>
          <cell r="C385" t="str">
            <v>Fernandez; Jose A.</v>
          </cell>
          <cell r="D385" t="str">
            <v>1C</v>
          </cell>
          <cell r="E385" t="str">
            <v>IBEWOUT</v>
          </cell>
          <cell r="F385" t="str">
            <v>47</v>
          </cell>
          <cell r="G385" t="str">
            <v>8</v>
          </cell>
          <cell r="H385">
            <v>0</v>
          </cell>
        </row>
        <row r="386">
          <cell r="B386">
            <v>4141</v>
          </cell>
          <cell r="C386" t="str">
            <v>Fitzpatrick; Ryan C.</v>
          </cell>
          <cell r="D386" t="str">
            <v>1C</v>
          </cell>
          <cell r="E386" t="str">
            <v>IBEWOUT</v>
          </cell>
          <cell r="F386" t="str">
            <v>77</v>
          </cell>
          <cell r="G386" t="str">
            <v>10</v>
          </cell>
          <cell r="H386">
            <v>0</v>
          </cell>
        </row>
        <row r="387">
          <cell r="B387">
            <v>4142</v>
          </cell>
          <cell r="C387" t="str">
            <v>Finley; Jerry L</v>
          </cell>
          <cell r="D387" t="str">
            <v>1C</v>
          </cell>
          <cell r="E387" t="str">
            <v>IBEWOUT</v>
          </cell>
          <cell r="F387" t="str">
            <v>602R</v>
          </cell>
          <cell r="G387" t="str">
            <v>18</v>
          </cell>
          <cell r="H387">
            <v>0</v>
          </cell>
        </row>
        <row r="388">
          <cell r="B388">
            <v>4153</v>
          </cell>
          <cell r="C388" t="str">
            <v>Foreman; Shane M</v>
          </cell>
          <cell r="D388" t="str">
            <v>1C</v>
          </cell>
          <cell r="E388" t="str">
            <v>IBEWOUT</v>
          </cell>
          <cell r="F388" t="str">
            <v>769</v>
          </cell>
          <cell r="G388" t="str">
            <v>9</v>
          </cell>
          <cell r="H388">
            <v>0</v>
          </cell>
        </row>
        <row r="389">
          <cell r="B389">
            <v>4155</v>
          </cell>
          <cell r="C389" t="str">
            <v>Fondon; John W</v>
          </cell>
          <cell r="D389" t="str">
            <v>1C</v>
          </cell>
          <cell r="E389" t="str">
            <v>IBEWOUT</v>
          </cell>
          <cell r="F389" t="str">
            <v>1245</v>
          </cell>
          <cell r="G389" t="str">
            <v>8</v>
          </cell>
          <cell r="H389">
            <v>0</v>
          </cell>
        </row>
        <row r="390">
          <cell r="B390">
            <v>4158</v>
          </cell>
          <cell r="C390" t="str">
            <v>Forester; Gilbert R</v>
          </cell>
          <cell r="D390" t="str">
            <v>1C</v>
          </cell>
          <cell r="E390" t="str">
            <v>IBEWOUT</v>
          </cell>
          <cell r="F390" t="str">
            <v>602R</v>
          </cell>
          <cell r="G390" t="str">
            <v>33</v>
          </cell>
          <cell r="H390">
            <v>0</v>
          </cell>
        </row>
        <row r="391">
          <cell r="B391">
            <v>4179</v>
          </cell>
          <cell r="C391" t="str">
            <v>Foster; Kyle A.</v>
          </cell>
          <cell r="D391" t="str">
            <v>1C</v>
          </cell>
          <cell r="E391" t="str">
            <v>IBEWOUT</v>
          </cell>
          <cell r="F391" t="str">
            <v>1245</v>
          </cell>
          <cell r="G391" t="str">
            <v>17</v>
          </cell>
          <cell r="H391">
            <v>0</v>
          </cell>
        </row>
        <row r="392">
          <cell r="B392">
            <v>4194</v>
          </cell>
          <cell r="C392" t="str">
            <v>Francis; Adam J</v>
          </cell>
          <cell r="D392" t="str">
            <v>1C</v>
          </cell>
          <cell r="E392" t="str">
            <v>IBEWOUT</v>
          </cell>
          <cell r="F392" t="str">
            <v>47</v>
          </cell>
          <cell r="G392" t="str">
            <v>7</v>
          </cell>
          <cell r="H392">
            <v>0</v>
          </cell>
        </row>
        <row r="393">
          <cell r="B393">
            <v>4196</v>
          </cell>
          <cell r="C393" t="str">
            <v>Francis; Jonathan P</v>
          </cell>
          <cell r="D393" t="str">
            <v>1</v>
          </cell>
          <cell r="E393" t="str">
            <v/>
          </cell>
          <cell r="F393" t="str">
            <v/>
          </cell>
          <cell r="G393" t="str">
            <v/>
          </cell>
          <cell r="H393">
            <v>1</v>
          </cell>
        </row>
        <row r="394">
          <cell r="B394">
            <v>4200</v>
          </cell>
          <cell r="C394" t="str">
            <v>Franks; Curtis A.</v>
          </cell>
          <cell r="D394" t="str">
            <v>1</v>
          </cell>
          <cell r="E394" t="str">
            <v>IBEWOUT</v>
          </cell>
          <cell r="F394" t="str">
            <v>1245</v>
          </cell>
          <cell r="G394" t="str">
            <v>8</v>
          </cell>
          <cell r="H394">
            <v>0</v>
          </cell>
        </row>
        <row r="395">
          <cell r="B395">
            <v>4232</v>
          </cell>
          <cell r="C395" t="str">
            <v>Frederiksen; Shawn A.</v>
          </cell>
          <cell r="D395" t="str">
            <v>1C</v>
          </cell>
          <cell r="E395" t="str">
            <v>IBEWOUT</v>
          </cell>
          <cell r="F395" t="str">
            <v>396</v>
          </cell>
          <cell r="G395" t="str">
            <v>8</v>
          </cell>
          <cell r="H395">
            <v>0</v>
          </cell>
        </row>
        <row r="396">
          <cell r="B396">
            <v>4239</v>
          </cell>
          <cell r="C396" t="str">
            <v>Frazee; Darren R</v>
          </cell>
          <cell r="D396" t="str">
            <v>1C</v>
          </cell>
          <cell r="E396" t="str">
            <v>IBEWOUT</v>
          </cell>
          <cell r="F396" t="str">
            <v>602R</v>
          </cell>
          <cell r="G396" t="str">
            <v>33</v>
          </cell>
          <cell r="H396">
            <v>0</v>
          </cell>
        </row>
        <row r="397">
          <cell r="B397">
            <v>4240</v>
          </cell>
          <cell r="C397" t="str">
            <v>Frazier; Brad L.</v>
          </cell>
          <cell r="D397" t="str">
            <v>1</v>
          </cell>
          <cell r="E397" t="str">
            <v>IBEWOUT</v>
          </cell>
          <cell r="F397" t="str">
            <v>77</v>
          </cell>
          <cell r="G397" t="str">
            <v>1</v>
          </cell>
          <cell r="H397">
            <v>1</v>
          </cell>
        </row>
        <row r="398">
          <cell r="B398">
            <v>4241</v>
          </cell>
          <cell r="C398" t="str">
            <v>Freeman; Christopher Shane</v>
          </cell>
          <cell r="D398" t="str">
            <v>1C</v>
          </cell>
          <cell r="E398" t="str">
            <v>IBEWOUT</v>
          </cell>
          <cell r="F398" t="str">
            <v>769</v>
          </cell>
          <cell r="G398" t="str">
            <v>8</v>
          </cell>
          <cell r="H398">
            <v>0</v>
          </cell>
        </row>
        <row r="399">
          <cell r="B399">
            <v>4243</v>
          </cell>
          <cell r="C399" t="str">
            <v>Frazier; Forrest F</v>
          </cell>
          <cell r="D399" t="str">
            <v>1</v>
          </cell>
          <cell r="E399" t="str">
            <v/>
          </cell>
          <cell r="F399" t="str">
            <v/>
          </cell>
          <cell r="G399" t="str">
            <v/>
          </cell>
          <cell r="H399">
            <v>0</v>
          </cell>
        </row>
        <row r="400">
          <cell r="B400">
            <v>4249</v>
          </cell>
          <cell r="C400" t="str">
            <v>Hudson; Freeman L.</v>
          </cell>
          <cell r="D400" t="str">
            <v>1C</v>
          </cell>
          <cell r="E400" t="str">
            <v>IBEWOUT</v>
          </cell>
          <cell r="F400" t="str">
            <v>47</v>
          </cell>
          <cell r="G400" t="str">
            <v>8</v>
          </cell>
          <cell r="H400">
            <v>0</v>
          </cell>
        </row>
        <row r="401">
          <cell r="B401">
            <v>4250</v>
          </cell>
          <cell r="C401" t="str">
            <v>French; Steve K</v>
          </cell>
          <cell r="D401" t="str">
            <v>1</v>
          </cell>
          <cell r="E401" t="str">
            <v>IBEWOUT</v>
          </cell>
          <cell r="F401" t="str">
            <v>125</v>
          </cell>
          <cell r="G401" t="str">
            <v>1</v>
          </cell>
          <cell r="H401">
            <v>0</v>
          </cell>
        </row>
        <row r="402">
          <cell r="B402">
            <v>4251</v>
          </cell>
          <cell r="C402" t="str">
            <v>Freismuth; Edward J</v>
          </cell>
          <cell r="D402" t="str">
            <v>1C</v>
          </cell>
          <cell r="E402" t="str">
            <v>IBEWOUT</v>
          </cell>
          <cell r="F402" t="str">
            <v>769</v>
          </cell>
          <cell r="G402" t="str">
            <v>8</v>
          </cell>
          <cell r="H402">
            <v>0</v>
          </cell>
        </row>
        <row r="403">
          <cell r="B403">
            <v>4254</v>
          </cell>
          <cell r="C403" t="str">
            <v>French ll; Thomas E</v>
          </cell>
          <cell r="D403" t="str">
            <v>1C</v>
          </cell>
          <cell r="E403" t="str">
            <v>IBEWOUT</v>
          </cell>
          <cell r="F403" t="str">
            <v>1049</v>
          </cell>
          <cell r="G403" t="str">
            <v>15</v>
          </cell>
          <cell r="H403">
            <v>0</v>
          </cell>
        </row>
        <row r="404">
          <cell r="B404">
            <v>4259</v>
          </cell>
          <cell r="C404" t="str">
            <v>Frias; Ronald</v>
          </cell>
          <cell r="D404" t="str">
            <v>1C</v>
          </cell>
          <cell r="E404" t="str">
            <v>IBEWOUT</v>
          </cell>
          <cell r="F404" t="str">
            <v>47</v>
          </cell>
          <cell r="G404" t="str">
            <v>17</v>
          </cell>
          <cell r="H404">
            <v>0</v>
          </cell>
        </row>
        <row r="405">
          <cell r="B405">
            <v>4270</v>
          </cell>
          <cell r="C405" t="str">
            <v>Fuge; Daniel S</v>
          </cell>
          <cell r="D405" t="str">
            <v>1</v>
          </cell>
          <cell r="E405" t="str">
            <v/>
          </cell>
          <cell r="F405" t="str">
            <v/>
          </cell>
          <cell r="G405" t="str">
            <v/>
          </cell>
          <cell r="H405">
            <v>0</v>
          </cell>
        </row>
        <row r="406">
          <cell r="B406">
            <v>4284</v>
          </cell>
          <cell r="C406" t="str">
            <v>Fulton; Ross A</v>
          </cell>
          <cell r="D406" t="str">
            <v>1</v>
          </cell>
          <cell r="E406" t="str">
            <v>IBEWOUT</v>
          </cell>
          <cell r="F406" t="str">
            <v>769</v>
          </cell>
          <cell r="G406" t="str">
            <v>21</v>
          </cell>
          <cell r="H406">
            <v>0</v>
          </cell>
        </row>
        <row r="407">
          <cell r="B407">
            <v>4285</v>
          </cell>
          <cell r="C407" t="str">
            <v>Funez; Marcial</v>
          </cell>
          <cell r="D407" t="str">
            <v>1C</v>
          </cell>
          <cell r="E407" t="str">
            <v>IBEWOUT</v>
          </cell>
          <cell r="F407" t="str">
            <v>769</v>
          </cell>
          <cell r="G407" t="str">
            <v>22</v>
          </cell>
          <cell r="H407">
            <v>0</v>
          </cell>
        </row>
        <row r="408">
          <cell r="B408">
            <v>4330</v>
          </cell>
          <cell r="C408" t="str">
            <v>Gameng; Marlon G.</v>
          </cell>
          <cell r="D408" t="str">
            <v>1C</v>
          </cell>
          <cell r="E408" t="str">
            <v>IBEWOUT</v>
          </cell>
          <cell r="F408" t="str">
            <v>47</v>
          </cell>
          <cell r="G408" t="str">
            <v>60</v>
          </cell>
          <cell r="H408">
            <v>0</v>
          </cell>
        </row>
        <row r="409">
          <cell r="B409">
            <v>4336</v>
          </cell>
          <cell r="C409" t="str">
            <v>Gandy; Douglas John</v>
          </cell>
          <cell r="D409" t="str">
            <v>1C</v>
          </cell>
          <cell r="E409" t="str">
            <v>IBEWOUT</v>
          </cell>
          <cell r="F409" t="str">
            <v>47</v>
          </cell>
          <cell r="G409" t="str">
            <v>16</v>
          </cell>
          <cell r="H409">
            <v>0</v>
          </cell>
        </row>
        <row r="410">
          <cell r="B410">
            <v>4339</v>
          </cell>
          <cell r="C410" t="str">
            <v>Gabbert; Jarid D</v>
          </cell>
          <cell r="D410" t="str">
            <v>1</v>
          </cell>
          <cell r="E410" t="str">
            <v>IBEWOUT</v>
          </cell>
          <cell r="F410" t="str">
            <v>77</v>
          </cell>
          <cell r="G410" t="str">
            <v>8</v>
          </cell>
          <cell r="H410">
            <v>0</v>
          </cell>
        </row>
        <row r="411">
          <cell r="B411">
            <v>4340</v>
          </cell>
          <cell r="C411" t="str">
            <v>Garcia; John A</v>
          </cell>
          <cell r="D411" t="str">
            <v>1C</v>
          </cell>
          <cell r="E411" t="str">
            <v>IBEWOUT</v>
          </cell>
          <cell r="F411" t="str">
            <v>611</v>
          </cell>
          <cell r="G411" t="str">
            <v>18</v>
          </cell>
          <cell r="H411">
            <v>0</v>
          </cell>
        </row>
        <row r="412">
          <cell r="B412">
            <v>4341</v>
          </cell>
          <cell r="C412" t="str">
            <v>Fyfe; Dusty John</v>
          </cell>
          <cell r="D412" t="str">
            <v>1</v>
          </cell>
          <cell r="E412" t="str">
            <v>IBEWOUT</v>
          </cell>
          <cell r="F412" t="str">
            <v>47</v>
          </cell>
          <cell r="G412" t="str">
            <v>1</v>
          </cell>
          <cell r="H412">
            <v>0</v>
          </cell>
        </row>
        <row r="413">
          <cell r="B413">
            <v>4342</v>
          </cell>
          <cell r="C413" t="str">
            <v>Fye; Scott R</v>
          </cell>
          <cell r="D413" t="str">
            <v>1C</v>
          </cell>
          <cell r="E413" t="str">
            <v>IBEWOUT</v>
          </cell>
          <cell r="F413" t="str">
            <v>1245</v>
          </cell>
          <cell r="G413" t="str">
            <v>8</v>
          </cell>
          <cell r="H413">
            <v>0</v>
          </cell>
        </row>
        <row r="414">
          <cell r="B414">
            <v>4345</v>
          </cell>
          <cell r="C414" t="str">
            <v>Frolov; Gleb</v>
          </cell>
          <cell r="D414" t="str">
            <v>1C</v>
          </cell>
          <cell r="E414" t="str">
            <v>IBEWOUT</v>
          </cell>
          <cell r="F414" t="str">
            <v>47</v>
          </cell>
          <cell r="G414" t="str">
            <v>8</v>
          </cell>
          <cell r="H414">
            <v>0</v>
          </cell>
        </row>
        <row r="415">
          <cell r="B415">
            <v>4346</v>
          </cell>
          <cell r="C415" t="str">
            <v>Frost; Joston T</v>
          </cell>
          <cell r="D415" t="str">
            <v>1C</v>
          </cell>
          <cell r="E415" t="str">
            <v>IBEWOUT</v>
          </cell>
          <cell r="F415" t="str">
            <v>1245</v>
          </cell>
          <cell r="G415" t="str">
            <v>70</v>
          </cell>
          <cell r="H415">
            <v>0</v>
          </cell>
        </row>
        <row r="416">
          <cell r="B416">
            <v>4348</v>
          </cell>
          <cell r="C416" t="str">
            <v>Fuhs; Kirt R.</v>
          </cell>
          <cell r="D416" t="str">
            <v>1</v>
          </cell>
          <cell r="E416" t="str">
            <v/>
          </cell>
          <cell r="F416" t="str">
            <v/>
          </cell>
          <cell r="G416" t="str">
            <v/>
          </cell>
          <cell r="H416">
            <v>0</v>
          </cell>
        </row>
        <row r="417">
          <cell r="B417">
            <v>4350</v>
          </cell>
          <cell r="C417" t="str">
            <v>Full; Laramie M</v>
          </cell>
          <cell r="D417" t="str">
            <v>1C</v>
          </cell>
          <cell r="E417" t="str">
            <v>IBEWOUT</v>
          </cell>
          <cell r="F417" t="str">
            <v>47</v>
          </cell>
          <cell r="G417" t="str">
            <v>8</v>
          </cell>
          <cell r="H417">
            <v>0</v>
          </cell>
        </row>
        <row r="418">
          <cell r="B418">
            <v>4357</v>
          </cell>
          <cell r="C418" t="str">
            <v>Gage; Matthew Loren</v>
          </cell>
          <cell r="D418" t="str">
            <v>1C</v>
          </cell>
          <cell r="E418" t="str">
            <v>IBEWOUT</v>
          </cell>
          <cell r="F418" t="str">
            <v>125</v>
          </cell>
          <cell r="G418" t="str">
            <v>8</v>
          </cell>
          <cell r="H418">
            <v>0</v>
          </cell>
        </row>
        <row r="419">
          <cell r="B419">
            <v>4358</v>
          </cell>
          <cell r="C419" t="str">
            <v>Gadsby; Terrence P</v>
          </cell>
          <cell r="D419" t="str">
            <v>1C</v>
          </cell>
          <cell r="E419" t="str">
            <v>IBEWOUT</v>
          </cell>
          <cell r="F419" t="str">
            <v>126</v>
          </cell>
          <cell r="G419" t="str">
            <v>10</v>
          </cell>
          <cell r="H419">
            <v>0</v>
          </cell>
        </row>
        <row r="420">
          <cell r="B420">
            <v>4359</v>
          </cell>
          <cell r="C420" t="str">
            <v>Gannon; Jon B.</v>
          </cell>
          <cell r="D420" t="str">
            <v>1</v>
          </cell>
          <cell r="E420" t="str">
            <v>IBEWOUT</v>
          </cell>
          <cell r="F420" t="str">
            <v>47</v>
          </cell>
          <cell r="G420" t="str">
            <v>1</v>
          </cell>
          <cell r="H420">
            <v>0</v>
          </cell>
        </row>
        <row r="421">
          <cell r="B421">
            <v>4360</v>
          </cell>
          <cell r="C421" t="str">
            <v>Galves; Michael C</v>
          </cell>
          <cell r="D421" t="str">
            <v>1</v>
          </cell>
          <cell r="E421" t="str">
            <v>IBEWOUT</v>
          </cell>
          <cell r="F421" t="str">
            <v>1245</v>
          </cell>
          <cell r="G421" t="str">
            <v>1</v>
          </cell>
          <cell r="H421">
            <v>0</v>
          </cell>
        </row>
        <row r="422">
          <cell r="B422">
            <v>4370</v>
          </cell>
          <cell r="C422" t="str">
            <v>Gardner; Michael Lynn</v>
          </cell>
          <cell r="D422" t="str">
            <v>1C</v>
          </cell>
          <cell r="E422" t="str">
            <v>IBEWOUT</v>
          </cell>
          <cell r="F422" t="str">
            <v>125</v>
          </cell>
          <cell r="G422" t="str">
            <v>33</v>
          </cell>
          <cell r="H422">
            <v>0</v>
          </cell>
        </row>
        <row r="423">
          <cell r="B423">
            <v>4371</v>
          </cell>
          <cell r="C423" t="str">
            <v>Garcia; Nathan M.</v>
          </cell>
          <cell r="D423" t="str">
            <v>1C</v>
          </cell>
          <cell r="E423" t="str">
            <v>IBEWOUT</v>
          </cell>
          <cell r="F423" t="str">
            <v>611</v>
          </cell>
          <cell r="G423" t="str">
            <v>17</v>
          </cell>
          <cell r="H423">
            <v>0</v>
          </cell>
        </row>
        <row r="424">
          <cell r="B424">
            <v>4372</v>
          </cell>
          <cell r="C424" t="str">
            <v>Gardapee; Cory D</v>
          </cell>
          <cell r="D424" t="str">
            <v>1C</v>
          </cell>
          <cell r="E424" t="str">
            <v>IBEWOUT</v>
          </cell>
          <cell r="F424" t="str">
            <v>160</v>
          </cell>
          <cell r="G424" t="str">
            <v>8</v>
          </cell>
          <cell r="H424">
            <v>0</v>
          </cell>
        </row>
        <row r="425">
          <cell r="B425">
            <v>4373</v>
          </cell>
          <cell r="C425" t="str">
            <v>Gardner; Mitchell T.</v>
          </cell>
          <cell r="D425" t="str">
            <v>1C</v>
          </cell>
          <cell r="E425" t="str">
            <v>IBEWOUT</v>
          </cell>
          <cell r="F425" t="str">
            <v>1245</v>
          </cell>
          <cell r="G425" t="str">
            <v>8</v>
          </cell>
          <cell r="H425">
            <v>0</v>
          </cell>
        </row>
        <row r="426">
          <cell r="B426">
            <v>4375</v>
          </cell>
          <cell r="C426" t="str">
            <v>Gardner; Jacob W.</v>
          </cell>
          <cell r="D426" t="str">
            <v>1C</v>
          </cell>
          <cell r="E426" t="str">
            <v>IBEWOUT</v>
          </cell>
          <cell r="F426" t="str">
            <v>602R</v>
          </cell>
          <cell r="G426" t="str">
            <v>8</v>
          </cell>
          <cell r="H426">
            <v>0</v>
          </cell>
        </row>
        <row r="427">
          <cell r="B427">
            <v>4381</v>
          </cell>
          <cell r="C427" t="str">
            <v>Garcia; David D.</v>
          </cell>
          <cell r="D427" t="str">
            <v>1C</v>
          </cell>
          <cell r="E427" t="str">
            <v>IBEWOUT</v>
          </cell>
          <cell r="F427" t="str">
            <v>769</v>
          </cell>
          <cell r="G427" t="str">
            <v>8</v>
          </cell>
          <cell r="H427">
            <v>0</v>
          </cell>
        </row>
        <row r="428">
          <cell r="B428">
            <v>4382</v>
          </cell>
          <cell r="C428" t="str">
            <v>Garcia; Edmundo</v>
          </cell>
          <cell r="D428" t="str">
            <v>1C</v>
          </cell>
          <cell r="E428" t="str">
            <v>IBEWOUT</v>
          </cell>
          <cell r="F428" t="str">
            <v>160</v>
          </cell>
          <cell r="G428" t="str">
            <v>8</v>
          </cell>
          <cell r="H428">
            <v>0</v>
          </cell>
        </row>
        <row r="429">
          <cell r="B429">
            <v>4387</v>
          </cell>
          <cell r="C429" t="str">
            <v>Gallegos; Jose I</v>
          </cell>
          <cell r="D429" t="str">
            <v>1C</v>
          </cell>
          <cell r="E429" t="str">
            <v>IBEWOUT</v>
          </cell>
          <cell r="F429" t="str">
            <v>602R</v>
          </cell>
          <cell r="G429" t="str">
            <v>11T</v>
          </cell>
          <cell r="H429">
            <v>0</v>
          </cell>
        </row>
        <row r="430">
          <cell r="B430">
            <v>4389</v>
          </cell>
          <cell r="C430" t="str">
            <v>Garceau; Tristan J</v>
          </cell>
          <cell r="D430" t="str">
            <v>1C</v>
          </cell>
          <cell r="E430" t="str">
            <v>IBEWOUT</v>
          </cell>
          <cell r="F430" t="str">
            <v>1245</v>
          </cell>
          <cell r="G430" t="str">
            <v>8</v>
          </cell>
          <cell r="H430">
            <v>0</v>
          </cell>
        </row>
        <row r="431">
          <cell r="B431">
            <v>4390</v>
          </cell>
          <cell r="C431" t="str">
            <v>Gallaher; Adam C</v>
          </cell>
          <cell r="D431" t="str">
            <v>1C</v>
          </cell>
          <cell r="E431" t="str">
            <v>IBEWOUT</v>
          </cell>
          <cell r="F431" t="str">
            <v>126</v>
          </cell>
          <cell r="G431" t="str">
            <v>8</v>
          </cell>
          <cell r="H431">
            <v>0</v>
          </cell>
        </row>
        <row r="432">
          <cell r="B432">
            <v>4392</v>
          </cell>
          <cell r="C432" t="str">
            <v>Garcia; Albert A</v>
          </cell>
          <cell r="D432" t="str">
            <v>1C</v>
          </cell>
          <cell r="E432" t="str">
            <v>IBEWOUT</v>
          </cell>
          <cell r="F432" t="str">
            <v>47</v>
          </cell>
          <cell r="G432" t="str">
            <v>12</v>
          </cell>
          <cell r="H432">
            <v>0</v>
          </cell>
        </row>
        <row r="433">
          <cell r="B433">
            <v>4394</v>
          </cell>
          <cell r="C433" t="str">
            <v>Garcia; Kris</v>
          </cell>
          <cell r="D433" t="str">
            <v>1C</v>
          </cell>
          <cell r="E433" t="str">
            <v>IBEWOUT</v>
          </cell>
          <cell r="F433" t="str">
            <v>611</v>
          </cell>
          <cell r="G433" t="str">
            <v>10</v>
          </cell>
          <cell r="H433">
            <v>0</v>
          </cell>
        </row>
        <row r="434">
          <cell r="B434">
            <v>4398</v>
          </cell>
          <cell r="C434" t="str">
            <v>Garcia; Hafid</v>
          </cell>
          <cell r="D434" t="str">
            <v>1C</v>
          </cell>
          <cell r="E434" t="str">
            <v>IBEWOUT</v>
          </cell>
          <cell r="F434" t="str">
            <v>1245</v>
          </cell>
          <cell r="G434" t="str">
            <v>8</v>
          </cell>
          <cell r="H434">
            <v>0</v>
          </cell>
        </row>
        <row r="435">
          <cell r="B435">
            <v>4402</v>
          </cell>
          <cell r="C435" t="str">
            <v>Garcia; Israel J</v>
          </cell>
          <cell r="D435" t="str">
            <v>1C</v>
          </cell>
          <cell r="E435" t="str">
            <v>IBEWOUT</v>
          </cell>
          <cell r="F435" t="str">
            <v>611</v>
          </cell>
          <cell r="G435" t="str">
            <v>13</v>
          </cell>
          <cell r="H435">
            <v>0</v>
          </cell>
        </row>
        <row r="436">
          <cell r="B436">
            <v>4405</v>
          </cell>
          <cell r="C436" t="str">
            <v>Gatlin; Brian R</v>
          </cell>
          <cell r="D436" t="str">
            <v>1C</v>
          </cell>
          <cell r="E436" t="str">
            <v>IBEWOUT</v>
          </cell>
          <cell r="F436" t="str">
            <v>125</v>
          </cell>
          <cell r="G436" t="str">
            <v>15</v>
          </cell>
          <cell r="H436">
            <v>0</v>
          </cell>
        </row>
        <row r="437">
          <cell r="B437">
            <v>4420</v>
          </cell>
          <cell r="C437" t="str">
            <v>Garcia; Leonel V.</v>
          </cell>
          <cell r="D437" t="str">
            <v>1C</v>
          </cell>
          <cell r="E437" t="str">
            <v>IBEWOUT</v>
          </cell>
          <cell r="F437" t="str">
            <v>47</v>
          </cell>
          <cell r="G437" t="str">
            <v>8</v>
          </cell>
          <cell r="H437">
            <v>0</v>
          </cell>
        </row>
        <row r="438">
          <cell r="B438">
            <v>4424</v>
          </cell>
          <cell r="C438" t="str">
            <v>Garner; David C</v>
          </cell>
          <cell r="D438" t="str">
            <v>1C</v>
          </cell>
          <cell r="E438" t="str">
            <v>IBEWOUT</v>
          </cell>
          <cell r="F438" t="str">
            <v>396</v>
          </cell>
          <cell r="G438" t="str">
            <v>8</v>
          </cell>
          <cell r="H438">
            <v>0</v>
          </cell>
        </row>
        <row r="439">
          <cell r="B439">
            <v>4431</v>
          </cell>
          <cell r="C439" t="str">
            <v>Gebhart; Tanner A</v>
          </cell>
          <cell r="D439" t="str">
            <v>1C</v>
          </cell>
          <cell r="E439" t="str">
            <v>IBEWOUT</v>
          </cell>
          <cell r="F439" t="str">
            <v>602R</v>
          </cell>
          <cell r="G439" t="str">
            <v>8</v>
          </cell>
          <cell r="H439">
            <v>0</v>
          </cell>
        </row>
        <row r="440">
          <cell r="B440">
            <v>4432</v>
          </cell>
          <cell r="C440" t="str">
            <v>Ghering; Tadd P</v>
          </cell>
          <cell r="D440" t="str">
            <v>1C</v>
          </cell>
          <cell r="E440" t="str">
            <v>IBEWOUT</v>
          </cell>
          <cell r="F440" t="str">
            <v>1245</v>
          </cell>
          <cell r="G440" t="str">
            <v>8</v>
          </cell>
          <cell r="H440">
            <v>0</v>
          </cell>
        </row>
        <row r="441">
          <cell r="B441">
            <v>4435</v>
          </cell>
          <cell r="C441" t="str">
            <v>Gehring; Zachary W</v>
          </cell>
          <cell r="D441" t="str">
            <v>1</v>
          </cell>
          <cell r="E441" t="str">
            <v>IBEWOUT</v>
          </cell>
          <cell r="F441" t="str">
            <v>77</v>
          </cell>
          <cell r="G441" t="str">
            <v>8</v>
          </cell>
          <cell r="H441">
            <v>0</v>
          </cell>
        </row>
        <row r="442">
          <cell r="B442">
            <v>4440</v>
          </cell>
          <cell r="C442" t="str">
            <v>Gerber Jr; Christian</v>
          </cell>
          <cell r="D442" t="str">
            <v>1C</v>
          </cell>
          <cell r="E442" t="str">
            <v>IBEWOUT</v>
          </cell>
          <cell r="F442" t="str">
            <v>126</v>
          </cell>
          <cell r="G442" t="str">
            <v>14</v>
          </cell>
          <cell r="H442">
            <v>0</v>
          </cell>
        </row>
        <row r="443">
          <cell r="B443">
            <v>4441</v>
          </cell>
          <cell r="C443" t="str">
            <v>Germany; Micah K</v>
          </cell>
          <cell r="D443" t="str">
            <v>1C</v>
          </cell>
          <cell r="E443" t="str">
            <v>IBEWOUT</v>
          </cell>
          <cell r="F443" t="str">
            <v>1245</v>
          </cell>
          <cell r="G443" t="str">
            <v>16</v>
          </cell>
          <cell r="H443">
            <v>0</v>
          </cell>
        </row>
        <row r="444">
          <cell r="B444">
            <v>4442</v>
          </cell>
          <cell r="C444" t="str">
            <v>Germany; Sammy R</v>
          </cell>
          <cell r="D444" t="str">
            <v>1C</v>
          </cell>
          <cell r="E444" t="str">
            <v>IBEWOUT</v>
          </cell>
          <cell r="F444" t="str">
            <v>1245</v>
          </cell>
          <cell r="G444" t="str">
            <v>8</v>
          </cell>
          <cell r="H444">
            <v>0</v>
          </cell>
        </row>
        <row r="445">
          <cell r="B445">
            <v>4445</v>
          </cell>
          <cell r="C445" t="str">
            <v>Geronimo; Dionicio</v>
          </cell>
          <cell r="D445" t="str">
            <v>1C</v>
          </cell>
          <cell r="E445" t="str">
            <v>IBEWOUT</v>
          </cell>
          <cell r="F445" t="str">
            <v>1245</v>
          </cell>
          <cell r="G445" t="str">
            <v>8</v>
          </cell>
          <cell r="H445">
            <v>0</v>
          </cell>
        </row>
        <row r="446">
          <cell r="B446">
            <v>4446</v>
          </cell>
          <cell r="C446" t="str">
            <v>Gerhards; Emrick</v>
          </cell>
          <cell r="D446" t="str">
            <v>1</v>
          </cell>
          <cell r="E446" t="str">
            <v/>
          </cell>
          <cell r="F446" t="str">
            <v/>
          </cell>
          <cell r="G446" t="str">
            <v/>
          </cell>
          <cell r="H446">
            <v>0</v>
          </cell>
        </row>
        <row r="447">
          <cell r="B447">
            <v>4500</v>
          </cell>
          <cell r="C447" t="str">
            <v>Gesiriech; Gustin W</v>
          </cell>
          <cell r="D447" t="str">
            <v>1C</v>
          </cell>
          <cell r="E447" t="str">
            <v>IBEWOUT</v>
          </cell>
          <cell r="F447" t="str">
            <v>1245</v>
          </cell>
          <cell r="G447" t="str">
            <v>8</v>
          </cell>
          <cell r="H447">
            <v>0</v>
          </cell>
        </row>
        <row r="448">
          <cell r="B448">
            <v>4525</v>
          </cell>
          <cell r="C448" t="str">
            <v>Gnall Jr.; John A</v>
          </cell>
          <cell r="D448" t="str">
            <v>1C</v>
          </cell>
          <cell r="E448" t="str">
            <v>IBEWOUT</v>
          </cell>
          <cell r="F448" t="str">
            <v>1319</v>
          </cell>
          <cell r="G448" t="str">
            <v>8</v>
          </cell>
          <cell r="H448">
            <v>0</v>
          </cell>
        </row>
        <row r="449">
          <cell r="B449">
            <v>4526</v>
          </cell>
          <cell r="C449" t="str">
            <v>Godeke; Joel</v>
          </cell>
          <cell r="D449" t="str">
            <v>1C</v>
          </cell>
          <cell r="E449" t="str">
            <v>IBEWOUT</v>
          </cell>
          <cell r="F449" t="str">
            <v>47</v>
          </cell>
          <cell r="G449" t="str">
            <v>60</v>
          </cell>
          <cell r="H449">
            <v>0</v>
          </cell>
        </row>
        <row r="450">
          <cell r="B450">
            <v>4528</v>
          </cell>
          <cell r="C450" t="str">
            <v>Gollehon; Nolan B</v>
          </cell>
          <cell r="D450" t="str">
            <v>1C</v>
          </cell>
          <cell r="E450" t="str">
            <v>IBEWOUT</v>
          </cell>
          <cell r="F450" t="str">
            <v>47</v>
          </cell>
          <cell r="G450" t="str">
            <v>13</v>
          </cell>
          <cell r="H450">
            <v>0</v>
          </cell>
        </row>
        <row r="451">
          <cell r="B451">
            <v>4535</v>
          </cell>
          <cell r="C451" t="str">
            <v>Goodrich; Thadeus J.</v>
          </cell>
          <cell r="D451" t="str">
            <v>1C</v>
          </cell>
          <cell r="E451" t="str">
            <v>IBEWOUT</v>
          </cell>
          <cell r="F451" t="str">
            <v>77</v>
          </cell>
          <cell r="G451" t="str">
            <v>17</v>
          </cell>
          <cell r="H451">
            <v>0</v>
          </cell>
        </row>
        <row r="452">
          <cell r="B452">
            <v>4538</v>
          </cell>
          <cell r="C452" t="str">
            <v>Goodman; Timothy L</v>
          </cell>
          <cell r="D452" t="str">
            <v>1</v>
          </cell>
          <cell r="E452" t="str">
            <v>IBEWOUT</v>
          </cell>
          <cell r="F452" t="str">
            <v>611</v>
          </cell>
          <cell r="G452" t="str">
            <v>10</v>
          </cell>
          <cell r="H452">
            <v>0</v>
          </cell>
        </row>
        <row r="453">
          <cell r="B453">
            <v>4542</v>
          </cell>
          <cell r="C453" t="str">
            <v>Gordon; Robert S</v>
          </cell>
          <cell r="D453" t="str">
            <v>1C</v>
          </cell>
          <cell r="E453" t="str">
            <v>IBEWOUT</v>
          </cell>
          <cell r="F453" t="str">
            <v>1245</v>
          </cell>
          <cell r="G453" t="str">
            <v>17</v>
          </cell>
          <cell r="H453">
            <v>0</v>
          </cell>
        </row>
        <row r="454">
          <cell r="B454">
            <v>4556</v>
          </cell>
          <cell r="C454" t="str">
            <v>Gonzales; Isaiah C.</v>
          </cell>
          <cell r="D454" t="str">
            <v>1C</v>
          </cell>
          <cell r="E454" t="str">
            <v>IBEWOUT</v>
          </cell>
          <cell r="F454" t="str">
            <v>769</v>
          </cell>
          <cell r="G454" t="str">
            <v>14</v>
          </cell>
          <cell r="H454">
            <v>0</v>
          </cell>
        </row>
        <row r="455">
          <cell r="B455">
            <v>4557</v>
          </cell>
          <cell r="C455" t="str">
            <v>Gordon; Austin K</v>
          </cell>
          <cell r="D455" t="str">
            <v>1C</v>
          </cell>
          <cell r="E455" t="str">
            <v/>
          </cell>
          <cell r="F455" t="str">
            <v/>
          </cell>
          <cell r="G455" t="str">
            <v/>
          </cell>
          <cell r="H455">
            <v>0</v>
          </cell>
        </row>
        <row r="456">
          <cell r="B456">
            <v>4558</v>
          </cell>
          <cell r="C456" t="str">
            <v>Gordon; Cody Richard</v>
          </cell>
          <cell r="D456" t="str">
            <v>1C</v>
          </cell>
          <cell r="E456" t="str">
            <v>IBEWOUT</v>
          </cell>
          <cell r="F456" t="str">
            <v>1245</v>
          </cell>
          <cell r="G456" t="str">
            <v>8</v>
          </cell>
          <cell r="H456">
            <v>0</v>
          </cell>
        </row>
        <row r="457">
          <cell r="B457">
            <v>4563</v>
          </cell>
          <cell r="C457" t="str">
            <v>Gordon; Seth</v>
          </cell>
          <cell r="D457" t="str">
            <v>1C</v>
          </cell>
          <cell r="E457" t="str">
            <v/>
          </cell>
          <cell r="F457" t="str">
            <v/>
          </cell>
          <cell r="G457" t="str">
            <v/>
          </cell>
          <cell r="H457">
            <v>1</v>
          </cell>
        </row>
        <row r="458">
          <cell r="B458">
            <v>4564</v>
          </cell>
          <cell r="C458" t="str">
            <v>Gomez; Angel S.</v>
          </cell>
          <cell r="D458" t="str">
            <v>1C</v>
          </cell>
          <cell r="E458" t="str">
            <v>IBEWOUT</v>
          </cell>
          <cell r="F458" t="str">
            <v>1319</v>
          </cell>
          <cell r="G458" t="str">
            <v>20</v>
          </cell>
          <cell r="H458">
            <v>0</v>
          </cell>
        </row>
        <row r="459">
          <cell r="B459">
            <v>4565</v>
          </cell>
          <cell r="C459" t="str">
            <v>Gorst; Quinn R</v>
          </cell>
          <cell r="D459" t="str">
            <v>1C</v>
          </cell>
          <cell r="E459" t="str">
            <v>IBEWOUT</v>
          </cell>
          <cell r="F459" t="str">
            <v>1245</v>
          </cell>
          <cell r="G459" t="str">
            <v>8</v>
          </cell>
          <cell r="H459">
            <v>0</v>
          </cell>
        </row>
        <row r="460">
          <cell r="B460">
            <v>4566</v>
          </cell>
          <cell r="C460" t="str">
            <v>Gomez; Javier A</v>
          </cell>
          <cell r="D460" t="str">
            <v>1C</v>
          </cell>
          <cell r="E460" t="str">
            <v>IBEWOUT</v>
          </cell>
          <cell r="F460" t="str">
            <v>47</v>
          </cell>
          <cell r="G460" t="str">
            <v>14</v>
          </cell>
          <cell r="H460">
            <v>0</v>
          </cell>
        </row>
        <row r="461">
          <cell r="B461">
            <v>4567</v>
          </cell>
          <cell r="C461" t="str">
            <v>Gonzales; Francisco</v>
          </cell>
          <cell r="D461" t="str">
            <v>1C</v>
          </cell>
          <cell r="E461" t="str">
            <v>IBEWOUT</v>
          </cell>
          <cell r="F461" t="str">
            <v>769</v>
          </cell>
          <cell r="G461" t="str">
            <v>22</v>
          </cell>
          <cell r="H461">
            <v>0</v>
          </cell>
        </row>
        <row r="462">
          <cell r="B462">
            <v>4568</v>
          </cell>
          <cell r="C462" t="str">
            <v>Gonzales; Danny S</v>
          </cell>
          <cell r="D462" t="str">
            <v>1C</v>
          </cell>
          <cell r="E462" t="str">
            <v>IBEWOUT</v>
          </cell>
          <cell r="F462" t="str">
            <v>47</v>
          </cell>
          <cell r="G462" t="str">
            <v>17</v>
          </cell>
          <cell r="H462">
            <v>0</v>
          </cell>
        </row>
        <row r="463">
          <cell r="B463">
            <v>4571</v>
          </cell>
          <cell r="C463" t="str">
            <v>Gonzales; Mark A</v>
          </cell>
          <cell r="D463" t="str">
            <v>1</v>
          </cell>
          <cell r="E463" t="str">
            <v/>
          </cell>
          <cell r="F463" t="str">
            <v/>
          </cell>
          <cell r="G463" t="str">
            <v/>
          </cell>
          <cell r="H463">
            <v>0</v>
          </cell>
        </row>
        <row r="464">
          <cell r="B464">
            <v>4572</v>
          </cell>
          <cell r="C464" t="str">
            <v>Gonzalez; Carlos</v>
          </cell>
          <cell r="D464" t="str">
            <v>1</v>
          </cell>
          <cell r="E464" t="str">
            <v>IBEWOUT</v>
          </cell>
          <cell r="F464" t="str">
            <v>47</v>
          </cell>
          <cell r="G464" t="str">
            <v>8</v>
          </cell>
          <cell r="H464">
            <v>0</v>
          </cell>
        </row>
        <row r="465">
          <cell r="B465">
            <v>4573</v>
          </cell>
          <cell r="C465" t="str">
            <v>Gossard; Derek A</v>
          </cell>
          <cell r="D465" t="str">
            <v>1</v>
          </cell>
          <cell r="E465" t="str">
            <v>IBEWOUT</v>
          </cell>
          <cell r="F465" t="str">
            <v>1245</v>
          </cell>
          <cell r="G465" t="str">
            <v>17</v>
          </cell>
          <cell r="H465">
            <v>0</v>
          </cell>
        </row>
        <row r="466">
          <cell r="B466">
            <v>4576</v>
          </cell>
          <cell r="C466" t="str">
            <v>Gonzalez; Joshua A.</v>
          </cell>
          <cell r="D466" t="str">
            <v>1C</v>
          </cell>
          <cell r="E466" t="str">
            <v>IBEWOUT</v>
          </cell>
          <cell r="F466" t="str">
            <v>1245</v>
          </cell>
          <cell r="G466" t="str">
            <v>8</v>
          </cell>
          <cell r="H466">
            <v>0</v>
          </cell>
        </row>
        <row r="467">
          <cell r="B467">
            <v>4590</v>
          </cell>
          <cell r="C467" t="str">
            <v>Gowdy; Arthur S.</v>
          </cell>
          <cell r="D467" t="str">
            <v>1C</v>
          </cell>
          <cell r="E467" t="str">
            <v>IBEWOUT</v>
          </cell>
          <cell r="F467" t="str">
            <v>77</v>
          </cell>
          <cell r="G467" t="str">
            <v>33</v>
          </cell>
          <cell r="H467">
            <v>0</v>
          </cell>
        </row>
        <row r="468">
          <cell r="B468">
            <v>4630</v>
          </cell>
          <cell r="C468" t="str">
            <v>Gibby; Geoffrey S.</v>
          </cell>
          <cell r="D468" t="str">
            <v>1C</v>
          </cell>
          <cell r="E468" t="str">
            <v>IBEWOUT</v>
          </cell>
          <cell r="F468" t="str">
            <v>47</v>
          </cell>
          <cell r="G468" t="str">
            <v>8</v>
          </cell>
          <cell r="H468">
            <v>0</v>
          </cell>
        </row>
        <row r="469">
          <cell r="B469">
            <v>4640</v>
          </cell>
          <cell r="C469" t="str">
            <v>Gilman Jr.; David G.</v>
          </cell>
          <cell r="D469" t="str">
            <v>1</v>
          </cell>
          <cell r="E469" t="str">
            <v>IBEWOUT</v>
          </cell>
          <cell r="F469" t="str">
            <v>611</v>
          </cell>
          <cell r="G469" t="str">
            <v>7</v>
          </cell>
          <cell r="H469">
            <v>0</v>
          </cell>
        </row>
        <row r="470">
          <cell r="B470">
            <v>4641</v>
          </cell>
          <cell r="C470" t="str">
            <v>Gillmore; Buck W</v>
          </cell>
          <cell r="D470" t="str">
            <v>1</v>
          </cell>
          <cell r="E470" t="str">
            <v>IBEWOUT</v>
          </cell>
          <cell r="F470" t="str">
            <v>77</v>
          </cell>
          <cell r="G470" t="str">
            <v>7</v>
          </cell>
          <cell r="H470">
            <v>0</v>
          </cell>
        </row>
        <row r="471">
          <cell r="B471">
            <v>4645</v>
          </cell>
          <cell r="C471" t="str">
            <v>Gilkison; Glen W.</v>
          </cell>
          <cell r="D471" t="str">
            <v>1</v>
          </cell>
          <cell r="E471" t="str">
            <v/>
          </cell>
          <cell r="F471" t="str">
            <v/>
          </cell>
          <cell r="G471" t="str">
            <v/>
          </cell>
          <cell r="H471">
            <v>1</v>
          </cell>
        </row>
        <row r="472">
          <cell r="B472">
            <v>4647</v>
          </cell>
          <cell r="C472" t="str">
            <v>Gill; Nicholas K</v>
          </cell>
          <cell r="D472" t="str">
            <v>1</v>
          </cell>
          <cell r="E472" t="str">
            <v>IBEWOUT</v>
          </cell>
          <cell r="F472" t="str">
            <v>769</v>
          </cell>
          <cell r="G472" t="str">
            <v>8</v>
          </cell>
          <cell r="H472">
            <v>0</v>
          </cell>
        </row>
        <row r="473">
          <cell r="B473">
            <v>4671</v>
          </cell>
          <cell r="C473" t="str">
            <v>Giancola; Jacob F</v>
          </cell>
          <cell r="D473" t="str">
            <v>1C</v>
          </cell>
          <cell r="E473" t="str">
            <v>IBEWOUT</v>
          </cell>
          <cell r="F473" t="str">
            <v>1319</v>
          </cell>
          <cell r="G473" t="str">
            <v>8</v>
          </cell>
          <cell r="H473">
            <v>0</v>
          </cell>
        </row>
        <row r="474">
          <cell r="B474">
            <v>4673</v>
          </cell>
          <cell r="C474" t="str">
            <v>Gibbs; Bruce Everett</v>
          </cell>
          <cell r="D474" t="str">
            <v>1C</v>
          </cell>
          <cell r="E474" t="str">
            <v>IBEWOUT</v>
          </cell>
          <cell r="F474" t="str">
            <v>396</v>
          </cell>
          <cell r="G474" t="str">
            <v>33</v>
          </cell>
          <cell r="H474">
            <v>0</v>
          </cell>
        </row>
        <row r="475">
          <cell r="B475">
            <v>4674</v>
          </cell>
          <cell r="C475" t="str">
            <v>George; Benjamin A</v>
          </cell>
          <cell r="D475" t="str">
            <v>1C</v>
          </cell>
          <cell r="E475" t="str">
            <v/>
          </cell>
          <cell r="F475" t="str">
            <v/>
          </cell>
          <cell r="G475" t="str">
            <v/>
          </cell>
          <cell r="H475">
            <v>0</v>
          </cell>
        </row>
        <row r="476">
          <cell r="B476">
            <v>4675</v>
          </cell>
          <cell r="C476" t="str">
            <v>George; Marcus</v>
          </cell>
          <cell r="D476" t="str">
            <v>1C</v>
          </cell>
          <cell r="E476" t="str">
            <v>IBEWOUT</v>
          </cell>
          <cell r="F476" t="str">
            <v>769</v>
          </cell>
          <cell r="G476" t="str">
            <v>22</v>
          </cell>
          <cell r="H476">
            <v>0</v>
          </cell>
        </row>
        <row r="477">
          <cell r="B477">
            <v>4680</v>
          </cell>
          <cell r="C477" t="str">
            <v>Gibson; Nicholas A</v>
          </cell>
          <cell r="D477" t="str">
            <v>1</v>
          </cell>
          <cell r="E477" t="str">
            <v/>
          </cell>
          <cell r="F477" t="str">
            <v/>
          </cell>
          <cell r="G477" t="str">
            <v/>
          </cell>
          <cell r="H477">
            <v>1</v>
          </cell>
        </row>
        <row r="478">
          <cell r="B478">
            <v>4681</v>
          </cell>
          <cell r="C478" t="str">
            <v>Girnus IV; Gustav A</v>
          </cell>
          <cell r="D478" t="str">
            <v>1</v>
          </cell>
          <cell r="E478" t="str">
            <v>IBEWOUT</v>
          </cell>
          <cell r="F478" t="str">
            <v>1245</v>
          </cell>
          <cell r="G478" t="str">
            <v>8</v>
          </cell>
          <cell r="H478">
            <v>0</v>
          </cell>
        </row>
        <row r="479">
          <cell r="B479">
            <v>4694</v>
          </cell>
          <cell r="C479" t="str">
            <v>Gitts; Gary W</v>
          </cell>
          <cell r="D479" t="str">
            <v>1</v>
          </cell>
          <cell r="E479" t="str">
            <v/>
          </cell>
          <cell r="F479" t="str">
            <v/>
          </cell>
          <cell r="G479" t="str">
            <v/>
          </cell>
          <cell r="H479">
            <v>0</v>
          </cell>
        </row>
        <row r="480">
          <cell r="B480">
            <v>4695</v>
          </cell>
          <cell r="C480" t="str">
            <v>Givens; David N</v>
          </cell>
          <cell r="D480" t="str">
            <v>1C</v>
          </cell>
          <cell r="E480" t="str">
            <v>IBEWOUT</v>
          </cell>
          <cell r="F480" t="str">
            <v>1049</v>
          </cell>
          <cell r="G480" t="str">
            <v>11</v>
          </cell>
          <cell r="H480">
            <v>0</v>
          </cell>
        </row>
        <row r="481">
          <cell r="B481">
            <v>4698</v>
          </cell>
          <cell r="C481" t="str">
            <v>Giguere; Jacob Robert</v>
          </cell>
          <cell r="D481" t="str">
            <v>1</v>
          </cell>
          <cell r="E481" t="str">
            <v>IBEWOUT</v>
          </cell>
          <cell r="F481" t="str">
            <v>47</v>
          </cell>
          <cell r="G481" t="str">
            <v>7</v>
          </cell>
          <cell r="H481">
            <v>0</v>
          </cell>
        </row>
        <row r="482">
          <cell r="B482">
            <v>4709</v>
          </cell>
          <cell r="C482" t="str">
            <v>Glasser; James T</v>
          </cell>
          <cell r="D482" t="str">
            <v>1C</v>
          </cell>
          <cell r="E482" t="str">
            <v>IBEWOUT</v>
          </cell>
          <cell r="F482" t="str">
            <v>47</v>
          </cell>
          <cell r="G482" t="str">
            <v>16</v>
          </cell>
          <cell r="H482">
            <v>0</v>
          </cell>
        </row>
        <row r="483">
          <cell r="B483">
            <v>4714</v>
          </cell>
          <cell r="C483" t="str">
            <v>Glover; Egan W</v>
          </cell>
          <cell r="D483" t="str">
            <v>1</v>
          </cell>
          <cell r="E483" t="str">
            <v>IBEWOUT</v>
          </cell>
          <cell r="F483" t="str">
            <v>77</v>
          </cell>
          <cell r="G483" t="str">
            <v>11</v>
          </cell>
          <cell r="H483">
            <v>0</v>
          </cell>
        </row>
        <row r="484">
          <cell r="B484">
            <v>4718</v>
          </cell>
          <cell r="C484" t="str">
            <v>Gravos; Jason D.</v>
          </cell>
          <cell r="D484" t="str">
            <v>1C</v>
          </cell>
          <cell r="E484" t="str">
            <v>IBEWOUT</v>
          </cell>
          <cell r="F484" t="str">
            <v>77</v>
          </cell>
          <cell r="G484" t="str">
            <v>8</v>
          </cell>
          <cell r="H484">
            <v>0</v>
          </cell>
        </row>
        <row r="485">
          <cell r="B485">
            <v>4721</v>
          </cell>
          <cell r="C485" t="str">
            <v>Graham; Zachary T</v>
          </cell>
          <cell r="D485" t="str">
            <v>1C</v>
          </cell>
          <cell r="E485" t="str">
            <v>IBEWOUT</v>
          </cell>
          <cell r="F485" t="str">
            <v>47</v>
          </cell>
          <cell r="G485" t="str">
            <v>8</v>
          </cell>
          <cell r="H485">
            <v>0</v>
          </cell>
        </row>
        <row r="486">
          <cell r="B486">
            <v>4722</v>
          </cell>
          <cell r="C486" t="str">
            <v>Graham; Wesley D</v>
          </cell>
          <cell r="D486" t="str">
            <v>1C</v>
          </cell>
          <cell r="E486" t="str">
            <v>IBEWOUT</v>
          </cell>
          <cell r="F486" t="str">
            <v>1245</v>
          </cell>
          <cell r="G486" t="str">
            <v>1</v>
          </cell>
          <cell r="H486">
            <v>0</v>
          </cell>
        </row>
        <row r="487">
          <cell r="B487">
            <v>4723</v>
          </cell>
          <cell r="C487" t="str">
            <v>Graebel; Pascal Ferling</v>
          </cell>
          <cell r="D487" t="str">
            <v>1C</v>
          </cell>
          <cell r="E487" t="str">
            <v>IBEWOUT</v>
          </cell>
          <cell r="F487" t="str">
            <v>1245</v>
          </cell>
          <cell r="G487" t="str">
            <v>8</v>
          </cell>
          <cell r="H487">
            <v>0</v>
          </cell>
        </row>
        <row r="488">
          <cell r="B488">
            <v>4724</v>
          </cell>
          <cell r="C488" t="str">
            <v>Grantham; Joshua O</v>
          </cell>
          <cell r="D488" t="str">
            <v>1C</v>
          </cell>
          <cell r="E488" t="str">
            <v>IBEWOUT</v>
          </cell>
          <cell r="F488" t="str">
            <v>1245</v>
          </cell>
          <cell r="G488" t="str">
            <v>8</v>
          </cell>
          <cell r="H488">
            <v>0</v>
          </cell>
        </row>
        <row r="489">
          <cell r="B489">
            <v>4725</v>
          </cell>
          <cell r="C489" t="str">
            <v>Grantham; Benjamin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8</v>
          </cell>
          <cell r="H489">
            <v>0</v>
          </cell>
        </row>
        <row r="490">
          <cell r="B490">
            <v>4733</v>
          </cell>
          <cell r="C490" t="str">
            <v>Gray; Michael W</v>
          </cell>
          <cell r="D490" t="str">
            <v>1C</v>
          </cell>
          <cell r="E490" t="str">
            <v>IBEWOUT</v>
          </cell>
          <cell r="F490" t="str">
            <v>1245</v>
          </cell>
          <cell r="G490" t="str">
            <v>7</v>
          </cell>
          <cell r="H490">
            <v>0</v>
          </cell>
        </row>
        <row r="491">
          <cell r="B491">
            <v>4735</v>
          </cell>
          <cell r="C491" t="str">
            <v>Gray; Christopher N</v>
          </cell>
          <cell r="D491" t="str">
            <v>1C</v>
          </cell>
          <cell r="E491" t="str">
            <v>IBEWOUT</v>
          </cell>
          <cell r="F491" t="str">
            <v>1245</v>
          </cell>
          <cell r="G491" t="str">
            <v>8</v>
          </cell>
          <cell r="H491">
            <v>0</v>
          </cell>
        </row>
        <row r="492">
          <cell r="B492">
            <v>4736</v>
          </cell>
          <cell r="C492" t="str">
            <v>Gravelle; Joshua A</v>
          </cell>
          <cell r="D492" t="str">
            <v>1C</v>
          </cell>
          <cell r="E492" t="str">
            <v>IBEWOUT</v>
          </cell>
          <cell r="F492" t="str">
            <v>160</v>
          </cell>
          <cell r="G492" t="str">
            <v>8</v>
          </cell>
          <cell r="H492">
            <v>0</v>
          </cell>
        </row>
        <row r="493">
          <cell r="B493">
            <v>4737</v>
          </cell>
          <cell r="C493" t="str">
            <v>Gravil II; James F</v>
          </cell>
          <cell r="D493" t="str">
            <v>1C</v>
          </cell>
          <cell r="E493" t="str">
            <v>IBEWOUT</v>
          </cell>
          <cell r="F493" t="str">
            <v>1245</v>
          </cell>
          <cell r="G493" t="str">
            <v>8</v>
          </cell>
          <cell r="H493">
            <v>0</v>
          </cell>
        </row>
        <row r="494">
          <cell r="B494">
            <v>4739</v>
          </cell>
          <cell r="C494" t="str">
            <v>Green; David R</v>
          </cell>
          <cell r="D494" t="str">
            <v>1C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4745</v>
          </cell>
          <cell r="C495" t="str">
            <v>Green; Christopher A</v>
          </cell>
          <cell r="D495" t="str">
            <v>1C</v>
          </cell>
          <cell r="E495" t="str">
            <v>IBEWOUT</v>
          </cell>
          <cell r="F495" t="str">
            <v>47</v>
          </cell>
          <cell r="G495" t="str">
            <v>14</v>
          </cell>
          <cell r="H495">
            <v>0</v>
          </cell>
        </row>
        <row r="496">
          <cell r="B496">
            <v>4746</v>
          </cell>
          <cell r="C496" t="str">
            <v>Green; Michael R</v>
          </cell>
          <cell r="D496" t="str">
            <v>1C</v>
          </cell>
          <cell r="E496" t="str">
            <v>IBEWOUT</v>
          </cell>
          <cell r="F496" t="str">
            <v>77</v>
          </cell>
          <cell r="G496" t="str">
            <v>9</v>
          </cell>
          <cell r="H496">
            <v>0</v>
          </cell>
        </row>
        <row r="497">
          <cell r="B497">
            <v>4749</v>
          </cell>
          <cell r="C497" t="str">
            <v>Green; Jacob E.</v>
          </cell>
          <cell r="D497" t="str">
            <v>1C</v>
          </cell>
          <cell r="E497" t="str">
            <v>IBEWOUT</v>
          </cell>
          <cell r="F497" t="str">
            <v>1245</v>
          </cell>
          <cell r="G497" t="str">
            <v>8</v>
          </cell>
          <cell r="H497">
            <v>0</v>
          </cell>
        </row>
        <row r="498">
          <cell r="B498">
            <v>4752</v>
          </cell>
          <cell r="C498" t="str">
            <v>Gutierrez; Fernando N</v>
          </cell>
          <cell r="D498" t="str">
            <v>1C</v>
          </cell>
          <cell r="E498" t="str">
            <v>IBEWOUT</v>
          </cell>
          <cell r="F498" t="str">
            <v>1245</v>
          </cell>
          <cell r="G498" t="str">
            <v>8</v>
          </cell>
          <cell r="H498">
            <v>0</v>
          </cell>
        </row>
        <row r="499">
          <cell r="B499">
            <v>4753</v>
          </cell>
          <cell r="C499" t="str">
            <v>Green; Douglas V</v>
          </cell>
          <cell r="D499" t="str">
            <v>1C</v>
          </cell>
          <cell r="E499" t="str">
            <v>IBEWOUT</v>
          </cell>
          <cell r="F499" t="str">
            <v>1245</v>
          </cell>
          <cell r="G499" t="str">
            <v>8</v>
          </cell>
          <cell r="H499">
            <v>0</v>
          </cell>
        </row>
        <row r="500">
          <cell r="B500">
            <v>4754</v>
          </cell>
          <cell r="C500" t="str">
            <v>Greer; Rebecca J.</v>
          </cell>
          <cell r="D500" t="str">
            <v>1C</v>
          </cell>
          <cell r="E500" t="str">
            <v/>
          </cell>
          <cell r="F500" t="str">
            <v/>
          </cell>
          <cell r="G500" t="str">
            <v/>
          </cell>
          <cell r="H500">
            <v>1</v>
          </cell>
        </row>
        <row r="501">
          <cell r="B501">
            <v>4755</v>
          </cell>
          <cell r="C501" t="str">
            <v>Gutierrez; Luis G</v>
          </cell>
          <cell r="D501" t="str">
            <v>1C</v>
          </cell>
          <cell r="E501" t="str">
            <v>IBEWOUT</v>
          </cell>
          <cell r="F501" t="str">
            <v>47</v>
          </cell>
          <cell r="G501" t="str">
            <v>17</v>
          </cell>
          <cell r="H501">
            <v>0</v>
          </cell>
        </row>
        <row r="502">
          <cell r="B502">
            <v>4764</v>
          </cell>
          <cell r="C502" t="str">
            <v>Greer; Arnold Joseph Jay</v>
          </cell>
          <cell r="D502" t="str">
            <v>1C</v>
          </cell>
          <cell r="E502" t="str">
            <v>IBEWOUT</v>
          </cell>
          <cell r="F502" t="str">
            <v>1245</v>
          </cell>
          <cell r="G502" t="str">
            <v>8</v>
          </cell>
          <cell r="H502">
            <v>0</v>
          </cell>
        </row>
        <row r="503">
          <cell r="B503">
            <v>4765</v>
          </cell>
          <cell r="C503" t="str">
            <v>Gregory; Corey J</v>
          </cell>
          <cell r="D503" t="str">
            <v>1C</v>
          </cell>
          <cell r="E503" t="str">
            <v>IBEWOUT</v>
          </cell>
          <cell r="F503" t="str">
            <v>125</v>
          </cell>
          <cell r="G503" t="str">
            <v>12</v>
          </cell>
          <cell r="H503">
            <v>0</v>
          </cell>
        </row>
        <row r="504">
          <cell r="B504">
            <v>4782</v>
          </cell>
          <cell r="C504" t="str">
            <v>Grose; Robert Douglas</v>
          </cell>
          <cell r="D504" t="str">
            <v>1C</v>
          </cell>
          <cell r="E504" t="str">
            <v>IBEWOUT</v>
          </cell>
          <cell r="F504" t="str">
            <v>125</v>
          </cell>
          <cell r="G504" t="str">
            <v>16</v>
          </cell>
          <cell r="H504">
            <v>0</v>
          </cell>
        </row>
        <row r="505">
          <cell r="B505">
            <v>4785</v>
          </cell>
          <cell r="C505" t="str">
            <v>Gross; Michael B</v>
          </cell>
          <cell r="D505" t="str">
            <v>1C</v>
          </cell>
          <cell r="E505" t="str">
            <v>IBEWOUT</v>
          </cell>
          <cell r="F505" t="str">
            <v>602R</v>
          </cell>
          <cell r="G505" t="str">
            <v>8</v>
          </cell>
          <cell r="H505">
            <v>0</v>
          </cell>
        </row>
        <row r="506">
          <cell r="B506">
            <v>4787</v>
          </cell>
          <cell r="C506" t="str">
            <v>Gross; Kacy E</v>
          </cell>
          <cell r="D506" t="str">
            <v>1</v>
          </cell>
          <cell r="E506" t="str">
            <v>IBEWOUT</v>
          </cell>
          <cell r="F506" t="str">
            <v>77</v>
          </cell>
          <cell r="G506" t="str">
            <v>12</v>
          </cell>
          <cell r="H506">
            <v>0</v>
          </cell>
        </row>
        <row r="507">
          <cell r="B507">
            <v>4807</v>
          </cell>
          <cell r="C507" t="str">
            <v>Gummig; Zechariah A</v>
          </cell>
          <cell r="D507" t="str">
            <v>1C</v>
          </cell>
          <cell r="E507" t="str">
            <v>IBEWOUT</v>
          </cell>
          <cell r="F507" t="str">
            <v>47</v>
          </cell>
          <cell r="G507" t="str">
            <v>8</v>
          </cell>
          <cell r="H507">
            <v>0</v>
          </cell>
        </row>
        <row r="508">
          <cell r="B508">
            <v>4813</v>
          </cell>
          <cell r="C508" t="str">
            <v>Guizar; Axel M</v>
          </cell>
          <cell r="D508" t="str">
            <v>1</v>
          </cell>
          <cell r="E508" t="str">
            <v>IBEWOUT</v>
          </cell>
          <cell r="F508" t="str">
            <v>769</v>
          </cell>
          <cell r="G508" t="str">
            <v>7</v>
          </cell>
          <cell r="H508">
            <v>0</v>
          </cell>
        </row>
        <row r="509">
          <cell r="B509">
            <v>4815</v>
          </cell>
          <cell r="C509" t="str">
            <v>Gunderson; Eric C</v>
          </cell>
          <cell r="D509" t="str">
            <v>1C</v>
          </cell>
          <cell r="E509" t="str">
            <v>IBEWOUT</v>
          </cell>
          <cell r="F509" t="str">
            <v>77</v>
          </cell>
          <cell r="G509" t="str">
            <v>16</v>
          </cell>
          <cell r="H509">
            <v>0</v>
          </cell>
        </row>
        <row r="510">
          <cell r="B510">
            <v>4817</v>
          </cell>
          <cell r="C510" t="str">
            <v>Grunst; Gary C.</v>
          </cell>
          <cell r="D510" t="str">
            <v>1</v>
          </cell>
          <cell r="E510" t="str">
            <v/>
          </cell>
          <cell r="F510" t="str">
            <v/>
          </cell>
          <cell r="G510" t="str">
            <v/>
          </cell>
          <cell r="H510">
            <v>1</v>
          </cell>
        </row>
        <row r="511">
          <cell r="B511">
            <v>4821</v>
          </cell>
          <cell r="C511" t="str">
            <v>Gunn; Larry O</v>
          </cell>
          <cell r="D511" t="str">
            <v>1</v>
          </cell>
          <cell r="E511" t="str">
            <v/>
          </cell>
          <cell r="F511" t="str">
            <v/>
          </cell>
          <cell r="G511" t="str">
            <v/>
          </cell>
          <cell r="H511">
            <v>1</v>
          </cell>
        </row>
        <row r="512">
          <cell r="B512">
            <v>4829</v>
          </cell>
          <cell r="C512" t="str">
            <v>Haase; Eric N</v>
          </cell>
          <cell r="D512" t="str">
            <v>1C</v>
          </cell>
          <cell r="E512" t="str">
            <v>IBEWOUT</v>
          </cell>
          <cell r="F512" t="str">
            <v>125</v>
          </cell>
          <cell r="G512" t="str">
            <v>16</v>
          </cell>
          <cell r="H512">
            <v>0</v>
          </cell>
        </row>
        <row r="513">
          <cell r="B513">
            <v>4830</v>
          </cell>
          <cell r="C513" t="str">
            <v>Guevara; Ruben</v>
          </cell>
          <cell r="D513" t="str">
            <v>1</v>
          </cell>
          <cell r="E513" t="str">
            <v>IBEWOUT</v>
          </cell>
          <cell r="F513" t="str">
            <v>1245</v>
          </cell>
          <cell r="G513" t="str">
            <v>7</v>
          </cell>
          <cell r="H513">
            <v>0</v>
          </cell>
        </row>
        <row r="514">
          <cell r="B514">
            <v>4832</v>
          </cell>
          <cell r="C514" t="str">
            <v>Guffey; Jess B</v>
          </cell>
          <cell r="D514" t="str">
            <v>1C</v>
          </cell>
          <cell r="E514" t="str">
            <v>IBEWOUT</v>
          </cell>
          <cell r="F514" t="str">
            <v>47</v>
          </cell>
          <cell r="G514" t="str">
            <v>15</v>
          </cell>
          <cell r="H514">
            <v>0</v>
          </cell>
        </row>
        <row r="515">
          <cell r="B515">
            <v>4833</v>
          </cell>
          <cell r="C515" t="str">
            <v>Gunia; Michael D</v>
          </cell>
          <cell r="D515" t="str">
            <v>1C</v>
          </cell>
          <cell r="E515" t="str">
            <v>IBEWOUT</v>
          </cell>
          <cell r="F515" t="str">
            <v>47</v>
          </cell>
          <cell r="G515" t="str">
            <v>8</v>
          </cell>
          <cell r="H515">
            <v>0</v>
          </cell>
        </row>
        <row r="516">
          <cell r="B516">
            <v>4834</v>
          </cell>
          <cell r="C516" t="str">
            <v>Hacker; Travis K</v>
          </cell>
          <cell r="D516" t="str">
            <v>1C</v>
          </cell>
          <cell r="E516" t="str">
            <v>IBEWOUT</v>
          </cell>
          <cell r="F516" t="str">
            <v>47</v>
          </cell>
          <cell r="G516" t="str">
            <v>8</v>
          </cell>
          <cell r="H516">
            <v>0</v>
          </cell>
        </row>
        <row r="517">
          <cell r="B517">
            <v>4836</v>
          </cell>
          <cell r="C517" t="str">
            <v>Guerrero; Rene J</v>
          </cell>
          <cell r="D517" t="str">
            <v>1C</v>
          </cell>
          <cell r="E517" t="str">
            <v>IBEWOUT</v>
          </cell>
          <cell r="F517" t="str">
            <v>47</v>
          </cell>
          <cell r="G517" t="str">
            <v>17</v>
          </cell>
          <cell r="H517">
            <v>0</v>
          </cell>
        </row>
        <row r="518">
          <cell r="B518">
            <v>4837</v>
          </cell>
          <cell r="C518" t="str">
            <v>Guy; Nicholas M</v>
          </cell>
          <cell r="D518" t="str">
            <v>1C</v>
          </cell>
          <cell r="E518" t="str">
            <v>IBEWOUT</v>
          </cell>
          <cell r="F518" t="str">
            <v>77</v>
          </cell>
          <cell r="G518" t="str">
            <v>11</v>
          </cell>
          <cell r="H518">
            <v>0</v>
          </cell>
        </row>
        <row r="519">
          <cell r="B519">
            <v>4846</v>
          </cell>
          <cell r="C519" t="str">
            <v>Haldiman; Zachary J</v>
          </cell>
          <cell r="D519" t="str">
            <v>1</v>
          </cell>
          <cell r="E519" t="str">
            <v>IBEWOUT</v>
          </cell>
          <cell r="F519" t="str">
            <v>769</v>
          </cell>
          <cell r="G519" t="str">
            <v>8</v>
          </cell>
          <cell r="H519">
            <v>0</v>
          </cell>
        </row>
        <row r="520">
          <cell r="B520">
            <v>4876</v>
          </cell>
          <cell r="C520" t="str">
            <v>Hall; Peter Joe</v>
          </cell>
          <cell r="D520" t="str">
            <v>1</v>
          </cell>
          <cell r="E520" t="str">
            <v/>
          </cell>
          <cell r="F520" t="str">
            <v/>
          </cell>
          <cell r="G520" t="str">
            <v/>
          </cell>
          <cell r="H520">
            <v>1</v>
          </cell>
        </row>
        <row r="521">
          <cell r="B521">
            <v>4882</v>
          </cell>
          <cell r="C521" t="str">
            <v>Hankins; Austin Allan</v>
          </cell>
          <cell r="D521" t="str">
            <v>1C</v>
          </cell>
          <cell r="E521" t="str">
            <v>IBEWOUT</v>
          </cell>
          <cell r="F521" t="str">
            <v>769</v>
          </cell>
          <cell r="G521" t="str">
            <v>22</v>
          </cell>
          <cell r="H521">
            <v>0</v>
          </cell>
        </row>
        <row r="522">
          <cell r="B522">
            <v>4891</v>
          </cell>
          <cell r="C522" t="str">
            <v>Hall; Cody R</v>
          </cell>
          <cell r="D522" t="str">
            <v>1C</v>
          </cell>
          <cell r="E522" t="str">
            <v>IBEWOUT</v>
          </cell>
          <cell r="F522" t="str">
            <v>77</v>
          </cell>
          <cell r="G522" t="str">
            <v>9</v>
          </cell>
          <cell r="H522">
            <v>0</v>
          </cell>
        </row>
        <row r="523">
          <cell r="B523">
            <v>4892</v>
          </cell>
          <cell r="C523" t="str">
            <v>Hall; Adam J</v>
          </cell>
          <cell r="D523" t="str">
            <v>1C</v>
          </cell>
          <cell r="E523" t="str">
            <v>IBEWOUT</v>
          </cell>
          <cell r="F523" t="str">
            <v>160</v>
          </cell>
          <cell r="G523" t="str">
            <v>8</v>
          </cell>
          <cell r="H523">
            <v>0</v>
          </cell>
        </row>
        <row r="524">
          <cell r="B524">
            <v>4895</v>
          </cell>
          <cell r="C524" t="str">
            <v>Harding; Grant l</v>
          </cell>
          <cell r="D524" t="str">
            <v>1C</v>
          </cell>
          <cell r="E524" t="str">
            <v>IBEWOUT</v>
          </cell>
          <cell r="F524" t="str">
            <v>47</v>
          </cell>
          <cell r="G524" t="str">
            <v>8</v>
          </cell>
          <cell r="H524">
            <v>0</v>
          </cell>
        </row>
        <row r="525">
          <cell r="B525">
            <v>4898</v>
          </cell>
          <cell r="C525" t="str">
            <v>Hall; Levi R</v>
          </cell>
          <cell r="D525" t="str">
            <v>1C</v>
          </cell>
          <cell r="E525" t="str">
            <v>IBEWOUT</v>
          </cell>
          <cell r="F525" t="str">
            <v>125</v>
          </cell>
          <cell r="G525" t="str">
            <v>10</v>
          </cell>
          <cell r="H525">
            <v>0</v>
          </cell>
        </row>
        <row r="526">
          <cell r="B526">
            <v>4899</v>
          </cell>
          <cell r="C526" t="str">
            <v>Hamelin; Kenneth L</v>
          </cell>
          <cell r="D526" t="str">
            <v>1C</v>
          </cell>
          <cell r="E526" t="str">
            <v>IBEWOUT</v>
          </cell>
          <cell r="F526" t="str">
            <v>77</v>
          </cell>
          <cell r="G526" t="str">
            <v>7</v>
          </cell>
          <cell r="H526">
            <v>0</v>
          </cell>
        </row>
        <row r="527">
          <cell r="B527">
            <v>4900</v>
          </cell>
          <cell r="C527" t="str">
            <v>Hamilton; Raymond R.</v>
          </cell>
          <cell r="D527" t="str">
            <v>1</v>
          </cell>
          <cell r="E527" t="str">
            <v>IBEWOUT</v>
          </cell>
          <cell r="F527" t="str">
            <v>77</v>
          </cell>
          <cell r="G527" t="str">
            <v>7</v>
          </cell>
          <cell r="H527">
            <v>0</v>
          </cell>
        </row>
        <row r="528">
          <cell r="B528">
            <v>4901</v>
          </cell>
          <cell r="C528" t="str">
            <v>Hall; Erik S</v>
          </cell>
          <cell r="D528" t="str">
            <v>1C</v>
          </cell>
          <cell r="E528" t="str">
            <v>IBEWOUT</v>
          </cell>
          <cell r="F528" t="str">
            <v>1245</v>
          </cell>
          <cell r="G528" t="str">
            <v>8</v>
          </cell>
          <cell r="H528">
            <v>0</v>
          </cell>
        </row>
        <row r="529">
          <cell r="B529">
            <v>4902</v>
          </cell>
          <cell r="C529" t="str">
            <v>Hamner; Brant S</v>
          </cell>
          <cell r="D529" t="str">
            <v>1C</v>
          </cell>
          <cell r="E529" t="str">
            <v>IBEWOUT</v>
          </cell>
          <cell r="F529" t="str">
            <v>1245</v>
          </cell>
          <cell r="G529" t="str">
            <v>15</v>
          </cell>
          <cell r="H529">
            <v>0</v>
          </cell>
        </row>
        <row r="530">
          <cell r="B530">
            <v>4905</v>
          </cell>
          <cell r="C530" t="str">
            <v>Hancock; James A</v>
          </cell>
          <cell r="D530" t="str">
            <v>1C</v>
          </cell>
          <cell r="E530" t="str">
            <v>IBEWOUT</v>
          </cell>
          <cell r="F530" t="str">
            <v>125</v>
          </cell>
          <cell r="G530" t="str">
            <v>8</v>
          </cell>
          <cell r="H530">
            <v>0</v>
          </cell>
        </row>
        <row r="531">
          <cell r="B531">
            <v>4930</v>
          </cell>
          <cell r="C531" t="str">
            <v>Hathaway; Phillip J</v>
          </cell>
          <cell r="D531" t="str">
            <v>1C</v>
          </cell>
          <cell r="E531" t="str">
            <v>IBEWOUT</v>
          </cell>
          <cell r="F531" t="str">
            <v>769</v>
          </cell>
          <cell r="G531" t="str">
            <v>8</v>
          </cell>
          <cell r="H531">
            <v>0</v>
          </cell>
        </row>
        <row r="532">
          <cell r="B532">
            <v>4946</v>
          </cell>
          <cell r="C532" t="str">
            <v>Hawkins; Christopher D.</v>
          </cell>
          <cell r="D532" t="str">
            <v>1C</v>
          </cell>
          <cell r="E532" t="str">
            <v>IBEWOUT</v>
          </cell>
          <cell r="F532" t="str">
            <v>1245</v>
          </cell>
          <cell r="G532" t="str">
            <v>8</v>
          </cell>
          <cell r="H532">
            <v>0</v>
          </cell>
        </row>
        <row r="533">
          <cell r="B533">
            <v>4950</v>
          </cell>
          <cell r="C533" t="str">
            <v>Hawkins; Shawn C.</v>
          </cell>
          <cell r="D533" t="str">
            <v>1C</v>
          </cell>
          <cell r="E533" t="str">
            <v>IBEWOUT</v>
          </cell>
          <cell r="F533" t="str">
            <v>47</v>
          </cell>
          <cell r="G533" t="str">
            <v>8</v>
          </cell>
          <cell r="H533">
            <v>0</v>
          </cell>
        </row>
        <row r="534">
          <cell r="B534">
            <v>4963</v>
          </cell>
          <cell r="C534" t="str">
            <v>Hairell; Ronald W</v>
          </cell>
          <cell r="D534" t="str">
            <v>1C</v>
          </cell>
          <cell r="E534" t="str">
            <v>IBEWOUT</v>
          </cell>
          <cell r="F534" t="str">
            <v>1245</v>
          </cell>
          <cell r="G534" t="str">
            <v>17</v>
          </cell>
          <cell r="H534">
            <v>0</v>
          </cell>
        </row>
        <row r="535">
          <cell r="B535">
            <v>4967</v>
          </cell>
          <cell r="C535" t="str">
            <v>Hansen; David L</v>
          </cell>
          <cell r="D535" t="str">
            <v>1C</v>
          </cell>
          <cell r="E535" t="str">
            <v>IBEWOUT</v>
          </cell>
          <cell r="F535" t="str">
            <v>47</v>
          </cell>
          <cell r="G535" t="str">
            <v>17</v>
          </cell>
          <cell r="H535">
            <v>0</v>
          </cell>
        </row>
        <row r="536">
          <cell r="B536">
            <v>4969</v>
          </cell>
          <cell r="C536" t="str">
            <v>Hartman; Matthew J.</v>
          </cell>
          <cell r="D536" t="str">
            <v>1C</v>
          </cell>
          <cell r="E536" t="str">
            <v>IBEWOUT</v>
          </cell>
          <cell r="F536" t="str">
            <v>125</v>
          </cell>
          <cell r="G536" t="str">
            <v>13</v>
          </cell>
          <cell r="H536">
            <v>0</v>
          </cell>
        </row>
        <row r="537">
          <cell r="B537">
            <v>4972</v>
          </cell>
          <cell r="C537" t="str">
            <v>Hayman; Cody A</v>
          </cell>
          <cell r="D537" t="str">
            <v>1C</v>
          </cell>
          <cell r="E537" t="str">
            <v>IBEWOUT</v>
          </cell>
          <cell r="F537" t="str">
            <v>1319</v>
          </cell>
          <cell r="G537" t="str">
            <v>17</v>
          </cell>
          <cell r="H537">
            <v>0</v>
          </cell>
        </row>
        <row r="538">
          <cell r="B538">
            <v>4973</v>
          </cell>
          <cell r="C538" t="str">
            <v>Harroun; Steven C</v>
          </cell>
          <cell r="D538" t="str">
            <v>1C</v>
          </cell>
          <cell r="E538" t="str">
            <v>IBEWOUT</v>
          </cell>
          <cell r="F538" t="str">
            <v>611</v>
          </cell>
          <cell r="G538" t="str">
            <v>13</v>
          </cell>
          <cell r="H538">
            <v>0</v>
          </cell>
        </row>
        <row r="539">
          <cell r="B539">
            <v>4974</v>
          </cell>
          <cell r="C539" t="str">
            <v>Hartley; Walter M</v>
          </cell>
          <cell r="D539" t="str">
            <v>1C</v>
          </cell>
          <cell r="E539" t="str">
            <v>IBEWOUT</v>
          </cell>
          <cell r="F539" t="str">
            <v>1245</v>
          </cell>
          <cell r="G539" t="str">
            <v>7</v>
          </cell>
          <cell r="H539">
            <v>0</v>
          </cell>
        </row>
        <row r="540">
          <cell r="B540">
            <v>4979</v>
          </cell>
          <cell r="C540" t="str">
            <v>Hathcock; Steven Heath</v>
          </cell>
          <cell r="D540" t="str">
            <v>1C</v>
          </cell>
          <cell r="E540" t="str">
            <v>IBEWOUT</v>
          </cell>
          <cell r="F540" t="str">
            <v>769</v>
          </cell>
          <cell r="G540" t="str">
            <v>7</v>
          </cell>
          <cell r="H540">
            <v>0</v>
          </cell>
        </row>
        <row r="541">
          <cell r="B541">
            <v>4981</v>
          </cell>
          <cell r="C541" t="str">
            <v>Hivner; Nicholas S</v>
          </cell>
          <cell r="D541" t="str">
            <v>1C</v>
          </cell>
          <cell r="E541" t="str">
            <v>IBEWOUT</v>
          </cell>
          <cell r="F541" t="str">
            <v>126</v>
          </cell>
          <cell r="G541" t="str">
            <v>15</v>
          </cell>
          <cell r="H541">
            <v>0</v>
          </cell>
        </row>
        <row r="542">
          <cell r="B542">
            <v>4983</v>
          </cell>
          <cell r="C542" t="str">
            <v>Harmon; Darren L</v>
          </cell>
          <cell r="D542" t="str">
            <v>1C</v>
          </cell>
          <cell r="E542" t="str">
            <v>IBEWOUT</v>
          </cell>
          <cell r="F542" t="str">
            <v>396</v>
          </cell>
          <cell r="G542" t="str">
            <v>7</v>
          </cell>
          <cell r="H542">
            <v>0</v>
          </cell>
        </row>
        <row r="543">
          <cell r="B543">
            <v>4989</v>
          </cell>
          <cell r="C543" t="str">
            <v>Hankins; Clifford Lee</v>
          </cell>
          <cell r="D543" t="str">
            <v>1C</v>
          </cell>
          <cell r="E543" t="str">
            <v>IBEWOUT</v>
          </cell>
          <cell r="F543" t="str">
            <v>769</v>
          </cell>
          <cell r="G543" t="str">
            <v>8</v>
          </cell>
          <cell r="H543">
            <v>0</v>
          </cell>
        </row>
        <row r="544">
          <cell r="B544">
            <v>4993</v>
          </cell>
          <cell r="C544" t="str">
            <v>Harkins; Michael J</v>
          </cell>
          <cell r="D544" t="str">
            <v>1C</v>
          </cell>
          <cell r="E544" t="str">
            <v>IBEWOUT</v>
          </cell>
          <cell r="F544" t="str">
            <v>1319</v>
          </cell>
          <cell r="G544" t="str">
            <v>16</v>
          </cell>
          <cell r="H544">
            <v>0</v>
          </cell>
        </row>
        <row r="545">
          <cell r="B545">
            <v>4995</v>
          </cell>
          <cell r="C545" t="str">
            <v>Hinch; Anthony T.</v>
          </cell>
          <cell r="D545" t="str">
            <v>1C</v>
          </cell>
          <cell r="E545" t="str">
            <v>IBEWOUT</v>
          </cell>
          <cell r="F545" t="str">
            <v>1245</v>
          </cell>
          <cell r="G545" t="str">
            <v>8</v>
          </cell>
          <cell r="H545">
            <v>0</v>
          </cell>
        </row>
        <row r="546">
          <cell r="B546">
            <v>4998</v>
          </cell>
          <cell r="C546" t="str">
            <v>Geiser; Robert A</v>
          </cell>
          <cell r="D546" t="str">
            <v>1C</v>
          </cell>
          <cell r="E546" t="str">
            <v>IBEWOUT</v>
          </cell>
          <cell r="F546" t="str">
            <v>602R</v>
          </cell>
          <cell r="G546" t="str">
            <v>8</v>
          </cell>
          <cell r="H546">
            <v>0</v>
          </cell>
        </row>
        <row r="547">
          <cell r="B547">
            <v>4999</v>
          </cell>
          <cell r="C547" t="str">
            <v>Geyer; Tyler W</v>
          </cell>
          <cell r="D547" t="str">
            <v>1</v>
          </cell>
          <cell r="E547" t="str">
            <v>IBEWOUT</v>
          </cell>
          <cell r="F547" t="str">
            <v>125</v>
          </cell>
          <cell r="G547" t="str">
            <v>7</v>
          </cell>
          <cell r="H547">
            <v>0</v>
          </cell>
        </row>
        <row r="548">
          <cell r="B548">
            <v>5011</v>
          </cell>
          <cell r="C548" t="str">
            <v>Harris; Guy A</v>
          </cell>
          <cell r="D548" t="str">
            <v>1C</v>
          </cell>
          <cell r="E548" t="str">
            <v>IBEWOUT</v>
          </cell>
          <cell r="F548" t="str">
            <v>47</v>
          </cell>
          <cell r="G548" t="str">
            <v>8</v>
          </cell>
          <cell r="H548">
            <v>0</v>
          </cell>
        </row>
        <row r="549">
          <cell r="B549">
            <v>5012</v>
          </cell>
          <cell r="C549" t="str">
            <v>Haagen; Adam E</v>
          </cell>
          <cell r="D549" t="str">
            <v>1C</v>
          </cell>
          <cell r="E549" t="str">
            <v>IBEWOUT</v>
          </cell>
          <cell r="F549" t="str">
            <v>77</v>
          </cell>
          <cell r="G549" t="str">
            <v>11</v>
          </cell>
          <cell r="H549">
            <v>0</v>
          </cell>
        </row>
        <row r="550">
          <cell r="B550">
            <v>5013</v>
          </cell>
          <cell r="C550" t="str">
            <v>Harrah; Robert Fred</v>
          </cell>
          <cell r="D550" t="str">
            <v>1C</v>
          </cell>
          <cell r="E550" t="str">
            <v/>
          </cell>
          <cell r="F550" t="str">
            <v/>
          </cell>
          <cell r="G550" t="str">
            <v/>
          </cell>
          <cell r="H550">
            <v>1</v>
          </cell>
        </row>
        <row r="551">
          <cell r="B551">
            <v>5016</v>
          </cell>
          <cell r="C551" t="str">
            <v>Harris; Jason B</v>
          </cell>
          <cell r="D551" t="str">
            <v>1C</v>
          </cell>
          <cell r="E551" t="str">
            <v>IBEWOUT</v>
          </cell>
          <cell r="F551" t="str">
            <v>126</v>
          </cell>
          <cell r="G551" t="str">
            <v>8</v>
          </cell>
          <cell r="H551">
            <v>0</v>
          </cell>
        </row>
        <row r="552">
          <cell r="B552">
            <v>5017</v>
          </cell>
          <cell r="C552" t="str">
            <v>Harrison; John Wesley</v>
          </cell>
          <cell r="D552" t="str">
            <v>1C</v>
          </cell>
          <cell r="E552" t="str">
            <v>IBEWOUT</v>
          </cell>
          <cell r="F552" t="str">
            <v>1245</v>
          </cell>
          <cell r="G552" t="str">
            <v>8</v>
          </cell>
          <cell r="H552">
            <v>0</v>
          </cell>
        </row>
        <row r="553">
          <cell r="B553">
            <v>5022</v>
          </cell>
          <cell r="C553" t="str">
            <v>Harris; Tyler J</v>
          </cell>
          <cell r="D553" t="str">
            <v>1</v>
          </cell>
          <cell r="E553" t="str">
            <v>IBEWOUT</v>
          </cell>
          <cell r="F553" t="str">
            <v>769</v>
          </cell>
          <cell r="G553" t="str">
            <v>7</v>
          </cell>
          <cell r="H553">
            <v>0</v>
          </cell>
        </row>
        <row r="554">
          <cell r="B554">
            <v>5040</v>
          </cell>
          <cell r="C554" t="str">
            <v>Hauff; James FL</v>
          </cell>
          <cell r="D554" t="str">
            <v>1C</v>
          </cell>
          <cell r="E554" t="str">
            <v>IBEWOUT</v>
          </cell>
          <cell r="F554" t="str">
            <v>77</v>
          </cell>
          <cell r="G554" t="str">
            <v>8</v>
          </cell>
          <cell r="H554">
            <v>0</v>
          </cell>
        </row>
        <row r="555">
          <cell r="B555">
            <v>5056</v>
          </cell>
          <cell r="C555" t="str">
            <v>Hatchett; Terry V</v>
          </cell>
          <cell r="D555" t="str">
            <v>1C</v>
          </cell>
          <cell r="E555" t="str">
            <v>IBEWOUT</v>
          </cell>
          <cell r="F555" t="str">
            <v>769</v>
          </cell>
          <cell r="G555" t="str">
            <v>8</v>
          </cell>
          <cell r="H555">
            <v>0</v>
          </cell>
        </row>
        <row r="556">
          <cell r="B556">
            <v>5067</v>
          </cell>
          <cell r="C556" t="str">
            <v>Heller; Erik C</v>
          </cell>
          <cell r="D556" t="str">
            <v>1C</v>
          </cell>
          <cell r="E556" t="str">
            <v>IBEWOUT</v>
          </cell>
          <cell r="F556" t="str">
            <v>47</v>
          </cell>
          <cell r="G556" t="str">
            <v>8</v>
          </cell>
          <cell r="H556">
            <v>0</v>
          </cell>
        </row>
        <row r="557">
          <cell r="B557">
            <v>5070</v>
          </cell>
          <cell r="C557" t="str">
            <v>Henderson; James R</v>
          </cell>
          <cell r="D557" t="str">
            <v>1</v>
          </cell>
          <cell r="E557" t="str">
            <v>IBEWOUT</v>
          </cell>
          <cell r="F557" t="str">
            <v>77</v>
          </cell>
          <cell r="G557" t="str">
            <v>7</v>
          </cell>
          <cell r="H557">
            <v>0</v>
          </cell>
        </row>
        <row r="558">
          <cell r="B558">
            <v>5071</v>
          </cell>
          <cell r="C558" t="str">
            <v>Henderson; Steven M.</v>
          </cell>
          <cell r="D558" t="str">
            <v>1C</v>
          </cell>
          <cell r="E558" t="str">
            <v>IBEWOUT</v>
          </cell>
          <cell r="F558" t="str">
            <v>1245</v>
          </cell>
          <cell r="G558" t="str">
            <v>8</v>
          </cell>
          <cell r="H558">
            <v>0</v>
          </cell>
        </row>
        <row r="559">
          <cell r="B559">
            <v>5073</v>
          </cell>
          <cell r="C559" t="str">
            <v>Henderson; Evann L</v>
          </cell>
          <cell r="D559" t="str">
            <v>1C</v>
          </cell>
          <cell r="E559" t="str">
            <v>IBEWOUT</v>
          </cell>
          <cell r="F559" t="str">
            <v>47</v>
          </cell>
          <cell r="G559" t="str">
            <v>8</v>
          </cell>
          <cell r="H559">
            <v>0</v>
          </cell>
        </row>
        <row r="560">
          <cell r="B560">
            <v>5076</v>
          </cell>
          <cell r="C560" t="str">
            <v>Henderson; Levi A</v>
          </cell>
          <cell r="D560" t="str">
            <v>1C</v>
          </cell>
          <cell r="E560" t="str">
            <v>IBEWOUT</v>
          </cell>
          <cell r="F560" t="str">
            <v>47</v>
          </cell>
          <cell r="G560" t="str">
            <v>8</v>
          </cell>
          <cell r="H560">
            <v>0</v>
          </cell>
        </row>
        <row r="561">
          <cell r="B561">
            <v>5089</v>
          </cell>
          <cell r="C561" t="str">
            <v>Haught; James E</v>
          </cell>
          <cell r="D561" t="str">
            <v>1C</v>
          </cell>
          <cell r="E561" t="str">
            <v>IBEWOUT</v>
          </cell>
          <cell r="F561" t="str">
            <v>611</v>
          </cell>
          <cell r="G561" t="str">
            <v>15</v>
          </cell>
          <cell r="H561">
            <v>0</v>
          </cell>
        </row>
        <row r="562">
          <cell r="B562">
            <v>5091</v>
          </cell>
          <cell r="C562" t="str">
            <v>Hendrickson; Scott D</v>
          </cell>
          <cell r="D562" t="str">
            <v>1C</v>
          </cell>
          <cell r="E562" t="str">
            <v>IBEWOUT</v>
          </cell>
          <cell r="F562" t="str">
            <v>77</v>
          </cell>
          <cell r="G562" t="str">
            <v>7</v>
          </cell>
          <cell r="H562">
            <v>0</v>
          </cell>
        </row>
        <row r="563">
          <cell r="B563">
            <v>5100</v>
          </cell>
          <cell r="C563" t="str">
            <v>Hegdahl; Andres J</v>
          </cell>
          <cell r="D563" t="str">
            <v>1C</v>
          </cell>
          <cell r="E563" t="str">
            <v>IBEWOUT</v>
          </cell>
          <cell r="F563" t="str">
            <v>125</v>
          </cell>
          <cell r="G563" t="str">
            <v>16</v>
          </cell>
          <cell r="H563">
            <v>0</v>
          </cell>
        </row>
        <row r="564">
          <cell r="B564">
            <v>5102</v>
          </cell>
          <cell r="C564" t="str">
            <v>Heil; Allen A.</v>
          </cell>
          <cell r="D564" t="str">
            <v>1C</v>
          </cell>
          <cell r="E564" t="str">
            <v>IBEWOUT</v>
          </cell>
          <cell r="F564" t="str">
            <v>1245</v>
          </cell>
          <cell r="G564" t="str">
            <v>8</v>
          </cell>
          <cell r="H564">
            <v>0</v>
          </cell>
        </row>
        <row r="565">
          <cell r="B565">
            <v>5105</v>
          </cell>
          <cell r="C565" t="str">
            <v>Healy; Justin M.</v>
          </cell>
          <cell r="D565" t="str">
            <v>1C</v>
          </cell>
          <cell r="E565" t="str">
            <v>IBEWOUT</v>
          </cell>
          <cell r="F565" t="str">
            <v>125</v>
          </cell>
          <cell r="G565" t="str">
            <v>8</v>
          </cell>
          <cell r="H565">
            <v>0</v>
          </cell>
        </row>
        <row r="566">
          <cell r="B566">
            <v>5106</v>
          </cell>
          <cell r="C566" t="str">
            <v>Hegr; Eric R</v>
          </cell>
          <cell r="D566" t="str">
            <v>1</v>
          </cell>
          <cell r="E566" t="str">
            <v>IBEWOUT</v>
          </cell>
          <cell r="F566" t="str">
            <v>1245</v>
          </cell>
          <cell r="G566" t="str">
            <v>13</v>
          </cell>
          <cell r="H566">
            <v>0</v>
          </cell>
        </row>
        <row r="567">
          <cell r="B567">
            <v>5107</v>
          </cell>
          <cell r="C567" t="str">
            <v>Hedburg; Arthur J</v>
          </cell>
          <cell r="D567" t="str">
            <v>1C</v>
          </cell>
          <cell r="E567" t="str">
            <v>IBEWOUT</v>
          </cell>
          <cell r="F567" t="str">
            <v>47</v>
          </cell>
          <cell r="G567" t="str">
            <v>8</v>
          </cell>
          <cell r="H567">
            <v>0</v>
          </cell>
        </row>
        <row r="568">
          <cell r="B568">
            <v>5108</v>
          </cell>
          <cell r="C568" t="str">
            <v>Hedtke; Bruce R</v>
          </cell>
          <cell r="D568" t="str">
            <v>1</v>
          </cell>
          <cell r="E568" t="str">
            <v>IBEWOUT</v>
          </cell>
          <cell r="F568" t="str">
            <v>47</v>
          </cell>
          <cell r="G568" t="str">
            <v>7</v>
          </cell>
          <cell r="H568">
            <v>0</v>
          </cell>
        </row>
        <row r="569">
          <cell r="B569">
            <v>5115</v>
          </cell>
          <cell r="C569" t="str">
            <v>Heredia; Marco A</v>
          </cell>
          <cell r="D569" t="str">
            <v>1C</v>
          </cell>
          <cell r="E569" t="str">
            <v>IBEWOUT</v>
          </cell>
          <cell r="F569" t="str">
            <v>47</v>
          </cell>
          <cell r="G569" t="str">
            <v>17</v>
          </cell>
          <cell r="H569">
            <v>0</v>
          </cell>
        </row>
        <row r="570">
          <cell r="B570">
            <v>5116</v>
          </cell>
          <cell r="C570" t="str">
            <v>Heuer; Jordan P</v>
          </cell>
          <cell r="D570" t="str">
            <v>1C</v>
          </cell>
          <cell r="E570" t="str">
            <v>IBEWOUT</v>
          </cell>
          <cell r="F570" t="str">
            <v>126</v>
          </cell>
          <cell r="G570" t="str">
            <v>16</v>
          </cell>
          <cell r="H570">
            <v>0</v>
          </cell>
        </row>
        <row r="571">
          <cell r="B571">
            <v>5119</v>
          </cell>
          <cell r="C571" t="str">
            <v>Herron; Gregory W.</v>
          </cell>
          <cell r="D571" t="str">
            <v>1C</v>
          </cell>
          <cell r="E571" t="str">
            <v>IBEWOUT</v>
          </cell>
          <cell r="F571" t="str">
            <v>1319</v>
          </cell>
          <cell r="G571" t="str">
            <v>33</v>
          </cell>
          <cell r="H571">
            <v>0</v>
          </cell>
        </row>
        <row r="572">
          <cell r="B572">
            <v>5124</v>
          </cell>
          <cell r="C572" t="str">
            <v>Hernandez Orozco; David</v>
          </cell>
          <cell r="D572" t="str">
            <v>1</v>
          </cell>
          <cell r="E572" t="str">
            <v/>
          </cell>
          <cell r="F572" t="str">
            <v/>
          </cell>
          <cell r="G572" t="str">
            <v/>
          </cell>
          <cell r="H572">
            <v>0</v>
          </cell>
        </row>
        <row r="573">
          <cell r="B573">
            <v>5125</v>
          </cell>
          <cell r="C573" t="str">
            <v>Hernandez; Ramiro</v>
          </cell>
          <cell r="D573" t="str">
            <v>1C</v>
          </cell>
          <cell r="E573" t="str">
            <v/>
          </cell>
          <cell r="F573" t="str">
            <v/>
          </cell>
          <cell r="G573" t="str">
            <v/>
          </cell>
          <cell r="H573">
            <v>0</v>
          </cell>
        </row>
        <row r="574">
          <cell r="B574">
            <v>5127</v>
          </cell>
          <cell r="C574" t="str">
            <v>Hester; John Calvin</v>
          </cell>
          <cell r="D574" t="str">
            <v>1C</v>
          </cell>
          <cell r="E574" t="str">
            <v>IBEWOUT</v>
          </cell>
          <cell r="F574" t="str">
            <v>396</v>
          </cell>
          <cell r="G574" t="str">
            <v>8</v>
          </cell>
          <cell r="H574">
            <v>0</v>
          </cell>
        </row>
        <row r="575">
          <cell r="B575">
            <v>5128</v>
          </cell>
          <cell r="C575" t="str">
            <v>Hernandez; Ignacio L</v>
          </cell>
          <cell r="D575" t="str">
            <v>1</v>
          </cell>
          <cell r="E575" t="str">
            <v>IBEWOUT</v>
          </cell>
          <cell r="F575" t="str">
            <v>1245</v>
          </cell>
          <cell r="G575" t="str">
            <v>8</v>
          </cell>
          <cell r="H575">
            <v>0</v>
          </cell>
        </row>
        <row r="576">
          <cell r="B576">
            <v>5129</v>
          </cell>
          <cell r="C576" t="str">
            <v>Hickman; Ira Q</v>
          </cell>
          <cell r="D576" t="str">
            <v>1C</v>
          </cell>
          <cell r="E576" t="str">
            <v>IBEWOUT</v>
          </cell>
          <cell r="F576" t="str">
            <v>611</v>
          </cell>
          <cell r="G576" t="str">
            <v>8</v>
          </cell>
          <cell r="H576">
            <v>0</v>
          </cell>
        </row>
        <row r="577">
          <cell r="B577">
            <v>5131</v>
          </cell>
          <cell r="C577" t="str">
            <v>Hernandez; Alejandro</v>
          </cell>
          <cell r="D577" t="str">
            <v>1C</v>
          </cell>
          <cell r="E577" t="str">
            <v/>
          </cell>
          <cell r="F577" t="str">
            <v/>
          </cell>
          <cell r="G577" t="str">
            <v/>
          </cell>
          <cell r="H577">
            <v>1</v>
          </cell>
        </row>
        <row r="578">
          <cell r="B578">
            <v>5132</v>
          </cell>
          <cell r="C578" t="str">
            <v>Hernandez; Edwin</v>
          </cell>
          <cell r="D578" t="str">
            <v>1</v>
          </cell>
          <cell r="E578" t="str">
            <v>IBEWOUT</v>
          </cell>
          <cell r="F578" t="str">
            <v>611</v>
          </cell>
          <cell r="G578" t="str">
            <v>10</v>
          </cell>
          <cell r="H578">
            <v>0</v>
          </cell>
        </row>
        <row r="579">
          <cell r="B579">
            <v>5139</v>
          </cell>
          <cell r="C579" t="str">
            <v>Hidalgo; Cody B.</v>
          </cell>
          <cell r="D579" t="str">
            <v>1</v>
          </cell>
          <cell r="E579" t="str">
            <v>IBEWOUT</v>
          </cell>
          <cell r="F579" t="str">
            <v>611</v>
          </cell>
          <cell r="G579" t="str">
            <v>8</v>
          </cell>
          <cell r="H579">
            <v>0</v>
          </cell>
        </row>
        <row r="580">
          <cell r="B580">
            <v>5140</v>
          </cell>
          <cell r="C580" t="str">
            <v>Hidalgo; Francisco R.</v>
          </cell>
          <cell r="D580" t="str">
            <v>1C</v>
          </cell>
          <cell r="E580" t="str">
            <v>IBEWOUT</v>
          </cell>
          <cell r="F580" t="str">
            <v>47</v>
          </cell>
          <cell r="G580" t="str">
            <v>8</v>
          </cell>
          <cell r="H580">
            <v>0</v>
          </cell>
        </row>
        <row r="581">
          <cell r="B581">
            <v>5165</v>
          </cell>
          <cell r="C581" t="str">
            <v>Hippensteel; Thomas A</v>
          </cell>
          <cell r="D581" t="str">
            <v>1C</v>
          </cell>
          <cell r="E581" t="str">
            <v>IBEWOUT</v>
          </cell>
          <cell r="F581" t="str">
            <v>125</v>
          </cell>
          <cell r="G581" t="str">
            <v>8</v>
          </cell>
          <cell r="H581">
            <v>0</v>
          </cell>
        </row>
        <row r="582">
          <cell r="B582">
            <v>5166</v>
          </cell>
          <cell r="C582" t="str">
            <v>Hildebrand; Scott Alan</v>
          </cell>
          <cell r="D582" t="str">
            <v>1C</v>
          </cell>
          <cell r="E582" t="str">
            <v>IBEWOUT</v>
          </cell>
          <cell r="F582" t="str">
            <v>77</v>
          </cell>
          <cell r="G582" t="str">
            <v>7</v>
          </cell>
          <cell r="H582">
            <v>0</v>
          </cell>
        </row>
        <row r="583">
          <cell r="B583">
            <v>5168</v>
          </cell>
          <cell r="C583" t="str">
            <v>Hills; Jeremy S.</v>
          </cell>
          <cell r="D583" t="str">
            <v>1C</v>
          </cell>
          <cell r="E583" t="str">
            <v>IBEWOUT</v>
          </cell>
          <cell r="F583" t="str">
            <v>77</v>
          </cell>
          <cell r="G583" t="str">
            <v>8</v>
          </cell>
          <cell r="H583">
            <v>0</v>
          </cell>
        </row>
        <row r="584">
          <cell r="B584">
            <v>5175</v>
          </cell>
          <cell r="C584" t="str">
            <v>Hess; Jared A.</v>
          </cell>
          <cell r="D584" t="str">
            <v>1C</v>
          </cell>
          <cell r="E584" t="str">
            <v>IBEWOUT</v>
          </cell>
          <cell r="F584" t="str">
            <v>1245</v>
          </cell>
          <cell r="G584" t="str">
            <v>8</v>
          </cell>
          <cell r="H584">
            <v>0</v>
          </cell>
        </row>
        <row r="585">
          <cell r="B585">
            <v>5176</v>
          </cell>
          <cell r="C585" t="str">
            <v>Hicks; Andrew D</v>
          </cell>
          <cell r="D585" t="str">
            <v>1C</v>
          </cell>
          <cell r="E585" t="str">
            <v>IBEWOUT</v>
          </cell>
          <cell r="F585" t="str">
            <v>77</v>
          </cell>
          <cell r="G585" t="str">
            <v>8</v>
          </cell>
          <cell r="H585">
            <v>0</v>
          </cell>
        </row>
        <row r="586">
          <cell r="B586">
            <v>5179</v>
          </cell>
          <cell r="C586" t="str">
            <v>Hicks; Rush N</v>
          </cell>
          <cell r="D586" t="str">
            <v>1C</v>
          </cell>
          <cell r="E586" t="str">
            <v>IBEWOUT</v>
          </cell>
          <cell r="F586" t="str">
            <v>125</v>
          </cell>
          <cell r="G586" t="str">
            <v>16</v>
          </cell>
          <cell r="H586">
            <v>0</v>
          </cell>
        </row>
        <row r="587">
          <cell r="B587">
            <v>5181</v>
          </cell>
          <cell r="C587" t="str">
            <v>Hoy; Turner A</v>
          </cell>
          <cell r="D587" t="str">
            <v>1C</v>
          </cell>
          <cell r="E587" t="str">
            <v>IBEWOUT</v>
          </cell>
          <cell r="F587" t="str">
            <v>769</v>
          </cell>
          <cell r="G587" t="str">
            <v>8</v>
          </cell>
          <cell r="H587">
            <v>0</v>
          </cell>
        </row>
        <row r="588">
          <cell r="B588">
            <v>5182</v>
          </cell>
          <cell r="C588" t="str">
            <v>Hill; Joshua K</v>
          </cell>
          <cell r="D588" t="str">
            <v>1C</v>
          </cell>
          <cell r="E588" t="str">
            <v>IBEWOUT</v>
          </cell>
          <cell r="F588" t="str">
            <v>1245</v>
          </cell>
          <cell r="G588" t="str">
            <v>8</v>
          </cell>
          <cell r="H588">
            <v>0</v>
          </cell>
        </row>
        <row r="589">
          <cell r="B589">
            <v>5183</v>
          </cell>
          <cell r="C589" t="str">
            <v>Hill; Anthony D</v>
          </cell>
          <cell r="D589" t="str">
            <v>1C</v>
          </cell>
          <cell r="E589" t="str">
            <v>IBEWOUT</v>
          </cell>
          <cell r="F589" t="str">
            <v>1245</v>
          </cell>
          <cell r="G589" t="str">
            <v>8</v>
          </cell>
          <cell r="H589">
            <v>0</v>
          </cell>
        </row>
        <row r="590">
          <cell r="B590">
            <v>5186</v>
          </cell>
          <cell r="C590" t="str">
            <v>Hill; Jared M</v>
          </cell>
          <cell r="D590" t="str">
            <v>1C</v>
          </cell>
          <cell r="E590" t="str">
            <v>IBEWOUT</v>
          </cell>
          <cell r="F590" t="str">
            <v>104</v>
          </cell>
          <cell r="G590" t="str">
            <v>7</v>
          </cell>
          <cell r="H590">
            <v>0</v>
          </cell>
        </row>
        <row r="591">
          <cell r="B591">
            <v>5194</v>
          </cell>
          <cell r="C591" t="str">
            <v>Hill; Clinton S</v>
          </cell>
          <cell r="D591" t="str">
            <v>1</v>
          </cell>
          <cell r="E591" t="str">
            <v>IBEWOUT</v>
          </cell>
          <cell r="F591" t="str">
            <v>1245</v>
          </cell>
          <cell r="G591" t="str">
            <v>7</v>
          </cell>
          <cell r="H591">
            <v>0</v>
          </cell>
        </row>
        <row r="592">
          <cell r="B592">
            <v>5195</v>
          </cell>
          <cell r="C592" t="str">
            <v>Hill; Jeffrey Andrew</v>
          </cell>
          <cell r="D592" t="str">
            <v>1</v>
          </cell>
          <cell r="E592" t="str">
            <v>IBEWOUT</v>
          </cell>
          <cell r="F592" t="str">
            <v>611</v>
          </cell>
          <cell r="G592" t="str">
            <v>14</v>
          </cell>
          <cell r="H592">
            <v>0</v>
          </cell>
        </row>
        <row r="593">
          <cell r="B593">
            <v>5301</v>
          </cell>
          <cell r="C593" t="str">
            <v>Hopkins; Joseph E</v>
          </cell>
          <cell r="D593" t="str">
            <v>1C</v>
          </cell>
          <cell r="E593" t="str">
            <v>IBEWOUT</v>
          </cell>
          <cell r="F593" t="str">
            <v>125</v>
          </cell>
          <cell r="G593" t="str">
            <v>8</v>
          </cell>
          <cell r="H593">
            <v>0</v>
          </cell>
        </row>
        <row r="594">
          <cell r="B594">
            <v>5319</v>
          </cell>
          <cell r="C594" t="str">
            <v>Holbrook; Jeremiah M</v>
          </cell>
          <cell r="D594" t="str">
            <v>1C</v>
          </cell>
          <cell r="E594" t="str">
            <v>IBEWOUT</v>
          </cell>
          <cell r="F594" t="str">
            <v>1245</v>
          </cell>
          <cell r="G594" t="str">
            <v>8</v>
          </cell>
          <cell r="H594">
            <v>0</v>
          </cell>
        </row>
        <row r="595">
          <cell r="B595">
            <v>5331</v>
          </cell>
          <cell r="C595" t="str">
            <v>Hoefler; Trevor B</v>
          </cell>
          <cell r="D595" t="str">
            <v>1C</v>
          </cell>
          <cell r="E595" t="str">
            <v>IBEWOUT</v>
          </cell>
          <cell r="F595" t="str">
            <v>77</v>
          </cell>
          <cell r="G595" t="str">
            <v>10</v>
          </cell>
          <cell r="H595">
            <v>0</v>
          </cell>
        </row>
        <row r="596">
          <cell r="B596">
            <v>5332</v>
          </cell>
          <cell r="C596" t="str">
            <v>Hogue III; Johnny K</v>
          </cell>
          <cell r="D596" t="str">
            <v>1C</v>
          </cell>
          <cell r="E596" t="str">
            <v>IBEWOUT</v>
          </cell>
          <cell r="F596" t="str">
            <v>126</v>
          </cell>
          <cell r="G596" t="str">
            <v>15</v>
          </cell>
          <cell r="H596">
            <v>0</v>
          </cell>
        </row>
        <row r="597">
          <cell r="B597">
            <v>5333</v>
          </cell>
          <cell r="C597" t="str">
            <v>Hoke III; John M</v>
          </cell>
          <cell r="D597" t="str">
            <v>1</v>
          </cell>
          <cell r="E597" t="str">
            <v>IBEWOUT</v>
          </cell>
          <cell r="F597" t="str">
            <v>1245</v>
          </cell>
          <cell r="G597" t="str">
            <v>60</v>
          </cell>
          <cell r="H597">
            <v>0</v>
          </cell>
        </row>
        <row r="598">
          <cell r="B598">
            <v>5337</v>
          </cell>
          <cell r="C598" t="str">
            <v>Hoffman; Ryan S</v>
          </cell>
          <cell r="D598" t="str">
            <v>1</v>
          </cell>
          <cell r="E598" t="str">
            <v>IBEWOUT</v>
          </cell>
          <cell r="F598" t="str">
            <v>47</v>
          </cell>
          <cell r="G598" t="str">
            <v>17</v>
          </cell>
          <cell r="H598">
            <v>0</v>
          </cell>
        </row>
        <row r="599">
          <cell r="B599">
            <v>5340</v>
          </cell>
          <cell r="C599" t="str">
            <v>Holt; Derek H</v>
          </cell>
          <cell r="D599" t="str">
            <v>1C</v>
          </cell>
          <cell r="E599" t="str">
            <v>IBEWOUT</v>
          </cell>
          <cell r="F599" t="str">
            <v>1245</v>
          </cell>
          <cell r="G599" t="str">
            <v>8</v>
          </cell>
          <cell r="H599">
            <v>0</v>
          </cell>
        </row>
        <row r="600">
          <cell r="B600">
            <v>5345</v>
          </cell>
          <cell r="C600" t="str">
            <v>Holland Jr; Terrell S</v>
          </cell>
          <cell r="D600" t="str">
            <v>1C</v>
          </cell>
          <cell r="E600" t="str">
            <v>IBEWOUT</v>
          </cell>
          <cell r="F600" t="str">
            <v>1245</v>
          </cell>
          <cell r="G600" t="str">
            <v>8</v>
          </cell>
          <cell r="H600">
            <v>0</v>
          </cell>
        </row>
        <row r="601">
          <cell r="B601">
            <v>5349</v>
          </cell>
          <cell r="C601" t="str">
            <v>Holland; Kyle J</v>
          </cell>
          <cell r="D601" t="str">
            <v>1</v>
          </cell>
          <cell r="E601" t="str">
            <v>IBEWOUT</v>
          </cell>
          <cell r="F601" t="str">
            <v>77</v>
          </cell>
          <cell r="G601" t="str">
            <v>8</v>
          </cell>
          <cell r="H601">
            <v>0</v>
          </cell>
        </row>
        <row r="602">
          <cell r="B602">
            <v>5357</v>
          </cell>
          <cell r="C602" t="str">
            <v>Honorato; Armando</v>
          </cell>
          <cell r="D602" t="str">
            <v>1C</v>
          </cell>
          <cell r="E602" t="str">
            <v>IBEWOUT</v>
          </cell>
          <cell r="F602" t="str">
            <v>47</v>
          </cell>
          <cell r="G602" t="str">
            <v>17</v>
          </cell>
          <cell r="H602">
            <v>0</v>
          </cell>
        </row>
        <row r="603">
          <cell r="B603">
            <v>5372</v>
          </cell>
          <cell r="C603" t="str">
            <v>Hook; Alan P</v>
          </cell>
          <cell r="D603" t="str">
            <v>1C</v>
          </cell>
          <cell r="E603" t="str">
            <v>IBEWOUT</v>
          </cell>
          <cell r="F603" t="str">
            <v>1245</v>
          </cell>
          <cell r="G603" t="str">
            <v>15</v>
          </cell>
          <cell r="H603">
            <v>0</v>
          </cell>
        </row>
        <row r="604">
          <cell r="B604">
            <v>5380</v>
          </cell>
          <cell r="C604" t="str">
            <v>Horlacher; Jared Lee</v>
          </cell>
          <cell r="D604" t="str">
            <v>1C</v>
          </cell>
          <cell r="E604" t="str">
            <v>IBEWOUT</v>
          </cell>
          <cell r="F604" t="str">
            <v>77</v>
          </cell>
          <cell r="G604" t="str">
            <v>8</v>
          </cell>
          <cell r="H604">
            <v>0</v>
          </cell>
        </row>
        <row r="605">
          <cell r="B605">
            <v>5401</v>
          </cell>
          <cell r="C605" t="str">
            <v>Horton; Johnny L</v>
          </cell>
          <cell r="D605" t="str">
            <v>1C</v>
          </cell>
          <cell r="E605" t="str">
            <v>IBEWOUT</v>
          </cell>
          <cell r="F605" t="str">
            <v>47</v>
          </cell>
          <cell r="G605" t="str">
            <v>17</v>
          </cell>
          <cell r="H605">
            <v>0</v>
          </cell>
        </row>
        <row r="606">
          <cell r="B606">
            <v>5446</v>
          </cell>
          <cell r="C606" t="str">
            <v>Hornbeck; Dennis Andrew</v>
          </cell>
          <cell r="D606" t="str">
            <v>1C</v>
          </cell>
          <cell r="E606" t="str">
            <v>IBEWOUT</v>
          </cell>
          <cell r="F606" t="str">
            <v>1245</v>
          </cell>
          <cell r="G606" t="str">
            <v>7</v>
          </cell>
          <cell r="H606">
            <v>0</v>
          </cell>
        </row>
        <row r="607">
          <cell r="B607">
            <v>5449</v>
          </cell>
          <cell r="C607" t="str">
            <v>Hostetler; Travis L</v>
          </cell>
          <cell r="D607" t="str">
            <v>1C</v>
          </cell>
          <cell r="E607" t="str">
            <v>IBEWOUT</v>
          </cell>
          <cell r="F607" t="str">
            <v>126</v>
          </cell>
          <cell r="G607" t="str">
            <v>33</v>
          </cell>
          <cell r="H607">
            <v>0</v>
          </cell>
        </row>
        <row r="608">
          <cell r="B608">
            <v>5456</v>
          </cell>
          <cell r="C608" t="str">
            <v>Houser; Jacob J</v>
          </cell>
          <cell r="D608" t="str">
            <v>1</v>
          </cell>
          <cell r="E608" t="str">
            <v/>
          </cell>
          <cell r="F608" t="str">
            <v/>
          </cell>
          <cell r="G608" t="str">
            <v/>
          </cell>
          <cell r="H608">
            <v>0</v>
          </cell>
        </row>
        <row r="609">
          <cell r="B609">
            <v>5458</v>
          </cell>
          <cell r="C609" t="str">
            <v>House; Christopher M</v>
          </cell>
          <cell r="D609" t="str">
            <v>1C</v>
          </cell>
          <cell r="E609" t="str">
            <v>IBEWOUT</v>
          </cell>
          <cell r="F609" t="str">
            <v>1245</v>
          </cell>
          <cell r="G609" t="str">
            <v>8</v>
          </cell>
          <cell r="H609">
            <v>0</v>
          </cell>
        </row>
        <row r="610">
          <cell r="B610">
            <v>5571</v>
          </cell>
          <cell r="C610" t="str">
            <v>Howard; Edward D</v>
          </cell>
          <cell r="D610" t="str">
            <v>1C</v>
          </cell>
          <cell r="E610" t="str">
            <v>IBEWOUT</v>
          </cell>
          <cell r="F610" t="str">
            <v>126</v>
          </cell>
          <cell r="G610" t="str">
            <v>8</v>
          </cell>
          <cell r="H610">
            <v>0</v>
          </cell>
        </row>
        <row r="611">
          <cell r="B611">
            <v>5574</v>
          </cell>
          <cell r="C611" t="str">
            <v>Howard; Eli P</v>
          </cell>
          <cell r="D611" t="str">
            <v>1</v>
          </cell>
          <cell r="E611" t="str">
            <v/>
          </cell>
          <cell r="F611" t="str">
            <v/>
          </cell>
          <cell r="G611" t="str">
            <v/>
          </cell>
          <cell r="H611">
            <v>0</v>
          </cell>
        </row>
        <row r="612">
          <cell r="B612">
            <v>5580</v>
          </cell>
          <cell r="C612" t="str">
            <v>Howell Jr.; Thomas W.</v>
          </cell>
          <cell r="D612" t="str">
            <v>1</v>
          </cell>
          <cell r="E612" t="str">
            <v>IBEWOUT</v>
          </cell>
          <cell r="F612" t="str">
            <v>769</v>
          </cell>
          <cell r="G612" t="str">
            <v>1</v>
          </cell>
          <cell r="H612">
            <v>0</v>
          </cell>
        </row>
        <row r="613">
          <cell r="B613">
            <v>5620</v>
          </cell>
          <cell r="C613" t="str">
            <v>Hubbard; Jason C.</v>
          </cell>
          <cell r="D613" t="str">
            <v>1C</v>
          </cell>
          <cell r="E613" t="str">
            <v>IBEWOUT</v>
          </cell>
          <cell r="F613" t="str">
            <v>1245</v>
          </cell>
          <cell r="G613" t="str">
            <v>8</v>
          </cell>
          <cell r="H613">
            <v>0</v>
          </cell>
        </row>
        <row r="614">
          <cell r="B614">
            <v>5621</v>
          </cell>
          <cell r="C614" t="str">
            <v>Hubbard; Marcus W</v>
          </cell>
          <cell r="D614" t="str">
            <v>1C</v>
          </cell>
          <cell r="E614" t="str">
            <v>IBEWOUT</v>
          </cell>
          <cell r="F614" t="str">
            <v>47</v>
          </cell>
          <cell r="G614" t="str">
            <v>17</v>
          </cell>
          <cell r="H614">
            <v>0</v>
          </cell>
        </row>
        <row r="615">
          <cell r="B615">
            <v>5625</v>
          </cell>
          <cell r="C615" t="str">
            <v>Hunt; Terry L.</v>
          </cell>
          <cell r="D615" t="str">
            <v>1C</v>
          </cell>
          <cell r="E615" t="str">
            <v>IBEWOUT</v>
          </cell>
          <cell r="F615" t="str">
            <v>47</v>
          </cell>
          <cell r="G615" t="str">
            <v>8</v>
          </cell>
          <cell r="H615">
            <v>0</v>
          </cell>
        </row>
        <row r="616">
          <cell r="B616">
            <v>5630</v>
          </cell>
          <cell r="C616" t="str">
            <v>Huravitch; Duane L.</v>
          </cell>
          <cell r="D616" t="str">
            <v>1C</v>
          </cell>
          <cell r="E616" t="str">
            <v>IBEWOUT</v>
          </cell>
          <cell r="F616" t="str">
            <v>47</v>
          </cell>
          <cell r="G616" t="str">
            <v>8</v>
          </cell>
          <cell r="H616">
            <v>0</v>
          </cell>
        </row>
        <row r="617">
          <cell r="B617">
            <v>5631</v>
          </cell>
          <cell r="C617" t="str">
            <v>Hurst; Christopher T</v>
          </cell>
          <cell r="D617" t="str">
            <v>1C</v>
          </cell>
          <cell r="E617" t="str">
            <v>IBEWOUT</v>
          </cell>
          <cell r="F617" t="str">
            <v>125</v>
          </cell>
          <cell r="G617" t="str">
            <v>9</v>
          </cell>
          <cell r="H617">
            <v>0</v>
          </cell>
        </row>
        <row r="618">
          <cell r="B618">
            <v>5643</v>
          </cell>
          <cell r="C618" t="str">
            <v>Humlick; Adam J</v>
          </cell>
          <cell r="D618" t="str">
            <v>1C</v>
          </cell>
          <cell r="E618" t="str">
            <v>IBEWOUT</v>
          </cell>
          <cell r="F618" t="str">
            <v>1245</v>
          </cell>
          <cell r="G618" t="str">
            <v>16</v>
          </cell>
          <cell r="H618">
            <v>0</v>
          </cell>
        </row>
        <row r="619">
          <cell r="B619">
            <v>5644</v>
          </cell>
          <cell r="C619" t="str">
            <v>Huck; Anthony</v>
          </cell>
          <cell r="D619" t="str">
            <v>1C</v>
          </cell>
          <cell r="E619" t="str">
            <v>IBEWOUT</v>
          </cell>
          <cell r="F619" t="str">
            <v>1245</v>
          </cell>
          <cell r="G619" t="str">
            <v>8</v>
          </cell>
          <cell r="H619">
            <v>0</v>
          </cell>
        </row>
        <row r="620">
          <cell r="B620">
            <v>5647</v>
          </cell>
          <cell r="C620" t="str">
            <v>Hubbard; Bryce Keaton</v>
          </cell>
          <cell r="D620" t="str">
            <v>1C</v>
          </cell>
          <cell r="E620" t="str">
            <v>IBEWOUT</v>
          </cell>
          <cell r="F620" t="str">
            <v>769</v>
          </cell>
          <cell r="G620" t="str">
            <v>8</v>
          </cell>
          <cell r="H620">
            <v>0</v>
          </cell>
        </row>
        <row r="621">
          <cell r="B621">
            <v>5655</v>
          </cell>
          <cell r="C621" t="str">
            <v>Hughes; Christopher John</v>
          </cell>
          <cell r="D621" t="str">
            <v>1</v>
          </cell>
          <cell r="E621" t="str">
            <v>IBEWOUT</v>
          </cell>
          <cell r="F621" t="str">
            <v>77</v>
          </cell>
          <cell r="G621" t="str">
            <v>1</v>
          </cell>
          <cell r="H621">
            <v>0</v>
          </cell>
        </row>
        <row r="622">
          <cell r="B622">
            <v>5667</v>
          </cell>
          <cell r="C622" t="str">
            <v>Hudson; Terry Wayne</v>
          </cell>
          <cell r="D622" t="str">
            <v>1C</v>
          </cell>
          <cell r="E622" t="str">
            <v>IBEWOUT</v>
          </cell>
          <cell r="F622" t="str">
            <v>125</v>
          </cell>
          <cell r="G622" t="str">
            <v>16</v>
          </cell>
          <cell r="H622">
            <v>0</v>
          </cell>
        </row>
        <row r="623">
          <cell r="B623">
            <v>5668</v>
          </cell>
          <cell r="C623" t="str">
            <v>Huling; James Everett</v>
          </cell>
          <cell r="D623" t="str">
            <v>1C</v>
          </cell>
          <cell r="E623" t="str">
            <v>IBEWOUT</v>
          </cell>
          <cell r="F623" t="str">
            <v>77</v>
          </cell>
          <cell r="G623" t="str">
            <v>8</v>
          </cell>
          <cell r="H623">
            <v>0</v>
          </cell>
        </row>
        <row r="624">
          <cell r="B624">
            <v>5669</v>
          </cell>
          <cell r="C624" t="str">
            <v>Collette; Hannah E</v>
          </cell>
          <cell r="D624" t="str">
            <v>1</v>
          </cell>
          <cell r="E624" t="str">
            <v/>
          </cell>
          <cell r="F624" t="str">
            <v/>
          </cell>
          <cell r="G624" t="str">
            <v/>
          </cell>
          <cell r="H624">
            <v>0</v>
          </cell>
        </row>
        <row r="625">
          <cell r="B625">
            <v>5670</v>
          </cell>
          <cell r="C625" t="str">
            <v>Collette; Joseph D</v>
          </cell>
          <cell r="D625" t="str">
            <v>1</v>
          </cell>
          <cell r="E625" t="str">
            <v>IBEWOUT</v>
          </cell>
          <cell r="F625" t="str">
            <v>47</v>
          </cell>
          <cell r="G625" t="str">
            <v>8</v>
          </cell>
          <cell r="H625">
            <v>0</v>
          </cell>
        </row>
        <row r="626">
          <cell r="B626">
            <v>5673</v>
          </cell>
          <cell r="C626" t="str">
            <v>Hutson; David J</v>
          </cell>
          <cell r="D626" t="str">
            <v>1C</v>
          </cell>
          <cell r="E626" t="str">
            <v>IBEWOUT</v>
          </cell>
          <cell r="F626" t="str">
            <v>77</v>
          </cell>
          <cell r="G626" t="str">
            <v>8</v>
          </cell>
          <cell r="H626">
            <v>0</v>
          </cell>
        </row>
        <row r="627">
          <cell r="B627">
            <v>5674</v>
          </cell>
          <cell r="C627" t="str">
            <v>Hutter; Peter E</v>
          </cell>
          <cell r="D627" t="str">
            <v>1</v>
          </cell>
          <cell r="E627" t="str">
            <v>IBEWOUT</v>
          </cell>
          <cell r="F627" t="str">
            <v>77</v>
          </cell>
          <cell r="G627" t="str">
            <v>8</v>
          </cell>
          <cell r="H627">
            <v>0</v>
          </cell>
        </row>
        <row r="628">
          <cell r="B628">
            <v>5677</v>
          </cell>
          <cell r="C628" t="str">
            <v>Hutchens; Joseph Scott</v>
          </cell>
          <cell r="D628" t="str">
            <v>1</v>
          </cell>
          <cell r="E628" t="str">
            <v/>
          </cell>
          <cell r="F628" t="str">
            <v/>
          </cell>
          <cell r="G628" t="str">
            <v/>
          </cell>
          <cell r="H628">
            <v>0</v>
          </cell>
        </row>
        <row r="629">
          <cell r="B629">
            <v>5680</v>
          </cell>
          <cell r="C629" t="str">
            <v>Hughes; Ryan W</v>
          </cell>
          <cell r="D629" t="str">
            <v>1C</v>
          </cell>
          <cell r="E629" t="str">
            <v>IBEWOUT</v>
          </cell>
          <cell r="F629" t="str">
            <v>1245</v>
          </cell>
          <cell r="G629" t="str">
            <v>8</v>
          </cell>
          <cell r="H629">
            <v>0</v>
          </cell>
        </row>
        <row r="630">
          <cell r="B630">
            <v>5682</v>
          </cell>
          <cell r="C630" t="str">
            <v>Hughes; Tyson B</v>
          </cell>
          <cell r="D630" t="str">
            <v>1</v>
          </cell>
          <cell r="E630" t="str">
            <v>IBEWOUT</v>
          </cell>
          <cell r="F630" t="str">
            <v>77</v>
          </cell>
          <cell r="G630" t="str">
            <v>14</v>
          </cell>
          <cell r="H630">
            <v>0</v>
          </cell>
        </row>
        <row r="631">
          <cell r="B631">
            <v>5688</v>
          </cell>
          <cell r="C631" t="str">
            <v>Iloilo; Adam M</v>
          </cell>
          <cell r="D631" t="str">
            <v>1C</v>
          </cell>
          <cell r="E631" t="str">
            <v>IBEWOUT</v>
          </cell>
          <cell r="F631" t="str">
            <v>1245</v>
          </cell>
          <cell r="G631" t="str">
            <v>12</v>
          </cell>
          <cell r="H631">
            <v>0</v>
          </cell>
        </row>
        <row r="632">
          <cell r="B632">
            <v>5689</v>
          </cell>
          <cell r="C632" t="str">
            <v>Iannone; Emil P</v>
          </cell>
          <cell r="D632" t="str">
            <v>1C</v>
          </cell>
          <cell r="E632" t="str">
            <v>IBEWOUT</v>
          </cell>
          <cell r="F632" t="str">
            <v>1049</v>
          </cell>
          <cell r="G632" t="str">
            <v>15</v>
          </cell>
          <cell r="H632">
            <v>0</v>
          </cell>
        </row>
        <row r="633">
          <cell r="B633">
            <v>5706</v>
          </cell>
          <cell r="C633" t="str">
            <v>Impastato; Clark D</v>
          </cell>
          <cell r="D633" t="str">
            <v>1</v>
          </cell>
          <cell r="E633" t="str">
            <v/>
          </cell>
          <cell r="F633" t="str">
            <v/>
          </cell>
          <cell r="G633" t="str">
            <v/>
          </cell>
          <cell r="H633">
            <v>1</v>
          </cell>
        </row>
        <row r="634">
          <cell r="B634">
            <v>5707</v>
          </cell>
          <cell r="C634" t="str">
            <v>Hulse; Garrett A</v>
          </cell>
          <cell r="D634" t="str">
            <v>1</v>
          </cell>
          <cell r="E634" t="str">
            <v>IBEWOUT</v>
          </cell>
          <cell r="F634" t="str">
            <v>769</v>
          </cell>
          <cell r="G634" t="str">
            <v>18</v>
          </cell>
          <cell r="H634">
            <v>0</v>
          </cell>
        </row>
        <row r="635">
          <cell r="B635">
            <v>5710</v>
          </cell>
          <cell r="C635" t="str">
            <v>Irzyk; Austin J</v>
          </cell>
          <cell r="D635" t="str">
            <v>1C</v>
          </cell>
          <cell r="E635" t="str">
            <v>IBEWOUT</v>
          </cell>
          <cell r="F635" t="str">
            <v>1245</v>
          </cell>
          <cell r="G635" t="str">
            <v>8</v>
          </cell>
          <cell r="H635">
            <v>0</v>
          </cell>
        </row>
        <row r="636">
          <cell r="B636">
            <v>5712</v>
          </cell>
          <cell r="C636" t="str">
            <v>Istanbouly; Edmond</v>
          </cell>
          <cell r="D636" t="str">
            <v>1C</v>
          </cell>
          <cell r="E636" t="str">
            <v>IBEWOUT</v>
          </cell>
          <cell r="F636" t="str">
            <v>47</v>
          </cell>
          <cell r="G636" t="str">
            <v>60</v>
          </cell>
          <cell r="H636">
            <v>0</v>
          </cell>
        </row>
        <row r="637">
          <cell r="B637">
            <v>5713</v>
          </cell>
          <cell r="C637" t="str">
            <v>Isitt; Kyle W</v>
          </cell>
          <cell r="D637" t="str">
            <v>1</v>
          </cell>
          <cell r="E637" t="str">
            <v>IBEWOUT</v>
          </cell>
          <cell r="F637" t="str">
            <v>77</v>
          </cell>
          <cell r="G637" t="str">
            <v>8</v>
          </cell>
          <cell r="H637">
            <v>0</v>
          </cell>
        </row>
        <row r="638">
          <cell r="B638">
            <v>5714</v>
          </cell>
          <cell r="C638" t="str">
            <v>Isley; Brennan M</v>
          </cell>
          <cell r="D638" t="str">
            <v>1C</v>
          </cell>
          <cell r="E638" t="str">
            <v>IBEWOUT</v>
          </cell>
          <cell r="F638" t="str">
            <v>77</v>
          </cell>
          <cell r="G638" t="str">
            <v>8</v>
          </cell>
          <cell r="H638">
            <v>0</v>
          </cell>
        </row>
        <row r="639">
          <cell r="B639">
            <v>5721</v>
          </cell>
          <cell r="C639" t="str">
            <v>Ingram; Ryan M</v>
          </cell>
          <cell r="D639" t="str">
            <v>1C</v>
          </cell>
          <cell r="E639" t="str">
            <v>IBEWOUT</v>
          </cell>
          <cell r="F639" t="str">
            <v>1245</v>
          </cell>
          <cell r="G639" t="str">
            <v>8</v>
          </cell>
          <cell r="H639">
            <v>0</v>
          </cell>
        </row>
        <row r="640">
          <cell r="B640">
            <v>5722</v>
          </cell>
          <cell r="C640" t="str">
            <v>Inskeep; Alexander K</v>
          </cell>
          <cell r="D640" t="str">
            <v>1C</v>
          </cell>
          <cell r="E640" t="str">
            <v>IBEWOUT</v>
          </cell>
          <cell r="F640" t="str">
            <v>1245</v>
          </cell>
          <cell r="G640" t="str">
            <v>17</v>
          </cell>
          <cell r="H640">
            <v>0</v>
          </cell>
        </row>
        <row r="641">
          <cell r="B641">
            <v>5724</v>
          </cell>
          <cell r="C641" t="str">
            <v>Jenkins; Terry R</v>
          </cell>
          <cell r="D641" t="str">
            <v>1C</v>
          </cell>
          <cell r="E641" t="str">
            <v>IBEWOUT</v>
          </cell>
          <cell r="F641" t="str">
            <v>47</v>
          </cell>
          <cell r="G641" t="str">
            <v>16</v>
          </cell>
          <cell r="H641">
            <v>0</v>
          </cell>
        </row>
        <row r="642">
          <cell r="B642">
            <v>5725</v>
          </cell>
          <cell r="C642" t="str">
            <v>Jenkins; Chase B</v>
          </cell>
          <cell r="D642" t="str">
            <v>1C</v>
          </cell>
          <cell r="E642" t="str">
            <v>IBEWOUT</v>
          </cell>
          <cell r="F642" t="str">
            <v>1245</v>
          </cell>
          <cell r="G642" t="str">
            <v>11</v>
          </cell>
          <cell r="H642">
            <v>0</v>
          </cell>
        </row>
        <row r="643">
          <cell r="B643">
            <v>5726</v>
          </cell>
          <cell r="C643" t="str">
            <v>Jenkins; Daytri</v>
          </cell>
          <cell r="D643" t="str">
            <v>1C</v>
          </cell>
          <cell r="E643" t="str">
            <v>IBEWOUT</v>
          </cell>
          <cell r="F643" t="str">
            <v>47</v>
          </cell>
          <cell r="G643" t="str">
            <v>8</v>
          </cell>
          <cell r="H643">
            <v>0</v>
          </cell>
        </row>
        <row r="644">
          <cell r="B644">
            <v>5727</v>
          </cell>
          <cell r="C644" t="str">
            <v>Jansen; Jon A.</v>
          </cell>
          <cell r="D644" t="str">
            <v>1C</v>
          </cell>
          <cell r="E644" t="str">
            <v>IBEWOUT</v>
          </cell>
          <cell r="F644" t="str">
            <v>47</v>
          </cell>
          <cell r="G644" t="str">
            <v>8</v>
          </cell>
          <cell r="H644">
            <v>0</v>
          </cell>
        </row>
        <row r="645">
          <cell r="B645">
            <v>5732</v>
          </cell>
          <cell r="C645" t="str">
            <v>Jante; Kevin D</v>
          </cell>
          <cell r="D645" t="str">
            <v>1C</v>
          </cell>
          <cell r="E645" t="str">
            <v>IBEWOUT</v>
          </cell>
          <cell r="F645" t="str">
            <v>160</v>
          </cell>
          <cell r="G645" t="str">
            <v>8</v>
          </cell>
          <cell r="H645">
            <v>0</v>
          </cell>
        </row>
        <row r="646">
          <cell r="B646">
            <v>5735</v>
          </cell>
          <cell r="C646" t="str">
            <v>James; Joseph Ryan</v>
          </cell>
          <cell r="D646" t="str">
            <v>1C</v>
          </cell>
          <cell r="E646" t="str">
            <v>IBEWOUT</v>
          </cell>
          <cell r="F646" t="str">
            <v>769</v>
          </cell>
          <cell r="G646" t="str">
            <v>16</v>
          </cell>
          <cell r="H646">
            <v>0</v>
          </cell>
        </row>
        <row r="647">
          <cell r="B647">
            <v>5739</v>
          </cell>
          <cell r="C647" t="str">
            <v>Jacobs; William D</v>
          </cell>
          <cell r="D647" t="str">
            <v>1</v>
          </cell>
          <cell r="E647" t="str">
            <v>IBEWOUT</v>
          </cell>
          <cell r="F647" t="str">
            <v>1245</v>
          </cell>
          <cell r="G647" t="str">
            <v>7</v>
          </cell>
          <cell r="H647">
            <v>0</v>
          </cell>
        </row>
        <row r="648">
          <cell r="B648">
            <v>5740</v>
          </cell>
          <cell r="C648" t="str">
            <v>Jackson; Cody Wayne</v>
          </cell>
          <cell r="D648" t="str">
            <v>1</v>
          </cell>
          <cell r="E648" t="str">
            <v>IBEWOUT</v>
          </cell>
          <cell r="F648" t="str">
            <v>47</v>
          </cell>
          <cell r="G648" t="str">
            <v>1</v>
          </cell>
          <cell r="H648">
            <v>0</v>
          </cell>
        </row>
        <row r="649">
          <cell r="B649">
            <v>5742</v>
          </cell>
          <cell r="C649" t="str">
            <v>Jackson; Joseph W</v>
          </cell>
          <cell r="D649" t="str">
            <v>1C</v>
          </cell>
          <cell r="E649" t="str">
            <v>IBEWOUT</v>
          </cell>
          <cell r="F649" t="str">
            <v>1245</v>
          </cell>
          <cell r="G649" t="str">
            <v>8</v>
          </cell>
          <cell r="H649">
            <v>0</v>
          </cell>
        </row>
        <row r="650">
          <cell r="B650">
            <v>5743</v>
          </cell>
          <cell r="C650" t="str">
            <v>Jameson; Thomas A.</v>
          </cell>
          <cell r="D650" t="str">
            <v>1</v>
          </cell>
          <cell r="E650" t="str">
            <v>IBEWOUT</v>
          </cell>
          <cell r="F650" t="str">
            <v>611</v>
          </cell>
          <cell r="G650" t="str">
            <v>7</v>
          </cell>
          <cell r="H650">
            <v>0</v>
          </cell>
        </row>
        <row r="651">
          <cell r="B651">
            <v>5747</v>
          </cell>
          <cell r="C651" t="str">
            <v>Jardine; Kaleb</v>
          </cell>
          <cell r="D651" t="str">
            <v>1C</v>
          </cell>
          <cell r="E651" t="str">
            <v>IBEWOUT</v>
          </cell>
          <cell r="F651" t="str">
            <v>1186</v>
          </cell>
          <cell r="G651" t="str">
            <v>17</v>
          </cell>
          <cell r="H651">
            <v>0</v>
          </cell>
        </row>
        <row r="652">
          <cell r="B652">
            <v>5753</v>
          </cell>
          <cell r="C652" t="str">
            <v>James; Jesse S</v>
          </cell>
          <cell r="D652" t="str">
            <v>1</v>
          </cell>
          <cell r="E652" t="str">
            <v>IBEWOUT</v>
          </cell>
          <cell r="F652" t="str">
            <v>47</v>
          </cell>
          <cell r="G652" t="str">
            <v>8</v>
          </cell>
          <cell r="H652">
            <v>0</v>
          </cell>
        </row>
        <row r="653">
          <cell r="B653">
            <v>5755</v>
          </cell>
          <cell r="C653" t="str">
            <v>Jedrzejewski; Benjamin</v>
          </cell>
          <cell r="D653" t="str">
            <v>1C</v>
          </cell>
          <cell r="E653" t="str">
            <v/>
          </cell>
          <cell r="F653" t="str">
            <v/>
          </cell>
          <cell r="G653" t="str">
            <v/>
          </cell>
          <cell r="H653">
            <v>0</v>
          </cell>
        </row>
        <row r="654">
          <cell r="B654">
            <v>5770</v>
          </cell>
          <cell r="C654" t="str">
            <v>Jewell; Michael W.</v>
          </cell>
          <cell r="D654" t="str">
            <v>1C</v>
          </cell>
          <cell r="E654" t="str">
            <v>IBEWOUT</v>
          </cell>
          <cell r="F654" t="str">
            <v>1245</v>
          </cell>
          <cell r="G654" t="str">
            <v>60</v>
          </cell>
          <cell r="H654">
            <v>0</v>
          </cell>
        </row>
        <row r="655">
          <cell r="B655">
            <v>5772</v>
          </cell>
          <cell r="C655" t="str">
            <v>Jennings; Colton Z</v>
          </cell>
          <cell r="D655" t="str">
            <v>1C</v>
          </cell>
          <cell r="E655" t="str">
            <v/>
          </cell>
          <cell r="F655" t="str">
            <v/>
          </cell>
          <cell r="G655" t="str">
            <v/>
          </cell>
          <cell r="H655">
            <v>0</v>
          </cell>
        </row>
        <row r="656">
          <cell r="B656">
            <v>5773</v>
          </cell>
          <cell r="C656" t="str">
            <v>Jernigan; Raymond C</v>
          </cell>
          <cell r="D656" t="str">
            <v>1C</v>
          </cell>
          <cell r="E656" t="str">
            <v/>
          </cell>
          <cell r="F656" t="str">
            <v/>
          </cell>
          <cell r="G656" t="str">
            <v/>
          </cell>
          <cell r="H656">
            <v>0</v>
          </cell>
        </row>
        <row r="657">
          <cell r="B657">
            <v>5775</v>
          </cell>
          <cell r="C657" t="str">
            <v>Jinks;  Joseph D</v>
          </cell>
          <cell r="D657" t="str">
            <v>1</v>
          </cell>
          <cell r="E657" t="str">
            <v>IBEWOUT</v>
          </cell>
          <cell r="F657" t="str">
            <v>769</v>
          </cell>
          <cell r="G657" t="str">
            <v>16</v>
          </cell>
          <cell r="H657">
            <v>0</v>
          </cell>
        </row>
        <row r="658">
          <cell r="B658">
            <v>5776</v>
          </cell>
          <cell r="C658" t="str">
            <v>Jensen; Derek E</v>
          </cell>
          <cell r="D658" t="str">
            <v>1</v>
          </cell>
          <cell r="E658" t="str">
            <v/>
          </cell>
          <cell r="F658" t="str">
            <v/>
          </cell>
          <cell r="G658" t="str">
            <v/>
          </cell>
          <cell r="H658">
            <v>1</v>
          </cell>
        </row>
        <row r="659">
          <cell r="B659">
            <v>5777</v>
          </cell>
          <cell r="C659" t="str">
            <v>Jewett; Stanley P</v>
          </cell>
          <cell r="D659" t="str">
            <v>1</v>
          </cell>
          <cell r="E659" t="str">
            <v>IBEWOUT</v>
          </cell>
          <cell r="F659" t="str">
            <v>47</v>
          </cell>
          <cell r="G659" t="str">
            <v>16</v>
          </cell>
          <cell r="H659">
            <v>0</v>
          </cell>
        </row>
        <row r="660">
          <cell r="B660">
            <v>5813</v>
          </cell>
          <cell r="C660" t="str">
            <v>Johnson; Jay M</v>
          </cell>
          <cell r="D660" t="str">
            <v>1C</v>
          </cell>
          <cell r="E660" t="str">
            <v>IBEWOUT</v>
          </cell>
          <cell r="F660" t="str">
            <v>77</v>
          </cell>
          <cell r="G660" t="str">
            <v>17</v>
          </cell>
          <cell r="H660">
            <v>0</v>
          </cell>
        </row>
        <row r="661">
          <cell r="B661">
            <v>5814</v>
          </cell>
          <cell r="C661" t="str">
            <v>Johnson; Caleb T</v>
          </cell>
          <cell r="D661" t="str">
            <v>1C</v>
          </cell>
          <cell r="E661" t="str">
            <v>IBEWOUT</v>
          </cell>
          <cell r="F661" t="str">
            <v>47</v>
          </cell>
          <cell r="G661" t="str">
            <v>17</v>
          </cell>
          <cell r="H661">
            <v>0</v>
          </cell>
        </row>
        <row r="662">
          <cell r="B662">
            <v>5815</v>
          </cell>
          <cell r="C662" t="str">
            <v>Johnson; Robert V</v>
          </cell>
          <cell r="D662" t="str">
            <v>1C</v>
          </cell>
          <cell r="E662" t="str">
            <v>IBEWOUT</v>
          </cell>
          <cell r="F662" t="str">
            <v>769</v>
          </cell>
          <cell r="G662" t="str">
            <v>11</v>
          </cell>
          <cell r="H662">
            <v>0</v>
          </cell>
        </row>
        <row r="663">
          <cell r="B663">
            <v>5817</v>
          </cell>
          <cell r="C663" t="str">
            <v>Johnson; Jacob S</v>
          </cell>
          <cell r="D663" t="str">
            <v>1</v>
          </cell>
          <cell r="E663" t="str">
            <v>IBEWOUT</v>
          </cell>
          <cell r="F663" t="str">
            <v>47</v>
          </cell>
          <cell r="G663" t="str">
            <v>8</v>
          </cell>
          <cell r="H663">
            <v>0</v>
          </cell>
        </row>
        <row r="664">
          <cell r="B664">
            <v>5818</v>
          </cell>
          <cell r="C664" t="str">
            <v>Jones; Theodore Nicklas</v>
          </cell>
          <cell r="D664" t="str">
            <v>1C</v>
          </cell>
          <cell r="E664" t="str">
            <v>IBEWOUT</v>
          </cell>
          <cell r="F664" t="str">
            <v>611</v>
          </cell>
          <cell r="G664" t="str">
            <v>8</v>
          </cell>
          <cell r="H664">
            <v>0</v>
          </cell>
        </row>
        <row r="665">
          <cell r="B665">
            <v>5822</v>
          </cell>
          <cell r="C665" t="str">
            <v>Johnson; Brian Edmund</v>
          </cell>
          <cell r="D665" t="str">
            <v>1</v>
          </cell>
          <cell r="E665" t="str">
            <v>IBEWOUT</v>
          </cell>
          <cell r="F665" t="str">
            <v>1245</v>
          </cell>
          <cell r="G665" t="str">
            <v>1</v>
          </cell>
          <cell r="H665">
            <v>0</v>
          </cell>
        </row>
        <row r="666">
          <cell r="B666">
            <v>5823</v>
          </cell>
          <cell r="C666" t="str">
            <v>Johnson; Cameron R</v>
          </cell>
          <cell r="D666" t="str">
            <v>1C</v>
          </cell>
          <cell r="E666" t="str">
            <v>IBEWOUT</v>
          </cell>
          <cell r="F666" t="str">
            <v>602R</v>
          </cell>
          <cell r="G666" t="str">
            <v>8</v>
          </cell>
          <cell r="H666">
            <v>0</v>
          </cell>
        </row>
        <row r="667">
          <cell r="B667">
            <v>5825</v>
          </cell>
          <cell r="C667" t="str">
            <v>Johnson; Dean R</v>
          </cell>
          <cell r="D667" t="str">
            <v>1C</v>
          </cell>
          <cell r="E667" t="str">
            <v>IBEWOUT</v>
          </cell>
          <cell r="F667" t="str">
            <v>47</v>
          </cell>
          <cell r="G667" t="str">
            <v>7</v>
          </cell>
          <cell r="H667">
            <v>0</v>
          </cell>
        </row>
        <row r="668">
          <cell r="B668">
            <v>5826</v>
          </cell>
          <cell r="C668" t="str">
            <v>Johnson; Brett A.</v>
          </cell>
          <cell r="D668" t="str">
            <v>1C</v>
          </cell>
          <cell r="E668" t="str">
            <v>IBEWOUT</v>
          </cell>
          <cell r="F668" t="str">
            <v>125</v>
          </cell>
          <cell r="G668" t="str">
            <v>8</v>
          </cell>
          <cell r="H668">
            <v>0</v>
          </cell>
        </row>
        <row r="669">
          <cell r="B669">
            <v>5827</v>
          </cell>
          <cell r="C669" t="str">
            <v>Johnson; Devon L</v>
          </cell>
          <cell r="D669" t="str">
            <v>1</v>
          </cell>
          <cell r="E669" t="str">
            <v/>
          </cell>
          <cell r="F669" t="str">
            <v/>
          </cell>
          <cell r="G669" t="str">
            <v/>
          </cell>
          <cell r="H669">
            <v>1</v>
          </cell>
        </row>
        <row r="670">
          <cell r="B670">
            <v>5833</v>
          </cell>
          <cell r="C670" t="str">
            <v>Johnson; Jon Wayne</v>
          </cell>
          <cell r="D670" t="str">
            <v>1C</v>
          </cell>
          <cell r="E670" t="str">
            <v>IBEWOUT</v>
          </cell>
          <cell r="F670" t="str">
            <v>47</v>
          </cell>
          <cell r="G670" t="str">
            <v>1</v>
          </cell>
          <cell r="H670">
            <v>1</v>
          </cell>
        </row>
        <row r="671">
          <cell r="B671">
            <v>5834</v>
          </cell>
          <cell r="C671" t="str">
            <v>Johnson; Justin R</v>
          </cell>
          <cell r="D671" t="str">
            <v>1C</v>
          </cell>
          <cell r="E671" t="str">
            <v>IBEWOUT</v>
          </cell>
          <cell r="F671" t="str">
            <v>47</v>
          </cell>
          <cell r="G671" t="str">
            <v>8</v>
          </cell>
          <cell r="H671">
            <v>0</v>
          </cell>
        </row>
        <row r="672">
          <cell r="B672">
            <v>5835</v>
          </cell>
          <cell r="C672" t="str">
            <v>Johnson; Joseph A</v>
          </cell>
          <cell r="D672" t="str">
            <v>1C</v>
          </cell>
          <cell r="E672" t="str">
            <v>IBEWOUT</v>
          </cell>
          <cell r="F672" t="str">
            <v>47</v>
          </cell>
          <cell r="G672" t="str">
            <v>7</v>
          </cell>
          <cell r="H672">
            <v>0</v>
          </cell>
        </row>
        <row r="673">
          <cell r="B673">
            <v>5840</v>
          </cell>
          <cell r="C673" t="str">
            <v>Johnson; Thomas D.</v>
          </cell>
          <cell r="D673" t="str">
            <v>1C</v>
          </cell>
          <cell r="E673" t="str">
            <v>IBEWOUT</v>
          </cell>
          <cell r="F673" t="str">
            <v>47</v>
          </cell>
          <cell r="G673" t="str">
            <v>8</v>
          </cell>
          <cell r="H673">
            <v>0</v>
          </cell>
        </row>
        <row r="674">
          <cell r="B674">
            <v>5843</v>
          </cell>
          <cell r="C674" t="str">
            <v>Jimenez; Dean R</v>
          </cell>
          <cell r="D674" t="str">
            <v>1C</v>
          </cell>
          <cell r="E674" t="str">
            <v>IBEWOUT</v>
          </cell>
          <cell r="F674" t="str">
            <v>769</v>
          </cell>
          <cell r="G674" t="str">
            <v>17</v>
          </cell>
          <cell r="H674">
            <v>0</v>
          </cell>
        </row>
        <row r="675">
          <cell r="B675">
            <v>5844</v>
          </cell>
          <cell r="C675" t="str">
            <v>Johnson; Cliff Daniel</v>
          </cell>
          <cell r="D675" t="str">
            <v>1C</v>
          </cell>
          <cell r="E675" t="str">
            <v>IBEWOUT</v>
          </cell>
          <cell r="F675" t="str">
            <v>77</v>
          </cell>
          <cell r="G675" t="str">
            <v>7</v>
          </cell>
          <cell r="H675">
            <v>0</v>
          </cell>
        </row>
        <row r="676">
          <cell r="B676">
            <v>5846</v>
          </cell>
          <cell r="C676" t="str">
            <v>Jauregui; Jaime</v>
          </cell>
          <cell r="D676" t="str">
            <v>1</v>
          </cell>
          <cell r="E676" t="str">
            <v/>
          </cell>
          <cell r="F676" t="str">
            <v/>
          </cell>
          <cell r="G676" t="str">
            <v/>
          </cell>
          <cell r="H676">
            <v>1</v>
          </cell>
        </row>
        <row r="677">
          <cell r="B677">
            <v>5847</v>
          </cell>
          <cell r="C677" t="str">
            <v>Jones; Hunter D</v>
          </cell>
          <cell r="D677" t="str">
            <v>1C</v>
          </cell>
          <cell r="E677" t="str">
            <v>IBEWOUT</v>
          </cell>
          <cell r="F677" t="str">
            <v>1245</v>
          </cell>
          <cell r="G677" t="str">
            <v>8</v>
          </cell>
          <cell r="H677">
            <v>0</v>
          </cell>
        </row>
        <row r="678">
          <cell r="B678">
            <v>5850</v>
          </cell>
          <cell r="C678" t="str">
            <v>Jones; Michael M</v>
          </cell>
          <cell r="D678" t="str">
            <v>1C</v>
          </cell>
          <cell r="E678" t="str">
            <v>IBEWOUT</v>
          </cell>
          <cell r="F678" t="str">
            <v>1245</v>
          </cell>
          <cell r="G678" t="str">
            <v>12</v>
          </cell>
          <cell r="H678">
            <v>0</v>
          </cell>
        </row>
        <row r="679">
          <cell r="B679">
            <v>5856</v>
          </cell>
          <cell r="C679" t="str">
            <v>Jones; Jered P</v>
          </cell>
          <cell r="D679" t="str">
            <v>1C</v>
          </cell>
          <cell r="E679" t="str">
            <v/>
          </cell>
          <cell r="F679" t="str">
            <v/>
          </cell>
          <cell r="G679" t="str">
            <v/>
          </cell>
          <cell r="H679">
            <v>1</v>
          </cell>
        </row>
        <row r="680">
          <cell r="B680">
            <v>5862</v>
          </cell>
          <cell r="C680" t="str">
            <v>Johnson; Taylor S.</v>
          </cell>
          <cell r="D680" t="str">
            <v>1C</v>
          </cell>
          <cell r="E680" t="str">
            <v>IBEWOUT</v>
          </cell>
          <cell r="F680" t="str">
            <v>77</v>
          </cell>
          <cell r="G680" t="str">
            <v>17</v>
          </cell>
          <cell r="H680">
            <v>0</v>
          </cell>
        </row>
        <row r="681">
          <cell r="B681">
            <v>5863</v>
          </cell>
          <cell r="C681" t="str">
            <v>Jimenez; Salvador</v>
          </cell>
          <cell r="D681" t="str">
            <v>1C</v>
          </cell>
          <cell r="E681" t="str">
            <v>IBEWOUT</v>
          </cell>
          <cell r="F681" t="str">
            <v>769</v>
          </cell>
          <cell r="G681" t="str">
            <v>13</v>
          </cell>
          <cell r="H681">
            <v>0</v>
          </cell>
        </row>
        <row r="682">
          <cell r="B682">
            <v>5864</v>
          </cell>
          <cell r="C682" t="str">
            <v>Johnson; Nicholas J</v>
          </cell>
          <cell r="D682" t="str">
            <v>1C</v>
          </cell>
          <cell r="E682" t="str">
            <v>IBEWOUT</v>
          </cell>
          <cell r="F682" t="str">
            <v>77</v>
          </cell>
          <cell r="G682" t="str">
            <v>8</v>
          </cell>
          <cell r="H682">
            <v>0</v>
          </cell>
        </row>
        <row r="683">
          <cell r="B683">
            <v>5865</v>
          </cell>
          <cell r="C683" t="str">
            <v>Johnson; Edward J</v>
          </cell>
          <cell r="D683" t="str">
            <v>1C</v>
          </cell>
          <cell r="E683" t="str">
            <v>IBEWOUT</v>
          </cell>
          <cell r="F683" t="str">
            <v>769</v>
          </cell>
          <cell r="G683" t="str">
            <v>16</v>
          </cell>
          <cell r="H683">
            <v>0</v>
          </cell>
        </row>
        <row r="684">
          <cell r="B684">
            <v>5866</v>
          </cell>
          <cell r="C684" t="str">
            <v>Johnson; Earl</v>
          </cell>
          <cell r="D684" t="str">
            <v>1C</v>
          </cell>
          <cell r="E684" t="str">
            <v>IBEWOUT</v>
          </cell>
          <cell r="F684" t="str">
            <v>769</v>
          </cell>
          <cell r="G684" t="str">
            <v>8</v>
          </cell>
          <cell r="H684">
            <v>0</v>
          </cell>
        </row>
        <row r="685">
          <cell r="B685">
            <v>5868</v>
          </cell>
          <cell r="C685" t="str">
            <v>Johnson; Hunter A</v>
          </cell>
          <cell r="D685" t="str">
            <v>1C</v>
          </cell>
          <cell r="E685" t="str">
            <v/>
          </cell>
          <cell r="F685" t="str">
            <v/>
          </cell>
          <cell r="G685" t="str">
            <v/>
          </cell>
          <cell r="H685">
            <v>0</v>
          </cell>
        </row>
        <row r="686">
          <cell r="B686">
            <v>5870</v>
          </cell>
          <cell r="C686" t="str">
            <v>Johnson; Heath E.</v>
          </cell>
          <cell r="D686" t="str">
            <v>1C</v>
          </cell>
          <cell r="E686" t="str">
            <v>IBEWOUT</v>
          </cell>
          <cell r="F686" t="str">
            <v>769</v>
          </cell>
          <cell r="G686" t="str">
            <v>12</v>
          </cell>
          <cell r="H686">
            <v>0</v>
          </cell>
        </row>
        <row r="687">
          <cell r="B687">
            <v>5876</v>
          </cell>
          <cell r="C687" t="str">
            <v>Johnston; Bryan T.</v>
          </cell>
          <cell r="D687" t="str">
            <v>1C</v>
          </cell>
          <cell r="E687" t="str">
            <v>IBEWOUT</v>
          </cell>
          <cell r="F687" t="str">
            <v>602R</v>
          </cell>
          <cell r="G687" t="str">
            <v>8</v>
          </cell>
          <cell r="H687">
            <v>0</v>
          </cell>
        </row>
        <row r="688">
          <cell r="B688">
            <v>5878</v>
          </cell>
          <cell r="C688" t="str">
            <v>Johnson; Tyler</v>
          </cell>
          <cell r="D688" t="str">
            <v>1</v>
          </cell>
          <cell r="E688" t="str">
            <v>IBEWOUT</v>
          </cell>
          <cell r="F688" t="str">
            <v>77</v>
          </cell>
          <cell r="G688" t="str">
            <v>16</v>
          </cell>
          <cell r="H688">
            <v>0</v>
          </cell>
        </row>
        <row r="689">
          <cell r="B689">
            <v>5905</v>
          </cell>
          <cell r="C689" t="str">
            <v>Jones; Kenneth A.</v>
          </cell>
          <cell r="D689" t="str">
            <v>1C</v>
          </cell>
          <cell r="E689" t="str">
            <v/>
          </cell>
          <cell r="F689" t="str">
            <v/>
          </cell>
          <cell r="G689" t="str">
            <v/>
          </cell>
          <cell r="H689">
            <v>1</v>
          </cell>
        </row>
        <row r="690">
          <cell r="B690">
            <v>5910</v>
          </cell>
          <cell r="C690" t="str">
            <v>Jones; James</v>
          </cell>
          <cell r="D690" t="str">
            <v>1C</v>
          </cell>
          <cell r="E690" t="str">
            <v>IBEWOUT</v>
          </cell>
          <cell r="F690" t="str">
            <v>396</v>
          </cell>
          <cell r="G690" t="str">
            <v>21</v>
          </cell>
          <cell r="H690">
            <v>0</v>
          </cell>
        </row>
        <row r="691">
          <cell r="B691">
            <v>5920</v>
          </cell>
          <cell r="C691" t="str">
            <v>Justice; Kaleb K.</v>
          </cell>
          <cell r="D691" t="str">
            <v>1C</v>
          </cell>
          <cell r="E691" t="str">
            <v>IBEWOUT</v>
          </cell>
          <cell r="F691" t="str">
            <v>1245</v>
          </cell>
          <cell r="G691" t="str">
            <v>8</v>
          </cell>
          <cell r="H691">
            <v>0</v>
          </cell>
        </row>
        <row r="692">
          <cell r="B692">
            <v>5921</v>
          </cell>
          <cell r="C692" t="str">
            <v>Johnson; Carpenter L</v>
          </cell>
          <cell r="D692" t="str">
            <v>1C</v>
          </cell>
          <cell r="E692" t="str">
            <v>IBEWOUT</v>
          </cell>
          <cell r="F692" t="str">
            <v>1245</v>
          </cell>
          <cell r="G692" t="str">
            <v>17</v>
          </cell>
          <cell r="H692">
            <v>0</v>
          </cell>
        </row>
        <row r="693">
          <cell r="B693">
            <v>5924</v>
          </cell>
          <cell r="C693" t="str">
            <v>Jonte; Kleet K</v>
          </cell>
          <cell r="D693" t="str">
            <v>1C</v>
          </cell>
          <cell r="E693" t="str">
            <v>IBEWOUT</v>
          </cell>
          <cell r="F693" t="str">
            <v>1245</v>
          </cell>
          <cell r="G693" t="str">
            <v>8</v>
          </cell>
          <cell r="H693">
            <v>0</v>
          </cell>
        </row>
        <row r="694">
          <cell r="B694">
            <v>5925</v>
          </cell>
          <cell r="C694" t="str">
            <v>Joy; Shane S</v>
          </cell>
          <cell r="D694" t="str">
            <v>1C</v>
          </cell>
          <cell r="E694" t="str">
            <v>IBEWOUT</v>
          </cell>
          <cell r="F694" t="str">
            <v>125</v>
          </cell>
          <cell r="G694" t="str">
            <v>17</v>
          </cell>
          <cell r="H694">
            <v>0</v>
          </cell>
        </row>
        <row r="695">
          <cell r="B695">
            <v>5928</v>
          </cell>
          <cell r="C695" t="str">
            <v>Jones; Acil B.</v>
          </cell>
          <cell r="D695" t="str">
            <v>1C</v>
          </cell>
          <cell r="E695" t="str">
            <v>IBEWOUT</v>
          </cell>
          <cell r="F695" t="str">
            <v>769</v>
          </cell>
          <cell r="G695" t="str">
            <v>8</v>
          </cell>
          <cell r="H695">
            <v>0</v>
          </cell>
        </row>
        <row r="696">
          <cell r="B696">
            <v>5929</v>
          </cell>
          <cell r="C696" t="str">
            <v>Judd; Brian R.</v>
          </cell>
          <cell r="D696" t="str">
            <v>1C</v>
          </cell>
          <cell r="E696" t="str">
            <v>IBEWOUT</v>
          </cell>
          <cell r="F696" t="str">
            <v>1245</v>
          </cell>
          <cell r="G696" t="str">
            <v>8</v>
          </cell>
          <cell r="H696">
            <v>0</v>
          </cell>
        </row>
        <row r="697">
          <cell r="B697">
            <v>5930</v>
          </cell>
          <cell r="C697" t="str">
            <v>Joshi; Ajay B</v>
          </cell>
          <cell r="D697" t="str">
            <v>1</v>
          </cell>
          <cell r="E697" t="str">
            <v/>
          </cell>
          <cell r="F697" t="str">
            <v/>
          </cell>
          <cell r="G697" t="str">
            <v/>
          </cell>
          <cell r="H697">
            <v>0</v>
          </cell>
        </row>
        <row r="698">
          <cell r="B698">
            <v>5931</v>
          </cell>
          <cell r="C698" t="str">
            <v>Juarez; Carlos G.</v>
          </cell>
          <cell r="D698" t="str">
            <v>1C</v>
          </cell>
          <cell r="E698" t="str">
            <v>IBEWOUT</v>
          </cell>
          <cell r="F698" t="str">
            <v>1245</v>
          </cell>
          <cell r="G698" t="str">
            <v>17</v>
          </cell>
          <cell r="H698">
            <v>0</v>
          </cell>
        </row>
        <row r="699">
          <cell r="B699">
            <v>5932</v>
          </cell>
          <cell r="C699" t="str">
            <v>Juarez Duran; Angelo De</v>
          </cell>
          <cell r="D699" t="str">
            <v>1</v>
          </cell>
          <cell r="E699" t="str">
            <v/>
          </cell>
          <cell r="F699" t="str">
            <v/>
          </cell>
          <cell r="G699" t="str">
            <v/>
          </cell>
          <cell r="H699">
            <v>0</v>
          </cell>
        </row>
        <row r="700">
          <cell r="B700">
            <v>5934</v>
          </cell>
          <cell r="C700" t="str">
            <v>Juenke; David P</v>
          </cell>
          <cell r="D700" t="str">
            <v>1C</v>
          </cell>
          <cell r="E700" t="str">
            <v>IBEWOUT</v>
          </cell>
          <cell r="F700" t="str">
            <v>1245</v>
          </cell>
          <cell r="G700" t="str">
            <v>8</v>
          </cell>
          <cell r="H700">
            <v>0</v>
          </cell>
        </row>
        <row r="701">
          <cell r="B701">
            <v>5935</v>
          </cell>
          <cell r="C701" t="str">
            <v>Jordan; Nicholas J</v>
          </cell>
          <cell r="D701" t="str">
            <v>1C</v>
          </cell>
          <cell r="E701" t="str">
            <v>IBEWOUT</v>
          </cell>
          <cell r="F701" t="str">
            <v>77</v>
          </cell>
          <cell r="G701" t="str">
            <v>8</v>
          </cell>
          <cell r="H701">
            <v>0</v>
          </cell>
        </row>
        <row r="702">
          <cell r="B702">
            <v>5937</v>
          </cell>
          <cell r="C702" t="str">
            <v>Justice; Luke</v>
          </cell>
          <cell r="D702" t="str">
            <v>1C</v>
          </cell>
          <cell r="E702" t="str">
            <v>IBEWOUT</v>
          </cell>
          <cell r="F702" t="str">
            <v>1245</v>
          </cell>
          <cell r="G702" t="str">
            <v>8</v>
          </cell>
          <cell r="H702">
            <v>0</v>
          </cell>
        </row>
        <row r="703">
          <cell r="B703">
            <v>5938</v>
          </cell>
          <cell r="C703" t="str">
            <v>Justus; Daniel J</v>
          </cell>
          <cell r="D703" t="str">
            <v>1C</v>
          </cell>
          <cell r="E703" t="str">
            <v>IBEWOUT</v>
          </cell>
          <cell r="F703" t="str">
            <v>1245</v>
          </cell>
          <cell r="G703" t="str">
            <v>8</v>
          </cell>
          <cell r="H703">
            <v>0</v>
          </cell>
        </row>
        <row r="704">
          <cell r="B704">
            <v>5942</v>
          </cell>
          <cell r="C704" t="str">
            <v>Johnson; Adam L.</v>
          </cell>
          <cell r="D704" t="str">
            <v>1C</v>
          </cell>
          <cell r="E704" t="str">
            <v>IBEWOUT</v>
          </cell>
          <cell r="F704" t="str">
            <v>1245</v>
          </cell>
          <cell r="G704" t="str">
            <v>8</v>
          </cell>
          <cell r="H704">
            <v>0</v>
          </cell>
        </row>
        <row r="705">
          <cell r="B705">
            <v>5943</v>
          </cell>
          <cell r="C705" t="str">
            <v>Johnston; Bryan A</v>
          </cell>
          <cell r="D705" t="str">
            <v>1C</v>
          </cell>
          <cell r="E705" t="str">
            <v>IBEWOUT</v>
          </cell>
          <cell r="F705" t="str">
            <v>602R</v>
          </cell>
          <cell r="G705" t="str">
            <v>16</v>
          </cell>
          <cell r="H705">
            <v>0</v>
          </cell>
        </row>
        <row r="706">
          <cell r="B706">
            <v>5945</v>
          </cell>
          <cell r="C706" t="str">
            <v>Johnson; Aaron R.</v>
          </cell>
          <cell r="D706" t="str">
            <v>1C</v>
          </cell>
          <cell r="E706" t="str">
            <v>IBEWOUT</v>
          </cell>
          <cell r="F706" t="str">
            <v>611</v>
          </cell>
          <cell r="G706" t="str">
            <v>8</v>
          </cell>
          <cell r="H706">
            <v>0</v>
          </cell>
        </row>
        <row r="707">
          <cell r="B707">
            <v>5948</v>
          </cell>
          <cell r="C707" t="str">
            <v>Kaestner; Cole R</v>
          </cell>
          <cell r="D707" t="str">
            <v>1</v>
          </cell>
          <cell r="E707" t="str">
            <v>IBEWOUT</v>
          </cell>
          <cell r="F707" t="str">
            <v>77</v>
          </cell>
          <cell r="G707" t="str">
            <v>8</v>
          </cell>
          <cell r="H707">
            <v>0</v>
          </cell>
        </row>
        <row r="708">
          <cell r="B708">
            <v>5951</v>
          </cell>
          <cell r="C708" t="str">
            <v>Kent; Adam J.</v>
          </cell>
          <cell r="D708" t="str">
            <v>1C</v>
          </cell>
          <cell r="E708" t="str">
            <v>IBEWOUT</v>
          </cell>
          <cell r="F708" t="str">
            <v>125</v>
          </cell>
          <cell r="G708" t="str">
            <v>8</v>
          </cell>
          <cell r="H708">
            <v>0</v>
          </cell>
        </row>
        <row r="709">
          <cell r="B709">
            <v>5954</v>
          </cell>
          <cell r="C709" t="str">
            <v>Kash; Korey C.</v>
          </cell>
          <cell r="D709" t="str">
            <v>1C</v>
          </cell>
          <cell r="E709" t="str">
            <v>IBEWOUT</v>
          </cell>
          <cell r="F709" t="str">
            <v>769</v>
          </cell>
          <cell r="G709" t="str">
            <v>20</v>
          </cell>
          <cell r="H709">
            <v>0</v>
          </cell>
        </row>
        <row r="710">
          <cell r="B710">
            <v>5955</v>
          </cell>
          <cell r="C710" t="str">
            <v>Katzer; Brandon P</v>
          </cell>
          <cell r="D710" t="str">
            <v>1C</v>
          </cell>
          <cell r="E710" t="str">
            <v>IBEWOUT</v>
          </cell>
          <cell r="F710" t="str">
            <v>77</v>
          </cell>
          <cell r="G710" t="str">
            <v>8</v>
          </cell>
          <cell r="H710">
            <v>0</v>
          </cell>
        </row>
        <row r="711">
          <cell r="B711">
            <v>5957</v>
          </cell>
          <cell r="C711" t="str">
            <v>Kane; Rick A</v>
          </cell>
          <cell r="D711" t="str">
            <v>1C</v>
          </cell>
          <cell r="E711" t="str">
            <v>IBEWOUT</v>
          </cell>
          <cell r="F711" t="str">
            <v>1245</v>
          </cell>
          <cell r="G711" t="str">
            <v>8</v>
          </cell>
          <cell r="H711">
            <v>0</v>
          </cell>
        </row>
        <row r="712">
          <cell r="B712">
            <v>5958</v>
          </cell>
          <cell r="C712" t="str">
            <v>Kamrar; William D</v>
          </cell>
          <cell r="D712" t="str">
            <v>1C</v>
          </cell>
          <cell r="E712" t="str">
            <v>IBEWOUT</v>
          </cell>
          <cell r="F712" t="str">
            <v>769</v>
          </cell>
          <cell r="G712" t="str">
            <v>7</v>
          </cell>
          <cell r="H712">
            <v>0</v>
          </cell>
        </row>
        <row r="713">
          <cell r="B713">
            <v>5959</v>
          </cell>
          <cell r="C713" t="str">
            <v>Kautzman; Eugene Joseph</v>
          </cell>
          <cell r="D713" t="str">
            <v>1C</v>
          </cell>
          <cell r="E713" t="str">
            <v/>
          </cell>
          <cell r="F713" t="str">
            <v/>
          </cell>
          <cell r="G713" t="str">
            <v/>
          </cell>
          <cell r="H713">
            <v>0</v>
          </cell>
        </row>
        <row r="714">
          <cell r="B714">
            <v>5960</v>
          </cell>
          <cell r="C714" t="str">
            <v>Kaufer; Chester</v>
          </cell>
          <cell r="D714" t="str">
            <v>1C</v>
          </cell>
          <cell r="E714" t="str">
            <v>IBEWOUT</v>
          </cell>
          <cell r="F714" t="str">
            <v>1319</v>
          </cell>
          <cell r="G714" t="str">
            <v>7S</v>
          </cell>
          <cell r="H714">
            <v>0</v>
          </cell>
        </row>
        <row r="715">
          <cell r="B715">
            <v>5963</v>
          </cell>
          <cell r="C715" t="str">
            <v>Kendall; Benjamin C</v>
          </cell>
          <cell r="D715" t="str">
            <v>1C</v>
          </cell>
          <cell r="E715" t="str">
            <v>IBEWOUT</v>
          </cell>
          <cell r="F715" t="str">
            <v>769</v>
          </cell>
          <cell r="G715" t="str">
            <v>8</v>
          </cell>
          <cell r="H715">
            <v>0</v>
          </cell>
        </row>
        <row r="716">
          <cell r="B716">
            <v>5965</v>
          </cell>
          <cell r="C716" t="str">
            <v>Keene; Brandon J</v>
          </cell>
          <cell r="D716" t="str">
            <v>1C</v>
          </cell>
          <cell r="E716" t="str">
            <v>IBEWOUT</v>
          </cell>
          <cell r="F716" t="str">
            <v>77</v>
          </cell>
          <cell r="G716" t="str">
            <v>8</v>
          </cell>
          <cell r="H716">
            <v>0</v>
          </cell>
        </row>
        <row r="717">
          <cell r="B717">
            <v>5967</v>
          </cell>
          <cell r="C717" t="str">
            <v>Kegley; Michael J</v>
          </cell>
          <cell r="D717" t="str">
            <v>1C</v>
          </cell>
          <cell r="E717" t="str">
            <v>IBEWOUT</v>
          </cell>
          <cell r="F717" t="str">
            <v>1245</v>
          </cell>
          <cell r="G717" t="str">
            <v>8</v>
          </cell>
          <cell r="H717">
            <v>0</v>
          </cell>
        </row>
        <row r="718">
          <cell r="B718">
            <v>5969</v>
          </cell>
          <cell r="C718" t="str">
            <v>Kelley; Weldon W</v>
          </cell>
          <cell r="D718" t="str">
            <v>1C</v>
          </cell>
          <cell r="E718" t="str">
            <v>IBEWOUT</v>
          </cell>
          <cell r="F718" t="str">
            <v>1245</v>
          </cell>
          <cell r="G718" t="str">
            <v>16</v>
          </cell>
          <cell r="H718">
            <v>0</v>
          </cell>
        </row>
        <row r="719">
          <cell r="B719">
            <v>5972</v>
          </cell>
          <cell r="C719" t="str">
            <v>Kair; Shane M</v>
          </cell>
          <cell r="D719" t="str">
            <v>1C</v>
          </cell>
          <cell r="E719" t="str">
            <v>IBEWOUT</v>
          </cell>
          <cell r="F719" t="str">
            <v>47</v>
          </cell>
          <cell r="G719" t="str">
            <v>8</v>
          </cell>
          <cell r="H719">
            <v>0</v>
          </cell>
        </row>
        <row r="720">
          <cell r="B720">
            <v>5974</v>
          </cell>
          <cell r="C720" t="str">
            <v>Kerber; Christopher R.</v>
          </cell>
          <cell r="D720" t="str">
            <v>1</v>
          </cell>
          <cell r="E720" t="str">
            <v>IBEWOUT</v>
          </cell>
          <cell r="F720" t="str">
            <v>769</v>
          </cell>
          <cell r="G720" t="str">
            <v>1</v>
          </cell>
          <cell r="H720">
            <v>1</v>
          </cell>
        </row>
        <row r="721">
          <cell r="B721">
            <v>5985</v>
          </cell>
          <cell r="C721" t="str">
            <v>Johnston; Jake E</v>
          </cell>
          <cell r="D721" t="str">
            <v>1</v>
          </cell>
          <cell r="E721" t="str">
            <v>IBEWOUT</v>
          </cell>
          <cell r="F721" t="str">
            <v>1245</v>
          </cell>
          <cell r="G721" t="str">
            <v>7</v>
          </cell>
          <cell r="H721">
            <v>0</v>
          </cell>
        </row>
        <row r="722">
          <cell r="B722">
            <v>5996</v>
          </cell>
          <cell r="C722" t="str">
            <v>Keune; Trevor M.</v>
          </cell>
          <cell r="D722" t="str">
            <v>1C</v>
          </cell>
          <cell r="E722" t="str">
            <v>IBEWOUT</v>
          </cell>
          <cell r="F722" t="str">
            <v>47</v>
          </cell>
          <cell r="G722" t="str">
            <v>8</v>
          </cell>
          <cell r="H722">
            <v>0</v>
          </cell>
        </row>
        <row r="723">
          <cell r="B723">
            <v>5998</v>
          </cell>
          <cell r="C723" t="str">
            <v>Kagarise ll; Jack N</v>
          </cell>
          <cell r="D723" t="str">
            <v>1</v>
          </cell>
          <cell r="E723" t="str">
            <v>IBEWOUT</v>
          </cell>
          <cell r="F723" t="str">
            <v>47</v>
          </cell>
          <cell r="G723" t="str">
            <v>7</v>
          </cell>
          <cell r="H723">
            <v>0</v>
          </cell>
        </row>
        <row r="724">
          <cell r="B724">
            <v>6001</v>
          </cell>
          <cell r="C724" t="str">
            <v>Kelly; Justin J</v>
          </cell>
          <cell r="D724" t="str">
            <v>1C</v>
          </cell>
          <cell r="E724" t="str">
            <v>IBEWOUT</v>
          </cell>
          <cell r="F724" t="str">
            <v>1245</v>
          </cell>
          <cell r="G724" t="str">
            <v>8</v>
          </cell>
          <cell r="H724">
            <v>0</v>
          </cell>
        </row>
        <row r="725">
          <cell r="B725">
            <v>6002</v>
          </cell>
          <cell r="C725" t="str">
            <v>Kemper; Zachary T</v>
          </cell>
          <cell r="D725" t="str">
            <v>1C</v>
          </cell>
          <cell r="E725" t="str">
            <v>IBEWOUT</v>
          </cell>
          <cell r="F725" t="str">
            <v>1245</v>
          </cell>
          <cell r="G725" t="str">
            <v>8</v>
          </cell>
          <cell r="H725">
            <v>0</v>
          </cell>
        </row>
        <row r="726">
          <cell r="B726">
            <v>6003</v>
          </cell>
          <cell r="C726" t="str">
            <v>Kelly; Raymond D.</v>
          </cell>
          <cell r="D726" t="str">
            <v>1</v>
          </cell>
          <cell r="E726" t="str">
            <v>IBEWOUT</v>
          </cell>
          <cell r="F726" t="str">
            <v>47</v>
          </cell>
          <cell r="G726" t="str">
            <v>7</v>
          </cell>
          <cell r="H726">
            <v>0</v>
          </cell>
        </row>
        <row r="727">
          <cell r="B727">
            <v>6005</v>
          </cell>
          <cell r="C727" t="str">
            <v>Kelly; Ezra N</v>
          </cell>
          <cell r="D727" t="str">
            <v>1C</v>
          </cell>
          <cell r="E727" t="str">
            <v>IBEWOUT</v>
          </cell>
          <cell r="F727" t="str">
            <v>47</v>
          </cell>
          <cell r="G727" t="str">
            <v>16</v>
          </cell>
          <cell r="H727">
            <v>0</v>
          </cell>
        </row>
        <row r="728">
          <cell r="B728">
            <v>6006</v>
          </cell>
          <cell r="C728" t="str">
            <v>Kelly; Shaun Michael</v>
          </cell>
          <cell r="D728" t="str">
            <v>1</v>
          </cell>
          <cell r="E728" t="str">
            <v>IBEWOUT</v>
          </cell>
          <cell r="F728" t="str">
            <v>47</v>
          </cell>
          <cell r="G728" t="str">
            <v>8</v>
          </cell>
          <cell r="H728">
            <v>0</v>
          </cell>
        </row>
        <row r="729">
          <cell r="B729">
            <v>6090</v>
          </cell>
          <cell r="C729" t="str">
            <v>King; Kyle M.</v>
          </cell>
          <cell r="D729" t="str">
            <v>1C</v>
          </cell>
          <cell r="E729" t="str">
            <v>IBEWOUT</v>
          </cell>
          <cell r="F729" t="str">
            <v>1319</v>
          </cell>
          <cell r="G729" t="str">
            <v>11</v>
          </cell>
          <cell r="H729">
            <v>0</v>
          </cell>
        </row>
        <row r="730">
          <cell r="B730">
            <v>6100</v>
          </cell>
          <cell r="C730" t="str">
            <v>Kintz; Kyle W</v>
          </cell>
          <cell r="D730" t="str">
            <v>1</v>
          </cell>
          <cell r="E730" t="str">
            <v/>
          </cell>
          <cell r="F730" t="str">
            <v/>
          </cell>
          <cell r="G730" t="str">
            <v/>
          </cell>
          <cell r="H730">
            <v>1</v>
          </cell>
        </row>
        <row r="731">
          <cell r="B731">
            <v>6101</v>
          </cell>
          <cell r="C731" t="str">
            <v>Kemp; Michael B.</v>
          </cell>
          <cell r="D731" t="str">
            <v>1C</v>
          </cell>
          <cell r="E731" t="str">
            <v>IBEWOUT</v>
          </cell>
          <cell r="F731" t="str">
            <v>47</v>
          </cell>
          <cell r="G731" t="str">
            <v>8</v>
          </cell>
          <cell r="H731">
            <v>0</v>
          </cell>
        </row>
        <row r="732">
          <cell r="B732">
            <v>6105</v>
          </cell>
          <cell r="C732" t="str">
            <v>Kilby; Kyle G</v>
          </cell>
          <cell r="D732" t="str">
            <v>1</v>
          </cell>
          <cell r="E732" t="str">
            <v/>
          </cell>
          <cell r="F732" t="str">
            <v/>
          </cell>
          <cell r="G732" t="str">
            <v/>
          </cell>
          <cell r="H732">
            <v>1</v>
          </cell>
        </row>
        <row r="733">
          <cell r="B733">
            <v>6108</v>
          </cell>
          <cell r="C733" t="str">
            <v>Kelsch; Nathan B.</v>
          </cell>
          <cell r="D733" t="str">
            <v>1C</v>
          </cell>
          <cell r="E733" t="str">
            <v>IBEWOUT</v>
          </cell>
          <cell r="F733" t="str">
            <v>47</v>
          </cell>
          <cell r="G733" t="str">
            <v>70</v>
          </cell>
          <cell r="H733">
            <v>0</v>
          </cell>
        </row>
        <row r="734">
          <cell r="B734">
            <v>6110</v>
          </cell>
          <cell r="C734" t="str">
            <v>King; Carl D</v>
          </cell>
          <cell r="D734" t="str">
            <v>1C</v>
          </cell>
          <cell r="E734" t="str">
            <v>IBEWOUT</v>
          </cell>
          <cell r="F734" t="str">
            <v>1319</v>
          </cell>
          <cell r="G734" t="str">
            <v>1</v>
          </cell>
          <cell r="H734">
            <v>0</v>
          </cell>
        </row>
        <row r="735">
          <cell r="B735">
            <v>6112</v>
          </cell>
          <cell r="C735" t="str">
            <v>Kirk; Robert E</v>
          </cell>
          <cell r="D735" t="str">
            <v>1C</v>
          </cell>
          <cell r="E735" t="str">
            <v>IBEWOUT</v>
          </cell>
          <cell r="F735" t="str">
            <v>1245</v>
          </cell>
          <cell r="G735" t="str">
            <v>8</v>
          </cell>
          <cell r="H735">
            <v>0</v>
          </cell>
        </row>
        <row r="736">
          <cell r="B736">
            <v>6114</v>
          </cell>
          <cell r="C736" t="str">
            <v>King; Gale L</v>
          </cell>
          <cell r="D736" t="str">
            <v>1C</v>
          </cell>
          <cell r="E736" t="str">
            <v>IBEWOUT</v>
          </cell>
          <cell r="F736" t="str">
            <v>602R</v>
          </cell>
          <cell r="G736" t="str">
            <v>33</v>
          </cell>
          <cell r="H736">
            <v>0</v>
          </cell>
        </row>
        <row r="737">
          <cell r="B737">
            <v>6117</v>
          </cell>
          <cell r="C737" t="str">
            <v>Kimmel; Daryl M.</v>
          </cell>
          <cell r="D737" t="str">
            <v>1C</v>
          </cell>
          <cell r="E737" t="str">
            <v>IBEWOUT</v>
          </cell>
          <cell r="F737" t="str">
            <v>77</v>
          </cell>
          <cell r="G737" t="str">
            <v>8</v>
          </cell>
          <cell r="H737">
            <v>0</v>
          </cell>
        </row>
        <row r="738">
          <cell r="B738">
            <v>6118</v>
          </cell>
          <cell r="C738" t="str">
            <v>Kimberly; Michael D</v>
          </cell>
          <cell r="D738" t="str">
            <v>1C</v>
          </cell>
          <cell r="E738" t="str">
            <v/>
          </cell>
          <cell r="F738" t="str">
            <v/>
          </cell>
          <cell r="G738" t="str">
            <v/>
          </cell>
          <cell r="H738">
            <v>0</v>
          </cell>
        </row>
        <row r="739">
          <cell r="B739">
            <v>6119</v>
          </cell>
          <cell r="C739" t="str">
            <v>Kiourkas; Cody G</v>
          </cell>
          <cell r="D739" t="str">
            <v>1C</v>
          </cell>
          <cell r="E739" t="str">
            <v>IBEWOUT</v>
          </cell>
          <cell r="F739" t="str">
            <v>1245</v>
          </cell>
          <cell r="G739" t="str">
            <v>15</v>
          </cell>
          <cell r="H739">
            <v>0</v>
          </cell>
        </row>
        <row r="740">
          <cell r="B740">
            <v>6121</v>
          </cell>
          <cell r="C740" t="str">
            <v>Kirkpatrick; Gary L</v>
          </cell>
          <cell r="D740" t="str">
            <v>1C</v>
          </cell>
          <cell r="E740" t="str">
            <v>IBEWOUT</v>
          </cell>
          <cell r="F740" t="str">
            <v>47</v>
          </cell>
          <cell r="G740" t="str">
            <v>8</v>
          </cell>
          <cell r="H740">
            <v>0</v>
          </cell>
        </row>
        <row r="741">
          <cell r="B741">
            <v>6122</v>
          </cell>
          <cell r="C741" t="str">
            <v>Kemmsies; Kenneth C</v>
          </cell>
          <cell r="D741" t="str">
            <v>1C</v>
          </cell>
          <cell r="E741" t="str">
            <v>IBEWOUT</v>
          </cell>
          <cell r="F741" t="str">
            <v>47</v>
          </cell>
          <cell r="G741" t="str">
            <v>16</v>
          </cell>
          <cell r="H741">
            <v>0</v>
          </cell>
        </row>
        <row r="742">
          <cell r="B742">
            <v>6125</v>
          </cell>
          <cell r="C742" t="str">
            <v>King; Tyler S</v>
          </cell>
          <cell r="D742" t="str">
            <v>1</v>
          </cell>
          <cell r="E742" t="str">
            <v>IBEWOUT</v>
          </cell>
          <cell r="F742" t="str">
            <v>47</v>
          </cell>
          <cell r="G742" t="str">
            <v>7</v>
          </cell>
          <cell r="H742">
            <v>0</v>
          </cell>
        </row>
        <row r="743">
          <cell r="B743">
            <v>6129</v>
          </cell>
          <cell r="C743" t="str">
            <v>King; Mathew Edward</v>
          </cell>
          <cell r="D743" t="str">
            <v>1C</v>
          </cell>
          <cell r="E743" t="str">
            <v>IBEWOUT</v>
          </cell>
          <cell r="F743" t="str">
            <v>1245</v>
          </cell>
          <cell r="G743" t="str">
            <v>11</v>
          </cell>
          <cell r="H743">
            <v>0</v>
          </cell>
        </row>
        <row r="744">
          <cell r="B744">
            <v>6132</v>
          </cell>
          <cell r="C744" t="str">
            <v>Kingdon; Colton R</v>
          </cell>
          <cell r="D744" t="str">
            <v>1C</v>
          </cell>
          <cell r="E744" t="str">
            <v>IBEWOUT</v>
          </cell>
          <cell r="F744" t="str">
            <v>1245</v>
          </cell>
          <cell r="G744" t="str">
            <v>11</v>
          </cell>
          <cell r="H744">
            <v>0</v>
          </cell>
        </row>
        <row r="745">
          <cell r="B745">
            <v>6151</v>
          </cell>
          <cell r="C745" t="str">
            <v>Knapp; Carl William</v>
          </cell>
          <cell r="D745" t="str">
            <v>1</v>
          </cell>
          <cell r="E745" t="str">
            <v>IBEWOUT</v>
          </cell>
          <cell r="F745" t="str">
            <v>1245</v>
          </cell>
          <cell r="G745" t="str">
            <v>16</v>
          </cell>
          <cell r="H745">
            <v>0</v>
          </cell>
        </row>
        <row r="746">
          <cell r="B746">
            <v>6152</v>
          </cell>
          <cell r="C746" t="str">
            <v>Knifong; Joseph A</v>
          </cell>
          <cell r="D746" t="str">
            <v>1C</v>
          </cell>
          <cell r="E746" t="str">
            <v>IBEWOUT</v>
          </cell>
          <cell r="F746" t="str">
            <v>77</v>
          </cell>
          <cell r="G746" t="str">
            <v>8</v>
          </cell>
          <cell r="H746">
            <v>0</v>
          </cell>
        </row>
        <row r="747">
          <cell r="B747">
            <v>6155</v>
          </cell>
          <cell r="C747" t="str">
            <v>Knoll; Thomas E</v>
          </cell>
          <cell r="D747" t="str">
            <v>1C</v>
          </cell>
          <cell r="E747" t="str">
            <v>IBEWOUT</v>
          </cell>
          <cell r="F747" t="str">
            <v>77</v>
          </cell>
          <cell r="G747" t="str">
            <v>8</v>
          </cell>
          <cell r="H747">
            <v>0</v>
          </cell>
        </row>
        <row r="748">
          <cell r="B748">
            <v>6159</v>
          </cell>
          <cell r="C748" t="str">
            <v>Kohtz; Kyle G</v>
          </cell>
          <cell r="D748" t="str">
            <v>1C</v>
          </cell>
          <cell r="E748" t="str">
            <v>IBEWOUT</v>
          </cell>
          <cell r="F748" t="str">
            <v>47</v>
          </cell>
          <cell r="G748" t="str">
            <v>8</v>
          </cell>
          <cell r="H748">
            <v>0</v>
          </cell>
        </row>
        <row r="749">
          <cell r="B749">
            <v>6165</v>
          </cell>
          <cell r="C749" t="str">
            <v>Kolvek; Michael A</v>
          </cell>
          <cell r="D749" t="str">
            <v>1C</v>
          </cell>
          <cell r="E749" t="str">
            <v>IBEWOUT</v>
          </cell>
          <cell r="F749" t="str">
            <v>126</v>
          </cell>
          <cell r="G749" t="str">
            <v>8</v>
          </cell>
          <cell r="H749">
            <v>0</v>
          </cell>
        </row>
        <row r="750">
          <cell r="B750">
            <v>6170</v>
          </cell>
          <cell r="C750" t="str">
            <v>Koehn; Jacob A</v>
          </cell>
          <cell r="D750" t="str">
            <v>1C</v>
          </cell>
          <cell r="E750" t="str">
            <v>IBEWOUT</v>
          </cell>
          <cell r="F750" t="str">
            <v>47</v>
          </cell>
          <cell r="G750" t="str">
            <v>8</v>
          </cell>
          <cell r="H750">
            <v>0</v>
          </cell>
        </row>
        <row r="751">
          <cell r="B751">
            <v>6174</v>
          </cell>
          <cell r="C751" t="str">
            <v>Krasnov; Oleksandr A</v>
          </cell>
          <cell r="D751" t="str">
            <v>1</v>
          </cell>
          <cell r="E751" t="str">
            <v>IBEWOUT</v>
          </cell>
          <cell r="F751" t="str">
            <v>1245</v>
          </cell>
          <cell r="G751" t="str">
            <v>60</v>
          </cell>
          <cell r="H751">
            <v>0</v>
          </cell>
        </row>
        <row r="752">
          <cell r="B752">
            <v>6186</v>
          </cell>
          <cell r="C752" t="str">
            <v>Kuch; Daniel Christopher</v>
          </cell>
          <cell r="D752" t="str">
            <v>1</v>
          </cell>
          <cell r="E752" t="str">
            <v>IBEWOUT</v>
          </cell>
          <cell r="F752" t="str">
            <v>47</v>
          </cell>
          <cell r="G752" t="str">
            <v>8</v>
          </cell>
          <cell r="H752">
            <v>0</v>
          </cell>
        </row>
        <row r="753">
          <cell r="B753">
            <v>6192</v>
          </cell>
          <cell r="C753" t="str">
            <v>Kramer; David W</v>
          </cell>
          <cell r="D753" t="str">
            <v>1C</v>
          </cell>
          <cell r="E753" t="str">
            <v>IBEWOUT</v>
          </cell>
          <cell r="F753" t="str">
            <v>1245</v>
          </cell>
          <cell r="G753" t="str">
            <v>8</v>
          </cell>
          <cell r="H753">
            <v>0</v>
          </cell>
        </row>
        <row r="754">
          <cell r="B754">
            <v>6194</v>
          </cell>
          <cell r="C754" t="str">
            <v>Kruger; Matthew J</v>
          </cell>
          <cell r="D754" t="str">
            <v>1C</v>
          </cell>
          <cell r="E754" t="str">
            <v>IBEWOUT</v>
          </cell>
          <cell r="F754" t="str">
            <v>160</v>
          </cell>
          <cell r="G754" t="str">
            <v>8</v>
          </cell>
          <cell r="H754">
            <v>0</v>
          </cell>
        </row>
        <row r="755">
          <cell r="B755">
            <v>6196</v>
          </cell>
          <cell r="C755" t="str">
            <v>Kokel; Joel R</v>
          </cell>
          <cell r="D755" t="str">
            <v>1C</v>
          </cell>
          <cell r="E755" t="str">
            <v/>
          </cell>
          <cell r="F755" t="str">
            <v/>
          </cell>
          <cell r="G755" t="str">
            <v/>
          </cell>
          <cell r="H755">
            <v>0</v>
          </cell>
        </row>
        <row r="756">
          <cell r="B756">
            <v>6200</v>
          </cell>
          <cell r="C756" t="str">
            <v>Kumi; Richard A</v>
          </cell>
          <cell r="D756" t="str">
            <v>1C</v>
          </cell>
          <cell r="E756" t="str">
            <v>IBEWOUT</v>
          </cell>
          <cell r="F756" t="str">
            <v>1245</v>
          </cell>
          <cell r="G756" t="str">
            <v>8</v>
          </cell>
          <cell r="H756">
            <v>0</v>
          </cell>
        </row>
        <row r="757">
          <cell r="B757">
            <v>6202</v>
          </cell>
          <cell r="C757" t="str">
            <v>Kokrine; Sage D</v>
          </cell>
          <cell r="D757" t="str">
            <v>1C</v>
          </cell>
          <cell r="E757" t="str">
            <v>IBEWOUT</v>
          </cell>
          <cell r="F757" t="str">
            <v>125</v>
          </cell>
          <cell r="G757" t="str">
            <v>8</v>
          </cell>
          <cell r="H757">
            <v>0</v>
          </cell>
        </row>
        <row r="758">
          <cell r="B758">
            <v>6203</v>
          </cell>
          <cell r="C758" t="str">
            <v>Konchar; Nicholas A.</v>
          </cell>
          <cell r="D758" t="str">
            <v>1C</v>
          </cell>
          <cell r="E758" t="str">
            <v>IBEWOUT</v>
          </cell>
          <cell r="F758" t="str">
            <v>1245</v>
          </cell>
          <cell r="G758" t="str">
            <v>8</v>
          </cell>
          <cell r="H758">
            <v>0</v>
          </cell>
        </row>
        <row r="759">
          <cell r="B759">
            <v>6205</v>
          </cell>
          <cell r="C759" t="str">
            <v>Korpi; Matthew A.</v>
          </cell>
          <cell r="D759" t="str">
            <v>1C</v>
          </cell>
          <cell r="E759" t="str">
            <v>IBEWOUT</v>
          </cell>
          <cell r="F759" t="str">
            <v>1245</v>
          </cell>
          <cell r="G759" t="str">
            <v>8</v>
          </cell>
          <cell r="H759">
            <v>0</v>
          </cell>
        </row>
        <row r="760">
          <cell r="B760">
            <v>6206</v>
          </cell>
          <cell r="C760" t="str">
            <v>Konopaski; Kevin</v>
          </cell>
          <cell r="D760" t="str">
            <v>1C</v>
          </cell>
          <cell r="E760" t="str">
            <v>IBEWOUT</v>
          </cell>
          <cell r="F760" t="str">
            <v>77</v>
          </cell>
          <cell r="G760" t="str">
            <v>9</v>
          </cell>
          <cell r="H760">
            <v>0</v>
          </cell>
        </row>
        <row r="761">
          <cell r="B761">
            <v>6207</v>
          </cell>
          <cell r="C761" t="str">
            <v>Kraft; Jerry L.</v>
          </cell>
          <cell r="D761" t="str">
            <v>1C</v>
          </cell>
          <cell r="E761" t="str">
            <v/>
          </cell>
          <cell r="F761" t="str">
            <v/>
          </cell>
          <cell r="G761" t="str">
            <v/>
          </cell>
          <cell r="H761">
            <v>0</v>
          </cell>
        </row>
        <row r="762">
          <cell r="B762">
            <v>6209</v>
          </cell>
          <cell r="C762" t="str">
            <v>Krassa; Keith W.</v>
          </cell>
          <cell r="D762" t="str">
            <v>1</v>
          </cell>
          <cell r="E762" t="str">
            <v>IBEWOUT</v>
          </cell>
          <cell r="F762" t="str">
            <v>769</v>
          </cell>
          <cell r="G762" t="str">
            <v>16</v>
          </cell>
          <cell r="H762">
            <v>0</v>
          </cell>
        </row>
        <row r="763">
          <cell r="B763">
            <v>6210</v>
          </cell>
          <cell r="C763" t="str">
            <v>Kranzusch; Ray F</v>
          </cell>
          <cell r="D763" t="str">
            <v>1</v>
          </cell>
          <cell r="E763" t="str">
            <v>IBEWOUT</v>
          </cell>
          <cell r="F763" t="str">
            <v>1245</v>
          </cell>
          <cell r="G763" t="str">
            <v>8</v>
          </cell>
          <cell r="H763">
            <v>0</v>
          </cell>
        </row>
        <row r="764">
          <cell r="B764">
            <v>6211</v>
          </cell>
          <cell r="C764" t="str">
            <v>Konkright; Kyle E</v>
          </cell>
          <cell r="D764" t="str">
            <v>1C</v>
          </cell>
          <cell r="E764" t="str">
            <v>IBEWOUT</v>
          </cell>
          <cell r="F764" t="str">
            <v>77</v>
          </cell>
          <cell r="G764" t="str">
            <v>8</v>
          </cell>
          <cell r="H764">
            <v>0</v>
          </cell>
        </row>
        <row r="765">
          <cell r="B765">
            <v>6213</v>
          </cell>
          <cell r="C765" t="str">
            <v>Klinger; Timothy J.</v>
          </cell>
          <cell r="D765" t="str">
            <v>1C</v>
          </cell>
          <cell r="E765" t="str">
            <v>IBEWOUT</v>
          </cell>
          <cell r="F765" t="str">
            <v>396</v>
          </cell>
          <cell r="G765" t="str">
            <v>18</v>
          </cell>
          <cell r="H765">
            <v>0</v>
          </cell>
        </row>
        <row r="766">
          <cell r="B766">
            <v>6214</v>
          </cell>
          <cell r="C766" t="str">
            <v>Kingsbury; Andrew J.</v>
          </cell>
          <cell r="D766" t="str">
            <v>1C</v>
          </cell>
          <cell r="E766" t="str">
            <v>IBEWOUT</v>
          </cell>
          <cell r="F766" t="str">
            <v>1319</v>
          </cell>
          <cell r="G766" t="str">
            <v>8</v>
          </cell>
          <cell r="H766">
            <v>0</v>
          </cell>
        </row>
        <row r="767">
          <cell r="B767">
            <v>6215</v>
          </cell>
          <cell r="C767" t="str">
            <v>Kwake; Stanley J.</v>
          </cell>
          <cell r="D767" t="str">
            <v>1C</v>
          </cell>
          <cell r="E767" t="str">
            <v/>
          </cell>
          <cell r="F767" t="str">
            <v/>
          </cell>
          <cell r="G767" t="str">
            <v/>
          </cell>
          <cell r="H767">
            <v>0</v>
          </cell>
        </row>
        <row r="768">
          <cell r="B768">
            <v>6217</v>
          </cell>
          <cell r="C768" t="str">
            <v>Kravchenko; Illya</v>
          </cell>
          <cell r="D768" t="str">
            <v>1C</v>
          </cell>
          <cell r="E768" t="str">
            <v>IBEWOUT</v>
          </cell>
          <cell r="F768" t="str">
            <v>77</v>
          </cell>
          <cell r="G768" t="str">
            <v>13</v>
          </cell>
          <cell r="H768">
            <v>0</v>
          </cell>
        </row>
        <row r="769">
          <cell r="B769">
            <v>6218</v>
          </cell>
          <cell r="C769" t="str">
            <v>Koretz; Samuel J</v>
          </cell>
          <cell r="D769" t="str">
            <v>1C</v>
          </cell>
          <cell r="E769" t="str">
            <v>IBEWOUT</v>
          </cell>
          <cell r="F769" t="str">
            <v>396</v>
          </cell>
          <cell r="G769" t="str">
            <v>33</v>
          </cell>
          <cell r="H769">
            <v>0</v>
          </cell>
        </row>
        <row r="770">
          <cell r="B770">
            <v>6219</v>
          </cell>
          <cell r="C770" t="str">
            <v>Kwiatkowski; Patrick J</v>
          </cell>
          <cell r="D770" t="str">
            <v>1C</v>
          </cell>
          <cell r="E770" t="str">
            <v>IBEWOUT</v>
          </cell>
          <cell r="F770" t="str">
            <v>1319</v>
          </cell>
          <cell r="G770" t="str">
            <v>20</v>
          </cell>
          <cell r="H770">
            <v>0</v>
          </cell>
        </row>
        <row r="771">
          <cell r="B771">
            <v>6220</v>
          </cell>
          <cell r="C771" t="str">
            <v>Koutnik; Ryan L.</v>
          </cell>
          <cell r="D771" t="str">
            <v>1C</v>
          </cell>
          <cell r="E771" t="str">
            <v>IBEWOUT</v>
          </cell>
          <cell r="F771" t="str">
            <v>125</v>
          </cell>
          <cell r="G771" t="str">
            <v>8</v>
          </cell>
          <cell r="H771">
            <v>0</v>
          </cell>
        </row>
        <row r="772">
          <cell r="B772">
            <v>6221</v>
          </cell>
          <cell r="C772" t="str">
            <v>Kwaad; Kyle R</v>
          </cell>
          <cell r="D772" t="str">
            <v>1C</v>
          </cell>
          <cell r="E772" t="str">
            <v>IBEWOUT</v>
          </cell>
          <cell r="F772" t="str">
            <v>769</v>
          </cell>
          <cell r="G772" t="str">
            <v>13</v>
          </cell>
          <cell r="H772">
            <v>0</v>
          </cell>
        </row>
        <row r="773">
          <cell r="B773">
            <v>6222</v>
          </cell>
          <cell r="C773" t="str">
            <v>Kimball; Frank H.</v>
          </cell>
          <cell r="D773" t="str">
            <v>1C</v>
          </cell>
          <cell r="E773" t="str">
            <v>IBEWOUT</v>
          </cell>
          <cell r="F773" t="str">
            <v>396</v>
          </cell>
          <cell r="G773" t="str">
            <v>21</v>
          </cell>
          <cell r="H773">
            <v>0</v>
          </cell>
        </row>
        <row r="774">
          <cell r="B774">
            <v>6224</v>
          </cell>
          <cell r="C774" t="str">
            <v>Kress; Paul M</v>
          </cell>
          <cell r="D774" t="str">
            <v>1C</v>
          </cell>
          <cell r="E774" t="str">
            <v>IBEWOUT</v>
          </cell>
          <cell r="F774" t="str">
            <v>611</v>
          </cell>
          <cell r="G774" t="str">
            <v>20</v>
          </cell>
          <cell r="H774">
            <v>0</v>
          </cell>
        </row>
        <row r="775">
          <cell r="B775">
            <v>6225</v>
          </cell>
          <cell r="C775" t="str">
            <v>Kuniski; Roger L</v>
          </cell>
          <cell r="D775" t="str">
            <v>1C</v>
          </cell>
          <cell r="E775" t="str">
            <v>IBEWOUT</v>
          </cell>
          <cell r="F775" t="str">
            <v>1245</v>
          </cell>
          <cell r="G775" t="str">
            <v>8</v>
          </cell>
          <cell r="H775">
            <v>0</v>
          </cell>
        </row>
        <row r="776">
          <cell r="B776">
            <v>6227</v>
          </cell>
          <cell r="C776" t="str">
            <v>Kovacs; Zolton I</v>
          </cell>
          <cell r="D776" t="str">
            <v>1C</v>
          </cell>
          <cell r="E776" t="str">
            <v>IBEWOUT</v>
          </cell>
          <cell r="F776" t="str">
            <v>47</v>
          </cell>
          <cell r="G776" t="str">
            <v>17</v>
          </cell>
          <cell r="H776">
            <v>0</v>
          </cell>
        </row>
        <row r="777">
          <cell r="B777">
            <v>6230</v>
          </cell>
          <cell r="C777" t="str">
            <v>Kingsbury; Craig W</v>
          </cell>
          <cell r="D777" t="str">
            <v>1</v>
          </cell>
          <cell r="E777" t="str">
            <v>IBEWOUT</v>
          </cell>
          <cell r="F777" t="str">
            <v>77</v>
          </cell>
          <cell r="G777" t="str">
            <v>11</v>
          </cell>
          <cell r="H777">
            <v>0</v>
          </cell>
        </row>
        <row r="778">
          <cell r="B778">
            <v>6235</v>
          </cell>
          <cell r="C778" t="str">
            <v>Lachcik; Shaun M</v>
          </cell>
          <cell r="D778" t="str">
            <v>1C</v>
          </cell>
          <cell r="E778" t="str">
            <v>IBEWOUT</v>
          </cell>
          <cell r="F778" t="str">
            <v>769</v>
          </cell>
          <cell r="G778" t="str">
            <v>8</v>
          </cell>
          <cell r="H778">
            <v>0</v>
          </cell>
        </row>
        <row r="779">
          <cell r="B779">
            <v>6236</v>
          </cell>
          <cell r="C779" t="str">
            <v>Lay Jr; Richard D</v>
          </cell>
          <cell r="D779" t="str">
            <v>1C</v>
          </cell>
          <cell r="E779" t="str">
            <v>IBEWIN</v>
          </cell>
          <cell r="F779" t="str">
            <v>280</v>
          </cell>
          <cell r="G779" t="str">
            <v>61</v>
          </cell>
          <cell r="H779">
            <v>0</v>
          </cell>
        </row>
        <row r="780">
          <cell r="B780">
            <v>6238</v>
          </cell>
          <cell r="C780" t="str">
            <v>La Fuente; Timothy</v>
          </cell>
          <cell r="D780" t="str">
            <v>1C</v>
          </cell>
          <cell r="E780" t="str">
            <v>IBEWOUT</v>
          </cell>
          <cell r="F780" t="str">
            <v>1245</v>
          </cell>
          <cell r="G780" t="str">
            <v>8</v>
          </cell>
          <cell r="H780">
            <v>0</v>
          </cell>
        </row>
        <row r="781">
          <cell r="B781">
            <v>6239</v>
          </cell>
          <cell r="C781" t="str">
            <v>Lacy; Russell J.</v>
          </cell>
          <cell r="D781" t="str">
            <v>1</v>
          </cell>
          <cell r="E781" t="str">
            <v>IBEWOUT</v>
          </cell>
          <cell r="F781" t="str">
            <v>611</v>
          </cell>
          <cell r="G781" t="str">
            <v>1</v>
          </cell>
          <cell r="H781">
            <v>0</v>
          </cell>
        </row>
        <row r="782">
          <cell r="B782">
            <v>6240</v>
          </cell>
          <cell r="C782" t="str">
            <v>Lazaron; Kyle M</v>
          </cell>
          <cell r="D782" t="str">
            <v>1C</v>
          </cell>
          <cell r="E782" t="str">
            <v>IBEWOUT</v>
          </cell>
          <cell r="F782" t="str">
            <v>104</v>
          </cell>
          <cell r="G782" t="str">
            <v>8</v>
          </cell>
          <cell r="H782">
            <v>0</v>
          </cell>
        </row>
        <row r="783">
          <cell r="B783">
            <v>6241</v>
          </cell>
          <cell r="C783" t="str">
            <v>Ladd; Gordon R.</v>
          </cell>
          <cell r="D783" t="str">
            <v>1</v>
          </cell>
          <cell r="E783" t="str">
            <v/>
          </cell>
          <cell r="F783" t="str">
            <v/>
          </cell>
          <cell r="G783" t="str">
            <v/>
          </cell>
          <cell r="H783">
            <v>0</v>
          </cell>
        </row>
        <row r="784">
          <cell r="B784">
            <v>6257</v>
          </cell>
          <cell r="C784" t="str">
            <v>Landers; Jacie A</v>
          </cell>
          <cell r="D784" t="str">
            <v>1C</v>
          </cell>
          <cell r="E784" t="str">
            <v/>
          </cell>
          <cell r="F784" t="str">
            <v/>
          </cell>
          <cell r="G784" t="str">
            <v/>
          </cell>
          <cell r="H784">
            <v>0</v>
          </cell>
        </row>
        <row r="785">
          <cell r="B785">
            <v>6270</v>
          </cell>
          <cell r="C785" t="str">
            <v>Landon; Lance A</v>
          </cell>
          <cell r="D785" t="str">
            <v>1C</v>
          </cell>
          <cell r="E785" t="str">
            <v>IBEWOUT</v>
          </cell>
          <cell r="F785" t="str">
            <v>1245</v>
          </cell>
          <cell r="G785" t="str">
            <v>8</v>
          </cell>
          <cell r="H785">
            <v>0</v>
          </cell>
        </row>
        <row r="786">
          <cell r="B786">
            <v>6273</v>
          </cell>
          <cell r="C786" t="str">
            <v>Langston Jr.; James Keith</v>
          </cell>
          <cell r="D786" t="str">
            <v>1</v>
          </cell>
          <cell r="E786" t="str">
            <v>IBEWOUT</v>
          </cell>
          <cell r="F786" t="str">
            <v>769</v>
          </cell>
          <cell r="G786" t="str">
            <v>21</v>
          </cell>
          <cell r="H786">
            <v>0</v>
          </cell>
        </row>
        <row r="787">
          <cell r="B787">
            <v>6274</v>
          </cell>
          <cell r="C787" t="str">
            <v>Lange; Anthony R.</v>
          </cell>
          <cell r="D787" t="str">
            <v>1C</v>
          </cell>
          <cell r="E787" t="str">
            <v>IBEWOUT</v>
          </cell>
          <cell r="F787" t="str">
            <v>160</v>
          </cell>
          <cell r="G787" t="str">
            <v>8</v>
          </cell>
          <cell r="H787">
            <v>0</v>
          </cell>
        </row>
        <row r="788">
          <cell r="B788">
            <v>6281</v>
          </cell>
          <cell r="C788" t="str">
            <v>Lamb; Robert C</v>
          </cell>
          <cell r="D788" t="str">
            <v>1C</v>
          </cell>
          <cell r="E788" t="str">
            <v>IBEWOUT</v>
          </cell>
          <cell r="F788" t="str">
            <v>1245</v>
          </cell>
          <cell r="G788" t="str">
            <v>8</v>
          </cell>
          <cell r="H788">
            <v>0</v>
          </cell>
        </row>
        <row r="789">
          <cell r="B789">
            <v>6284</v>
          </cell>
          <cell r="C789" t="str">
            <v>Lantau; Kenneth A.</v>
          </cell>
          <cell r="D789" t="str">
            <v>1C</v>
          </cell>
          <cell r="E789" t="str">
            <v>IBEWOUT</v>
          </cell>
          <cell r="F789" t="str">
            <v>77</v>
          </cell>
          <cell r="G789" t="str">
            <v>7</v>
          </cell>
          <cell r="H789">
            <v>0</v>
          </cell>
        </row>
        <row r="790">
          <cell r="B790">
            <v>6286</v>
          </cell>
          <cell r="C790" t="str">
            <v>Lambourne; Jason W</v>
          </cell>
          <cell r="D790" t="str">
            <v>1</v>
          </cell>
          <cell r="E790" t="str">
            <v>IBEWOUT</v>
          </cell>
          <cell r="F790" t="str">
            <v>1245</v>
          </cell>
          <cell r="G790" t="str">
            <v>7</v>
          </cell>
          <cell r="H790">
            <v>0</v>
          </cell>
        </row>
        <row r="791">
          <cell r="B791">
            <v>6288</v>
          </cell>
          <cell r="C791" t="str">
            <v>LaMountain; Bernard W</v>
          </cell>
          <cell r="D791" t="str">
            <v>1</v>
          </cell>
          <cell r="E791" t="str">
            <v>IBEWOUT</v>
          </cell>
          <cell r="F791" t="str">
            <v>1245</v>
          </cell>
          <cell r="G791" t="str">
            <v>8</v>
          </cell>
          <cell r="H791">
            <v>0</v>
          </cell>
        </row>
        <row r="792">
          <cell r="B792">
            <v>6293</v>
          </cell>
          <cell r="C792" t="str">
            <v>Larios; Frank</v>
          </cell>
          <cell r="D792" t="str">
            <v>1</v>
          </cell>
          <cell r="E792" t="str">
            <v>IBEWOUT</v>
          </cell>
          <cell r="F792" t="str">
            <v>47</v>
          </cell>
          <cell r="G792" t="str">
            <v>17</v>
          </cell>
          <cell r="H792">
            <v>0</v>
          </cell>
        </row>
        <row r="793">
          <cell r="B793">
            <v>6294</v>
          </cell>
          <cell r="C793" t="str">
            <v>LaRock; Aaron M</v>
          </cell>
          <cell r="D793" t="str">
            <v>1C</v>
          </cell>
          <cell r="E793" t="str">
            <v>IBEWOUT</v>
          </cell>
          <cell r="F793" t="str">
            <v>1319</v>
          </cell>
          <cell r="G793" t="str">
            <v>8</v>
          </cell>
          <cell r="H793">
            <v>0</v>
          </cell>
        </row>
        <row r="794">
          <cell r="B794">
            <v>6295</v>
          </cell>
          <cell r="C794" t="str">
            <v>Larkin; William B.</v>
          </cell>
          <cell r="D794" t="str">
            <v>1</v>
          </cell>
          <cell r="E794" t="str">
            <v>IBEWOUT</v>
          </cell>
          <cell r="F794" t="str">
            <v>77</v>
          </cell>
          <cell r="G794" t="str">
            <v>7</v>
          </cell>
          <cell r="H794">
            <v>0</v>
          </cell>
        </row>
        <row r="795">
          <cell r="B795">
            <v>6296</v>
          </cell>
          <cell r="C795" t="str">
            <v>Larson; Blaze A</v>
          </cell>
          <cell r="D795" t="str">
            <v>1C</v>
          </cell>
          <cell r="E795" t="str">
            <v>IBEWOUT</v>
          </cell>
          <cell r="F795" t="str">
            <v>125</v>
          </cell>
          <cell r="G795" t="str">
            <v>12</v>
          </cell>
          <cell r="H795">
            <v>0</v>
          </cell>
        </row>
        <row r="796">
          <cell r="B796">
            <v>6297</v>
          </cell>
          <cell r="C796" t="str">
            <v>Larsen; Devin Brett</v>
          </cell>
          <cell r="D796" t="str">
            <v>1</v>
          </cell>
          <cell r="E796" t="str">
            <v>IBEWOUT</v>
          </cell>
          <cell r="F796" t="str">
            <v>1245</v>
          </cell>
          <cell r="G796" t="str">
            <v>7</v>
          </cell>
          <cell r="H796">
            <v>0</v>
          </cell>
        </row>
        <row r="797">
          <cell r="B797">
            <v>6298</v>
          </cell>
          <cell r="C797" t="str">
            <v>Larsen; Jason P.</v>
          </cell>
          <cell r="D797" t="str">
            <v>1C</v>
          </cell>
          <cell r="E797" t="str">
            <v>IBEWOUT</v>
          </cell>
          <cell r="F797" t="str">
            <v>77</v>
          </cell>
          <cell r="G797" t="str">
            <v>8</v>
          </cell>
          <cell r="H797">
            <v>0</v>
          </cell>
        </row>
        <row r="798">
          <cell r="B798">
            <v>6300</v>
          </cell>
          <cell r="C798" t="str">
            <v>McCaul-Larson; Tyler L</v>
          </cell>
          <cell r="D798" t="str">
            <v>1C</v>
          </cell>
          <cell r="E798" t="str">
            <v>IBEWOUT</v>
          </cell>
          <cell r="F798" t="str">
            <v>1245</v>
          </cell>
          <cell r="G798" t="str">
            <v>8</v>
          </cell>
          <cell r="H798">
            <v>0</v>
          </cell>
        </row>
        <row r="799">
          <cell r="B799">
            <v>6314</v>
          </cell>
          <cell r="C799" t="str">
            <v>Laskowsky; Mark A</v>
          </cell>
          <cell r="D799" t="str">
            <v>1C</v>
          </cell>
          <cell r="E799" t="str">
            <v>IBEWOUT</v>
          </cell>
          <cell r="F799" t="str">
            <v>126</v>
          </cell>
          <cell r="G799" t="str">
            <v>8</v>
          </cell>
          <cell r="H799">
            <v>0</v>
          </cell>
        </row>
        <row r="800">
          <cell r="B800">
            <v>6317</v>
          </cell>
          <cell r="C800" t="str">
            <v>Lauer; Mason S</v>
          </cell>
          <cell r="D800" t="str">
            <v>1</v>
          </cell>
          <cell r="E800" t="str">
            <v/>
          </cell>
          <cell r="F800" t="str">
            <v/>
          </cell>
          <cell r="G800" t="str">
            <v/>
          </cell>
          <cell r="H800">
            <v>0</v>
          </cell>
        </row>
        <row r="801">
          <cell r="B801">
            <v>6321</v>
          </cell>
          <cell r="C801" t="str">
            <v>Lavin; Jared M</v>
          </cell>
          <cell r="D801" t="str">
            <v>1</v>
          </cell>
          <cell r="E801" t="str">
            <v>IBEWOUT</v>
          </cell>
          <cell r="F801" t="str">
            <v>77</v>
          </cell>
          <cell r="G801" t="str">
            <v>10</v>
          </cell>
          <cell r="H801">
            <v>0</v>
          </cell>
        </row>
        <row r="802">
          <cell r="B802">
            <v>6322</v>
          </cell>
          <cell r="C802" t="str">
            <v>Lecompte; Patrick M</v>
          </cell>
          <cell r="D802" t="str">
            <v>1C</v>
          </cell>
          <cell r="E802" t="str">
            <v>IBEWOUT</v>
          </cell>
          <cell r="F802" t="str">
            <v>1245</v>
          </cell>
          <cell r="G802" t="str">
            <v>8</v>
          </cell>
          <cell r="H802">
            <v>0</v>
          </cell>
        </row>
        <row r="803">
          <cell r="B803">
            <v>6329</v>
          </cell>
          <cell r="C803" t="str">
            <v>Lee; Laurence Cooper</v>
          </cell>
          <cell r="D803" t="str">
            <v>1C</v>
          </cell>
          <cell r="E803" t="str">
            <v>IBEWOUT</v>
          </cell>
          <cell r="F803" t="str">
            <v>77</v>
          </cell>
          <cell r="G803" t="str">
            <v>8</v>
          </cell>
          <cell r="H803">
            <v>0</v>
          </cell>
        </row>
        <row r="804">
          <cell r="B804">
            <v>6341</v>
          </cell>
          <cell r="C804" t="str">
            <v>Lee; David</v>
          </cell>
          <cell r="D804" t="str">
            <v>1C</v>
          </cell>
          <cell r="E804" t="str">
            <v>IBEWOUT</v>
          </cell>
          <cell r="F804" t="str">
            <v>1245</v>
          </cell>
          <cell r="G804" t="str">
            <v>60</v>
          </cell>
          <cell r="H804">
            <v>0</v>
          </cell>
        </row>
        <row r="805">
          <cell r="B805">
            <v>6474</v>
          </cell>
          <cell r="C805" t="str">
            <v>LeCaire; Nicholas V.</v>
          </cell>
          <cell r="D805" t="str">
            <v>1</v>
          </cell>
          <cell r="E805" t="str">
            <v>IBEWOUT</v>
          </cell>
          <cell r="F805" t="str">
            <v>1245</v>
          </cell>
          <cell r="G805" t="str">
            <v>7</v>
          </cell>
          <cell r="H805">
            <v>0</v>
          </cell>
        </row>
        <row r="806">
          <cell r="B806">
            <v>6476</v>
          </cell>
          <cell r="C806" t="str">
            <v>Leon Ramirez; Jose</v>
          </cell>
          <cell r="D806" t="str">
            <v>1C</v>
          </cell>
          <cell r="E806" t="str">
            <v>IBEWOUT</v>
          </cell>
          <cell r="F806" t="str">
            <v>47</v>
          </cell>
          <cell r="G806" t="str">
            <v>7</v>
          </cell>
          <cell r="H806">
            <v>0</v>
          </cell>
        </row>
        <row r="807">
          <cell r="B807">
            <v>6479</v>
          </cell>
          <cell r="C807" t="str">
            <v>Leiv; Kendell Jonathan</v>
          </cell>
          <cell r="D807" t="str">
            <v>1C</v>
          </cell>
          <cell r="E807" t="str">
            <v/>
          </cell>
          <cell r="F807" t="str">
            <v/>
          </cell>
          <cell r="G807" t="str">
            <v/>
          </cell>
          <cell r="H807">
            <v>0</v>
          </cell>
        </row>
        <row r="808">
          <cell r="B808">
            <v>6480</v>
          </cell>
          <cell r="C808" t="str">
            <v>Leanos; Daniel G</v>
          </cell>
          <cell r="D808" t="str">
            <v>1C</v>
          </cell>
          <cell r="E808" t="str">
            <v>IBEWOUT</v>
          </cell>
          <cell r="F808" t="str">
            <v>47</v>
          </cell>
          <cell r="G808" t="str">
            <v>17</v>
          </cell>
          <cell r="H808">
            <v>0</v>
          </cell>
        </row>
        <row r="809">
          <cell r="B809">
            <v>6482</v>
          </cell>
          <cell r="C809" t="str">
            <v>Ledoux; Walter W</v>
          </cell>
          <cell r="D809" t="str">
            <v>1C</v>
          </cell>
          <cell r="E809" t="str">
            <v>IBEWOUT</v>
          </cell>
          <cell r="F809" t="str">
            <v>1245</v>
          </cell>
          <cell r="G809" t="str">
            <v>8</v>
          </cell>
          <cell r="H809">
            <v>0</v>
          </cell>
        </row>
        <row r="810">
          <cell r="B810">
            <v>6485</v>
          </cell>
          <cell r="C810" t="str">
            <v>Lege; Kevin J</v>
          </cell>
          <cell r="D810" t="str">
            <v>1C</v>
          </cell>
          <cell r="E810" t="str">
            <v>IBEWOUT</v>
          </cell>
          <cell r="F810" t="str">
            <v>1245</v>
          </cell>
          <cell r="G810" t="str">
            <v>8</v>
          </cell>
          <cell r="H810">
            <v>0</v>
          </cell>
        </row>
        <row r="811">
          <cell r="B811">
            <v>6487</v>
          </cell>
          <cell r="C811" t="str">
            <v>Lemus; Edward</v>
          </cell>
          <cell r="D811" t="str">
            <v>1C</v>
          </cell>
          <cell r="E811" t="str">
            <v>IBEWOUT</v>
          </cell>
          <cell r="F811" t="str">
            <v>47</v>
          </cell>
          <cell r="G811" t="str">
            <v>17</v>
          </cell>
          <cell r="H811">
            <v>0</v>
          </cell>
        </row>
        <row r="812">
          <cell r="B812">
            <v>6492</v>
          </cell>
          <cell r="C812" t="str">
            <v>Ledford; David James</v>
          </cell>
          <cell r="D812" t="str">
            <v>1</v>
          </cell>
          <cell r="E812" t="str">
            <v>IBEWOUT</v>
          </cell>
          <cell r="F812" t="str">
            <v>611</v>
          </cell>
          <cell r="G812" t="str">
            <v>12</v>
          </cell>
          <cell r="H812">
            <v>0</v>
          </cell>
        </row>
        <row r="813">
          <cell r="B813">
            <v>6497</v>
          </cell>
          <cell r="C813" t="str">
            <v>Leineke; Theodore A.</v>
          </cell>
          <cell r="D813" t="str">
            <v>1</v>
          </cell>
          <cell r="E813" t="str">
            <v/>
          </cell>
          <cell r="F813" t="str">
            <v/>
          </cell>
          <cell r="G813" t="str">
            <v/>
          </cell>
          <cell r="H813">
            <v>0</v>
          </cell>
        </row>
        <row r="814">
          <cell r="B814">
            <v>6498</v>
          </cell>
          <cell r="C814" t="str">
            <v>Lenardo; Bradley J</v>
          </cell>
          <cell r="D814" t="str">
            <v>1C</v>
          </cell>
          <cell r="E814" t="str">
            <v>IBEWOUT</v>
          </cell>
          <cell r="F814" t="str">
            <v>1245</v>
          </cell>
          <cell r="G814" t="str">
            <v>8</v>
          </cell>
          <cell r="H814">
            <v>0</v>
          </cell>
        </row>
        <row r="815">
          <cell r="B815">
            <v>6499</v>
          </cell>
          <cell r="C815" t="str">
            <v>Lenoir Jr.; Leo M.</v>
          </cell>
          <cell r="D815" t="str">
            <v>1</v>
          </cell>
          <cell r="E815" t="str">
            <v>IBEWOUT</v>
          </cell>
          <cell r="F815" t="str">
            <v>47</v>
          </cell>
          <cell r="G815" t="str">
            <v>7</v>
          </cell>
          <cell r="H815">
            <v>0</v>
          </cell>
        </row>
        <row r="816">
          <cell r="B816">
            <v>6520</v>
          </cell>
          <cell r="C816" t="str">
            <v>Leuthner; Paul A</v>
          </cell>
          <cell r="D816" t="str">
            <v>1C</v>
          </cell>
          <cell r="E816" t="str">
            <v>IBEWOUT</v>
          </cell>
          <cell r="F816" t="str">
            <v>1319</v>
          </cell>
          <cell r="G816" t="str">
            <v>7</v>
          </cell>
          <cell r="H816">
            <v>0</v>
          </cell>
        </row>
        <row r="817">
          <cell r="B817">
            <v>6539</v>
          </cell>
          <cell r="C817" t="str">
            <v>Lewis; Slone E.</v>
          </cell>
          <cell r="D817" t="str">
            <v>1C</v>
          </cell>
          <cell r="E817" t="str">
            <v>IBEWOUT</v>
          </cell>
          <cell r="F817" t="str">
            <v>77</v>
          </cell>
          <cell r="G817" t="str">
            <v>12</v>
          </cell>
          <cell r="H817">
            <v>0</v>
          </cell>
        </row>
        <row r="818">
          <cell r="B818">
            <v>6541</v>
          </cell>
          <cell r="C818" t="str">
            <v>Lewis; Jacob L.</v>
          </cell>
          <cell r="D818" t="str">
            <v>1C</v>
          </cell>
          <cell r="E818" t="str">
            <v>IBEWOUT</v>
          </cell>
          <cell r="F818" t="str">
            <v>1245</v>
          </cell>
          <cell r="G818" t="str">
            <v>70T</v>
          </cell>
          <cell r="H818">
            <v>0</v>
          </cell>
        </row>
        <row r="819">
          <cell r="B819">
            <v>6542</v>
          </cell>
          <cell r="C819" t="str">
            <v>Ligon; Sean Michael</v>
          </cell>
          <cell r="D819" t="str">
            <v>1</v>
          </cell>
          <cell r="E819" t="str">
            <v>IBEWOUT</v>
          </cell>
          <cell r="F819" t="str">
            <v>769</v>
          </cell>
          <cell r="G819" t="str">
            <v>15</v>
          </cell>
          <cell r="H819">
            <v>0</v>
          </cell>
        </row>
        <row r="820">
          <cell r="B820">
            <v>6559</v>
          </cell>
          <cell r="C820" t="str">
            <v>Liles; Jack V</v>
          </cell>
          <cell r="D820" t="str">
            <v>1C</v>
          </cell>
          <cell r="E820" t="str">
            <v/>
          </cell>
          <cell r="F820" t="str">
            <v/>
          </cell>
          <cell r="G820" t="str">
            <v/>
          </cell>
          <cell r="H820">
            <v>0</v>
          </cell>
        </row>
        <row r="821">
          <cell r="B821">
            <v>6576</v>
          </cell>
          <cell r="C821" t="str">
            <v>Lindsay; Cassidy L.</v>
          </cell>
          <cell r="D821" t="str">
            <v>1C</v>
          </cell>
          <cell r="E821" t="str">
            <v>IBEWOUT</v>
          </cell>
          <cell r="F821" t="str">
            <v>1245</v>
          </cell>
          <cell r="G821" t="str">
            <v>16</v>
          </cell>
          <cell r="H821">
            <v>0</v>
          </cell>
        </row>
        <row r="822">
          <cell r="B822">
            <v>6579</v>
          </cell>
          <cell r="C822" t="str">
            <v>Little; Jerry S</v>
          </cell>
          <cell r="D822" t="str">
            <v>1C</v>
          </cell>
          <cell r="E822" t="str">
            <v>IBEWOUT</v>
          </cell>
          <cell r="F822" t="str">
            <v>1245</v>
          </cell>
          <cell r="G822" t="str">
            <v>8</v>
          </cell>
          <cell r="H822">
            <v>0</v>
          </cell>
        </row>
        <row r="823">
          <cell r="B823">
            <v>6582</v>
          </cell>
          <cell r="C823" t="str">
            <v>Little; Richard K</v>
          </cell>
          <cell r="D823" t="str">
            <v>1C</v>
          </cell>
          <cell r="E823" t="str">
            <v>IBEWOUT</v>
          </cell>
          <cell r="F823" t="str">
            <v>47</v>
          </cell>
          <cell r="G823" t="str">
            <v>59</v>
          </cell>
          <cell r="H823">
            <v>0</v>
          </cell>
        </row>
        <row r="824">
          <cell r="B824">
            <v>6584</v>
          </cell>
          <cell r="C824" t="str">
            <v>Livingston; Christian D.</v>
          </cell>
          <cell r="D824" t="str">
            <v>1C</v>
          </cell>
          <cell r="E824" t="str">
            <v>IBEWOUT</v>
          </cell>
          <cell r="F824" t="str">
            <v>47</v>
          </cell>
          <cell r="G824" t="str">
            <v>17</v>
          </cell>
          <cell r="H824">
            <v>0</v>
          </cell>
        </row>
        <row r="825">
          <cell r="B825">
            <v>6585</v>
          </cell>
          <cell r="C825" t="str">
            <v>Lindley; Jeffrey S</v>
          </cell>
          <cell r="D825" t="str">
            <v>1C</v>
          </cell>
          <cell r="E825" t="str">
            <v>IBEWOUT</v>
          </cell>
          <cell r="F825" t="str">
            <v>47</v>
          </cell>
          <cell r="G825" t="str">
            <v>16</v>
          </cell>
          <cell r="H825">
            <v>0</v>
          </cell>
        </row>
        <row r="826">
          <cell r="B826">
            <v>6586</v>
          </cell>
          <cell r="C826" t="str">
            <v>Livengood; Justin N.</v>
          </cell>
          <cell r="D826" t="str">
            <v>1C</v>
          </cell>
          <cell r="E826" t="str">
            <v>IBEWOUT</v>
          </cell>
          <cell r="F826" t="str">
            <v>47</v>
          </cell>
          <cell r="G826" t="str">
            <v>60</v>
          </cell>
          <cell r="H826">
            <v>0</v>
          </cell>
        </row>
        <row r="827">
          <cell r="B827">
            <v>6597</v>
          </cell>
          <cell r="C827" t="str">
            <v>LLamas; Oscar J.</v>
          </cell>
          <cell r="D827" t="str">
            <v>1C</v>
          </cell>
          <cell r="E827" t="str">
            <v>IBEWOUT</v>
          </cell>
          <cell r="F827" t="str">
            <v>47</v>
          </cell>
          <cell r="G827" t="str">
            <v>8</v>
          </cell>
          <cell r="H827">
            <v>0</v>
          </cell>
        </row>
        <row r="828">
          <cell r="B828">
            <v>6605</v>
          </cell>
          <cell r="C828" t="str">
            <v>Llorca; John D</v>
          </cell>
          <cell r="D828" t="str">
            <v>1C</v>
          </cell>
          <cell r="E828" t="str">
            <v>IBEWOUT</v>
          </cell>
          <cell r="F828" t="str">
            <v>47</v>
          </cell>
          <cell r="G828" t="str">
            <v>8</v>
          </cell>
          <cell r="H828">
            <v>0</v>
          </cell>
        </row>
        <row r="829">
          <cell r="B829">
            <v>6611</v>
          </cell>
          <cell r="C829" t="str">
            <v>Lock; Shane R</v>
          </cell>
          <cell r="D829" t="str">
            <v>1C</v>
          </cell>
          <cell r="E829" t="str">
            <v>IBEWOUT</v>
          </cell>
          <cell r="F829" t="str">
            <v>1245</v>
          </cell>
          <cell r="G829" t="str">
            <v>7</v>
          </cell>
          <cell r="H829">
            <v>0</v>
          </cell>
        </row>
        <row r="830">
          <cell r="B830">
            <v>6613</v>
          </cell>
          <cell r="C830" t="str">
            <v>Lougee; Thomas G</v>
          </cell>
          <cell r="D830" t="str">
            <v>1C</v>
          </cell>
          <cell r="E830" t="str">
            <v>IBEWOUT</v>
          </cell>
          <cell r="F830" t="str">
            <v>1245</v>
          </cell>
          <cell r="G830" t="str">
            <v>8</v>
          </cell>
          <cell r="H830">
            <v>0</v>
          </cell>
        </row>
        <row r="831">
          <cell r="B831">
            <v>6614</v>
          </cell>
          <cell r="C831" t="str">
            <v>Loera; Francisco</v>
          </cell>
          <cell r="D831" t="str">
            <v>1C</v>
          </cell>
          <cell r="E831" t="str">
            <v>IBEWOUT</v>
          </cell>
          <cell r="F831" t="str">
            <v>1245</v>
          </cell>
          <cell r="G831" t="str">
            <v>60</v>
          </cell>
          <cell r="H831">
            <v>0</v>
          </cell>
        </row>
        <row r="832">
          <cell r="B832">
            <v>6661</v>
          </cell>
          <cell r="C832" t="str">
            <v>Long; Scott A.</v>
          </cell>
          <cell r="D832" t="str">
            <v>1C</v>
          </cell>
          <cell r="E832" t="str">
            <v>IBEWOUT</v>
          </cell>
          <cell r="F832" t="str">
            <v>1245</v>
          </cell>
          <cell r="G832" t="str">
            <v>17</v>
          </cell>
          <cell r="H832">
            <v>0</v>
          </cell>
        </row>
        <row r="833">
          <cell r="B833">
            <v>6663</v>
          </cell>
          <cell r="C833" t="str">
            <v>Long; William K</v>
          </cell>
          <cell r="D833" t="str">
            <v>1C</v>
          </cell>
          <cell r="E833" t="str">
            <v>IBEWOUT</v>
          </cell>
          <cell r="F833" t="str">
            <v>47</v>
          </cell>
          <cell r="G833" t="str">
            <v>16</v>
          </cell>
          <cell r="H833">
            <v>0</v>
          </cell>
        </row>
        <row r="834">
          <cell r="B834">
            <v>6665</v>
          </cell>
          <cell r="C834" t="str">
            <v>Long; Gerald</v>
          </cell>
          <cell r="D834" t="str">
            <v>1C</v>
          </cell>
          <cell r="E834" t="str">
            <v>IBEWOUT</v>
          </cell>
          <cell r="F834" t="str">
            <v>611</v>
          </cell>
          <cell r="G834" t="str">
            <v>7</v>
          </cell>
          <cell r="H834">
            <v>0</v>
          </cell>
        </row>
        <row r="835">
          <cell r="B835">
            <v>6672</v>
          </cell>
          <cell r="C835" t="str">
            <v>Lopez; Hector M</v>
          </cell>
          <cell r="D835" t="str">
            <v>1C</v>
          </cell>
          <cell r="E835" t="str">
            <v>IBEWOUT</v>
          </cell>
          <cell r="F835" t="str">
            <v>1245</v>
          </cell>
          <cell r="G835" t="str">
            <v>13</v>
          </cell>
          <cell r="H835">
            <v>0</v>
          </cell>
        </row>
        <row r="836">
          <cell r="B836">
            <v>6674</v>
          </cell>
          <cell r="C836" t="str">
            <v>Longtin; Eric S</v>
          </cell>
          <cell r="D836" t="str">
            <v>1C</v>
          </cell>
          <cell r="E836" t="str">
            <v>IBEWOUT</v>
          </cell>
          <cell r="F836" t="str">
            <v>126</v>
          </cell>
          <cell r="G836" t="str">
            <v>8</v>
          </cell>
          <cell r="H836">
            <v>0</v>
          </cell>
        </row>
        <row r="837">
          <cell r="B837">
            <v>6675</v>
          </cell>
          <cell r="C837" t="str">
            <v>Longtin; Eric Z</v>
          </cell>
          <cell r="D837" t="str">
            <v>1C</v>
          </cell>
          <cell r="E837" t="str">
            <v>IBEWOUT</v>
          </cell>
          <cell r="F837" t="str">
            <v>126</v>
          </cell>
          <cell r="G837" t="str">
            <v>18</v>
          </cell>
          <cell r="H837">
            <v>0</v>
          </cell>
        </row>
        <row r="838">
          <cell r="B838">
            <v>6678</v>
          </cell>
          <cell r="C838" t="str">
            <v>Lopez; Joseph Kelly</v>
          </cell>
          <cell r="D838" t="str">
            <v>1C</v>
          </cell>
          <cell r="E838" t="str">
            <v>IBEWOUT</v>
          </cell>
          <cell r="F838" t="str">
            <v>769</v>
          </cell>
          <cell r="G838" t="str">
            <v>8</v>
          </cell>
          <cell r="H838">
            <v>0</v>
          </cell>
        </row>
        <row r="839">
          <cell r="B839">
            <v>6679</v>
          </cell>
          <cell r="C839" t="str">
            <v>Loomis; Jerald A</v>
          </cell>
          <cell r="D839" t="str">
            <v>1C</v>
          </cell>
          <cell r="E839" t="str">
            <v>IBEWOUT</v>
          </cell>
          <cell r="F839" t="str">
            <v>77</v>
          </cell>
          <cell r="G839" t="str">
            <v>8</v>
          </cell>
          <cell r="H839">
            <v>0</v>
          </cell>
        </row>
        <row r="840">
          <cell r="B840">
            <v>6702</v>
          </cell>
          <cell r="C840" t="str">
            <v>Love; David A</v>
          </cell>
          <cell r="D840" t="str">
            <v>1C</v>
          </cell>
          <cell r="E840" t="str">
            <v>IBEWOUT</v>
          </cell>
          <cell r="F840" t="str">
            <v>47</v>
          </cell>
          <cell r="G840" t="str">
            <v>8</v>
          </cell>
          <cell r="H840">
            <v>0</v>
          </cell>
        </row>
        <row r="841">
          <cell r="B841">
            <v>6703</v>
          </cell>
          <cell r="C841" t="str">
            <v>Lovelady; Brian B</v>
          </cell>
          <cell r="D841" t="str">
            <v>1C</v>
          </cell>
          <cell r="E841" t="str">
            <v>IBEWOUT</v>
          </cell>
          <cell r="F841" t="str">
            <v>1245</v>
          </cell>
          <cell r="G841" t="str">
            <v>60</v>
          </cell>
          <cell r="H841">
            <v>0</v>
          </cell>
        </row>
        <row r="842">
          <cell r="B842">
            <v>6706</v>
          </cell>
          <cell r="C842" t="str">
            <v>Loucks; Tammi Louise</v>
          </cell>
          <cell r="D842" t="str">
            <v>1C</v>
          </cell>
          <cell r="E842" t="str">
            <v/>
          </cell>
          <cell r="F842" t="str">
            <v/>
          </cell>
          <cell r="G842" t="str">
            <v/>
          </cell>
          <cell r="H842">
            <v>0</v>
          </cell>
        </row>
        <row r="843">
          <cell r="B843">
            <v>6711</v>
          </cell>
          <cell r="C843" t="str">
            <v>Lowerison; William David</v>
          </cell>
          <cell r="D843" t="str">
            <v>1</v>
          </cell>
          <cell r="E843" t="str">
            <v/>
          </cell>
          <cell r="F843" t="str">
            <v/>
          </cell>
          <cell r="G843" t="str">
            <v/>
          </cell>
          <cell r="H843">
            <v>0</v>
          </cell>
        </row>
        <row r="844">
          <cell r="B844">
            <v>6712</v>
          </cell>
          <cell r="C844" t="str">
            <v>Lucero; Dominic L</v>
          </cell>
          <cell r="D844" t="str">
            <v>1C</v>
          </cell>
          <cell r="E844" t="str">
            <v>IBEWOUT</v>
          </cell>
          <cell r="F844" t="str">
            <v>611</v>
          </cell>
          <cell r="G844" t="str">
            <v>12</v>
          </cell>
          <cell r="H844">
            <v>0</v>
          </cell>
        </row>
        <row r="845">
          <cell r="B845">
            <v>6725</v>
          </cell>
          <cell r="C845" t="str">
            <v>Loucks; Robert L.</v>
          </cell>
          <cell r="D845" t="str">
            <v>1C</v>
          </cell>
          <cell r="E845" t="str">
            <v/>
          </cell>
          <cell r="F845" t="str">
            <v/>
          </cell>
          <cell r="G845" t="str">
            <v/>
          </cell>
          <cell r="H845">
            <v>0</v>
          </cell>
        </row>
        <row r="846">
          <cell r="B846">
            <v>6729</v>
          </cell>
          <cell r="C846" t="str">
            <v>Lowen; Elijah S</v>
          </cell>
          <cell r="D846" t="str">
            <v>1C</v>
          </cell>
          <cell r="E846" t="str">
            <v>IBEWOUT</v>
          </cell>
          <cell r="F846" t="str">
            <v>160</v>
          </cell>
          <cell r="G846" t="str">
            <v>17</v>
          </cell>
          <cell r="H846">
            <v>0</v>
          </cell>
        </row>
        <row r="847">
          <cell r="B847">
            <v>6730</v>
          </cell>
          <cell r="C847" t="str">
            <v>Loya; James S.</v>
          </cell>
          <cell r="D847" t="str">
            <v>1C</v>
          </cell>
          <cell r="E847" t="str">
            <v>IBEWOUT</v>
          </cell>
          <cell r="F847" t="str">
            <v>47</v>
          </cell>
          <cell r="G847" t="str">
            <v>8</v>
          </cell>
          <cell r="H847">
            <v>0</v>
          </cell>
        </row>
        <row r="848">
          <cell r="B848">
            <v>6745</v>
          </cell>
          <cell r="C848" t="str">
            <v>Lynch; Andrew J.</v>
          </cell>
          <cell r="D848" t="str">
            <v>1C</v>
          </cell>
          <cell r="E848" t="str">
            <v>IBEWOUT</v>
          </cell>
          <cell r="F848" t="str">
            <v>77</v>
          </cell>
          <cell r="G848" t="str">
            <v>8</v>
          </cell>
          <cell r="H848">
            <v>0</v>
          </cell>
        </row>
        <row r="849">
          <cell r="B849">
            <v>6754</v>
          </cell>
          <cell r="C849" t="str">
            <v>Luiz; Brandon M</v>
          </cell>
          <cell r="D849" t="str">
            <v>1</v>
          </cell>
          <cell r="E849" t="str">
            <v>IBEWOUT</v>
          </cell>
          <cell r="F849" t="str">
            <v>1245</v>
          </cell>
          <cell r="G849" t="str">
            <v>11</v>
          </cell>
          <cell r="H849">
            <v>0</v>
          </cell>
        </row>
        <row r="850">
          <cell r="B850">
            <v>6915</v>
          </cell>
          <cell r="C850" t="str">
            <v>MacDonald; Lance GK</v>
          </cell>
          <cell r="D850" t="str">
            <v>1C</v>
          </cell>
          <cell r="E850" t="str">
            <v>IBEWOUT</v>
          </cell>
          <cell r="F850" t="str">
            <v>1245</v>
          </cell>
          <cell r="G850" t="str">
            <v>8</v>
          </cell>
          <cell r="H850">
            <v>0</v>
          </cell>
        </row>
        <row r="851">
          <cell r="B851">
            <v>6917</v>
          </cell>
          <cell r="C851" t="str">
            <v>MacKenzie; Austin M</v>
          </cell>
          <cell r="D851" t="str">
            <v>1</v>
          </cell>
          <cell r="E851" t="str">
            <v/>
          </cell>
          <cell r="F851" t="str">
            <v/>
          </cell>
          <cell r="G851" t="str">
            <v/>
          </cell>
          <cell r="H851">
            <v>1</v>
          </cell>
        </row>
        <row r="852">
          <cell r="B852">
            <v>6918</v>
          </cell>
          <cell r="C852" t="str">
            <v>MacKenzie; Amber</v>
          </cell>
          <cell r="D852" t="str">
            <v>1</v>
          </cell>
          <cell r="E852" t="str">
            <v/>
          </cell>
          <cell r="F852" t="str">
            <v/>
          </cell>
          <cell r="G852" t="str">
            <v/>
          </cell>
          <cell r="H852">
            <v>1</v>
          </cell>
        </row>
        <row r="853">
          <cell r="B853">
            <v>6919</v>
          </cell>
          <cell r="C853" t="str">
            <v>MacKenzie; Matt E.</v>
          </cell>
          <cell r="D853" t="str">
            <v>1</v>
          </cell>
          <cell r="E853" t="str">
            <v>IBEWOUT</v>
          </cell>
          <cell r="F853" t="str">
            <v>1245</v>
          </cell>
          <cell r="G853" t="str">
            <v>1</v>
          </cell>
          <cell r="H853">
            <v>1</v>
          </cell>
        </row>
        <row r="854">
          <cell r="B854">
            <v>6921</v>
          </cell>
          <cell r="C854" t="str">
            <v>Mackeprang; Jake R</v>
          </cell>
          <cell r="D854" t="str">
            <v>1C</v>
          </cell>
          <cell r="E854" t="str">
            <v>IBEWOUT</v>
          </cell>
          <cell r="F854" t="str">
            <v>160</v>
          </cell>
          <cell r="G854" t="str">
            <v>8</v>
          </cell>
          <cell r="H854">
            <v>0</v>
          </cell>
        </row>
        <row r="855">
          <cell r="B855">
            <v>6926</v>
          </cell>
          <cell r="C855" t="str">
            <v>MacMillan; Kandus WS</v>
          </cell>
          <cell r="D855" t="str">
            <v>1C</v>
          </cell>
          <cell r="E855" t="str">
            <v>IBEWOUT</v>
          </cell>
          <cell r="F855" t="str">
            <v>1245</v>
          </cell>
          <cell r="G855" t="str">
            <v>8</v>
          </cell>
          <cell r="H855">
            <v>0</v>
          </cell>
        </row>
        <row r="856">
          <cell r="B856">
            <v>6928</v>
          </cell>
          <cell r="C856" t="str">
            <v>Madden; Thomas P</v>
          </cell>
          <cell r="D856" t="str">
            <v>1C</v>
          </cell>
          <cell r="E856" t="str">
            <v>IBEWOUT</v>
          </cell>
          <cell r="F856" t="str">
            <v>1245</v>
          </cell>
          <cell r="G856" t="str">
            <v>8</v>
          </cell>
          <cell r="H856">
            <v>0</v>
          </cell>
        </row>
        <row r="857">
          <cell r="B857">
            <v>6929</v>
          </cell>
          <cell r="C857" t="str">
            <v>MacLauchlan; Robert D</v>
          </cell>
          <cell r="D857" t="str">
            <v>1</v>
          </cell>
          <cell r="E857" t="str">
            <v>IBEWOUT</v>
          </cell>
          <cell r="F857" t="str">
            <v>1245</v>
          </cell>
          <cell r="G857" t="str">
            <v>7</v>
          </cell>
          <cell r="H857">
            <v>1</v>
          </cell>
        </row>
        <row r="858">
          <cell r="B858">
            <v>6930</v>
          </cell>
          <cell r="C858" t="str">
            <v>Maes; Daniel T.</v>
          </cell>
          <cell r="D858" t="str">
            <v>1C</v>
          </cell>
          <cell r="E858" t="str">
            <v>IBEWOUT</v>
          </cell>
          <cell r="F858" t="str">
            <v>611</v>
          </cell>
          <cell r="G858" t="str">
            <v>14</v>
          </cell>
          <cell r="H858">
            <v>0</v>
          </cell>
        </row>
        <row r="859">
          <cell r="B859">
            <v>6931</v>
          </cell>
          <cell r="C859" t="str">
            <v>Madison; Nathaniel T</v>
          </cell>
          <cell r="D859" t="str">
            <v>1</v>
          </cell>
          <cell r="E859" t="str">
            <v>IBEWOUT</v>
          </cell>
          <cell r="F859" t="str">
            <v>47</v>
          </cell>
          <cell r="G859" t="str">
            <v>7</v>
          </cell>
          <cell r="H859">
            <v>0</v>
          </cell>
        </row>
        <row r="860">
          <cell r="B860">
            <v>6948</v>
          </cell>
          <cell r="C860" t="str">
            <v>Maier; Bailey M</v>
          </cell>
          <cell r="D860" t="str">
            <v>1C</v>
          </cell>
          <cell r="E860" t="str">
            <v/>
          </cell>
          <cell r="F860" t="str">
            <v/>
          </cell>
          <cell r="G860" t="str">
            <v/>
          </cell>
          <cell r="H860">
            <v>0</v>
          </cell>
        </row>
        <row r="861">
          <cell r="B861">
            <v>6981</v>
          </cell>
          <cell r="C861" t="str">
            <v>Malik; Zeeshan M</v>
          </cell>
          <cell r="D861" t="str">
            <v>1C</v>
          </cell>
          <cell r="E861" t="str">
            <v>IBEWOUT</v>
          </cell>
          <cell r="F861" t="str">
            <v>611</v>
          </cell>
          <cell r="G861" t="str">
            <v>16</v>
          </cell>
          <cell r="H861">
            <v>0</v>
          </cell>
        </row>
        <row r="862">
          <cell r="B862">
            <v>6983</v>
          </cell>
          <cell r="C862" t="str">
            <v>Mallory; Nick V.</v>
          </cell>
          <cell r="D862" t="str">
            <v>1C</v>
          </cell>
          <cell r="E862" t="str">
            <v>IBEWOUT</v>
          </cell>
          <cell r="F862" t="str">
            <v>769</v>
          </cell>
          <cell r="G862" t="str">
            <v>7</v>
          </cell>
          <cell r="H862">
            <v>0</v>
          </cell>
        </row>
        <row r="863">
          <cell r="B863">
            <v>6984</v>
          </cell>
          <cell r="C863" t="str">
            <v>Malloy; John M.</v>
          </cell>
          <cell r="D863" t="str">
            <v>1C</v>
          </cell>
          <cell r="E863" t="str">
            <v>IBEWOUT</v>
          </cell>
          <cell r="F863" t="str">
            <v>1049</v>
          </cell>
          <cell r="G863" t="str">
            <v>8</v>
          </cell>
          <cell r="H863">
            <v>0</v>
          </cell>
        </row>
        <row r="864">
          <cell r="B864">
            <v>6985</v>
          </cell>
          <cell r="C864" t="str">
            <v>Maloney; Thane C.</v>
          </cell>
          <cell r="D864" t="str">
            <v>1C</v>
          </cell>
          <cell r="E864" t="str">
            <v>IBEWOUT</v>
          </cell>
          <cell r="F864" t="str">
            <v>1245</v>
          </cell>
          <cell r="G864" t="str">
            <v>16</v>
          </cell>
          <cell r="H864">
            <v>0</v>
          </cell>
        </row>
        <row r="865">
          <cell r="B865">
            <v>6986</v>
          </cell>
          <cell r="C865" t="str">
            <v>Mann; Justin M</v>
          </cell>
          <cell r="D865" t="str">
            <v>1C</v>
          </cell>
          <cell r="E865" t="str">
            <v>IBEWOUT</v>
          </cell>
          <cell r="F865" t="str">
            <v>160</v>
          </cell>
          <cell r="G865" t="str">
            <v>8</v>
          </cell>
          <cell r="H865">
            <v>0</v>
          </cell>
        </row>
        <row r="866">
          <cell r="B866">
            <v>6987</v>
          </cell>
          <cell r="C866" t="str">
            <v>Manos; Michael J</v>
          </cell>
          <cell r="D866" t="str">
            <v>1C</v>
          </cell>
          <cell r="E866" t="str">
            <v>IBEWOUT</v>
          </cell>
          <cell r="F866" t="str">
            <v>769</v>
          </cell>
          <cell r="G866" t="str">
            <v>13</v>
          </cell>
          <cell r="H866">
            <v>0</v>
          </cell>
        </row>
        <row r="867">
          <cell r="B867">
            <v>6994</v>
          </cell>
          <cell r="C867" t="str">
            <v>Mantei; Kody J</v>
          </cell>
          <cell r="D867" t="str">
            <v>1C</v>
          </cell>
          <cell r="E867" t="str">
            <v>IBEWOUT</v>
          </cell>
          <cell r="F867" t="str">
            <v>126</v>
          </cell>
          <cell r="G867" t="str">
            <v>33</v>
          </cell>
          <cell r="H867">
            <v>0</v>
          </cell>
        </row>
        <row r="868">
          <cell r="B868">
            <v>6998</v>
          </cell>
          <cell r="C868" t="str">
            <v>Mardis; Johnathan D</v>
          </cell>
          <cell r="D868" t="str">
            <v>1</v>
          </cell>
          <cell r="E868" t="str">
            <v/>
          </cell>
          <cell r="F868" t="str">
            <v/>
          </cell>
          <cell r="G868" t="str">
            <v/>
          </cell>
          <cell r="H868">
            <v>0</v>
          </cell>
        </row>
        <row r="869">
          <cell r="B869">
            <v>7000</v>
          </cell>
          <cell r="C869" t="str">
            <v>March; Patrick D</v>
          </cell>
          <cell r="D869" t="str">
            <v>1C</v>
          </cell>
          <cell r="E869" t="str">
            <v>IBEWOUT</v>
          </cell>
          <cell r="F869" t="str">
            <v>1245</v>
          </cell>
          <cell r="G869" t="str">
            <v>8</v>
          </cell>
          <cell r="H869">
            <v>0</v>
          </cell>
        </row>
        <row r="870">
          <cell r="B870">
            <v>7008</v>
          </cell>
          <cell r="C870" t="str">
            <v>Marley; Kyle C</v>
          </cell>
          <cell r="D870" t="str">
            <v>1C</v>
          </cell>
          <cell r="E870" t="str">
            <v>IBEWOUT</v>
          </cell>
          <cell r="F870" t="str">
            <v>611</v>
          </cell>
          <cell r="G870" t="str">
            <v>15</v>
          </cell>
          <cell r="H870">
            <v>0</v>
          </cell>
        </row>
        <row r="871">
          <cell r="B871">
            <v>7009</v>
          </cell>
          <cell r="C871" t="str">
            <v>Martinez; Hector R.</v>
          </cell>
          <cell r="D871" t="str">
            <v>1C</v>
          </cell>
          <cell r="E871" t="str">
            <v>IBEWOUT</v>
          </cell>
          <cell r="F871" t="str">
            <v>47</v>
          </cell>
          <cell r="G871" t="str">
            <v>60</v>
          </cell>
          <cell r="H871">
            <v>0</v>
          </cell>
        </row>
        <row r="872">
          <cell r="B872">
            <v>7010</v>
          </cell>
          <cell r="C872" t="str">
            <v>Marquis; Phillip E</v>
          </cell>
          <cell r="D872" t="str">
            <v>1C</v>
          </cell>
          <cell r="E872" t="str">
            <v>IBEWOUT</v>
          </cell>
          <cell r="F872" t="str">
            <v>611</v>
          </cell>
          <cell r="G872" t="str">
            <v>8</v>
          </cell>
          <cell r="H872">
            <v>0</v>
          </cell>
        </row>
        <row r="873">
          <cell r="B873">
            <v>7012</v>
          </cell>
          <cell r="C873" t="str">
            <v>Martinez; Gilberto J</v>
          </cell>
          <cell r="D873" t="str">
            <v>1</v>
          </cell>
          <cell r="E873" t="str">
            <v>IBEWOUT</v>
          </cell>
          <cell r="F873" t="str">
            <v>611</v>
          </cell>
          <cell r="G873" t="str">
            <v>8</v>
          </cell>
          <cell r="H873">
            <v>0</v>
          </cell>
        </row>
        <row r="874">
          <cell r="B874">
            <v>7016</v>
          </cell>
          <cell r="C874" t="str">
            <v>Martin; Jason K.</v>
          </cell>
          <cell r="D874" t="str">
            <v>1C</v>
          </cell>
          <cell r="E874" t="str">
            <v>IBEWOUT</v>
          </cell>
          <cell r="F874" t="str">
            <v>1245</v>
          </cell>
          <cell r="G874" t="str">
            <v>8</v>
          </cell>
          <cell r="H874">
            <v>0</v>
          </cell>
        </row>
        <row r="875">
          <cell r="B875">
            <v>7017</v>
          </cell>
          <cell r="C875" t="str">
            <v>Martinez; Ruben Michael</v>
          </cell>
          <cell r="D875" t="str">
            <v>1C</v>
          </cell>
          <cell r="E875" t="str">
            <v/>
          </cell>
          <cell r="F875" t="str">
            <v/>
          </cell>
          <cell r="G875" t="str">
            <v/>
          </cell>
          <cell r="H875">
            <v>1</v>
          </cell>
        </row>
        <row r="876">
          <cell r="B876">
            <v>7019</v>
          </cell>
          <cell r="C876" t="str">
            <v>Martinez-Verela; Gerardo</v>
          </cell>
          <cell r="D876" t="str">
            <v>1C</v>
          </cell>
          <cell r="E876" t="str">
            <v>IBEWOUT</v>
          </cell>
          <cell r="F876" t="str">
            <v>1245</v>
          </cell>
          <cell r="G876" t="str">
            <v>13</v>
          </cell>
          <cell r="H876">
            <v>0</v>
          </cell>
        </row>
        <row r="877">
          <cell r="B877">
            <v>7021</v>
          </cell>
          <cell r="C877" t="str">
            <v>Marquez; Vincent A</v>
          </cell>
          <cell r="D877" t="str">
            <v>1C</v>
          </cell>
          <cell r="E877" t="str">
            <v>IBEWOUT</v>
          </cell>
          <cell r="F877" t="str">
            <v>611</v>
          </cell>
          <cell r="G877" t="str">
            <v>18</v>
          </cell>
          <cell r="H877">
            <v>0</v>
          </cell>
        </row>
        <row r="878">
          <cell r="B878">
            <v>7023</v>
          </cell>
          <cell r="C878" t="str">
            <v>Marvin; Kelly J</v>
          </cell>
          <cell r="D878" t="str">
            <v>1C</v>
          </cell>
          <cell r="E878" t="str">
            <v>IBEWOUT</v>
          </cell>
          <cell r="F878" t="str">
            <v>1245</v>
          </cell>
          <cell r="G878" t="str">
            <v>7</v>
          </cell>
          <cell r="H878">
            <v>0</v>
          </cell>
        </row>
        <row r="879">
          <cell r="B879">
            <v>7024</v>
          </cell>
          <cell r="C879" t="str">
            <v>Massiatte; Joseph B</v>
          </cell>
          <cell r="D879" t="str">
            <v>1C</v>
          </cell>
          <cell r="E879" t="str">
            <v>IBEWOUT</v>
          </cell>
          <cell r="F879" t="str">
            <v>769</v>
          </cell>
          <cell r="G879" t="str">
            <v>8</v>
          </cell>
          <cell r="H879">
            <v>0</v>
          </cell>
        </row>
        <row r="880">
          <cell r="B880">
            <v>7025</v>
          </cell>
          <cell r="C880" t="str">
            <v>Martin; Clyde Warren</v>
          </cell>
          <cell r="D880" t="str">
            <v>1</v>
          </cell>
          <cell r="E880" t="str">
            <v>IBEWOUT</v>
          </cell>
          <cell r="F880" t="str">
            <v>611</v>
          </cell>
          <cell r="G880" t="str">
            <v>8</v>
          </cell>
          <cell r="H880">
            <v>0</v>
          </cell>
        </row>
        <row r="881">
          <cell r="B881">
            <v>7026</v>
          </cell>
          <cell r="C881" t="str">
            <v>Massei; Anthony Joseph</v>
          </cell>
          <cell r="D881" t="str">
            <v>1C</v>
          </cell>
          <cell r="E881" t="str">
            <v/>
          </cell>
          <cell r="F881" t="str">
            <v/>
          </cell>
          <cell r="G881" t="str">
            <v/>
          </cell>
          <cell r="H881">
            <v>1</v>
          </cell>
        </row>
        <row r="882">
          <cell r="B882">
            <v>7027</v>
          </cell>
          <cell r="C882" t="str">
            <v>Marquez; Jorge</v>
          </cell>
          <cell r="D882" t="str">
            <v>1C</v>
          </cell>
          <cell r="E882" t="str">
            <v>IBEWOUT</v>
          </cell>
          <cell r="F882" t="str">
            <v>47</v>
          </cell>
          <cell r="G882" t="str">
            <v>15</v>
          </cell>
          <cell r="H882">
            <v>0</v>
          </cell>
        </row>
        <row r="883">
          <cell r="B883">
            <v>7031</v>
          </cell>
          <cell r="C883" t="str">
            <v>Martinez; Richard D.</v>
          </cell>
          <cell r="D883" t="str">
            <v>1C</v>
          </cell>
          <cell r="E883" t="str">
            <v>IBEWOUT</v>
          </cell>
          <cell r="F883" t="str">
            <v>611</v>
          </cell>
          <cell r="G883" t="str">
            <v>8</v>
          </cell>
          <cell r="H883">
            <v>0</v>
          </cell>
        </row>
        <row r="884">
          <cell r="B884">
            <v>7033</v>
          </cell>
          <cell r="C884" t="str">
            <v>Marunde; Adam R</v>
          </cell>
          <cell r="D884" t="str">
            <v>1</v>
          </cell>
          <cell r="E884" t="str">
            <v>IBEWOUT</v>
          </cell>
          <cell r="F884" t="str">
            <v>1245</v>
          </cell>
          <cell r="G884" t="str">
            <v>8</v>
          </cell>
          <cell r="H884">
            <v>0</v>
          </cell>
        </row>
        <row r="885">
          <cell r="B885">
            <v>7042</v>
          </cell>
          <cell r="C885" t="str">
            <v>Marshall III; Robert R</v>
          </cell>
          <cell r="D885" t="str">
            <v>1C</v>
          </cell>
          <cell r="E885" t="str">
            <v>IBEWOUT</v>
          </cell>
          <cell r="F885" t="str">
            <v>1245</v>
          </cell>
          <cell r="G885" t="str">
            <v>8</v>
          </cell>
          <cell r="H885">
            <v>0</v>
          </cell>
        </row>
        <row r="886">
          <cell r="B886">
            <v>7063</v>
          </cell>
          <cell r="C886" t="str">
            <v>Mata; Adam N.</v>
          </cell>
          <cell r="D886" t="str">
            <v>1</v>
          </cell>
          <cell r="E886" t="str">
            <v>IBEWOUT</v>
          </cell>
          <cell r="F886" t="str">
            <v>1245</v>
          </cell>
          <cell r="G886" t="str">
            <v>16</v>
          </cell>
          <cell r="H886">
            <v>1</v>
          </cell>
        </row>
        <row r="887">
          <cell r="B887">
            <v>7074</v>
          </cell>
          <cell r="C887" t="str">
            <v>Mayer; Donald Patrick</v>
          </cell>
          <cell r="D887" t="str">
            <v>1C</v>
          </cell>
          <cell r="E887" t="str">
            <v>IBEWOUT</v>
          </cell>
          <cell r="F887" t="str">
            <v>769</v>
          </cell>
          <cell r="G887" t="str">
            <v>8</v>
          </cell>
          <cell r="H887">
            <v>0</v>
          </cell>
        </row>
        <row r="888">
          <cell r="B888">
            <v>7081</v>
          </cell>
          <cell r="C888" t="str">
            <v>Martin; Ryan P</v>
          </cell>
          <cell r="D888" t="str">
            <v>1</v>
          </cell>
          <cell r="E888" t="str">
            <v>IBEWOUT</v>
          </cell>
          <cell r="F888" t="str">
            <v>47</v>
          </cell>
          <cell r="G888" t="str">
            <v>16</v>
          </cell>
          <cell r="H888">
            <v>0</v>
          </cell>
        </row>
        <row r="889">
          <cell r="B889">
            <v>7082</v>
          </cell>
          <cell r="C889" t="str">
            <v>Maryboy; Leo Harvey</v>
          </cell>
          <cell r="D889" t="str">
            <v>1C</v>
          </cell>
          <cell r="E889" t="str">
            <v>IBEWOUT</v>
          </cell>
          <cell r="F889" t="str">
            <v>47</v>
          </cell>
          <cell r="G889" t="str">
            <v>8</v>
          </cell>
          <cell r="H889">
            <v>0</v>
          </cell>
        </row>
        <row r="890">
          <cell r="B890">
            <v>7084</v>
          </cell>
          <cell r="C890" t="str">
            <v>Mathias; Shawn Bryan</v>
          </cell>
          <cell r="D890" t="str">
            <v>1C</v>
          </cell>
          <cell r="E890" t="str">
            <v>IBEWOUT</v>
          </cell>
          <cell r="F890" t="str">
            <v>77</v>
          </cell>
          <cell r="G890" t="str">
            <v>8</v>
          </cell>
          <cell r="H890">
            <v>0</v>
          </cell>
        </row>
        <row r="891">
          <cell r="B891">
            <v>7086</v>
          </cell>
          <cell r="C891" t="str">
            <v>Martinez; Edward</v>
          </cell>
          <cell r="D891" t="str">
            <v>1C</v>
          </cell>
          <cell r="E891" t="str">
            <v>IBEWOUT</v>
          </cell>
          <cell r="F891" t="str">
            <v>1245</v>
          </cell>
          <cell r="G891" t="str">
            <v>18</v>
          </cell>
          <cell r="H891">
            <v>0</v>
          </cell>
        </row>
        <row r="892">
          <cell r="B892">
            <v>7087</v>
          </cell>
          <cell r="C892" t="str">
            <v>Marsh; Jeffrey A</v>
          </cell>
          <cell r="D892" t="str">
            <v>1C</v>
          </cell>
          <cell r="E892" t="str">
            <v>IBEWOUT</v>
          </cell>
          <cell r="F892" t="str">
            <v>160</v>
          </cell>
          <cell r="G892" t="str">
            <v>8</v>
          </cell>
          <cell r="H892">
            <v>0</v>
          </cell>
        </row>
        <row r="893">
          <cell r="B893">
            <v>7088</v>
          </cell>
          <cell r="C893" t="str">
            <v>Dean; Marvin</v>
          </cell>
          <cell r="D893" t="str">
            <v>1C</v>
          </cell>
          <cell r="E893" t="str">
            <v>IBEWOUT</v>
          </cell>
          <cell r="F893" t="str">
            <v>47</v>
          </cell>
          <cell r="G893" t="str">
            <v>8</v>
          </cell>
          <cell r="H893">
            <v>0</v>
          </cell>
        </row>
        <row r="894">
          <cell r="B894">
            <v>7090</v>
          </cell>
          <cell r="C894" t="str">
            <v>Martinez; Eddie</v>
          </cell>
          <cell r="D894" t="str">
            <v>1C</v>
          </cell>
          <cell r="E894" t="str">
            <v>IBEWOUT</v>
          </cell>
          <cell r="F894" t="str">
            <v>47</v>
          </cell>
          <cell r="G894" t="str">
            <v>17</v>
          </cell>
          <cell r="H894">
            <v>0</v>
          </cell>
        </row>
        <row r="895">
          <cell r="B895">
            <v>7091</v>
          </cell>
          <cell r="C895" t="str">
            <v>Mawhinney; Matthew Perin</v>
          </cell>
          <cell r="D895" t="str">
            <v>1C</v>
          </cell>
          <cell r="E895" t="str">
            <v>IBEWOUT</v>
          </cell>
          <cell r="F895" t="str">
            <v>769</v>
          </cell>
          <cell r="G895" t="str">
            <v>8</v>
          </cell>
          <cell r="H895">
            <v>0</v>
          </cell>
        </row>
        <row r="896">
          <cell r="B896">
            <v>7097</v>
          </cell>
          <cell r="C896" t="str">
            <v>Martin; Patrick W</v>
          </cell>
          <cell r="D896" t="str">
            <v>1C</v>
          </cell>
          <cell r="E896" t="str">
            <v>IBEWOUT</v>
          </cell>
          <cell r="F896" t="str">
            <v>1245</v>
          </cell>
          <cell r="G896" t="str">
            <v>14</v>
          </cell>
          <cell r="H896">
            <v>0</v>
          </cell>
        </row>
        <row r="897">
          <cell r="B897">
            <v>7098</v>
          </cell>
          <cell r="C897" t="str">
            <v>Mazza; Bryan P</v>
          </cell>
          <cell r="D897" t="str">
            <v>1C</v>
          </cell>
          <cell r="E897" t="str">
            <v>IBEWOUT</v>
          </cell>
          <cell r="F897" t="str">
            <v>1245</v>
          </cell>
          <cell r="G897" t="str">
            <v>8</v>
          </cell>
          <cell r="H897">
            <v>0</v>
          </cell>
        </row>
        <row r="898">
          <cell r="B898">
            <v>7099</v>
          </cell>
          <cell r="C898" t="str">
            <v>Martin; Lucas D</v>
          </cell>
          <cell r="D898" t="str">
            <v>1C</v>
          </cell>
          <cell r="E898" t="str">
            <v>IBEWOUT</v>
          </cell>
          <cell r="F898" t="str">
            <v>47</v>
          </cell>
          <cell r="G898" t="str">
            <v>8</v>
          </cell>
          <cell r="H898">
            <v>0</v>
          </cell>
        </row>
        <row r="899">
          <cell r="B899">
            <v>7104</v>
          </cell>
          <cell r="C899" t="str">
            <v>Martinez; Domingo L</v>
          </cell>
          <cell r="D899" t="str">
            <v>1</v>
          </cell>
          <cell r="E899" t="str">
            <v>IBEWOUT</v>
          </cell>
          <cell r="F899" t="str">
            <v>1245</v>
          </cell>
          <cell r="G899" t="str">
            <v>8</v>
          </cell>
          <cell r="H899">
            <v>0</v>
          </cell>
        </row>
        <row r="900">
          <cell r="B900">
            <v>7256</v>
          </cell>
          <cell r="C900" t="str">
            <v>McBride; Joshua L.</v>
          </cell>
          <cell r="D900" t="str">
            <v>1</v>
          </cell>
          <cell r="E900" t="str">
            <v/>
          </cell>
          <cell r="F900" t="str">
            <v/>
          </cell>
          <cell r="G900" t="str">
            <v/>
          </cell>
          <cell r="H900">
            <v>1</v>
          </cell>
        </row>
        <row r="901">
          <cell r="B901">
            <v>7257</v>
          </cell>
          <cell r="C901" t="str">
            <v>McBride; Michael J.</v>
          </cell>
          <cell r="D901" t="str">
            <v>1</v>
          </cell>
          <cell r="E901" t="str">
            <v>IBEWOUT</v>
          </cell>
          <cell r="F901" t="str">
            <v>77</v>
          </cell>
          <cell r="G901" t="str">
            <v>7</v>
          </cell>
          <cell r="H901">
            <v>0</v>
          </cell>
        </row>
        <row r="902">
          <cell r="B902">
            <v>7269</v>
          </cell>
          <cell r="C902" t="str">
            <v>McClaflin; Barrett M</v>
          </cell>
          <cell r="D902" t="str">
            <v>1C</v>
          </cell>
          <cell r="E902" t="str">
            <v>IBEWOUT</v>
          </cell>
          <cell r="F902" t="str">
            <v>1245</v>
          </cell>
          <cell r="G902" t="str">
            <v>8</v>
          </cell>
          <cell r="H902">
            <v>0</v>
          </cell>
        </row>
        <row r="903">
          <cell r="B903">
            <v>7270</v>
          </cell>
          <cell r="C903" t="str">
            <v>McCarver; Shawn M.</v>
          </cell>
          <cell r="D903" t="str">
            <v>1C</v>
          </cell>
          <cell r="E903" t="str">
            <v>IBEWOUT</v>
          </cell>
          <cell r="F903" t="str">
            <v>611</v>
          </cell>
          <cell r="G903" t="str">
            <v>8</v>
          </cell>
          <cell r="H903">
            <v>0</v>
          </cell>
        </row>
        <row r="904">
          <cell r="B904">
            <v>7273</v>
          </cell>
          <cell r="C904" t="str">
            <v>McCarty; Christopher M</v>
          </cell>
          <cell r="D904" t="str">
            <v>1C</v>
          </cell>
          <cell r="E904" t="str">
            <v/>
          </cell>
          <cell r="F904" t="str">
            <v/>
          </cell>
          <cell r="G904" t="str">
            <v/>
          </cell>
          <cell r="H904">
            <v>1</v>
          </cell>
        </row>
        <row r="905">
          <cell r="B905">
            <v>7278</v>
          </cell>
          <cell r="C905" t="str">
            <v>McCool; Trent W</v>
          </cell>
          <cell r="D905" t="str">
            <v>1C</v>
          </cell>
          <cell r="E905" t="str">
            <v>IBEWOUT</v>
          </cell>
          <cell r="F905" t="str">
            <v>769</v>
          </cell>
          <cell r="G905" t="str">
            <v>8</v>
          </cell>
          <cell r="H905">
            <v>0</v>
          </cell>
        </row>
        <row r="906">
          <cell r="B906">
            <v>7284</v>
          </cell>
          <cell r="C906" t="str">
            <v>McCall; Daveion M</v>
          </cell>
          <cell r="D906" t="str">
            <v>1C</v>
          </cell>
          <cell r="E906" t="str">
            <v>IBEWOUT</v>
          </cell>
          <cell r="F906" t="str">
            <v>47</v>
          </cell>
          <cell r="G906" t="str">
            <v>14</v>
          </cell>
          <cell r="H906">
            <v>0</v>
          </cell>
        </row>
        <row r="907">
          <cell r="B907">
            <v>7292</v>
          </cell>
          <cell r="C907" t="str">
            <v>McClellan; John Clark</v>
          </cell>
          <cell r="D907" t="str">
            <v>1C</v>
          </cell>
          <cell r="E907" t="str">
            <v/>
          </cell>
          <cell r="F907" t="str">
            <v/>
          </cell>
          <cell r="G907" t="str">
            <v/>
          </cell>
          <cell r="H907">
            <v>1</v>
          </cell>
        </row>
        <row r="908">
          <cell r="B908">
            <v>7294</v>
          </cell>
          <cell r="C908" t="str">
            <v>McCloskey; Robert J</v>
          </cell>
          <cell r="D908" t="str">
            <v>1C</v>
          </cell>
          <cell r="E908" t="str">
            <v/>
          </cell>
          <cell r="F908" t="str">
            <v/>
          </cell>
          <cell r="G908" t="str">
            <v/>
          </cell>
          <cell r="H908">
            <v>0</v>
          </cell>
        </row>
        <row r="909">
          <cell r="B909">
            <v>7297</v>
          </cell>
          <cell r="C909" t="str">
            <v>McCormick; Tyler J</v>
          </cell>
          <cell r="D909" t="str">
            <v>1</v>
          </cell>
          <cell r="E909" t="str">
            <v>IBEWOUT</v>
          </cell>
          <cell r="F909" t="str">
            <v>769</v>
          </cell>
          <cell r="G909" t="str">
            <v>8</v>
          </cell>
          <cell r="H909">
            <v>0</v>
          </cell>
        </row>
        <row r="910">
          <cell r="B910">
            <v>7303</v>
          </cell>
          <cell r="C910" t="str">
            <v>McCullough; Michael J</v>
          </cell>
          <cell r="D910" t="str">
            <v>1</v>
          </cell>
          <cell r="E910" t="str">
            <v>IBEWOUT</v>
          </cell>
          <cell r="F910" t="str">
            <v>769</v>
          </cell>
          <cell r="G910" t="str">
            <v>10</v>
          </cell>
          <cell r="H910">
            <v>0</v>
          </cell>
        </row>
        <row r="911">
          <cell r="B911">
            <v>7324</v>
          </cell>
          <cell r="C911" t="str">
            <v>McElwain; Devin S</v>
          </cell>
          <cell r="D911" t="str">
            <v>1C</v>
          </cell>
          <cell r="E911" t="str">
            <v>IBEWOUT</v>
          </cell>
          <cell r="F911" t="str">
            <v>47</v>
          </cell>
          <cell r="G911" t="str">
            <v>16</v>
          </cell>
          <cell r="H911">
            <v>0</v>
          </cell>
        </row>
        <row r="912">
          <cell r="B912">
            <v>7346</v>
          </cell>
          <cell r="C912" t="str">
            <v>McKee; James J.</v>
          </cell>
          <cell r="D912" t="str">
            <v>1C</v>
          </cell>
          <cell r="E912" t="str">
            <v>IBEWOUT</v>
          </cell>
          <cell r="F912" t="str">
            <v>47</v>
          </cell>
          <cell r="G912" t="str">
            <v>7</v>
          </cell>
          <cell r="H912">
            <v>0</v>
          </cell>
        </row>
        <row r="913">
          <cell r="B913">
            <v>7347</v>
          </cell>
          <cell r="C913" t="str">
            <v>McKernan; Shane C</v>
          </cell>
          <cell r="D913" t="str">
            <v>1C</v>
          </cell>
          <cell r="E913" t="str">
            <v>IBEWOUT</v>
          </cell>
          <cell r="F913" t="str">
            <v>1319</v>
          </cell>
          <cell r="G913" t="str">
            <v>13</v>
          </cell>
          <cell r="H913">
            <v>0</v>
          </cell>
        </row>
        <row r="914">
          <cell r="B914">
            <v>7348</v>
          </cell>
          <cell r="C914" t="str">
            <v>McKenna; Thomas</v>
          </cell>
          <cell r="D914" t="str">
            <v>1C</v>
          </cell>
          <cell r="E914" t="str">
            <v>IBEWIN</v>
          </cell>
          <cell r="F914" t="str">
            <v>280</v>
          </cell>
          <cell r="G914" t="str">
            <v>62</v>
          </cell>
          <cell r="H914">
            <v>0</v>
          </cell>
        </row>
        <row r="915">
          <cell r="B915">
            <v>7349</v>
          </cell>
          <cell r="C915" t="str">
            <v>McKenna; James E</v>
          </cell>
          <cell r="D915" t="str">
            <v>1C</v>
          </cell>
          <cell r="E915" t="str">
            <v>IBEWOUT</v>
          </cell>
          <cell r="F915" t="str">
            <v>1245</v>
          </cell>
          <cell r="G915" t="str">
            <v>17</v>
          </cell>
          <cell r="H915">
            <v>0</v>
          </cell>
        </row>
        <row r="916">
          <cell r="B916">
            <v>7351</v>
          </cell>
          <cell r="C916" t="str">
            <v>McIlwain; Stanley</v>
          </cell>
          <cell r="D916" t="str">
            <v>1C</v>
          </cell>
          <cell r="E916" t="str">
            <v>IBEWOUT</v>
          </cell>
          <cell r="F916" t="str">
            <v>769</v>
          </cell>
          <cell r="G916" t="str">
            <v>8</v>
          </cell>
          <cell r="H916">
            <v>0</v>
          </cell>
        </row>
        <row r="917">
          <cell r="B917">
            <v>7360</v>
          </cell>
          <cell r="C917" t="str">
            <v>McGinnis; Michael J.</v>
          </cell>
          <cell r="D917" t="str">
            <v>1</v>
          </cell>
          <cell r="E917" t="str">
            <v/>
          </cell>
          <cell r="F917" t="str">
            <v/>
          </cell>
          <cell r="G917" t="str">
            <v/>
          </cell>
          <cell r="H917">
            <v>1</v>
          </cell>
        </row>
        <row r="918">
          <cell r="B918">
            <v>7361</v>
          </cell>
          <cell r="C918" t="str">
            <v>McHuen; Richard C</v>
          </cell>
          <cell r="D918" t="str">
            <v>1C</v>
          </cell>
          <cell r="E918" t="str">
            <v>IBEWOUT</v>
          </cell>
          <cell r="F918" t="str">
            <v>1245</v>
          </cell>
          <cell r="G918" t="str">
            <v>8</v>
          </cell>
          <cell r="H918">
            <v>0</v>
          </cell>
        </row>
        <row r="919">
          <cell r="B919">
            <v>7362</v>
          </cell>
          <cell r="C919" t="str">
            <v>McGinnis; Terry Scott</v>
          </cell>
          <cell r="D919" t="str">
            <v>1C</v>
          </cell>
          <cell r="E919" t="str">
            <v>IBEWOUT</v>
          </cell>
          <cell r="F919" t="str">
            <v>769</v>
          </cell>
          <cell r="G919" t="str">
            <v>20</v>
          </cell>
          <cell r="H919">
            <v>0</v>
          </cell>
        </row>
        <row r="920">
          <cell r="B920">
            <v>7364</v>
          </cell>
          <cell r="C920" t="str">
            <v>McIntire; Robert Joe</v>
          </cell>
          <cell r="D920" t="str">
            <v>1</v>
          </cell>
          <cell r="E920" t="str">
            <v>IBEWOUT</v>
          </cell>
          <cell r="F920" t="str">
            <v>47</v>
          </cell>
          <cell r="G920" t="str">
            <v>1</v>
          </cell>
          <cell r="H920">
            <v>1</v>
          </cell>
        </row>
        <row r="921">
          <cell r="B921">
            <v>7367</v>
          </cell>
          <cell r="C921" t="str">
            <v>McInnes; Charles B</v>
          </cell>
          <cell r="D921" t="str">
            <v>1</v>
          </cell>
          <cell r="E921" t="str">
            <v/>
          </cell>
          <cell r="F921" t="str">
            <v/>
          </cell>
          <cell r="G921" t="str">
            <v/>
          </cell>
          <cell r="H921">
            <v>0</v>
          </cell>
        </row>
        <row r="922">
          <cell r="B922">
            <v>7385</v>
          </cell>
          <cell r="C922" t="str">
            <v>McNally; Sean T</v>
          </cell>
          <cell r="D922" t="str">
            <v>1C</v>
          </cell>
          <cell r="E922" t="str">
            <v>IBEWOUT</v>
          </cell>
          <cell r="F922" t="str">
            <v>47</v>
          </cell>
          <cell r="G922" t="str">
            <v>8</v>
          </cell>
          <cell r="H922">
            <v>0</v>
          </cell>
        </row>
        <row r="923">
          <cell r="B923">
            <v>7388</v>
          </cell>
          <cell r="C923" t="str">
            <v>McNiven; Kirk F</v>
          </cell>
          <cell r="D923" t="str">
            <v>1C</v>
          </cell>
          <cell r="E923" t="str">
            <v>IBEWOUT</v>
          </cell>
          <cell r="F923" t="str">
            <v>1245</v>
          </cell>
          <cell r="G923" t="str">
            <v>8</v>
          </cell>
          <cell r="H923">
            <v>0</v>
          </cell>
        </row>
        <row r="924">
          <cell r="B924">
            <v>7390</v>
          </cell>
          <cell r="C924" t="str">
            <v>McManus; Jessie E</v>
          </cell>
          <cell r="D924" t="str">
            <v>1C</v>
          </cell>
          <cell r="E924" t="str">
            <v>IBEWOUT</v>
          </cell>
          <cell r="F924" t="str">
            <v>1245</v>
          </cell>
          <cell r="G924" t="str">
            <v>9</v>
          </cell>
          <cell r="H924">
            <v>0</v>
          </cell>
        </row>
        <row r="925">
          <cell r="B925">
            <v>7391</v>
          </cell>
          <cell r="C925" t="str">
            <v>McPhail; Matthew P</v>
          </cell>
          <cell r="D925" t="str">
            <v>1C</v>
          </cell>
          <cell r="E925" t="str">
            <v>IBEWOUT</v>
          </cell>
          <cell r="F925" t="str">
            <v>1245</v>
          </cell>
          <cell r="G925" t="str">
            <v>8</v>
          </cell>
          <cell r="H925">
            <v>0</v>
          </cell>
        </row>
        <row r="926">
          <cell r="B926">
            <v>7392</v>
          </cell>
          <cell r="C926" t="str">
            <v>McKinley; Don R</v>
          </cell>
          <cell r="D926" t="str">
            <v>1</v>
          </cell>
          <cell r="E926" t="str">
            <v>IBEWOUT</v>
          </cell>
          <cell r="F926" t="str">
            <v>47</v>
          </cell>
          <cell r="G926" t="str">
            <v>7</v>
          </cell>
          <cell r="H926">
            <v>0</v>
          </cell>
        </row>
        <row r="927">
          <cell r="B927">
            <v>7393</v>
          </cell>
          <cell r="C927" t="str">
            <v>McKinnon; Colter Allen</v>
          </cell>
          <cell r="D927" t="str">
            <v>1</v>
          </cell>
          <cell r="E927" t="str">
            <v>IBEWOUT</v>
          </cell>
          <cell r="F927" t="str">
            <v>77</v>
          </cell>
          <cell r="G927" t="str">
            <v>13</v>
          </cell>
          <cell r="H927">
            <v>0</v>
          </cell>
        </row>
        <row r="928">
          <cell r="B928">
            <v>7394</v>
          </cell>
          <cell r="C928" t="str">
            <v>McPherson; Martin L</v>
          </cell>
          <cell r="D928" t="str">
            <v>1C</v>
          </cell>
          <cell r="E928" t="str">
            <v/>
          </cell>
          <cell r="F928" t="str">
            <v/>
          </cell>
          <cell r="G928" t="str">
            <v/>
          </cell>
          <cell r="H928">
            <v>0</v>
          </cell>
        </row>
        <row r="929">
          <cell r="B929">
            <v>7399</v>
          </cell>
          <cell r="C929" t="str">
            <v>McMorrow; Christopher R.</v>
          </cell>
          <cell r="D929" t="str">
            <v>1</v>
          </cell>
          <cell r="E929" t="str">
            <v>IBEWOUT</v>
          </cell>
          <cell r="F929" t="str">
            <v>77</v>
          </cell>
          <cell r="G929" t="str">
            <v>9</v>
          </cell>
          <cell r="H929">
            <v>0</v>
          </cell>
        </row>
        <row r="930">
          <cell r="B930">
            <v>7450</v>
          </cell>
          <cell r="C930" t="str">
            <v>McWhorter II; Gary R</v>
          </cell>
          <cell r="D930" t="str">
            <v>1C</v>
          </cell>
          <cell r="E930" t="str">
            <v>IBEWOUT</v>
          </cell>
          <cell r="F930" t="str">
            <v>769</v>
          </cell>
          <cell r="G930" t="str">
            <v>8</v>
          </cell>
          <cell r="H930">
            <v>0</v>
          </cell>
        </row>
        <row r="931">
          <cell r="B931">
            <v>7475</v>
          </cell>
          <cell r="C931" t="str">
            <v>Medina; Juan M</v>
          </cell>
          <cell r="D931" t="str">
            <v>1</v>
          </cell>
          <cell r="E931" t="str">
            <v/>
          </cell>
          <cell r="F931" t="str">
            <v/>
          </cell>
          <cell r="G931" t="str">
            <v/>
          </cell>
          <cell r="H931">
            <v>0</v>
          </cell>
        </row>
        <row r="932">
          <cell r="B932">
            <v>7477</v>
          </cell>
          <cell r="C932" t="str">
            <v>Medrano; Uriel A</v>
          </cell>
          <cell r="D932" t="str">
            <v>1C</v>
          </cell>
          <cell r="E932" t="str">
            <v>IBEWOUT</v>
          </cell>
          <cell r="F932" t="str">
            <v>77</v>
          </cell>
          <cell r="G932" t="str">
            <v>8</v>
          </cell>
          <cell r="H932">
            <v>0</v>
          </cell>
        </row>
        <row r="933">
          <cell r="B933">
            <v>7481</v>
          </cell>
          <cell r="C933" t="str">
            <v>Meeks; Terry N</v>
          </cell>
          <cell r="D933" t="str">
            <v>1C</v>
          </cell>
          <cell r="E933" t="str">
            <v>IBEWOUT</v>
          </cell>
          <cell r="F933" t="str">
            <v>602R</v>
          </cell>
          <cell r="G933" t="str">
            <v>8</v>
          </cell>
          <cell r="H933">
            <v>0</v>
          </cell>
        </row>
        <row r="934">
          <cell r="B934">
            <v>7488</v>
          </cell>
          <cell r="C934" t="str">
            <v>Merritt; Bryan Thomas</v>
          </cell>
          <cell r="D934" t="str">
            <v>1C</v>
          </cell>
          <cell r="E934" t="str">
            <v>IBEWOUT</v>
          </cell>
          <cell r="F934" t="str">
            <v>769</v>
          </cell>
          <cell r="G934" t="str">
            <v>22</v>
          </cell>
          <cell r="H934">
            <v>0</v>
          </cell>
        </row>
        <row r="935">
          <cell r="B935">
            <v>7489</v>
          </cell>
          <cell r="C935" t="str">
            <v>Melanson; Peter E</v>
          </cell>
          <cell r="D935" t="str">
            <v>1C</v>
          </cell>
          <cell r="E935" t="str">
            <v>IBEWOUT</v>
          </cell>
          <cell r="F935" t="str">
            <v>1049</v>
          </cell>
          <cell r="G935" t="str">
            <v>7</v>
          </cell>
          <cell r="H935">
            <v>0</v>
          </cell>
        </row>
        <row r="936">
          <cell r="B936">
            <v>7490</v>
          </cell>
          <cell r="C936" t="str">
            <v>Meyer; Kristopher A</v>
          </cell>
          <cell r="D936" t="str">
            <v>1C</v>
          </cell>
          <cell r="E936" t="str">
            <v>IBEWOUT</v>
          </cell>
          <cell r="F936" t="str">
            <v>611</v>
          </cell>
          <cell r="G936" t="str">
            <v>18</v>
          </cell>
          <cell r="H936">
            <v>0</v>
          </cell>
        </row>
        <row r="937">
          <cell r="B937">
            <v>7492</v>
          </cell>
          <cell r="C937" t="str">
            <v>Mejia; Armando T</v>
          </cell>
          <cell r="D937" t="str">
            <v>1C</v>
          </cell>
          <cell r="E937" t="str">
            <v>IBEWOUT</v>
          </cell>
          <cell r="F937" t="str">
            <v>47</v>
          </cell>
          <cell r="G937" t="str">
            <v>17</v>
          </cell>
          <cell r="H937">
            <v>0</v>
          </cell>
        </row>
        <row r="938">
          <cell r="B938">
            <v>7497</v>
          </cell>
          <cell r="C938" t="str">
            <v>Mendez; Richard M</v>
          </cell>
          <cell r="D938" t="str">
            <v>1C</v>
          </cell>
          <cell r="E938" t="str">
            <v>IBEWOUT</v>
          </cell>
          <cell r="F938" t="str">
            <v>611</v>
          </cell>
          <cell r="G938" t="str">
            <v>14</v>
          </cell>
          <cell r="H938">
            <v>0</v>
          </cell>
        </row>
        <row r="939">
          <cell r="B939">
            <v>7498</v>
          </cell>
          <cell r="C939" t="str">
            <v>Mendoza; Felipe A</v>
          </cell>
          <cell r="D939" t="str">
            <v>1C</v>
          </cell>
          <cell r="E939" t="str">
            <v>IBEWOUT</v>
          </cell>
          <cell r="F939" t="str">
            <v>1245</v>
          </cell>
          <cell r="G939" t="str">
            <v>7</v>
          </cell>
          <cell r="H939">
            <v>0</v>
          </cell>
        </row>
        <row r="940">
          <cell r="B940">
            <v>7508</v>
          </cell>
          <cell r="C940" t="str">
            <v>Meek; Robert F.</v>
          </cell>
          <cell r="D940" t="str">
            <v>1</v>
          </cell>
          <cell r="E940" t="str">
            <v/>
          </cell>
          <cell r="F940" t="str">
            <v/>
          </cell>
          <cell r="G940" t="str">
            <v/>
          </cell>
          <cell r="H940">
            <v>1</v>
          </cell>
        </row>
        <row r="941">
          <cell r="B941">
            <v>7509</v>
          </cell>
          <cell r="C941" t="str">
            <v>Merlino; Philip M</v>
          </cell>
          <cell r="D941" t="str">
            <v>1C</v>
          </cell>
          <cell r="E941" t="str">
            <v>IBEWOUT</v>
          </cell>
          <cell r="F941" t="str">
            <v>47</v>
          </cell>
          <cell r="G941" t="str">
            <v>8</v>
          </cell>
          <cell r="H941">
            <v>0</v>
          </cell>
        </row>
        <row r="942">
          <cell r="B942">
            <v>7511</v>
          </cell>
          <cell r="C942" t="str">
            <v>Rojas Merino; Reynier</v>
          </cell>
          <cell r="D942" t="str">
            <v>1C</v>
          </cell>
          <cell r="E942" t="str">
            <v>IBEWOUT</v>
          </cell>
          <cell r="F942" t="str">
            <v>1245</v>
          </cell>
          <cell r="G942" t="str">
            <v>8</v>
          </cell>
          <cell r="H942">
            <v>0</v>
          </cell>
        </row>
        <row r="943">
          <cell r="B943">
            <v>7530</v>
          </cell>
          <cell r="C943" t="str">
            <v>Mendoza; Christopher G</v>
          </cell>
          <cell r="D943" t="str">
            <v>1C</v>
          </cell>
          <cell r="E943" t="str">
            <v>IBEWOUT</v>
          </cell>
          <cell r="F943" t="str">
            <v>769</v>
          </cell>
          <cell r="G943" t="str">
            <v>9</v>
          </cell>
          <cell r="H943">
            <v>0</v>
          </cell>
        </row>
        <row r="944">
          <cell r="B944">
            <v>7536</v>
          </cell>
          <cell r="C944" t="str">
            <v>Myklejord; Vance D</v>
          </cell>
          <cell r="D944" t="str">
            <v>1C</v>
          </cell>
          <cell r="E944" t="str">
            <v>IBEWOUT</v>
          </cell>
          <cell r="F944" t="str">
            <v>160</v>
          </cell>
          <cell r="G944" t="str">
            <v>22</v>
          </cell>
          <cell r="H944">
            <v>0</v>
          </cell>
        </row>
        <row r="945">
          <cell r="B945">
            <v>7537</v>
          </cell>
          <cell r="C945" t="str">
            <v>Mickelsen; Matthew R</v>
          </cell>
          <cell r="D945" t="str">
            <v>1C</v>
          </cell>
          <cell r="E945" t="str">
            <v>IBEWOUT</v>
          </cell>
          <cell r="F945" t="str">
            <v>1245</v>
          </cell>
          <cell r="G945" t="str">
            <v>14</v>
          </cell>
          <cell r="H945">
            <v>0</v>
          </cell>
        </row>
        <row r="946">
          <cell r="B946">
            <v>7539</v>
          </cell>
          <cell r="C946" t="str">
            <v>Mendoza; Mathew B</v>
          </cell>
          <cell r="D946" t="str">
            <v>1</v>
          </cell>
          <cell r="E946" t="str">
            <v>IBEWOUT</v>
          </cell>
          <cell r="F946" t="str">
            <v>47</v>
          </cell>
          <cell r="G946" t="str">
            <v>17</v>
          </cell>
          <cell r="H946">
            <v>0</v>
          </cell>
        </row>
        <row r="947">
          <cell r="B947">
            <v>7549</v>
          </cell>
          <cell r="C947" t="str">
            <v>Miller; Dustin W</v>
          </cell>
          <cell r="D947" t="str">
            <v>1C</v>
          </cell>
          <cell r="E947" t="str">
            <v>IBEWOUT</v>
          </cell>
          <cell r="F947" t="str">
            <v>769</v>
          </cell>
          <cell r="G947" t="str">
            <v>22</v>
          </cell>
          <cell r="H947">
            <v>0</v>
          </cell>
        </row>
        <row r="948">
          <cell r="B948">
            <v>7551</v>
          </cell>
          <cell r="C948" t="str">
            <v>Miller; Jeremiah David</v>
          </cell>
          <cell r="D948" t="str">
            <v>1C</v>
          </cell>
          <cell r="E948" t="str">
            <v>IBEWOUT</v>
          </cell>
          <cell r="F948" t="str">
            <v>1245</v>
          </cell>
          <cell r="G948" t="str">
            <v>8</v>
          </cell>
          <cell r="H948">
            <v>0</v>
          </cell>
        </row>
        <row r="949">
          <cell r="B949">
            <v>7552</v>
          </cell>
          <cell r="C949" t="str">
            <v>Miller; Casey S</v>
          </cell>
          <cell r="D949" t="str">
            <v>1</v>
          </cell>
          <cell r="E949" t="str">
            <v/>
          </cell>
          <cell r="F949" t="str">
            <v/>
          </cell>
          <cell r="G949" t="str">
            <v/>
          </cell>
          <cell r="H949">
            <v>0</v>
          </cell>
        </row>
        <row r="950">
          <cell r="B950">
            <v>7564</v>
          </cell>
          <cell r="C950" t="str">
            <v>Mitcham; Kenneth Christopher</v>
          </cell>
          <cell r="D950" t="str">
            <v>1</v>
          </cell>
          <cell r="E950" t="str">
            <v>IBEWOUT</v>
          </cell>
          <cell r="F950" t="str">
            <v>769</v>
          </cell>
          <cell r="G950" t="str">
            <v>7</v>
          </cell>
          <cell r="H950">
            <v>0</v>
          </cell>
        </row>
        <row r="951">
          <cell r="B951">
            <v>7568</v>
          </cell>
          <cell r="C951" t="str">
            <v>Miller; Justin</v>
          </cell>
          <cell r="D951" t="str">
            <v>1C</v>
          </cell>
          <cell r="E951" t="str">
            <v>IBEWOUT</v>
          </cell>
          <cell r="F951" t="str">
            <v>769</v>
          </cell>
          <cell r="G951" t="str">
            <v>8</v>
          </cell>
          <cell r="H951">
            <v>0</v>
          </cell>
        </row>
        <row r="952">
          <cell r="B952">
            <v>7573</v>
          </cell>
          <cell r="C952" t="str">
            <v>Mirick; Quinn J</v>
          </cell>
          <cell r="D952" t="str">
            <v>1C</v>
          </cell>
          <cell r="E952" t="str">
            <v>IBEWOUT</v>
          </cell>
          <cell r="F952" t="str">
            <v>125</v>
          </cell>
          <cell r="G952" t="str">
            <v>13</v>
          </cell>
          <cell r="H952">
            <v>0</v>
          </cell>
        </row>
        <row r="953">
          <cell r="B953">
            <v>7579</v>
          </cell>
          <cell r="C953" t="str">
            <v>Mijal; Maxwell L</v>
          </cell>
          <cell r="D953" t="str">
            <v>1C</v>
          </cell>
          <cell r="E953" t="str">
            <v>IBEWOUT</v>
          </cell>
          <cell r="F953" t="str">
            <v>1319</v>
          </cell>
          <cell r="G953" t="str">
            <v>12</v>
          </cell>
          <cell r="H953">
            <v>0</v>
          </cell>
        </row>
        <row r="954">
          <cell r="B954">
            <v>7583</v>
          </cell>
          <cell r="C954" t="str">
            <v>Minor; Laurence Tipton</v>
          </cell>
          <cell r="D954" t="str">
            <v>1C</v>
          </cell>
          <cell r="E954" t="str">
            <v>IBEWOUT</v>
          </cell>
          <cell r="F954" t="str">
            <v>769</v>
          </cell>
          <cell r="G954" t="str">
            <v>20</v>
          </cell>
          <cell r="H954">
            <v>0</v>
          </cell>
        </row>
        <row r="955">
          <cell r="B955">
            <v>7588</v>
          </cell>
          <cell r="C955" t="str">
            <v>Miller; Ronald I</v>
          </cell>
          <cell r="D955" t="str">
            <v>1C</v>
          </cell>
          <cell r="E955" t="str">
            <v>IBEWOUT</v>
          </cell>
          <cell r="F955" t="str">
            <v>126</v>
          </cell>
          <cell r="G955" t="str">
            <v>16</v>
          </cell>
          <cell r="H955">
            <v>0</v>
          </cell>
        </row>
        <row r="956">
          <cell r="B956">
            <v>7590</v>
          </cell>
          <cell r="C956" t="str">
            <v>Mills; Daniel K</v>
          </cell>
          <cell r="D956" t="str">
            <v>1C</v>
          </cell>
          <cell r="E956" t="str">
            <v>IBEWOUT</v>
          </cell>
          <cell r="F956" t="str">
            <v>1245</v>
          </cell>
          <cell r="G956" t="str">
            <v>8</v>
          </cell>
          <cell r="H956">
            <v>0</v>
          </cell>
        </row>
        <row r="957">
          <cell r="B957">
            <v>7593</v>
          </cell>
          <cell r="C957" t="str">
            <v>Mkrtchyan; Joseph J</v>
          </cell>
          <cell r="D957" t="str">
            <v>1C</v>
          </cell>
          <cell r="E957" t="str">
            <v>IBEWOUT</v>
          </cell>
          <cell r="F957" t="str">
            <v>1245</v>
          </cell>
          <cell r="G957" t="str">
            <v>12</v>
          </cell>
          <cell r="H957">
            <v>0</v>
          </cell>
        </row>
        <row r="958">
          <cell r="B958">
            <v>7678</v>
          </cell>
          <cell r="C958" t="str">
            <v>Mogensen; Royce M</v>
          </cell>
          <cell r="D958" t="str">
            <v>1C</v>
          </cell>
          <cell r="E958" t="str">
            <v>IBEWOUT</v>
          </cell>
          <cell r="F958" t="str">
            <v>47</v>
          </cell>
          <cell r="G958" t="str">
            <v>8</v>
          </cell>
          <cell r="H958">
            <v>0</v>
          </cell>
        </row>
        <row r="959">
          <cell r="B959">
            <v>7679</v>
          </cell>
          <cell r="C959" t="str">
            <v>Mohr; Shawn L</v>
          </cell>
          <cell r="D959" t="str">
            <v>1C</v>
          </cell>
          <cell r="E959" t="str">
            <v>IBEWOUT</v>
          </cell>
          <cell r="F959" t="str">
            <v>1245</v>
          </cell>
          <cell r="G959" t="str">
            <v>12</v>
          </cell>
          <cell r="H959">
            <v>0</v>
          </cell>
        </row>
        <row r="960">
          <cell r="B960">
            <v>7680</v>
          </cell>
          <cell r="C960" t="str">
            <v>Mohamed; Jamil F.</v>
          </cell>
          <cell r="D960" t="str">
            <v>1C</v>
          </cell>
          <cell r="E960" t="str">
            <v>IBEWOUT</v>
          </cell>
          <cell r="F960" t="str">
            <v>1245</v>
          </cell>
          <cell r="G960" t="str">
            <v>60</v>
          </cell>
          <cell r="H960">
            <v>0</v>
          </cell>
        </row>
        <row r="961">
          <cell r="B961">
            <v>7685</v>
          </cell>
          <cell r="C961" t="str">
            <v>Molina; Manuel B</v>
          </cell>
          <cell r="D961" t="str">
            <v>1C</v>
          </cell>
          <cell r="E961" t="str">
            <v>IBEWOUT</v>
          </cell>
          <cell r="F961" t="str">
            <v>47</v>
          </cell>
          <cell r="G961" t="str">
            <v>16</v>
          </cell>
          <cell r="H961">
            <v>0</v>
          </cell>
        </row>
        <row r="962">
          <cell r="B962">
            <v>7697</v>
          </cell>
          <cell r="C962" t="str">
            <v>Montanelli; Ryan D</v>
          </cell>
          <cell r="D962" t="str">
            <v>1C</v>
          </cell>
          <cell r="E962" t="str">
            <v>IBEWOUT</v>
          </cell>
          <cell r="F962" t="str">
            <v>602R</v>
          </cell>
          <cell r="G962" t="str">
            <v>14T</v>
          </cell>
          <cell r="H962">
            <v>0</v>
          </cell>
        </row>
        <row r="963">
          <cell r="B963">
            <v>7699</v>
          </cell>
          <cell r="C963" t="str">
            <v>Monti; Kevin E.</v>
          </cell>
          <cell r="D963" t="str">
            <v>1C</v>
          </cell>
          <cell r="E963" t="str">
            <v>IBEWOUT</v>
          </cell>
          <cell r="F963" t="str">
            <v>47</v>
          </cell>
          <cell r="G963" t="str">
            <v>8</v>
          </cell>
          <cell r="H963">
            <v>0</v>
          </cell>
        </row>
        <row r="964">
          <cell r="B964">
            <v>7700</v>
          </cell>
          <cell r="C964" t="str">
            <v>Montgomery; Tenny</v>
          </cell>
          <cell r="D964" t="str">
            <v>1C</v>
          </cell>
          <cell r="E964" t="str">
            <v/>
          </cell>
          <cell r="F964" t="str">
            <v/>
          </cell>
          <cell r="G964" t="str">
            <v/>
          </cell>
          <cell r="H964">
            <v>0</v>
          </cell>
        </row>
        <row r="965">
          <cell r="B965">
            <v>7734</v>
          </cell>
          <cell r="C965" t="str">
            <v>Moody; Collin J</v>
          </cell>
          <cell r="D965" t="str">
            <v>1</v>
          </cell>
          <cell r="E965" t="str">
            <v>IBEWOUT</v>
          </cell>
          <cell r="F965" t="str">
            <v>77</v>
          </cell>
          <cell r="G965" t="str">
            <v>9</v>
          </cell>
          <cell r="H965">
            <v>0</v>
          </cell>
        </row>
        <row r="966">
          <cell r="B966">
            <v>7738</v>
          </cell>
          <cell r="C966" t="str">
            <v>Moody; Bryan Edward</v>
          </cell>
          <cell r="D966" t="str">
            <v>1</v>
          </cell>
          <cell r="E966" t="str">
            <v>IBEWOUT</v>
          </cell>
          <cell r="F966" t="str">
            <v>77</v>
          </cell>
          <cell r="G966" t="str">
            <v>1</v>
          </cell>
          <cell r="H966">
            <v>1</v>
          </cell>
        </row>
        <row r="967">
          <cell r="B967">
            <v>7740</v>
          </cell>
          <cell r="C967" t="str">
            <v>Moore; Elmer L.</v>
          </cell>
          <cell r="D967" t="str">
            <v>1C</v>
          </cell>
          <cell r="E967" t="str">
            <v>IBEWOUT</v>
          </cell>
          <cell r="F967" t="str">
            <v>47</v>
          </cell>
          <cell r="G967" t="str">
            <v>8</v>
          </cell>
          <cell r="H967">
            <v>0</v>
          </cell>
        </row>
        <row r="968">
          <cell r="B968">
            <v>7741</v>
          </cell>
          <cell r="C968" t="str">
            <v>Moore; George E</v>
          </cell>
          <cell r="D968" t="str">
            <v>1C</v>
          </cell>
          <cell r="E968" t="str">
            <v>IBEWOUT</v>
          </cell>
          <cell r="F968" t="str">
            <v>1245</v>
          </cell>
          <cell r="G968" t="str">
            <v>14</v>
          </cell>
          <cell r="H968">
            <v>0</v>
          </cell>
        </row>
        <row r="969">
          <cell r="B969">
            <v>7753</v>
          </cell>
          <cell r="C969" t="str">
            <v>Moore; John Edward</v>
          </cell>
          <cell r="D969" t="str">
            <v>1C</v>
          </cell>
          <cell r="E969" t="str">
            <v>IBEWOUT</v>
          </cell>
          <cell r="F969" t="str">
            <v>77</v>
          </cell>
          <cell r="G969" t="str">
            <v>16</v>
          </cell>
          <cell r="H969">
            <v>0</v>
          </cell>
        </row>
        <row r="970">
          <cell r="B970">
            <v>7754</v>
          </cell>
          <cell r="C970" t="str">
            <v>Moore; Corey S</v>
          </cell>
          <cell r="D970" t="str">
            <v>1C</v>
          </cell>
          <cell r="E970" t="str">
            <v/>
          </cell>
          <cell r="F970" t="str">
            <v/>
          </cell>
          <cell r="G970" t="str">
            <v/>
          </cell>
          <cell r="H970">
            <v>1</v>
          </cell>
        </row>
        <row r="971">
          <cell r="B971">
            <v>7757</v>
          </cell>
          <cell r="C971" t="str">
            <v>Moore; Stephen W.</v>
          </cell>
          <cell r="D971" t="str">
            <v>1C</v>
          </cell>
          <cell r="E971" t="str">
            <v>IBEWOUT</v>
          </cell>
          <cell r="F971" t="str">
            <v>1245</v>
          </cell>
          <cell r="G971" t="str">
            <v>8</v>
          </cell>
          <cell r="H971">
            <v>0</v>
          </cell>
        </row>
        <row r="972">
          <cell r="B972">
            <v>7759</v>
          </cell>
          <cell r="C972" t="str">
            <v>Moore; Timothy B</v>
          </cell>
          <cell r="D972" t="str">
            <v>1C</v>
          </cell>
          <cell r="E972" t="str">
            <v>IBEWOUT</v>
          </cell>
          <cell r="F972" t="str">
            <v>126</v>
          </cell>
          <cell r="G972" t="str">
            <v>33</v>
          </cell>
          <cell r="H972">
            <v>0</v>
          </cell>
        </row>
        <row r="973">
          <cell r="B973">
            <v>7760</v>
          </cell>
          <cell r="C973" t="str">
            <v>Moore Jr; Wesley</v>
          </cell>
          <cell r="D973" t="str">
            <v>1C</v>
          </cell>
          <cell r="E973" t="str">
            <v>IBEWOUT</v>
          </cell>
          <cell r="F973" t="str">
            <v>396</v>
          </cell>
          <cell r="G973" t="str">
            <v>21</v>
          </cell>
          <cell r="H973">
            <v>0</v>
          </cell>
        </row>
        <row r="974">
          <cell r="B974">
            <v>7800</v>
          </cell>
          <cell r="C974" t="str">
            <v>Morales; Ariel</v>
          </cell>
          <cell r="D974" t="str">
            <v>1C</v>
          </cell>
          <cell r="E974" t="str">
            <v>IBEWOUT</v>
          </cell>
          <cell r="F974" t="str">
            <v>47</v>
          </cell>
          <cell r="G974" t="str">
            <v>17</v>
          </cell>
          <cell r="H974">
            <v>0</v>
          </cell>
        </row>
        <row r="975">
          <cell r="B975">
            <v>7804</v>
          </cell>
          <cell r="C975" t="str">
            <v>Moran; Jon B</v>
          </cell>
          <cell r="D975" t="str">
            <v>1C</v>
          </cell>
          <cell r="E975" t="str">
            <v>IBEWOUT</v>
          </cell>
          <cell r="F975" t="str">
            <v>602R</v>
          </cell>
          <cell r="G975" t="str">
            <v>15T</v>
          </cell>
          <cell r="H975">
            <v>0</v>
          </cell>
        </row>
        <row r="976">
          <cell r="B976">
            <v>7806</v>
          </cell>
          <cell r="C976" t="str">
            <v>Moranda; Justin S</v>
          </cell>
          <cell r="D976" t="str">
            <v>1C</v>
          </cell>
          <cell r="E976" t="str">
            <v>IBEWOUT</v>
          </cell>
          <cell r="F976" t="str">
            <v>1245</v>
          </cell>
          <cell r="G976" t="str">
            <v>9</v>
          </cell>
          <cell r="H976">
            <v>0</v>
          </cell>
        </row>
        <row r="977">
          <cell r="B977">
            <v>7817</v>
          </cell>
          <cell r="C977" t="str">
            <v>Moreno; Solomon I</v>
          </cell>
          <cell r="D977" t="str">
            <v>1C</v>
          </cell>
          <cell r="E977" t="str">
            <v>IBEWOUT</v>
          </cell>
          <cell r="F977" t="str">
            <v>47</v>
          </cell>
          <cell r="G977" t="str">
            <v>17</v>
          </cell>
          <cell r="H977">
            <v>0</v>
          </cell>
        </row>
        <row r="978">
          <cell r="B978">
            <v>7819</v>
          </cell>
          <cell r="C978" t="str">
            <v>Morey; Tod W</v>
          </cell>
          <cell r="D978" t="str">
            <v>1</v>
          </cell>
          <cell r="E978" t="str">
            <v/>
          </cell>
          <cell r="F978" t="str">
            <v/>
          </cell>
          <cell r="G978" t="str">
            <v/>
          </cell>
          <cell r="H978">
            <v>0</v>
          </cell>
        </row>
        <row r="979">
          <cell r="B979">
            <v>7821</v>
          </cell>
          <cell r="C979" t="str">
            <v>Morgan; Thomas J</v>
          </cell>
          <cell r="D979" t="str">
            <v>1C</v>
          </cell>
          <cell r="E979" t="str">
            <v>IBEWOUT</v>
          </cell>
          <cell r="F979" t="str">
            <v>1319</v>
          </cell>
          <cell r="G979" t="str">
            <v>13</v>
          </cell>
          <cell r="H979">
            <v>0</v>
          </cell>
        </row>
        <row r="980">
          <cell r="B980">
            <v>7823</v>
          </cell>
          <cell r="C980" t="str">
            <v>Morgan; Blaine D</v>
          </cell>
          <cell r="D980" t="str">
            <v>1C</v>
          </cell>
          <cell r="E980" t="str">
            <v>IBEWOUT</v>
          </cell>
          <cell r="F980" t="str">
            <v>47</v>
          </cell>
          <cell r="G980" t="str">
            <v>8</v>
          </cell>
          <cell r="H980">
            <v>0</v>
          </cell>
        </row>
        <row r="981">
          <cell r="B981">
            <v>7841</v>
          </cell>
          <cell r="C981" t="str">
            <v>Morrow; Joshua K.</v>
          </cell>
          <cell r="D981" t="str">
            <v>1C</v>
          </cell>
          <cell r="E981" t="str">
            <v/>
          </cell>
          <cell r="F981" t="str">
            <v/>
          </cell>
          <cell r="G981" t="str">
            <v/>
          </cell>
          <cell r="H981">
            <v>0</v>
          </cell>
        </row>
        <row r="982">
          <cell r="B982">
            <v>7842</v>
          </cell>
          <cell r="C982" t="str">
            <v>Morton Jr.; Jeff P.</v>
          </cell>
          <cell r="D982" t="str">
            <v>1C</v>
          </cell>
          <cell r="E982" t="str">
            <v>IBEWOUT</v>
          </cell>
          <cell r="F982" t="str">
            <v>47</v>
          </cell>
          <cell r="G982" t="str">
            <v>8</v>
          </cell>
          <cell r="H982">
            <v>0</v>
          </cell>
        </row>
        <row r="983">
          <cell r="B983">
            <v>7843</v>
          </cell>
          <cell r="C983" t="str">
            <v>Morton; Zac R</v>
          </cell>
          <cell r="D983" t="str">
            <v>1C</v>
          </cell>
          <cell r="E983" t="str">
            <v>IBEWOUT</v>
          </cell>
          <cell r="F983" t="str">
            <v>769</v>
          </cell>
          <cell r="G983" t="str">
            <v>8</v>
          </cell>
          <cell r="H983">
            <v>0</v>
          </cell>
        </row>
        <row r="984">
          <cell r="B984">
            <v>7844</v>
          </cell>
          <cell r="C984" t="str">
            <v>Morton; Jess T.</v>
          </cell>
          <cell r="D984" t="str">
            <v>1C</v>
          </cell>
          <cell r="E984" t="str">
            <v>IBEWOUT</v>
          </cell>
          <cell r="F984" t="str">
            <v>47</v>
          </cell>
          <cell r="G984" t="str">
            <v>8</v>
          </cell>
          <cell r="H984">
            <v>0</v>
          </cell>
        </row>
        <row r="985">
          <cell r="B985">
            <v>7845</v>
          </cell>
          <cell r="C985" t="str">
            <v>Moser; Ted T</v>
          </cell>
          <cell r="D985" t="str">
            <v>1C</v>
          </cell>
          <cell r="E985" t="str">
            <v>IBEWOUT</v>
          </cell>
          <cell r="F985" t="str">
            <v>77</v>
          </cell>
          <cell r="G985" t="str">
            <v>8</v>
          </cell>
          <cell r="H985">
            <v>0</v>
          </cell>
        </row>
        <row r="986">
          <cell r="B986">
            <v>7850</v>
          </cell>
          <cell r="C986" t="str">
            <v>Morris; Nicholas L</v>
          </cell>
          <cell r="D986" t="str">
            <v>1C</v>
          </cell>
          <cell r="E986" t="str">
            <v>IBEWOUT</v>
          </cell>
          <cell r="F986" t="str">
            <v>77</v>
          </cell>
          <cell r="G986" t="str">
            <v>8</v>
          </cell>
          <cell r="H986">
            <v>0</v>
          </cell>
        </row>
        <row r="987">
          <cell r="B987">
            <v>7851</v>
          </cell>
          <cell r="C987" t="str">
            <v>Morris; Kurt A.</v>
          </cell>
          <cell r="D987" t="str">
            <v>1C</v>
          </cell>
          <cell r="E987" t="str">
            <v>IBEWOUT</v>
          </cell>
          <cell r="F987" t="str">
            <v>1319</v>
          </cell>
          <cell r="G987" t="str">
            <v>13</v>
          </cell>
          <cell r="H987">
            <v>0</v>
          </cell>
        </row>
        <row r="988">
          <cell r="B988">
            <v>7852</v>
          </cell>
          <cell r="C988" t="str">
            <v>Morrison; Brian A</v>
          </cell>
          <cell r="D988" t="str">
            <v>1</v>
          </cell>
          <cell r="E988" t="str">
            <v/>
          </cell>
          <cell r="F988" t="str">
            <v/>
          </cell>
          <cell r="G988" t="str">
            <v/>
          </cell>
          <cell r="H988">
            <v>1</v>
          </cell>
        </row>
        <row r="989">
          <cell r="B989">
            <v>7867</v>
          </cell>
          <cell r="C989" t="str">
            <v>Moua; Bee</v>
          </cell>
          <cell r="D989" t="str">
            <v>1C</v>
          </cell>
          <cell r="E989" t="str">
            <v>IBEWOUT</v>
          </cell>
          <cell r="F989" t="str">
            <v>1245</v>
          </cell>
          <cell r="G989" t="str">
            <v>60</v>
          </cell>
          <cell r="H989">
            <v>0</v>
          </cell>
        </row>
        <row r="990">
          <cell r="B990">
            <v>7884</v>
          </cell>
          <cell r="C990" t="str">
            <v>Moyle; Bradley D</v>
          </cell>
          <cell r="D990" t="str">
            <v>1</v>
          </cell>
          <cell r="E990" t="str">
            <v>IBEWOUT</v>
          </cell>
          <cell r="F990" t="str">
            <v>769</v>
          </cell>
          <cell r="G990" t="str">
            <v>14</v>
          </cell>
          <cell r="H990">
            <v>0</v>
          </cell>
        </row>
        <row r="991">
          <cell r="B991">
            <v>7897</v>
          </cell>
          <cell r="C991" t="str">
            <v>Munoz; Jose M</v>
          </cell>
          <cell r="D991" t="str">
            <v>1</v>
          </cell>
          <cell r="E991" t="str">
            <v>IBEWOUT</v>
          </cell>
          <cell r="F991" t="str">
            <v>1245</v>
          </cell>
          <cell r="G991" t="str">
            <v>10</v>
          </cell>
          <cell r="H991">
            <v>0</v>
          </cell>
        </row>
        <row r="992">
          <cell r="B992">
            <v>7910</v>
          </cell>
          <cell r="C992" t="str">
            <v>Murphy; James B</v>
          </cell>
          <cell r="D992" t="str">
            <v>1C</v>
          </cell>
          <cell r="E992" t="str">
            <v>IBEWOUT</v>
          </cell>
          <cell r="F992" t="str">
            <v>1245</v>
          </cell>
          <cell r="G992" t="str">
            <v>10</v>
          </cell>
          <cell r="H992">
            <v>0</v>
          </cell>
        </row>
        <row r="993">
          <cell r="B993">
            <v>7916</v>
          </cell>
          <cell r="C993" t="str">
            <v>Muse; Brian P</v>
          </cell>
          <cell r="D993" t="str">
            <v>1C</v>
          </cell>
          <cell r="E993" t="str">
            <v>IBEWOUT</v>
          </cell>
          <cell r="F993" t="str">
            <v>104</v>
          </cell>
          <cell r="G993" t="str">
            <v>8</v>
          </cell>
          <cell r="H993">
            <v>0</v>
          </cell>
        </row>
        <row r="994">
          <cell r="B994">
            <v>7917</v>
          </cell>
          <cell r="C994" t="str">
            <v>Murphy; Taylor M</v>
          </cell>
          <cell r="D994" t="str">
            <v>1</v>
          </cell>
          <cell r="E994" t="str">
            <v/>
          </cell>
          <cell r="F994" t="str">
            <v/>
          </cell>
          <cell r="G994" t="str">
            <v/>
          </cell>
          <cell r="H994">
            <v>1</v>
          </cell>
        </row>
        <row r="995">
          <cell r="B995">
            <v>7919</v>
          </cell>
          <cell r="C995" t="str">
            <v>Musgrove; Roy E</v>
          </cell>
          <cell r="D995" t="str">
            <v>1C</v>
          </cell>
          <cell r="E995" t="str">
            <v>IBEWOUT</v>
          </cell>
          <cell r="F995" t="str">
            <v>396</v>
          </cell>
          <cell r="G995" t="str">
            <v>8</v>
          </cell>
          <cell r="H995">
            <v>0</v>
          </cell>
        </row>
        <row r="996">
          <cell r="B996">
            <v>7920</v>
          </cell>
          <cell r="C996" t="str">
            <v>Murray; Byron Todd</v>
          </cell>
          <cell r="D996" t="str">
            <v>1</v>
          </cell>
          <cell r="E996" t="str">
            <v>IBEWOUT</v>
          </cell>
          <cell r="F996" t="str">
            <v>125</v>
          </cell>
          <cell r="G996" t="str">
            <v>33</v>
          </cell>
          <cell r="H996">
            <v>0</v>
          </cell>
        </row>
        <row r="997">
          <cell r="B997">
            <v>7921</v>
          </cell>
          <cell r="C997" t="str">
            <v>Murrell; Jimmie L</v>
          </cell>
          <cell r="D997" t="str">
            <v>1C</v>
          </cell>
          <cell r="E997" t="str">
            <v>IBEWOUT</v>
          </cell>
          <cell r="F997" t="str">
            <v>1245</v>
          </cell>
          <cell r="G997" t="str">
            <v>8</v>
          </cell>
          <cell r="H997">
            <v>0</v>
          </cell>
        </row>
        <row r="998">
          <cell r="B998">
            <v>7931</v>
          </cell>
          <cell r="C998" t="str">
            <v>Myers; Bradley T</v>
          </cell>
          <cell r="D998" t="str">
            <v>1C</v>
          </cell>
          <cell r="E998" t="str">
            <v>IBEWOUT</v>
          </cell>
          <cell r="F998" t="str">
            <v>1245</v>
          </cell>
          <cell r="G998" t="str">
            <v>8</v>
          </cell>
          <cell r="H998">
            <v>0</v>
          </cell>
        </row>
        <row r="999">
          <cell r="B999">
            <v>7932</v>
          </cell>
          <cell r="C999" t="str">
            <v>Myers; Craig L</v>
          </cell>
          <cell r="D999" t="str">
            <v>1C</v>
          </cell>
          <cell r="E999" t="str">
            <v>IBEWOUT</v>
          </cell>
          <cell r="F999" t="str">
            <v>160</v>
          </cell>
          <cell r="G999" t="str">
            <v>8</v>
          </cell>
          <cell r="H999">
            <v>0</v>
          </cell>
        </row>
        <row r="1000">
          <cell r="B1000">
            <v>7935</v>
          </cell>
          <cell r="C1000" t="str">
            <v>Nail; Brandon C</v>
          </cell>
          <cell r="D1000" t="str">
            <v>1C</v>
          </cell>
          <cell r="E1000" t="str">
            <v>IBEWOUT</v>
          </cell>
          <cell r="F1000" t="str">
            <v>1245</v>
          </cell>
          <cell r="G1000" t="str">
            <v>17</v>
          </cell>
          <cell r="H1000">
            <v>0</v>
          </cell>
        </row>
        <row r="1001">
          <cell r="B1001">
            <v>7961</v>
          </cell>
          <cell r="C1001" t="str">
            <v>Nadzom; Bradley A.</v>
          </cell>
          <cell r="D1001" t="str">
            <v>1C</v>
          </cell>
          <cell r="E1001" t="str">
            <v>IBEWOUT</v>
          </cell>
          <cell r="F1001" t="str">
            <v>1319</v>
          </cell>
          <cell r="G1001" t="str">
            <v>8</v>
          </cell>
          <cell r="H1001">
            <v>0</v>
          </cell>
        </row>
        <row r="1002">
          <cell r="B1002">
            <v>8008</v>
          </cell>
          <cell r="C1002" t="str">
            <v>Natrop; Ronald J</v>
          </cell>
          <cell r="D1002" t="str">
            <v>1</v>
          </cell>
          <cell r="E1002" t="str">
            <v/>
          </cell>
          <cell r="F1002" t="str">
            <v/>
          </cell>
          <cell r="G1002" t="str">
            <v/>
          </cell>
          <cell r="H1002">
            <v>0</v>
          </cell>
        </row>
        <row r="1003">
          <cell r="B1003">
            <v>8022</v>
          </cell>
          <cell r="C1003" t="str">
            <v>Navarro; Ezequiel</v>
          </cell>
          <cell r="D1003" t="str">
            <v>1C</v>
          </cell>
          <cell r="E1003" t="str">
            <v>IBEWOUT</v>
          </cell>
          <cell r="F1003" t="str">
            <v>47</v>
          </cell>
          <cell r="G1003" t="str">
            <v>8</v>
          </cell>
          <cell r="H1003">
            <v>0</v>
          </cell>
        </row>
        <row r="1004">
          <cell r="B1004">
            <v>8024</v>
          </cell>
          <cell r="C1004" t="str">
            <v>Naylor; Joel L</v>
          </cell>
          <cell r="D1004" t="str">
            <v>1C</v>
          </cell>
          <cell r="E1004" t="str">
            <v/>
          </cell>
          <cell r="F1004" t="str">
            <v/>
          </cell>
          <cell r="G1004" t="str">
            <v/>
          </cell>
          <cell r="H1004">
            <v>1</v>
          </cell>
        </row>
        <row r="1005">
          <cell r="B1005">
            <v>8025</v>
          </cell>
          <cell r="C1005" t="str">
            <v>Navarro; Daniel</v>
          </cell>
          <cell r="D1005" t="str">
            <v>1C</v>
          </cell>
          <cell r="E1005" t="str">
            <v>IBEWOUT</v>
          </cell>
          <cell r="F1005" t="str">
            <v>47</v>
          </cell>
          <cell r="G1005" t="str">
            <v>17</v>
          </cell>
          <cell r="H1005">
            <v>0</v>
          </cell>
        </row>
        <row r="1006">
          <cell r="B1006">
            <v>8026</v>
          </cell>
          <cell r="C1006" t="str">
            <v>Naylor; Joseph D</v>
          </cell>
          <cell r="D1006" t="str">
            <v>1C</v>
          </cell>
          <cell r="E1006" t="str">
            <v>IBEWOUT</v>
          </cell>
          <cell r="F1006" t="str">
            <v>1319</v>
          </cell>
          <cell r="G1006" t="str">
            <v>8</v>
          </cell>
          <cell r="H1006">
            <v>0</v>
          </cell>
        </row>
        <row r="1007">
          <cell r="B1007">
            <v>8027</v>
          </cell>
          <cell r="C1007" t="str">
            <v>Navarro; Michael D</v>
          </cell>
          <cell r="D1007" t="str">
            <v>1</v>
          </cell>
          <cell r="E1007" t="str">
            <v>IBEWOUT</v>
          </cell>
          <cell r="F1007" t="str">
            <v>47</v>
          </cell>
          <cell r="G1007" t="str">
            <v>16</v>
          </cell>
          <cell r="H1007">
            <v>0</v>
          </cell>
        </row>
        <row r="1008">
          <cell r="B1008">
            <v>8040</v>
          </cell>
          <cell r="C1008" t="str">
            <v>Nearhood; William J</v>
          </cell>
          <cell r="D1008" t="str">
            <v>1C</v>
          </cell>
          <cell r="E1008" t="str">
            <v>IBEWOUT</v>
          </cell>
          <cell r="F1008" t="str">
            <v>126</v>
          </cell>
          <cell r="G1008" t="str">
            <v>8</v>
          </cell>
          <cell r="H1008">
            <v>0</v>
          </cell>
        </row>
        <row r="1009">
          <cell r="B1009">
            <v>8041</v>
          </cell>
          <cell r="C1009" t="str">
            <v>Nease; Jeffrey B.</v>
          </cell>
          <cell r="D1009" t="str">
            <v>1C</v>
          </cell>
          <cell r="E1009" t="str">
            <v/>
          </cell>
          <cell r="F1009" t="str">
            <v/>
          </cell>
          <cell r="G1009" t="str">
            <v/>
          </cell>
          <cell r="H1009">
            <v>1</v>
          </cell>
        </row>
        <row r="1010">
          <cell r="B1010">
            <v>8043</v>
          </cell>
          <cell r="C1010" t="str">
            <v>Neace; Shane D</v>
          </cell>
          <cell r="D1010" t="str">
            <v>1C</v>
          </cell>
          <cell r="E1010" t="str">
            <v>IBEWOUT</v>
          </cell>
          <cell r="F1010" t="str">
            <v>1245</v>
          </cell>
          <cell r="G1010" t="str">
            <v>8</v>
          </cell>
          <cell r="H1010">
            <v>0</v>
          </cell>
        </row>
        <row r="1011">
          <cell r="B1011">
            <v>8046</v>
          </cell>
          <cell r="C1011" t="str">
            <v>Nelson; Daniel E</v>
          </cell>
          <cell r="D1011" t="str">
            <v>1C</v>
          </cell>
          <cell r="E1011" t="str">
            <v>IBEWOUT</v>
          </cell>
          <cell r="F1011" t="str">
            <v>1245</v>
          </cell>
          <cell r="G1011" t="str">
            <v>12</v>
          </cell>
          <cell r="H1011">
            <v>0</v>
          </cell>
        </row>
        <row r="1012">
          <cell r="B1012">
            <v>8047</v>
          </cell>
          <cell r="C1012" t="str">
            <v>Nelson Jr; Donald C</v>
          </cell>
          <cell r="D1012" t="str">
            <v>1C</v>
          </cell>
          <cell r="E1012" t="str">
            <v>IBEWOUT</v>
          </cell>
          <cell r="F1012" t="str">
            <v>77</v>
          </cell>
          <cell r="G1012" t="str">
            <v>15</v>
          </cell>
          <cell r="H1012">
            <v>0</v>
          </cell>
        </row>
        <row r="1013">
          <cell r="B1013">
            <v>8048</v>
          </cell>
          <cell r="C1013" t="str">
            <v>Nelson; Travis E</v>
          </cell>
          <cell r="D1013" t="str">
            <v>1C</v>
          </cell>
          <cell r="E1013" t="str">
            <v>IBEWOUT</v>
          </cell>
          <cell r="F1013" t="str">
            <v>47</v>
          </cell>
          <cell r="G1013" t="str">
            <v>8</v>
          </cell>
          <cell r="H1013">
            <v>0</v>
          </cell>
        </row>
        <row r="1014">
          <cell r="B1014">
            <v>8070</v>
          </cell>
          <cell r="C1014" t="str">
            <v>Nichols; Jesse J.</v>
          </cell>
          <cell r="D1014" t="str">
            <v>1C</v>
          </cell>
          <cell r="E1014" t="str">
            <v>IBEWOUT</v>
          </cell>
          <cell r="F1014" t="str">
            <v>47</v>
          </cell>
          <cell r="G1014" t="str">
            <v>60</v>
          </cell>
          <cell r="H1014">
            <v>0</v>
          </cell>
        </row>
        <row r="1015">
          <cell r="B1015">
            <v>8072</v>
          </cell>
          <cell r="C1015" t="str">
            <v>Neuman; Dennis D</v>
          </cell>
          <cell r="D1015" t="str">
            <v>1C</v>
          </cell>
          <cell r="E1015" t="str">
            <v>IBEWOUT</v>
          </cell>
          <cell r="F1015" t="str">
            <v>160</v>
          </cell>
          <cell r="G1015" t="str">
            <v>8</v>
          </cell>
          <cell r="H1015">
            <v>0</v>
          </cell>
        </row>
        <row r="1016">
          <cell r="B1016">
            <v>8073</v>
          </cell>
          <cell r="C1016" t="str">
            <v>Newberry; Dominick F</v>
          </cell>
          <cell r="D1016" t="str">
            <v>1C</v>
          </cell>
          <cell r="E1016" t="str">
            <v>IBEWOUT</v>
          </cell>
          <cell r="F1016" t="str">
            <v>1319</v>
          </cell>
          <cell r="G1016" t="str">
            <v>18</v>
          </cell>
          <cell r="H1016">
            <v>0</v>
          </cell>
        </row>
        <row r="1017">
          <cell r="B1017">
            <v>8077</v>
          </cell>
          <cell r="C1017" t="str">
            <v>Neuberger; Shane M</v>
          </cell>
          <cell r="D1017" t="str">
            <v>1C</v>
          </cell>
          <cell r="E1017" t="str">
            <v>IBEWOUT</v>
          </cell>
          <cell r="F1017" t="str">
            <v>160</v>
          </cell>
          <cell r="G1017" t="str">
            <v>22</v>
          </cell>
          <cell r="H1017">
            <v>0</v>
          </cell>
        </row>
        <row r="1018">
          <cell r="B1018">
            <v>8080</v>
          </cell>
          <cell r="C1018" t="str">
            <v>Nemesio; Jorge L.</v>
          </cell>
          <cell r="D1018" t="str">
            <v>1C</v>
          </cell>
          <cell r="E1018" t="str">
            <v>IBEWOUT</v>
          </cell>
          <cell r="F1018" t="str">
            <v>1245</v>
          </cell>
          <cell r="G1018" t="str">
            <v>70</v>
          </cell>
          <cell r="H1018">
            <v>0</v>
          </cell>
        </row>
        <row r="1019">
          <cell r="B1019">
            <v>8082</v>
          </cell>
          <cell r="C1019" t="str">
            <v>Nicoloff; Philip J</v>
          </cell>
          <cell r="D1019" t="str">
            <v>1C</v>
          </cell>
          <cell r="E1019" t="str">
            <v>IBEWOUT</v>
          </cell>
          <cell r="F1019" t="str">
            <v>769</v>
          </cell>
          <cell r="G1019" t="str">
            <v>35</v>
          </cell>
          <cell r="H1019">
            <v>0</v>
          </cell>
        </row>
        <row r="1020">
          <cell r="B1020">
            <v>8091</v>
          </cell>
          <cell r="C1020" t="str">
            <v>Nimmo; Scott Michael</v>
          </cell>
          <cell r="D1020" t="str">
            <v>1C</v>
          </cell>
          <cell r="E1020" t="str">
            <v>IBEWOUT</v>
          </cell>
          <cell r="F1020" t="str">
            <v>769</v>
          </cell>
          <cell r="G1020" t="str">
            <v>10</v>
          </cell>
          <cell r="H1020">
            <v>0</v>
          </cell>
        </row>
        <row r="1021">
          <cell r="B1021">
            <v>8096</v>
          </cell>
          <cell r="C1021" t="str">
            <v>Nickolei; Christopher R</v>
          </cell>
          <cell r="D1021" t="str">
            <v>1C</v>
          </cell>
          <cell r="E1021" t="str">
            <v>IBEWOUT</v>
          </cell>
          <cell r="F1021" t="str">
            <v>47</v>
          </cell>
          <cell r="G1021" t="str">
            <v>17</v>
          </cell>
          <cell r="H1021">
            <v>0</v>
          </cell>
        </row>
        <row r="1022">
          <cell r="B1022">
            <v>8097</v>
          </cell>
          <cell r="C1022" t="str">
            <v>Nickerson; Rodney W</v>
          </cell>
          <cell r="D1022" t="str">
            <v>1C</v>
          </cell>
          <cell r="E1022" t="str">
            <v>IBEWOUT</v>
          </cell>
          <cell r="F1022" t="str">
            <v>1245</v>
          </cell>
          <cell r="G1022" t="str">
            <v>17</v>
          </cell>
          <cell r="H1022">
            <v>0</v>
          </cell>
        </row>
        <row r="1023">
          <cell r="B1023">
            <v>8137</v>
          </cell>
          <cell r="C1023" t="str">
            <v>Noel; Bryce Dylan</v>
          </cell>
          <cell r="D1023" t="str">
            <v>1C</v>
          </cell>
          <cell r="E1023" t="str">
            <v>IBEWOUT</v>
          </cell>
          <cell r="F1023" t="str">
            <v>1245</v>
          </cell>
          <cell r="G1023" t="str">
            <v>8</v>
          </cell>
          <cell r="H1023">
            <v>0</v>
          </cell>
        </row>
        <row r="1024">
          <cell r="B1024">
            <v>8138</v>
          </cell>
          <cell r="C1024" t="str">
            <v>Noel; Tyler D.</v>
          </cell>
          <cell r="D1024" t="str">
            <v>1C</v>
          </cell>
          <cell r="E1024" t="str">
            <v>IBEWOUT</v>
          </cell>
          <cell r="F1024" t="str">
            <v>1245</v>
          </cell>
          <cell r="G1024" t="str">
            <v>17</v>
          </cell>
          <cell r="H1024">
            <v>0</v>
          </cell>
        </row>
        <row r="1025">
          <cell r="B1025">
            <v>8142</v>
          </cell>
          <cell r="C1025" t="str">
            <v>Novins; Steve</v>
          </cell>
          <cell r="D1025" t="str">
            <v>1C</v>
          </cell>
          <cell r="E1025" t="str">
            <v>IBEWOUT</v>
          </cell>
          <cell r="F1025" t="str">
            <v>1245</v>
          </cell>
          <cell r="G1025" t="str">
            <v>16</v>
          </cell>
          <cell r="H1025">
            <v>0</v>
          </cell>
        </row>
        <row r="1026">
          <cell r="B1026">
            <v>8143</v>
          </cell>
          <cell r="C1026" t="str">
            <v>Novak; Triston J.</v>
          </cell>
          <cell r="D1026" t="str">
            <v>1C</v>
          </cell>
          <cell r="E1026" t="str">
            <v>IBEWOUT</v>
          </cell>
          <cell r="F1026" t="str">
            <v>77</v>
          </cell>
          <cell r="G1026" t="str">
            <v>10</v>
          </cell>
          <cell r="H1026">
            <v>0</v>
          </cell>
        </row>
        <row r="1027">
          <cell r="B1027">
            <v>8154</v>
          </cell>
          <cell r="C1027" t="str">
            <v>Norsworthy; Jonathan R.</v>
          </cell>
          <cell r="D1027" t="str">
            <v>1C</v>
          </cell>
          <cell r="E1027" t="str">
            <v>IBEWOUT</v>
          </cell>
          <cell r="F1027" t="str">
            <v>602R</v>
          </cell>
          <cell r="G1027" t="str">
            <v>8</v>
          </cell>
          <cell r="H1027">
            <v>0</v>
          </cell>
        </row>
        <row r="1028">
          <cell r="B1028">
            <v>8155</v>
          </cell>
          <cell r="C1028" t="str">
            <v>Norcutt; Devin W</v>
          </cell>
          <cell r="D1028" t="str">
            <v>1C</v>
          </cell>
          <cell r="E1028" t="str">
            <v>IBEWOUT</v>
          </cell>
          <cell r="F1028" t="str">
            <v>1245</v>
          </cell>
          <cell r="G1028" t="str">
            <v>8</v>
          </cell>
          <cell r="H1028">
            <v>0</v>
          </cell>
        </row>
        <row r="1029">
          <cell r="B1029">
            <v>8165</v>
          </cell>
          <cell r="C1029" t="str">
            <v>Nunez; Hector</v>
          </cell>
          <cell r="D1029" t="str">
            <v>1C</v>
          </cell>
          <cell r="E1029" t="str">
            <v>IBEWOUT</v>
          </cell>
          <cell r="F1029" t="str">
            <v>47</v>
          </cell>
          <cell r="G1029" t="str">
            <v>17</v>
          </cell>
          <cell r="H1029">
            <v>0</v>
          </cell>
        </row>
        <row r="1030">
          <cell r="B1030">
            <v>8171</v>
          </cell>
          <cell r="C1030" t="str">
            <v>Obregon; Matthew D</v>
          </cell>
          <cell r="D1030" t="str">
            <v>1C</v>
          </cell>
          <cell r="E1030" t="str">
            <v/>
          </cell>
          <cell r="F1030" t="str">
            <v/>
          </cell>
          <cell r="G1030" t="str">
            <v/>
          </cell>
          <cell r="H1030">
            <v>0</v>
          </cell>
        </row>
        <row r="1031">
          <cell r="B1031">
            <v>8172</v>
          </cell>
          <cell r="C1031" t="str">
            <v>Ochoa; Edward</v>
          </cell>
          <cell r="D1031" t="str">
            <v>1C</v>
          </cell>
          <cell r="E1031" t="str">
            <v>IBEWOUT</v>
          </cell>
          <cell r="F1031" t="str">
            <v>47</v>
          </cell>
          <cell r="G1031" t="str">
            <v>60</v>
          </cell>
          <cell r="H1031">
            <v>0</v>
          </cell>
        </row>
        <row r="1032">
          <cell r="B1032">
            <v>8176</v>
          </cell>
          <cell r="C1032" t="str">
            <v>O'Brien; Timothy J.</v>
          </cell>
          <cell r="D1032" t="str">
            <v>1C</v>
          </cell>
          <cell r="E1032" t="str">
            <v>IBEWOUT</v>
          </cell>
          <cell r="F1032" t="str">
            <v>77</v>
          </cell>
          <cell r="G1032" t="str">
            <v>10</v>
          </cell>
          <cell r="H1032">
            <v>0</v>
          </cell>
        </row>
        <row r="1033">
          <cell r="B1033">
            <v>8177</v>
          </cell>
          <cell r="C1033" t="str">
            <v>O'Brien; Brandon Scott</v>
          </cell>
          <cell r="D1033" t="str">
            <v>1C</v>
          </cell>
          <cell r="E1033" t="str">
            <v>IBEWOUT</v>
          </cell>
          <cell r="F1033" t="str">
            <v>1245</v>
          </cell>
          <cell r="G1033" t="str">
            <v>7</v>
          </cell>
          <cell r="H1033">
            <v>0</v>
          </cell>
        </row>
        <row r="1034">
          <cell r="B1034">
            <v>8178</v>
          </cell>
          <cell r="C1034" t="str">
            <v>Ocegueda; Fernando R</v>
          </cell>
          <cell r="D1034" t="str">
            <v>1C</v>
          </cell>
          <cell r="E1034" t="str">
            <v>IBEWOUT</v>
          </cell>
          <cell r="F1034" t="str">
            <v>47</v>
          </cell>
          <cell r="G1034" t="str">
            <v>8</v>
          </cell>
          <cell r="H1034">
            <v>0</v>
          </cell>
        </row>
        <row r="1035">
          <cell r="B1035">
            <v>8180</v>
          </cell>
          <cell r="C1035" t="str">
            <v>O'Connor; Travis L</v>
          </cell>
          <cell r="D1035" t="str">
            <v>1C</v>
          </cell>
          <cell r="E1035" t="str">
            <v>IBEWOUT</v>
          </cell>
          <cell r="F1035" t="str">
            <v>1245</v>
          </cell>
          <cell r="G1035" t="str">
            <v>14</v>
          </cell>
          <cell r="H1035">
            <v>0</v>
          </cell>
        </row>
        <row r="1036">
          <cell r="B1036">
            <v>8181</v>
          </cell>
          <cell r="C1036" t="str">
            <v>O'Hogan; Kevin S</v>
          </cell>
          <cell r="D1036" t="str">
            <v>1C</v>
          </cell>
          <cell r="E1036" t="str">
            <v/>
          </cell>
          <cell r="F1036" t="str">
            <v/>
          </cell>
          <cell r="G1036" t="str">
            <v/>
          </cell>
          <cell r="H1036">
            <v>0</v>
          </cell>
        </row>
        <row r="1037">
          <cell r="B1037">
            <v>8185</v>
          </cell>
          <cell r="C1037" t="str">
            <v>Ogden; Craig T</v>
          </cell>
          <cell r="D1037" t="str">
            <v>1C</v>
          </cell>
          <cell r="E1037" t="str">
            <v>IBEWOUT</v>
          </cell>
          <cell r="F1037" t="str">
            <v>1245</v>
          </cell>
          <cell r="G1037" t="str">
            <v>11</v>
          </cell>
          <cell r="H1037">
            <v>0</v>
          </cell>
        </row>
        <row r="1038">
          <cell r="B1038">
            <v>8191</v>
          </cell>
          <cell r="C1038" t="str">
            <v>Ochoa; Domingo</v>
          </cell>
          <cell r="D1038" t="str">
            <v>1C</v>
          </cell>
          <cell r="E1038" t="str">
            <v/>
          </cell>
          <cell r="F1038" t="str">
            <v/>
          </cell>
          <cell r="G1038" t="str">
            <v/>
          </cell>
          <cell r="H1038">
            <v>1</v>
          </cell>
        </row>
        <row r="1039">
          <cell r="B1039">
            <v>8194</v>
          </cell>
          <cell r="C1039" t="str">
            <v>Ochoa; Luis</v>
          </cell>
          <cell r="D1039" t="str">
            <v>1C</v>
          </cell>
          <cell r="E1039" t="str">
            <v>IBEWOUT</v>
          </cell>
          <cell r="F1039" t="str">
            <v>1245</v>
          </cell>
          <cell r="G1039" t="str">
            <v>15</v>
          </cell>
          <cell r="H1039">
            <v>0</v>
          </cell>
        </row>
        <row r="1040">
          <cell r="B1040">
            <v>8196</v>
          </cell>
          <cell r="C1040" t="str">
            <v>Ochoa; Johnny Jacob</v>
          </cell>
          <cell r="D1040" t="str">
            <v>1C</v>
          </cell>
          <cell r="E1040" t="str">
            <v/>
          </cell>
          <cell r="F1040" t="str">
            <v/>
          </cell>
          <cell r="G1040" t="str">
            <v/>
          </cell>
          <cell r="H1040">
            <v>1</v>
          </cell>
        </row>
        <row r="1041">
          <cell r="B1041">
            <v>8201</v>
          </cell>
          <cell r="C1041" t="str">
            <v>Olson; Todd</v>
          </cell>
          <cell r="D1041" t="str">
            <v>1C</v>
          </cell>
          <cell r="E1041" t="str">
            <v>IBEWOUT</v>
          </cell>
          <cell r="F1041" t="str">
            <v>1049</v>
          </cell>
          <cell r="G1041" t="str">
            <v>8</v>
          </cell>
          <cell r="H1041">
            <v>0</v>
          </cell>
        </row>
        <row r="1042">
          <cell r="B1042">
            <v>8203</v>
          </cell>
          <cell r="C1042" t="str">
            <v>Olson; William F.</v>
          </cell>
          <cell r="D1042" t="str">
            <v>1</v>
          </cell>
          <cell r="E1042" t="str">
            <v/>
          </cell>
          <cell r="F1042" t="str">
            <v/>
          </cell>
          <cell r="G1042" t="str">
            <v/>
          </cell>
          <cell r="H1042">
            <v>0</v>
          </cell>
        </row>
        <row r="1043">
          <cell r="B1043">
            <v>8204</v>
          </cell>
          <cell r="C1043" t="str">
            <v>Oosthof; Ryan R.</v>
          </cell>
          <cell r="D1043" t="str">
            <v>1C</v>
          </cell>
          <cell r="E1043" t="str">
            <v>IBEWOUT</v>
          </cell>
          <cell r="F1043" t="str">
            <v>125</v>
          </cell>
          <cell r="G1043" t="str">
            <v>8</v>
          </cell>
          <cell r="H1043">
            <v>0</v>
          </cell>
        </row>
        <row r="1044">
          <cell r="B1044">
            <v>8207</v>
          </cell>
          <cell r="C1044" t="str">
            <v>O'Neill; Nicholas</v>
          </cell>
          <cell r="D1044" t="str">
            <v>1C</v>
          </cell>
          <cell r="E1044" t="str">
            <v>IBEWOUT</v>
          </cell>
          <cell r="F1044" t="str">
            <v>47</v>
          </cell>
          <cell r="G1044" t="str">
            <v>8</v>
          </cell>
          <cell r="H1044">
            <v>0</v>
          </cell>
        </row>
        <row r="1045">
          <cell r="B1045">
            <v>8208</v>
          </cell>
          <cell r="C1045" t="str">
            <v>Oliphant; Paul D</v>
          </cell>
          <cell r="D1045" t="str">
            <v>1C</v>
          </cell>
          <cell r="E1045" t="str">
            <v>IBEWOUT</v>
          </cell>
          <cell r="F1045" t="str">
            <v>602R</v>
          </cell>
          <cell r="G1045" t="str">
            <v>8</v>
          </cell>
          <cell r="H1045">
            <v>0</v>
          </cell>
        </row>
        <row r="1046">
          <cell r="B1046">
            <v>8211</v>
          </cell>
          <cell r="C1046" t="str">
            <v>Olberding; Jim F</v>
          </cell>
          <cell r="D1046" t="str">
            <v>1C</v>
          </cell>
          <cell r="E1046" t="str">
            <v>IBEWOUT</v>
          </cell>
          <cell r="F1046" t="str">
            <v>47</v>
          </cell>
          <cell r="G1046" t="str">
            <v>8</v>
          </cell>
          <cell r="H1046">
            <v>0</v>
          </cell>
        </row>
        <row r="1047">
          <cell r="B1047">
            <v>8219</v>
          </cell>
          <cell r="C1047" t="str">
            <v>Ortega; Lamar S</v>
          </cell>
          <cell r="D1047" t="str">
            <v>1C</v>
          </cell>
          <cell r="E1047" t="str">
            <v>IBEWOUT</v>
          </cell>
          <cell r="F1047" t="str">
            <v>47</v>
          </cell>
          <cell r="G1047" t="str">
            <v>8</v>
          </cell>
          <cell r="H1047">
            <v>0</v>
          </cell>
        </row>
        <row r="1048">
          <cell r="B1048">
            <v>8231</v>
          </cell>
          <cell r="C1048" t="str">
            <v>Ostrander; Matthew Z.</v>
          </cell>
          <cell r="D1048" t="str">
            <v>1</v>
          </cell>
          <cell r="E1048" t="str">
            <v/>
          </cell>
          <cell r="F1048" t="str">
            <v/>
          </cell>
          <cell r="G1048" t="str">
            <v/>
          </cell>
          <cell r="H1048">
            <v>0</v>
          </cell>
        </row>
        <row r="1049">
          <cell r="B1049">
            <v>8237</v>
          </cell>
          <cell r="C1049" t="str">
            <v>Overly; Bradley Williams</v>
          </cell>
          <cell r="D1049" t="str">
            <v>1C</v>
          </cell>
          <cell r="E1049" t="str">
            <v>IBEWOUT</v>
          </cell>
          <cell r="F1049" t="str">
            <v>396</v>
          </cell>
          <cell r="G1049" t="str">
            <v>21</v>
          </cell>
          <cell r="H1049">
            <v>0</v>
          </cell>
        </row>
        <row r="1050">
          <cell r="B1050">
            <v>8240</v>
          </cell>
          <cell r="C1050" t="str">
            <v>Ornelas; Chrystin N</v>
          </cell>
          <cell r="D1050" t="str">
            <v>1C</v>
          </cell>
          <cell r="E1050" t="str">
            <v>IBEWOUT</v>
          </cell>
          <cell r="F1050" t="str">
            <v>47</v>
          </cell>
          <cell r="G1050" t="str">
            <v>17</v>
          </cell>
          <cell r="H1050">
            <v>0</v>
          </cell>
        </row>
        <row r="1051">
          <cell r="B1051">
            <v>8242</v>
          </cell>
          <cell r="C1051" t="str">
            <v>Oswald II; Douglas D</v>
          </cell>
          <cell r="D1051" t="str">
            <v>1</v>
          </cell>
          <cell r="E1051" t="str">
            <v>IBEWOUT</v>
          </cell>
          <cell r="F1051" t="str">
            <v>1245</v>
          </cell>
          <cell r="G1051" t="str">
            <v>16</v>
          </cell>
          <cell r="H1051">
            <v>0</v>
          </cell>
        </row>
        <row r="1052">
          <cell r="B1052">
            <v>8243</v>
          </cell>
          <cell r="C1052" t="str">
            <v>Olson; Zachery J.</v>
          </cell>
          <cell r="D1052" t="str">
            <v>1C</v>
          </cell>
          <cell r="E1052" t="str">
            <v>IBEWOUT</v>
          </cell>
          <cell r="F1052" t="str">
            <v>47</v>
          </cell>
          <cell r="G1052" t="str">
            <v>8</v>
          </cell>
          <cell r="H1052">
            <v>0</v>
          </cell>
        </row>
        <row r="1053">
          <cell r="B1053">
            <v>8247</v>
          </cell>
          <cell r="C1053" t="str">
            <v>Origer; Caleb J</v>
          </cell>
          <cell r="D1053" t="str">
            <v>1C</v>
          </cell>
          <cell r="E1053" t="str">
            <v>IBEWOUT</v>
          </cell>
          <cell r="F1053" t="str">
            <v>47</v>
          </cell>
          <cell r="G1053" t="str">
            <v>8</v>
          </cell>
          <cell r="H1053">
            <v>0</v>
          </cell>
        </row>
        <row r="1054">
          <cell r="B1054">
            <v>8249</v>
          </cell>
          <cell r="C1054" t="str">
            <v>Ortega; Nick F.</v>
          </cell>
          <cell r="D1054" t="str">
            <v>1C</v>
          </cell>
          <cell r="E1054" t="str">
            <v>IBEWOUT</v>
          </cell>
          <cell r="F1054" t="str">
            <v>47</v>
          </cell>
          <cell r="G1054" t="str">
            <v>8</v>
          </cell>
          <cell r="H1054">
            <v>0</v>
          </cell>
        </row>
        <row r="1055">
          <cell r="B1055">
            <v>8250</v>
          </cell>
          <cell r="C1055" t="str">
            <v>Ortiz; John R.</v>
          </cell>
          <cell r="D1055" t="str">
            <v>1C</v>
          </cell>
          <cell r="E1055" t="str">
            <v>IBEWOUT</v>
          </cell>
          <cell r="F1055" t="str">
            <v>1245</v>
          </cell>
          <cell r="G1055" t="str">
            <v>17</v>
          </cell>
          <cell r="H1055">
            <v>0</v>
          </cell>
        </row>
        <row r="1056">
          <cell r="B1056">
            <v>8255</v>
          </cell>
          <cell r="C1056" t="str">
            <v>Ortiz; Rocky</v>
          </cell>
          <cell r="D1056" t="str">
            <v>1C</v>
          </cell>
          <cell r="E1056" t="str">
            <v>IBEWOUT</v>
          </cell>
          <cell r="F1056" t="str">
            <v>1245</v>
          </cell>
          <cell r="G1056" t="str">
            <v>70</v>
          </cell>
          <cell r="H1056">
            <v>0</v>
          </cell>
        </row>
        <row r="1057">
          <cell r="B1057">
            <v>8258</v>
          </cell>
          <cell r="C1057" t="str">
            <v>Olmos-Ramos; Antonio D</v>
          </cell>
          <cell r="D1057" t="str">
            <v>1</v>
          </cell>
          <cell r="E1057" t="str">
            <v/>
          </cell>
          <cell r="F1057" t="str">
            <v/>
          </cell>
          <cell r="G1057" t="str">
            <v/>
          </cell>
          <cell r="H1057">
            <v>0</v>
          </cell>
        </row>
        <row r="1058">
          <cell r="B1058">
            <v>8260</v>
          </cell>
          <cell r="C1058" t="str">
            <v>Pacheco; Erick</v>
          </cell>
          <cell r="D1058" t="str">
            <v>1C</v>
          </cell>
          <cell r="E1058" t="str">
            <v>IBEWOUT</v>
          </cell>
          <cell r="F1058" t="str">
            <v>47</v>
          </cell>
          <cell r="G1058" t="str">
            <v>8</v>
          </cell>
          <cell r="H1058">
            <v>0</v>
          </cell>
        </row>
        <row r="1059">
          <cell r="B1059">
            <v>8265</v>
          </cell>
          <cell r="C1059" t="str">
            <v>Paddock; Gary L</v>
          </cell>
          <cell r="D1059" t="str">
            <v>1C</v>
          </cell>
          <cell r="E1059" t="str">
            <v>IBEWOUT</v>
          </cell>
          <cell r="F1059" t="str">
            <v>1319</v>
          </cell>
          <cell r="G1059" t="str">
            <v>18</v>
          </cell>
          <cell r="H1059">
            <v>0</v>
          </cell>
        </row>
        <row r="1060">
          <cell r="B1060">
            <v>8276</v>
          </cell>
          <cell r="C1060" t="str">
            <v>Padilla; Nicholas B.</v>
          </cell>
          <cell r="D1060" t="str">
            <v>1C</v>
          </cell>
          <cell r="E1060" t="str">
            <v>IBEWOUT</v>
          </cell>
          <cell r="F1060" t="str">
            <v>1245</v>
          </cell>
          <cell r="G1060" t="str">
            <v>8</v>
          </cell>
          <cell r="H1060">
            <v>0</v>
          </cell>
        </row>
        <row r="1061">
          <cell r="B1061">
            <v>8280</v>
          </cell>
          <cell r="C1061" t="str">
            <v>Seekell; Robert R</v>
          </cell>
          <cell r="D1061" t="str">
            <v>1C</v>
          </cell>
          <cell r="E1061" t="str">
            <v>IBEWOUT</v>
          </cell>
          <cell r="F1061" t="str">
            <v>1245</v>
          </cell>
          <cell r="G1061" t="str">
            <v>8</v>
          </cell>
          <cell r="H1061">
            <v>0</v>
          </cell>
        </row>
        <row r="1062">
          <cell r="B1062">
            <v>8281</v>
          </cell>
          <cell r="C1062" t="str">
            <v>Paola; Jonathan M.</v>
          </cell>
          <cell r="D1062" t="str">
            <v>1C</v>
          </cell>
          <cell r="E1062" t="str">
            <v>IBEWOUT</v>
          </cell>
          <cell r="F1062" t="str">
            <v>47</v>
          </cell>
          <cell r="G1062" t="str">
            <v>60</v>
          </cell>
          <cell r="H1062">
            <v>0</v>
          </cell>
        </row>
        <row r="1063">
          <cell r="B1063">
            <v>8284</v>
          </cell>
          <cell r="C1063" t="str">
            <v>Pandolfi Jr.; James L</v>
          </cell>
          <cell r="D1063" t="str">
            <v>1C</v>
          </cell>
          <cell r="E1063" t="str">
            <v>IBEWOUT</v>
          </cell>
          <cell r="F1063" t="str">
            <v>160</v>
          </cell>
          <cell r="G1063" t="str">
            <v>8</v>
          </cell>
          <cell r="H1063">
            <v>0</v>
          </cell>
        </row>
        <row r="1064">
          <cell r="B1064">
            <v>8292</v>
          </cell>
          <cell r="C1064" t="str">
            <v>Park Campbell; Kyle C.</v>
          </cell>
          <cell r="D1064" t="str">
            <v>1</v>
          </cell>
          <cell r="E1064" t="str">
            <v/>
          </cell>
          <cell r="F1064" t="str">
            <v/>
          </cell>
          <cell r="G1064" t="str">
            <v/>
          </cell>
          <cell r="H1064">
            <v>0</v>
          </cell>
        </row>
        <row r="1065">
          <cell r="B1065">
            <v>8293</v>
          </cell>
          <cell r="C1065" t="str">
            <v>Parlett; Chad T</v>
          </cell>
          <cell r="D1065" t="str">
            <v>1</v>
          </cell>
          <cell r="E1065" t="str">
            <v>IBEWOUT</v>
          </cell>
          <cell r="F1065" t="str">
            <v>47</v>
          </cell>
          <cell r="G1065" t="str">
            <v>33</v>
          </cell>
          <cell r="H1065">
            <v>0</v>
          </cell>
        </row>
        <row r="1066">
          <cell r="B1066">
            <v>8300</v>
          </cell>
          <cell r="C1066" t="str">
            <v>Parker; Cody B</v>
          </cell>
          <cell r="D1066" t="str">
            <v>1C</v>
          </cell>
          <cell r="E1066" t="str">
            <v>IBEWOUT</v>
          </cell>
          <cell r="F1066" t="str">
            <v>1245</v>
          </cell>
          <cell r="G1066" t="str">
            <v>8</v>
          </cell>
          <cell r="H1066">
            <v>0</v>
          </cell>
        </row>
        <row r="1067">
          <cell r="B1067">
            <v>8301</v>
          </cell>
          <cell r="C1067" t="str">
            <v>Parmenter; George N.</v>
          </cell>
          <cell r="D1067" t="str">
            <v>1C</v>
          </cell>
          <cell r="E1067" t="str">
            <v>IBEWOUT</v>
          </cell>
          <cell r="F1067" t="str">
            <v>1245</v>
          </cell>
          <cell r="G1067" t="str">
            <v>7</v>
          </cell>
          <cell r="H1067">
            <v>0</v>
          </cell>
        </row>
        <row r="1068">
          <cell r="B1068">
            <v>8302</v>
          </cell>
          <cell r="C1068" t="str">
            <v>Parrish; Brandy M</v>
          </cell>
          <cell r="D1068" t="str">
            <v>1</v>
          </cell>
          <cell r="E1068" t="str">
            <v/>
          </cell>
          <cell r="F1068" t="str">
            <v/>
          </cell>
          <cell r="G1068" t="str">
            <v/>
          </cell>
          <cell r="H1068">
            <v>1</v>
          </cell>
        </row>
        <row r="1069">
          <cell r="B1069">
            <v>8303</v>
          </cell>
          <cell r="C1069" t="str">
            <v>Parten; Michael A</v>
          </cell>
          <cell r="D1069" t="str">
            <v>1C</v>
          </cell>
          <cell r="E1069" t="str">
            <v>IBEWOUT</v>
          </cell>
          <cell r="F1069" t="str">
            <v>125</v>
          </cell>
          <cell r="G1069" t="str">
            <v>8</v>
          </cell>
          <cell r="H1069">
            <v>0</v>
          </cell>
        </row>
        <row r="1070">
          <cell r="B1070">
            <v>8304</v>
          </cell>
          <cell r="C1070" t="str">
            <v>Parrisher; Colin K</v>
          </cell>
          <cell r="D1070" t="str">
            <v>1C</v>
          </cell>
          <cell r="E1070" t="str">
            <v>IBEWOUT</v>
          </cell>
          <cell r="F1070" t="str">
            <v>126</v>
          </cell>
          <cell r="G1070" t="str">
            <v>7</v>
          </cell>
          <cell r="H1070">
            <v>0</v>
          </cell>
        </row>
        <row r="1071">
          <cell r="B1071">
            <v>8317</v>
          </cell>
          <cell r="C1071" t="str">
            <v>Palacios Jr; Agustin Caudillo</v>
          </cell>
          <cell r="D1071" t="str">
            <v>1</v>
          </cell>
          <cell r="E1071" t="str">
            <v/>
          </cell>
          <cell r="F1071" t="str">
            <v/>
          </cell>
          <cell r="G1071" t="str">
            <v/>
          </cell>
          <cell r="H1071">
            <v>1</v>
          </cell>
        </row>
        <row r="1072">
          <cell r="B1072">
            <v>8320</v>
          </cell>
          <cell r="C1072" t="str">
            <v>Patchell; Oren J</v>
          </cell>
          <cell r="D1072" t="str">
            <v>1C</v>
          </cell>
          <cell r="E1072" t="str">
            <v>IBEWOUT</v>
          </cell>
          <cell r="F1072" t="str">
            <v>769</v>
          </cell>
          <cell r="G1072" t="str">
            <v>8</v>
          </cell>
          <cell r="H1072">
            <v>0</v>
          </cell>
        </row>
        <row r="1073">
          <cell r="B1073">
            <v>8325</v>
          </cell>
          <cell r="C1073" t="str">
            <v>Palacios; Alberto C</v>
          </cell>
          <cell r="D1073" t="str">
            <v>1</v>
          </cell>
          <cell r="E1073" t="str">
            <v/>
          </cell>
          <cell r="F1073" t="str">
            <v/>
          </cell>
          <cell r="G1073" t="str">
            <v/>
          </cell>
          <cell r="H1073">
            <v>0</v>
          </cell>
        </row>
        <row r="1074">
          <cell r="B1074">
            <v>8328</v>
          </cell>
          <cell r="C1074" t="str">
            <v>Pauley; Ryan H.</v>
          </cell>
          <cell r="D1074" t="str">
            <v>1C</v>
          </cell>
          <cell r="E1074" t="str">
            <v>IBEWOUT</v>
          </cell>
          <cell r="F1074" t="str">
            <v>77</v>
          </cell>
          <cell r="G1074" t="str">
            <v>8</v>
          </cell>
          <cell r="H1074">
            <v>0</v>
          </cell>
        </row>
        <row r="1075">
          <cell r="B1075">
            <v>8329</v>
          </cell>
          <cell r="C1075" t="str">
            <v>Palacios; Levi S</v>
          </cell>
          <cell r="D1075" t="str">
            <v>1C</v>
          </cell>
          <cell r="E1075" t="str">
            <v>IBEWOUT</v>
          </cell>
          <cell r="F1075" t="str">
            <v>1245</v>
          </cell>
          <cell r="G1075" t="str">
            <v>10</v>
          </cell>
          <cell r="H1075">
            <v>0</v>
          </cell>
        </row>
        <row r="1076">
          <cell r="B1076">
            <v>8330</v>
          </cell>
          <cell r="C1076" t="str">
            <v>Paull; Chadwick R</v>
          </cell>
          <cell r="D1076" t="str">
            <v>1C</v>
          </cell>
          <cell r="E1076" t="str">
            <v>IBEWOUT</v>
          </cell>
          <cell r="F1076" t="str">
            <v>47</v>
          </cell>
          <cell r="G1076" t="str">
            <v>8</v>
          </cell>
          <cell r="H1076">
            <v>0</v>
          </cell>
        </row>
        <row r="1077">
          <cell r="B1077">
            <v>8332</v>
          </cell>
          <cell r="C1077" t="str">
            <v>Payne; Marlin C</v>
          </cell>
          <cell r="D1077" t="str">
            <v>1</v>
          </cell>
          <cell r="E1077" t="str">
            <v>IBEWOUT</v>
          </cell>
          <cell r="F1077" t="str">
            <v>125</v>
          </cell>
          <cell r="G1077" t="str">
            <v>33</v>
          </cell>
          <cell r="H1077">
            <v>0</v>
          </cell>
        </row>
        <row r="1078">
          <cell r="B1078">
            <v>8334</v>
          </cell>
          <cell r="C1078" t="str">
            <v>Paez; David A</v>
          </cell>
          <cell r="D1078" t="str">
            <v>1C</v>
          </cell>
          <cell r="E1078" t="str">
            <v>IBEWOUT</v>
          </cell>
          <cell r="F1078" t="str">
            <v>47</v>
          </cell>
          <cell r="G1078" t="str">
            <v>13</v>
          </cell>
          <cell r="H1078">
            <v>0</v>
          </cell>
        </row>
        <row r="1079">
          <cell r="B1079">
            <v>8335</v>
          </cell>
          <cell r="C1079" t="str">
            <v>Paz; Arturo</v>
          </cell>
          <cell r="D1079" t="str">
            <v>1C</v>
          </cell>
          <cell r="E1079" t="str">
            <v>IBEWOUT</v>
          </cell>
          <cell r="F1079" t="str">
            <v>47</v>
          </cell>
          <cell r="G1079" t="str">
            <v>17</v>
          </cell>
          <cell r="H1079">
            <v>0</v>
          </cell>
        </row>
        <row r="1080">
          <cell r="B1080">
            <v>8336</v>
          </cell>
          <cell r="C1080" t="str">
            <v>Palacios; Alberto A</v>
          </cell>
          <cell r="D1080" t="str">
            <v>1C</v>
          </cell>
          <cell r="E1080" t="str">
            <v>IBEWOUT</v>
          </cell>
          <cell r="F1080" t="str">
            <v>47</v>
          </cell>
          <cell r="G1080" t="str">
            <v>17</v>
          </cell>
          <cell r="H1080">
            <v>0</v>
          </cell>
        </row>
        <row r="1081">
          <cell r="B1081">
            <v>8340</v>
          </cell>
          <cell r="C1081" t="str">
            <v>Paulsen; Michael B.</v>
          </cell>
          <cell r="D1081" t="str">
            <v>1C</v>
          </cell>
          <cell r="E1081" t="str">
            <v>IBEWOUT</v>
          </cell>
          <cell r="F1081" t="str">
            <v>1245</v>
          </cell>
          <cell r="G1081" t="str">
            <v>8</v>
          </cell>
          <cell r="H1081">
            <v>0</v>
          </cell>
        </row>
        <row r="1082">
          <cell r="B1082">
            <v>8341</v>
          </cell>
          <cell r="C1082" t="str">
            <v>Pavon; Marcus T</v>
          </cell>
          <cell r="D1082" t="str">
            <v>1C</v>
          </cell>
          <cell r="E1082" t="str">
            <v>IBEWOUT</v>
          </cell>
          <cell r="F1082" t="str">
            <v>1245</v>
          </cell>
          <cell r="G1082" t="str">
            <v>8</v>
          </cell>
          <cell r="H1082">
            <v>0</v>
          </cell>
        </row>
        <row r="1083">
          <cell r="B1083">
            <v>8342</v>
          </cell>
          <cell r="C1083" t="str">
            <v>Pavao; Jordan J</v>
          </cell>
          <cell r="D1083" t="str">
            <v>1C</v>
          </cell>
          <cell r="E1083" t="str">
            <v>IBEWOUT</v>
          </cell>
          <cell r="F1083" t="str">
            <v>104</v>
          </cell>
          <cell r="G1083" t="str">
            <v>15</v>
          </cell>
          <cell r="H1083">
            <v>0</v>
          </cell>
        </row>
        <row r="1084">
          <cell r="B1084">
            <v>8343</v>
          </cell>
          <cell r="C1084" t="str">
            <v>Pedersen; Daniel D</v>
          </cell>
          <cell r="D1084" t="str">
            <v>1C</v>
          </cell>
          <cell r="E1084" t="str">
            <v>IBEWOUT</v>
          </cell>
          <cell r="F1084" t="str">
            <v>1245</v>
          </cell>
          <cell r="G1084" t="str">
            <v>17</v>
          </cell>
          <cell r="H1084">
            <v>0</v>
          </cell>
        </row>
        <row r="1085">
          <cell r="B1085">
            <v>8345</v>
          </cell>
          <cell r="C1085" t="str">
            <v>Peachy; Joseph F</v>
          </cell>
          <cell r="D1085" t="str">
            <v>1C</v>
          </cell>
          <cell r="E1085" t="str">
            <v>IBEWOUT</v>
          </cell>
          <cell r="F1085" t="str">
            <v>47</v>
          </cell>
          <cell r="G1085" t="str">
            <v>8</v>
          </cell>
          <cell r="H1085">
            <v>0</v>
          </cell>
        </row>
        <row r="1086">
          <cell r="B1086">
            <v>8377</v>
          </cell>
          <cell r="C1086" t="str">
            <v>Pearson; Charles J</v>
          </cell>
          <cell r="D1086" t="str">
            <v>1C</v>
          </cell>
          <cell r="E1086" t="str">
            <v>IBEWOUT</v>
          </cell>
          <cell r="F1086" t="str">
            <v>1245</v>
          </cell>
          <cell r="G1086" t="str">
            <v>8</v>
          </cell>
          <cell r="H1086">
            <v>0</v>
          </cell>
        </row>
        <row r="1087">
          <cell r="B1087">
            <v>8385</v>
          </cell>
          <cell r="C1087" t="str">
            <v>Piedra; Raul</v>
          </cell>
          <cell r="D1087" t="str">
            <v>1</v>
          </cell>
          <cell r="E1087" t="str">
            <v>IBEWOUT</v>
          </cell>
          <cell r="F1087" t="str">
            <v>1245</v>
          </cell>
          <cell r="G1087" t="str">
            <v>8</v>
          </cell>
          <cell r="H1087">
            <v>0</v>
          </cell>
        </row>
        <row r="1088">
          <cell r="B1088">
            <v>8395</v>
          </cell>
          <cell r="C1088" t="str">
            <v>Perez; Ruben Michel</v>
          </cell>
          <cell r="D1088" t="str">
            <v>1C</v>
          </cell>
          <cell r="E1088" t="str">
            <v>IBEWOUT</v>
          </cell>
          <cell r="F1088" t="str">
            <v>47</v>
          </cell>
          <cell r="G1088" t="str">
            <v>17</v>
          </cell>
          <cell r="H1088">
            <v>0</v>
          </cell>
        </row>
        <row r="1089">
          <cell r="B1089">
            <v>8398</v>
          </cell>
          <cell r="C1089" t="str">
            <v>Pendarvis; Jason L.</v>
          </cell>
          <cell r="D1089" t="str">
            <v>1C</v>
          </cell>
          <cell r="E1089" t="str">
            <v>IBEWOUT</v>
          </cell>
          <cell r="F1089" t="str">
            <v>125</v>
          </cell>
          <cell r="G1089" t="str">
            <v>17</v>
          </cell>
          <cell r="H1089">
            <v>0</v>
          </cell>
        </row>
        <row r="1090">
          <cell r="B1090">
            <v>8399</v>
          </cell>
          <cell r="C1090" t="str">
            <v>Pedersen; Vikter James</v>
          </cell>
          <cell r="D1090" t="str">
            <v>1C</v>
          </cell>
          <cell r="E1090" t="str">
            <v>IBEWOUT</v>
          </cell>
          <cell r="F1090" t="str">
            <v>77</v>
          </cell>
          <cell r="G1090" t="str">
            <v>8</v>
          </cell>
          <cell r="H1090">
            <v>0</v>
          </cell>
        </row>
        <row r="1091">
          <cell r="B1091">
            <v>8403</v>
          </cell>
          <cell r="C1091" t="str">
            <v>Perez; Gabriel D</v>
          </cell>
          <cell r="D1091" t="str">
            <v>1</v>
          </cell>
          <cell r="E1091" t="str">
            <v/>
          </cell>
          <cell r="F1091" t="str">
            <v/>
          </cell>
          <cell r="G1091" t="str">
            <v/>
          </cell>
          <cell r="H1091">
            <v>0</v>
          </cell>
        </row>
        <row r="1092">
          <cell r="B1092">
            <v>8405</v>
          </cell>
          <cell r="C1092" t="str">
            <v>Perzel; Donna</v>
          </cell>
          <cell r="D1092" t="str">
            <v>1C</v>
          </cell>
          <cell r="E1092" t="str">
            <v/>
          </cell>
          <cell r="F1092" t="str">
            <v/>
          </cell>
          <cell r="G1092" t="str">
            <v/>
          </cell>
          <cell r="H1092">
            <v>0</v>
          </cell>
        </row>
        <row r="1093">
          <cell r="B1093">
            <v>8430</v>
          </cell>
          <cell r="C1093" t="str">
            <v>Pelley; Robert M</v>
          </cell>
          <cell r="D1093" t="str">
            <v>1C</v>
          </cell>
          <cell r="E1093" t="str">
            <v>IBEWOUT</v>
          </cell>
          <cell r="F1093" t="str">
            <v>47</v>
          </cell>
          <cell r="G1093" t="str">
            <v>16</v>
          </cell>
          <cell r="H1093">
            <v>0</v>
          </cell>
        </row>
        <row r="1094">
          <cell r="B1094">
            <v>8434</v>
          </cell>
          <cell r="C1094" t="str">
            <v>Peterson; Paul B</v>
          </cell>
          <cell r="D1094" t="str">
            <v>1</v>
          </cell>
          <cell r="E1094" t="str">
            <v>IBEWOUT</v>
          </cell>
          <cell r="F1094" t="str">
            <v>1245</v>
          </cell>
          <cell r="G1094" t="str">
            <v>7</v>
          </cell>
          <cell r="H1094">
            <v>0</v>
          </cell>
        </row>
        <row r="1095">
          <cell r="B1095">
            <v>8439</v>
          </cell>
          <cell r="C1095" t="str">
            <v>Peterson; Edwin W</v>
          </cell>
          <cell r="D1095" t="str">
            <v>1C</v>
          </cell>
          <cell r="E1095" t="str">
            <v>IBEWOUT</v>
          </cell>
          <cell r="F1095" t="str">
            <v>1245</v>
          </cell>
          <cell r="G1095" t="str">
            <v>8</v>
          </cell>
          <cell r="H1095">
            <v>0</v>
          </cell>
        </row>
        <row r="1096">
          <cell r="B1096">
            <v>8440</v>
          </cell>
          <cell r="C1096" t="str">
            <v>Pelster; Damian S</v>
          </cell>
          <cell r="D1096" t="str">
            <v>1C</v>
          </cell>
          <cell r="E1096" t="str">
            <v>IBEWOUT</v>
          </cell>
          <cell r="F1096" t="str">
            <v>1245</v>
          </cell>
          <cell r="G1096" t="str">
            <v>8</v>
          </cell>
          <cell r="H1096">
            <v>0</v>
          </cell>
        </row>
        <row r="1097">
          <cell r="B1097">
            <v>8441</v>
          </cell>
          <cell r="C1097" t="str">
            <v>Petrarca Jr; Jay M</v>
          </cell>
          <cell r="D1097" t="str">
            <v>1</v>
          </cell>
          <cell r="E1097" t="str">
            <v/>
          </cell>
          <cell r="F1097" t="str">
            <v/>
          </cell>
          <cell r="G1097" t="str">
            <v/>
          </cell>
          <cell r="H1097">
            <v>0</v>
          </cell>
        </row>
        <row r="1098">
          <cell r="B1098">
            <v>8442</v>
          </cell>
          <cell r="C1098" t="str">
            <v>Persche; Mark Russell</v>
          </cell>
          <cell r="D1098" t="str">
            <v>1C</v>
          </cell>
          <cell r="E1098" t="str">
            <v>IBEWOUT</v>
          </cell>
          <cell r="F1098" t="str">
            <v>1245</v>
          </cell>
          <cell r="G1098" t="str">
            <v>8</v>
          </cell>
          <cell r="H1098">
            <v>0</v>
          </cell>
        </row>
        <row r="1099">
          <cell r="B1099">
            <v>8444</v>
          </cell>
          <cell r="C1099" t="str">
            <v>Pesina; Christopher M</v>
          </cell>
          <cell r="D1099" t="str">
            <v>1</v>
          </cell>
          <cell r="E1099" t="str">
            <v>IBEWOUT</v>
          </cell>
          <cell r="F1099" t="str">
            <v>611</v>
          </cell>
          <cell r="G1099" t="str">
            <v>7</v>
          </cell>
          <cell r="H1099">
            <v>0</v>
          </cell>
        </row>
        <row r="1100">
          <cell r="B1100">
            <v>8445</v>
          </cell>
          <cell r="C1100" t="str">
            <v>Pelayo; Ruben</v>
          </cell>
          <cell r="D1100" t="str">
            <v>1C</v>
          </cell>
          <cell r="E1100" t="str">
            <v>IBEWOUT</v>
          </cell>
          <cell r="F1100" t="str">
            <v>1245</v>
          </cell>
          <cell r="G1100" t="str">
            <v>15</v>
          </cell>
          <cell r="H1100">
            <v>0</v>
          </cell>
        </row>
        <row r="1101">
          <cell r="B1101">
            <v>8451</v>
          </cell>
          <cell r="C1101" t="str">
            <v>Phillips; Luther E.</v>
          </cell>
          <cell r="D1101" t="str">
            <v>1</v>
          </cell>
          <cell r="E1101" t="str">
            <v/>
          </cell>
          <cell r="F1101" t="str">
            <v/>
          </cell>
          <cell r="G1101" t="str">
            <v/>
          </cell>
          <cell r="H1101">
            <v>1</v>
          </cell>
        </row>
        <row r="1102">
          <cell r="B1102">
            <v>8452</v>
          </cell>
          <cell r="C1102" t="str">
            <v>Phillips; Blake R</v>
          </cell>
          <cell r="D1102" t="str">
            <v>1C</v>
          </cell>
          <cell r="E1102" t="str">
            <v>IBEWOUT</v>
          </cell>
          <cell r="F1102" t="str">
            <v>47</v>
          </cell>
          <cell r="G1102" t="str">
            <v>14</v>
          </cell>
          <cell r="H1102">
            <v>0</v>
          </cell>
        </row>
        <row r="1103">
          <cell r="B1103">
            <v>8453</v>
          </cell>
          <cell r="C1103" t="str">
            <v>Pierce; Andrew J.</v>
          </cell>
          <cell r="D1103" t="str">
            <v>1C</v>
          </cell>
          <cell r="E1103" t="str">
            <v>IBEWOUT</v>
          </cell>
          <cell r="F1103" t="str">
            <v>1245</v>
          </cell>
          <cell r="G1103" t="str">
            <v>8</v>
          </cell>
          <cell r="H1103">
            <v>0</v>
          </cell>
        </row>
        <row r="1104">
          <cell r="B1104">
            <v>8458</v>
          </cell>
          <cell r="C1104" t="str">
            <v>Phillips; John W</v>
          </cell>
          <cell r="D1104" t="str">
            <v>1C</v>
          </cell>
          <cell r="E1104" t="str">
            <v>IBEWOUT</v>
          </cell>
          <cell r="F1104" t="str">
            <v>1245</v>
          </cell>
          <cell r="G1104" t="str">
            <v>16</v>
          </cell>
          <cell r="H1104">
            <v>0</v>
          </cell>
        </row>
        <row r="1105">
          <cell r="B1105">
            <v>8461</v>
          </cell>
          <cell r="C1105" t="str">
            <v>Pfaff; Rory C</v>
          </cell>
          <cell r="D1105" t="str">
            <v>1C</v>
          </cell>
          <cell r="E1105" t="str">
            <v>IBEWOUT</v>
          </cell>
          <cell r="F1105" t="str">
            <v>47</v>
          </cell>
          <cell r="G1105" t="str">
            <v>16</v>
          </cell>
          <cell r="H1105">
            <v>0</v>
          </cell>
        </row>
        <row r="1106">
          <cell r="B1106">
            <v>8471</v>
          </cell>
          <cell r="C1106" t="str">
            <v>Pierson; Ian R</v>
          </cell>
          <cell r="D1106" t="str">
            <v>1C</v>
          </cell>
          <cell r="E1106" t="str">
            <v>IBEWOUT</v>
          </cell>
          <cell r="F1106" t="str">
            <v>160</v>
          </cell>
          <cell r="G1106" t="str">
            <v>8</v>
          </cell>
          <cell r="H1106">
            <v>0</v>
          </cell>
        </row>
        <row r="1107">
          <cell r="B1107">
            <v>8472</v>
          </cell>
          <cell r="C1107" t="str">
            <v>Pierson Jr.; Robert Dewey</v>
          </cell>
          <cell r="D1107" t="str">
            <v>1C</v>
          </cell>
          <cell r="E1107" t="str">
            <v/>
          </cell>
          <cell r="F1107" t="str">
            <v/>
          </cell>
          <cell r="G1107" t="str">
            <v/>
          </cell>
          <cell r="H1107">
            <v>0</v>
          </cell>
        </row>
        <row r="1108">
          <cell r="B1108">
            <v>8476</v>
          </cell>
          <cell r="C1108" t="str">
            <v>Pinios; Frank N.</v>
          </cell>
          <cell r="D1108" t="str">
            <v>1C</v>
          </cell>
          <cell r="E1108" t="str">
            <v>IBEWOUT</v>
          </cell>
          <cell r="F1108" t="str">
            <v>1245</v>
          </cell>
          <cell r="G1108" t="str">
            <v>7</v>
          </cell>
          <cell r="H1108">
            <v>0</v>
          </cell>
        </row>
        <row r="1109">
          <cell r="B1109">
            <v>8477</v>
          </cell>
          <cell r="C1109" t="str">
            <v>Piedra; Jose Manuel</v>
          </cell>
          <cell r="D1109" t="str">
            <v>1C</v>
          </cell>
          <cell r="E1109" t="str">
            <v>IBEWOUT</v>
          </cell>
          <cell r="F1109" t="str">
            <v>769</v>
          </cell>
          <cell r="G1109" t="str">
            <v>7</v>
          </cell>
          <cell r="H1109">
            <v>0</v>
          </cell>
        </row>
        <row r="1110">
          <cell r="B1110">
            <v>8479</v>
          </cell>
          <cell r="C1110" t="str">
            <v>Picazo; Benjamin</v>
          </cell>
          <cell r="D1110" t="str">
            <v>1C</v>
          </cell>
          <cell r="E1110" t="str">
            <v>IBEWOUT</v>
          </cell>
          <cell r="F1110" t="str">
            <v>1245</v>
          </cell>
          <cell r="G1110" t="str">
            <v>15</v>
          </cell>
          <cell r="H1110">
            <v>0</v>
          </cell>
        </row>
        <row r="1111">
          <cell r="B1111">
            <v>8481</v>
          </cell>
          <cell r="C1111" t="str">
            <v>Pitts; Andrew J</v>
          </cell>
          <cell r="D1111" t="str">
            <v>1C</v>
          </cell>
          <cell r="E1111" t="str">
            <v>IBEWOUT</v>
          </cell>
          <cell r="F1111" t="str">
            <v>1245</v>
          </cell>
          <cell r="G1111" t="str">
            <v>8</v>
          </cell>
          <cell r="H1111">
            <v>0</v>
          </cell>
        </row>
        <row r="1112">
          <cell r="B1112">
            <v>8483</v>
          </cell>
          <cell r="C1112" t="str">
            <v>Pineda; Adolfo Rudy</v>
          </cell>
          <cell r="D1112" t="str">
            <v>1C</v>
          </cell>
          <cell r="E1112" t="str">
            <v>IBEWOUT</v>
          </cell>
          <cell r="F1112" t="str">
            <v>396</v>
          </cell>
          <cell r="G1112" t="str">
            <v>18</v>
          </cell>
          <cell r="H1112">
            <v>0</v>
          </cell>
        </row>
        <row r="1113">
          <cell r="B1113">
            <v>8485</v>
          </cell>
          <cell r="C1113" t="str">
            <v>Pinedo; Daniel</v>
          </cell>
          <cell r="D1113" t="str">
            <v>1C</v>
          </cell>
          <cell r="E1113" t="str">
            <v>IBEWOUT</v>
          </cell>
          <cell r="F1113" t="str">
            <v>47</v>
          </cell>
          <cell r="G1113" t="str">
            <v>13</v>
          </cell>
          <cell r="H1113">
            <v>0</v>
          </cell>
        </row>
        <row r="1114">
          <cell r="B1114">
            <v>8487</v>
          </cell>
          <cell r="C1114" t="str">
            <v>Plant; Zachary</v>
          </cell>
          <cell r="D1114" t="str">
            <v>1C</v>
          </cell>
          <cell r="E1114" t="str">
            <v>IBEWOUT</v>
          </cell>
          <cell r="F1114" t="str">
            <v>611</v>
          </cell>
          <cell r="G1114" t="str">
            <v>17</v>
          </cell>
          <cell r="H1114">
            <v>0</v>
          </cell>
        </row>
        <row r="1115">
          <cell r="B1115">
            <v>8488</v>
          </cell>
          <cell r="C1115" t="str">
            <v>Pion; Nicholas A.</v>
          </cell>
          <cell r="D1115" t="str">
            <v>1C</v>
          </cell>
          <cell r="E1115" t="str">
            <v>IBEWOUT</v>
          </cell>
          <cell r="F1115" t="str">
            <v>1245</v>
          </cell>
          <cell r="G1115" t="str">
            <v>13</v>
          </cell>
          <cell r="H1115">
            <v>0</v>
          </cell>
        </row>
        <row r="1116">
          <cell r="B1116">
            <v>8507</v>
          </cell>
          <cell r="C1116" t="str">
            <v>Pontine; Devon A</v>
          </cell>
          <cell r="D1116" t="str">
            <v>1C</v>
          </cell>
          <cell r="E1116" t="str">
            <v>IBEWOUT</v>
          </cell>
          <cell r="F1116" t="str">
            <v>602R</v>
          </cell>
          <cell r="G1116" t="str">
            <v>14T</v>
          </cell>
          <cell r="H1116">
            <v>0</v>
          </cell>
        </row>
        <row r="1117">
          <cell r="B1117">
            <v>8509</v>
          </cell>
          <cell r="C1117" t="str">
            <v>Porter; Wes Fraser</v>
          </cell>
          <cell r="D1117" t="str">
            <v>1C</v>
          </cell>
          <cell r="E1117" t="str">
            <v>IBEWOUT</v>
          </cell>
          <cell r="F1117" t="str">
            <v>47</v>
          </cell>
          <cell r="G1117" t="str">
            <v>17</v>
          </cell>
          <cell r="H1117">
            <v>0</v>
          </cell>
        </row>
        <row r="1118">
          <cell r="B1118">
            <v>8510</v>
          </cell>
          <cell r="C1118" t="str">
            <v>Porras; Jose R</v>
          </cell>
          <cell r="D1118" t="str">
            <v>1C</v>
          </cell>
          <cell r="E1118" t="str">
            <v>IBEWOUT</v>
          </cell>
          <cell r="F1118" t="str">
            <v>602R</v>
          </cell>
          <cell r="G1118" t="str">
            <v>13T</v>
          </cell>
          <cell r="H1118">
            <v>0</v>
          </cell>
        </row>
        <row r="1119">
          <cell r="B1119">
            <v>8511</v>
          </cell>
          <cell r="C1119" t="str">
            <v>Poland; Christopher James</v>
          </cell>
          <cell r="D1119" t="str">
            <v>1C</v>
          </cell>
          <cell r="E1119" t="str">
            <v>IBEWOUT</v>
          </cell>
          <cell r="F1119" t="str">
            <v>125</v>
          </cell>
          <cell r="G1119" t="str">
            <v>7</v>
          </cell>
          <cell r="H1119">
            <v>0</v>
          </cell>
        </row>
        <row r="1120">
          <cell r="B1120">
            <v>8515</v>
          </cell>
          <cell r="C1120" t="str">
            <v>Pock; Alvin J.</v>
          </cell>
          <cell r="D1120" t="str">
            <v>1C</v>
          </cell>
          <cell r="E1120" t="str">
            <v/>
          </cell>
          <cell r="F1120" t="str">
            <v/>
          </cell>
          <cell r="G1120" t="str">
            <v/>
          </cell>
          <cell r="H1120">
            <v>0</v>
          </cell>
        </row>
        <row r="1121">
          <cell r="B1121">
            <v>8518</v>
          </cell>
          <cell r="C1121" t="str">
            <v>Pino; Adam J</v>
          </cell>
          <cell r="D1121" t="str">
            <v>1C</v>
          </cell>
          <cell r="E1121" t="str">
            <v>IBEWOUT</v>
          </cell>
          <cell r="F1121" t="str">
            <v>77</v>
          </cell>
          <cell r="G1121" t="str">
            <v>8</v>
          </cell>
          <cell r="H1121">
            <v>0</v>
          </cell>
        </row>
        <row r="1122">
          <cell r="B1122">
            <v>8520</v>
          </cell>
          <cell r="C1122" t="str">
            <v>Posey; Walter</v>
          </cell>
          <cell r="D1122" t="str">
            <v>1</v>
          </cell>
          <cell r="E1122" t="str">
            <v/>
          </cell>
          <cell r="F1122" t="str">
            <v/>
          </cell>
          <cell r="G1122" t="str">
            <v/>
          </cell>
          <cell r="H1122">
            <v>0</v>
          </cell>
        </row>
        <row r="1123">
          <cell r="B1123">
            <v>8523</v>
          </cell>
          <cell r="C1123" t="str">
            <v>Prychodzko; Peter D</v>
          </cell>
          <cell r="D1123" t="str">
            <v>1</v>
          </cell>
          <cell r="E1123" t="str">
            <v/>
          </cell>
          <cell r="F1123" t="str">
            <v/>
          </cell>
          <cell r="G1123" t="str">
            <v/>
          </cell>
          <cell r="H1123">
            <v>1</v>
          </cell>
        </row>
        <row r="1124">
          <cell r="B1124">
            <v>8524</v>
          </cell>
          <cell r="C1124" t="str">
            <v>Potter; Howard Michael</v>
          </cell>
          <cell r="D1124" t="str">
            <v>1C</v>
          </cell>
          <cell r="E1124" t="str">
            <v>IBEWOUT</v>
          </cell>
          <cell r="F1124" t="str">
            <v>396</v>
          </cell>
          <cell r="G1124" t="str">
            <v>8</v>
          </cell>
          <cell r="H1124">
            <v>0</v>
          </cell>
        </row>
        <row r="1125">
          <cell r="B1125">
            <v>8525</v>
          </cell>
          <cell r="C1125" t="str">
            <v>Powers; Nicholas L</v>
          </cell>
          <cell r="D1125" t="str">
            <v>1C</v>
          </cell>
          <cell r="E1125" t="str">
            <v>IBEWOUT</v>
          </cell>
          <cell r="F1125" t="str">
            <v>125</v>
          </cell>
          <cell r="G1125" t="str">
            <v>15</v>
          </cell>
          <cell r="H1125">
            <v>0</v>
          </cell>
        </row>
        <row r="1126">
          <cell r="B1126">
            <v>8526</v>
          </cell>
          <cell r="C1126" t="str">
            <v>Perlick; Timothy C</v>
          </cell>
          <cell r="D1126" t="str">
            <v>1C</v>
          </cell>
          <cell r="E1126" t="str">
            <v>IBEWOUT</v>
          </cell>
          <cell r="F1126" t="str">
            <v>47</v>
          </cell>
          <cell r="G1126" t="str">
            <v>8</v>
          </cell>
          <cell r="H1126">
            <v>0</v>
          </cell>
        </row>
        <row r="1127">
          <cell r="B1127">
            <v>8527</v>
          </cell>
          <cell r="C1127" t="str">
            <v>Potter; Shawn M</v>
          </cell>
          <cell r="D1127" t="str">
            <v>1C</v>
          </cell>
          <cell r="E1127" t="str">
            <v>IBEWOUT</v>
          </cell>
          <cell r="F1127" t="str">
            <v>160</v>
          </cell>
          <cell r="G1127" t="str">
            <v>31</v>
          </cell>
          <cell r="H1127">
            <v>0</v>
          </cell>
        </row>
        <row r="1128">
          <cell r="B1128">
            <v>8529</v>
          </cell>
          <cell r="C1128" t="str">
            <v>Preciado; Joseph A</v>
          </cell>
          <cell r="D1128" t="str">
            <v>1C</v>
          </cell>
          <cell r="E1128" t="str">
            <v>IBEWOUT</v>
          </cell>
          <cell r="F1128" t="str">
            <v>47</v>
          </cell>
          <cell r="G1128" t="str">
            <v>8</v>
          </cell>
          <cell r="H1128">
            <v>0</v>
          </cell>
        </row>
        <row r="1129">
          <cell r="B1129">
            <v>8532</v>
          </cell>
          <cell r="C1129" t="str">
            <v>Prather; Robert D.</v>
          </cell>
          <cell r="D1129" t="str">
            <v>1C</v>
          </cell>
          <cell r="E1129" t="str">
            <v>IBEWOUT</v>
          </cell>
          <cell r="F1129" t="str">
            <v>396</v>
          </cell>
          <cell r="G1129" t="str">
            <v>21</v>
          </cell>
          <cell r="H1129">
            <v>0</v>
          </cell>
        </row>
        <row r="1130">
          <cell r="B1130">
            <v>8533</v>
          </cell>
          <cell r="C1130" t="str">
            <v>Powers; Brian R</v>
          </cell>
          <cell r="D1130" t="str">
            <v>1</v>
          </cell>
          <cell r="E1130" t="str">
            <v>IBEWOUT</v>
          </cell>
          <cell r="F1130" t="str">
            <v>47</v>
          </cell>
          <cell r="G1130" t="str">
            <v>17</v>
          </cell>
          <cell r="H1130">
            <v>1</v>
          </cell>
        </row>
        <row r="1131">
          <cell r="B1131">
            <v>8534</v>
          </cell>
          <cell r="C1131" t="str">
            <v>Potts; Noah M</v>
          </cell>
          <cell r="D1131" t="str">
            <v>1C</v>
          </cell>
          <cell r="E1131" t="str">
            <v>IBEWOUT</v>
          </cell>
          <cell r="F1131" t="str">
            <v>1245</v>
          </cell>
          <cell r="G1131" t="str">
            <v>15</v>
          </cell>
          <cell r="H1131">
            <v>0</v>
          </cell>
        </row>
        <row r="1132">
          <cell r="B1132">
            <v>8551</v>
          </cell>
          <cell r="C1132" t="str">
            <v>Reyes; Gerardo</v>
          </cell>
          <cell r="D1132" t="str">
            <v>1C</v>
          </cell>
          <cell r="E1132" t="str">
            <v>IBEWOUT</v>
          </cell>
          <cell r="F1132" t="str">
            <v>47</v>
          </cell>
          <cell r="G1132" t="str">
            <v>60</v>
          </cell>
          <cell r="H1132">
            <v>0</v>
          </cell>
        </row>
        <row r="1133">
          <cell r="B1133">
            <v>8559</v>
          </cell>
          <cell r="C1133" t="str">
            <v>Ibarra; Diego</v>
          </cell>
          <cell r="D1133" t="str">
            <v>1</v>
          </cell>
          <cell r="E1133" t="str">
            <v/>
          </cell>
          <cell r="F1133" t="str">
            <v/>
          </cell>
          <cell r="G1133" t="str">
            <v/>
          </cell>
          <cell r="H1133">
            <v>1</v>
          </cell>
        </row>
        <row r="1134">
          <cell r="B1134">
            <v>8564</v>
          </cell>
          <cell r="C1134" t="str">
            <v>Reyes; Joe M</v>
          </cell>
          <cell r="D1134" t="str">
            <v>1</v>
          </cell>
          <cell r="E1134" t="str">
            <v>IBEWOUT</v>
          </cell>
          <cell r="F1134" t="str">
            <v>47</v>
          </cell>
          <cell r="G1134" t="str">
            <v>7</v>
          </cell>
          <cell r="H1134">
            <v>0</v>
          </cell>
        </row>
        <row r="1135">
          <cell r="B1135">
            <v>8570</v>
          </cell>
          <cell r="C1135" t="str">
            <v>Reyna; Mario J</v>
          </cell>
          <cell r="D1135" t="str">
            <v>1</v>
          </cell>
          <cell r="E1135" t="str">
            <v>IBEWOUT</v>
          </cell>
          <cell r="F1135" t="str">
            <v>1245</v>
          </cell>
          <cell r="G1135" t="str">
            <v>70T</v>
          </cell>
          <cell r="H1135">
            <v>0</v>
          </cell>
        </row>
        <row r="1136">
          <cell r="B1136">
            <v>8573</v>
          </cell>
          <cell r="C1136" t="str">
            <v>Reynolds; Ren J</v>
          </cell>
          <cell r="D1136" t="str">
            <v>1</v>
          </cell>
          <cell r="E1136" t="str">
            <v>IBEWOUT</v>
          </cell>
          <cell r="F1136" t="str">
            <v>1245</v>
          </cell>
          <cell r="G1136" t="str">
            <v>16</v>
          </cell>
          <cell r="H1136">
            <v>0</v>
          </cell>
        </row>
        <row r="1137">
          <cell r="B1137">
            <v>8600</v>
          </cell>
          <cell r="C1137" t="str">
            <v>Preuitt; Jason P.</v>
          </cell>
          <cell r="D1137" t="str">
            <v>1</v>
          </cell>
          <cell r="E1137" t="str">
            <v/>
          </cell>
          <cell r="F1137" t="str">
            <v/>
          </cell>
          <cell r="G1137" t="str">
            <v/>
          </cell>
          <cell r="H1137">
            <v>1</v>
          </cell>
        </row>
        <row r="1138">
          <cell r="B1138">
            <v>8602</v>
          </cell>
          <cell r="C1138" t="str">
            <v>Prewitt; Aaron M</v>
          </cell>
          <cell r="D1138" t="str">
            <v>1C</v>
          </cell>
          <cell r="E1138" t="str">
            <v>IBEWOUT</v>
          </cell>
          <cell r="F1138" t="str">
            <v>1049</v>
          </cell>
          <cell r="G1138" t="str">
            <v>8</v>
          </cell>
          <cell r="H1138">
            <v>0</v>
          </cell>
        </row>
        <row r="1139">
          <cell r="B1139">
            <v>8604</v>
          </cell>
          <cell r="C1139" t="str">
            <v>Price; Conner M</v>
          </cell>
          <cell r="D1139" t="str">
            <v>1C</v>
          </cell>
          <cell r="E1139" t="str">
            <v>IBEWOUT</v>
          </cell>
          <cell r="F1139" t="str">
            <v>1245</v>
          </cell>
          <cell r="G1139" t="str">
            <v>8</v>
          </cell>
          <cell r="H1139">
            <v>0</v>
          </cell>
        </row>
        <row r="1140">
          <cell r="B1140">
            <v>8605</v>
          </cell>
          <cell r="C1140" t="str">
            <v>Price; Hunter S</v>
          </cell>
          <cell r="D1140" t="str">
            <v>1C</v>
          </cell>
          <cell r="E1140" t="str">
            <v>IBEWOUT</v>
          </cell>
          <cell r="F1140" t="str">
            <v>1245</v>
          </cell>
          <cell r="G1140" t="str">
            <v>14</v>
          </cell>
          <cell r="H1140">
            <v>0</v>
          </cell>
        </row>
        <row r="1141">
          <cell r="B1141">
            <v>8613</v>
          </cell>
          <cell r="C1141" t="str">
            <v>Prochoren; Neal A</v>
          </cell>
          <cell r="D1141" t="str">
            <v>1C</v>
          </cell>
          <cell r="E1141" t="str">
            <v>IBEWOUT</v>
          </cell>
          <cell r="F1141" t="str">
            <v>47</v>
          </cell>
          <cell r="G1141" t="str">
            <v>17</v>
          </cell>
          <cell r="H1141">
            <v>0</v>
          </cell>
        </row>
        <row r="1142">
          <cell r="B1142">
            <v>8614</v>
          </cell>
          <cell r="C1142" t="str">
            <v>Pritchard; Andrew S</v>
          </cell>
          <cell r="D1142" t="str">
            <v>1</v>
          </cell>
          <cell r="E1142" t="str">
            <v>IBEWOUT</v>
          </cell>
          <cell r="F1142" t="str">
            <v>47</v>
          </cell>
          <cell r="G1142" t="str">
            <v>8</v>
          </cell>
          <cell r="H1142">
            <v>0</v>
          </cell>
        </row>
        <row r="1143">
          <cell r="B1143">
            <v>8616</v>
          </cell>
          <cell r="C1143" t="str">
            <v>Proctor; Casey D</v>
          </cell>
          <cell r="D1143" t="str">
            <v>1</v>
          </cell>
          <cell r="E1143" t="str">
            <v/>
          </cell>
          <cell r="F1143" t="str">
            <v/>
          </cell>
          <cell r="G1143" t="str">
            <v/>
          </cell>
          <cell r="H1143">
            <v>0</v>
          </cell>
        </row>
        <row r="1144">
          <cell r="B1144">
            <v>8662</v>
          </cell>
          <cell r="C1144" t="str">
            <v>Pulido; Arturo R</v>
          </cell>
          <cell r="D1144" t="str">
            <v>1</v>
          </cell>
          <cell r="E1144" t="str">
            <v>IBEWOUT</v>
          </cell>
          <cell r="F1144" t="str">
            <v>1245</v>
          </cell>
          <cell r="G1144" t="str">
            <v>13</v>
          </cell>
          <cell r="H1144">
            <v>0</v>
          </cell>
        </row>
        <row r="1145">
          <cell r="B1145">
            <v>8668</v>
          </cell>
          <cell r="C1145" t="str">
            <v>Pyeatt; Jordan M</v>
          </cell>
          <cell r="D1145" t="str">
            <v>1</v>
          </cell>
          <cell r="E1145" t="str">
            <v>IBEWOUT</v>
          </cell>
          <cell r="F1145" t="str">
            <v>77</v>
          </cell>
          <cell r="G1145" t="str">
            <v>16</v>
          </cell>
          <cell r="H1145">
            <v>0</v>
          </cell>
        </row>
        <row r="1146">
          <cell r="B1146">
            <v>8671</v>
          </cell>
          <cell r="C1146" t="str">
            <v>Queen; Joseph D</v>
          </cell>
          <cell r="D1146" t="str">
            <v>1C</v>
          </cell>
          <cell r="E1146" t="str">
            <v>IBEWOUT</v>
          </cell>
          <cell r="F1146" t="str">
            <v>1245</v>
          </cell>
          <cell r="G1146" t="str">
            <v>60</v>
          </cell>
          <cell r="H1146">
            <v>0</v>
          </cell>
        </row>
        <row r="1147">
          <cell r="B1147">
            <v>8684</v>
          </cell>
          <cell r="C1147" t="str">
            <v>Quillen; Justis J</v>
          </cell>
          <cell r="D1147" t="str">
            <v>1C</v>
          </cell>
          <cell r="E1147" t="str">
            <v>IBEWOUT</v>
          </cell>
          <cell r="F1147" t="str">
            <v>611</v>
          </cell>
          <cell r="G1147" t="str">
            <v>15</v>
          </cell>
          <cell r="H1147">
            <v>0</v>
          </cell>
        </row>
        <row r="1148">
          <cell r="B1148">
            <v>8685</v>
          </cell>
          <cell r="C1148" t="str">
            <v>Quigley; Patrick Allen</v>
          </cell>
          <cell r="D1148" t="str">
            <v>1</v>
          </cell>
          <cell r="E1148" t="str">
            <v>IBEWOUT</v>
          </cell>
          <cell r="F1148" t="str">
            <v>47</v>
          </cell>
          <cell r="G1148" t="str">
            <v>7</v>
          </cell>
          <cell r="H1148">
            <v>0</v>
          </cell>
        </row>
        <row r="1149">
          <cell r="B1149">
            <v>8686</v>
          </cell>
          <cell r="C1149" t="str">
            <v>Quinones; Leopoldo A</v>
          </cell>
          <cell r="D1149" t="str">
            <v>1C</v>
          </cell>
          <cell r="E1149" t="str">
            <v>IBEWOUT</v>
          </cell>
          <cell r="F1149" t="str">
            <v>1245</v>
          </cell>
          <cell r="G1149" t="str">
            <v>17</v>
          </cell>
          <cell r="H1149">
            <v>0</v>
          </cell>
        </row>
        <row r="1150">
          <cell r="B1150">
            <v>8687</v>
          </cell>
          <cell r="C1150" t="str">
            <v>Quick; Brett A.</v>
          </cell>
          <cell r="D1150" t="str">
            <v>1C</v>
          </cell>
          <cell r="E1150" t="str">
            <v>IBEWOUT</v>
          </cell>
          <cell r="F1150" t="str">
            <v>769</v>
          </cell>
          <cell r="G1150" t="str">
            <v>16</v>
          </cell>
          <cell r="H1150">
            <v>0</v>
          </cell>
        </row>
        <row r="1151">
          <cell r="B1151">
            <v>8688</v>
          </cell>
          <cell r="C1151" t="str">
            <v>Quinlan; Robert J.</v>
          </cell>
          <cell r="D1151" t="str">
            <v>1C</v>
          </cell>
          <cell r="E1151" t="str">
            <v>IBEWOUT</v>
          </cell>
          <cell r="F1151" t="str">
            <v>47</v>
          </cell>
          <cell r="G1151" t="str">
            <v>7</v>
          </cell>
          <cell r="H1151">
            <v>0</v>
          </cell>
        </row>
        <row r="1152">
          <cell r="B1152">
            <v>8690</v>
          </cell>
          <cell r="C1152" t="str">
            <v>Quinn; Benjamin D.</v>
          </cell>
          <cell r="D1152" t="str">
            <v>1C</v>
          </cell>
          <cell r="E1152" t="str">
            <v>IBEWIN</v>
          </cell>
          <cell r="F1152" t="str">
            <v>714</v>
          </cell>
          <cell r="G1152" t="str">
            <v>8I</v>
          </cell>
          <cell r="H1152">
            <v>0</v>
          </cell>
        </row>
        <row r="1153">
          <cell r="B1153">
            <v>8692</v>
          </cell>
          <cell r="C1153" t="str">
            <v>Quintana; Edward A</v>
          </cell>
          <cell r="D1153" t="str">
            <v>1C</v>
          </cell>
          <cell r="E1153" t="str">
            <v>IBEWOUT</v>
          </cell>
          <cell r="F1153" t="str">
            <v>769</v>
          </cell>
          <cell r="G1153" t="str">
            <v>8</v>
          </cell>
          <cell r="H1153">
            <v>0</v>
          </cell>
        </row>
        <row r="1154">
          <cell r="B1154">
            <v>8693</v>
          </cell>
          <cell r="C1154" t="str">
            <v>Quiroz; Arnulfo M</v>
          </cell>
          <cell r="D1154" t="str">
            <v>1</v>
          </cell>
          <cell r="E1154" t="str">
            <v>IBEWOUT</v>
          </cell>
          <cell r="F1154" t="str">
            <v>769</v>
          </cell>
          <cell r="G1154" t="str">
            <v>1</v>
          </cell>
          <cell r="H1154">
            <v>0</v>
          </cell>
        </row>
        <row r="1155">
          <cell r="B1155">
            <v>8700</v>
          </cell>
          <cell r="C1155" t="str">
            <v>Quist; Michael L</v>
          </cell>
          <cell r="D1155" t="str">
            <v>1</v>
          </cell>
          <cell r="E1155" t="str">
            <v/>
          </cell>
          <cell r="F1155" t="str">
            <v/>
          </cell>
          <cell r="G1155" t="str">
            <v/>
          </cell>
          <cell r="H1155">
            <v>1</v>
          </cell>
        </row>
        <row r="1156">
          <cell r="B1156">
            <v>8732</v>
          </cell>
          <cell r="C1156" t="str">
            <v>Rabon; Leland C.</v>
          </cell>
          <cell r="D1156" t="str">
            <v>1C</v>
          </cell>
          <cell r="E1156" t="str">
            <v>IBEWOUT</v>
          </cell>
          <cell r="F1156" t="str">
            <v>47</v>
          </cell>
          <cell r="G1156" t="str">
            <v>16</v>
          </cell>
          <cell r="H1156">
            <v>0</v>
          </cell>
        </row>
        <row r="1157">
          <cell r="B1157">
            <v>8735</v>
          </cell>
          <cell r="C1157" t="str">
            <v>Radant; Cody D</v>
          </cell>
          <cell r="D1157" t="str">
            <v>1C</v>
          </cell>
          <cell r="E1157" t="str">
            <v>IBEWOUT</v>
          </cell>
          <cell r="F1157" t="str">
            <v>125</v>
          </cell>
          <cell r="G1157" t="str">
            <v>8</v>
          </cell>
          <cell r="H1157">
            <v>0</v>
          </cell>
        </row>
        <row r="1158">
          <cell r="B1158">
            <v>8746</v>
          </cell>
          <cell r="C1158" t="str">
            <v>Raffety; Michael Shawn</v>
          </cell>
          <cell r="D1158" t="str">
            <v>1C</v>
          </cell>
          <cell r="E1158" t="str">
            <v>IBEWOUT</v>
          </cell>
          <cell r="F1158" t="str">
            <v>47</v>
          </cell>
          <cell r="G1158" t="str">
            <v>8</v>
          </cell>
          <cell r="H1158">
            <v>0</v>
          </cell>
        </row>
        <row r="1159">
          <cell r="B1159">
            <v>8756</v>
          </cell>
          <cell r="C1159" t="str">
            <v>Rains; Travis G.</v>
          </cell>
          <cell r="D1159" t="str">
            <v>1C</v>
          </cell>
          <cell r="E1159" t="str">
            <v>IBEWOUT</v>
          </cell>
          <cell r="F1159" t="str">
            <v>1245</v>
          </cell>
          <cell r="G1159" t="str">
            <v>8</v>
          </cell>
          <cell r="H1159">
            <v>0</v>
          </cell>
        </row>
        <row r="1160">
          <cell r="B1160">
            <v>8771</v>
          </cell>
          <cell r="C1160" t="str">
            <v>Ramer; Patrick K</v>
          </cell>
          <cell r="D1160" t="str">
            <v>1</v>
          </cell>
          <cell r="E1160" t="str">
            <v>IBEWOUT</v>
          </cell>
          <cell r="F1160" t="str">
            <v>1245</v>
          </cell>
          <cell r="G1160" t="str">
            <v>17</v>
          </cell>
          <cell r="H1160">
            <v>0</v>
          </cell>
        </row>
        <row r="1161">
          <cell r="B1161">
            <v>8772</v>
          </cell>
          <cell r="C1161" t="str">
            <v>Ramirez; Ernesto D.</v>
          </cell>
          <cell r="D1161" t="str">
            <v>1C</v>
          </cell>
          <cell r="E1161" t="str">
            <v>IBEWOUT</v>
          </cell>
          <cell r="F1161" t="str">
            <v>47</v>
          </cell>
          <cell r="G1161" t="str">
            <v>14</v>
          </cell>
          <cell r="H1161">
            <v>0</v>
          </cell>
        </row>
        <row r="1162">
          <cell r="B1162">
            <v>8773</v>
          </cell>
          <cell r="C1162" t="str">
            <v>Ramirez; Eric G</v>
          </cell>
          <cell r="D1162" t="str">
            <v>1C</v>
          </cell>
          <cell r="E1162" t="str">
            <v>IBEWOUT</v>
          </cell>
          <cell r="F1162" t="str">
            <v>47</v>
          </cell>
          <cell r="G1162" t="str">
            <v>13</v>
          </cell>
          <cell r="H1162">
            <v>0</v>
          </cell>
        </row>
        <row r="1163">
          <cell r="B1163">
            <v>8774</v>
          </cell>
          <cell r="C1163" t="str">
            <v>Ramirez; Joseph</v>
          </cell>
          <cell r="D1163" t="str">
            <v>1C</v>
          </cell>
          <cell r="E1163" t="str">
            <v>IBEWOUT</v>
          </cell>
          <cell r="F1163" t="str">
            <v>1245</v>
          </cell>
          <cell r="G1163" t="str">
            <v>17</v>
          </cell>
          <cell r="H1163">
            <v>0</v>
          </cell>
        </row>
        <row r="1164">
          <cell r="B1164">
            <v>8777</v>
          </cell>
          <cell r="C1164" t="str">
            <v>Ramirez-Gomez; Marco I</v>
          </cell>
          <cell r="D1164" t="str">
            <v>1C</v>
          </cell>
          <cell r="E1164" t="str">
            <v>IBEWOUT</v>
          </cell>
          <cell r="F1164" t="str">
            <v>1245</v>
          </cell>
          <cell r="G1164" t="str">
            <v>17</v>
          </cell>
          <cell r="H1164">
            <v>0</v>
          </cell>
        </row>
        <row r="1165">
          <cell r="B1165">
            <v>8779</v>
          </cell>
          <cell r="C1165" t="str">
            <v>Ramirez-Hernandez; Kevin A</v>
          </cell>
          <cell r="D1165" t="str">
            <v>1C</v>
          </cell>
          <cell r="E1165" t="str">
            <v/>
          </cell>
          <cell r="F1165" t="str">
            <v/>
          </cell>
          <cell r="G1165" t="str">
            <v/>
          </cell>
          <cell r="H1165">
            <v>0</v>
          </cell>
        </row>
        <row r="1166">
          <cell r="B1166">
            <v>8786</v>
          </cell>
          <cell r="C1166" t="str">
            <v>Ransom; William B.</v>
          </cell>
          <cell r="D1166" t="str">
            <v>1C</v>
          </cell>
          <cell r="E1166" t="str">
            <v>IBEWOUT</v>
          </cell>
          <cell r="F1166" t="str">
            <v>47</v>
          </cell>
          <cell r="G1166" t="str">
            <v>8</v>
          </cell>
          <cell r="H1166">
            <v>0</v>
          </cell>
        </row>
        <row r="1167">
          <cell r="B1167">
            <v>8787</v>
          </cell>
          <cell r="C1167" t="str">
            <v>Rapozo; Titus K</v>
          </cell>
          <cell r="D1167" t="str">
            <v>1C</v>
          </cell>
          <cell r="E1167" t="str">
            <v>IBEWOUT</v>
          </cell>
          <cell r="F1167" t="str">
            <v>104</v>
          </cell>
          <cell r="G1167" t="str">
            <v>7</v>
          </cell>
          <cell r="H1167">
            <v>0</v>
          </cell>
        </row>
        <row r="1168">
          <cell r="B1168">
            <v>8790</v>
          </cell>
          <cell r="C1168" t="str">
            <v>Ratti; Byron J</v>
          </cell>
          <cell r="D1168" t="str">
            <v>1C</v>
          </cell>
          <cell r="E1168" t="str">
            <v>IBEWOUT</v>
          </cell>
          <cell r="F1168" t="str">
            <v>47</v>
          </cell>
          <cell r="G1168" t="str">
            <v>17</v>
          </cell>
          <cell r="H1168">
            <v>0</v>
          </cell>
        </row>
        <row r="1169">
          <cell r="B1169">
            <v>8792</v>
          </cell>
          <cell r="C1169" t="str">
            <v>Rasmussen; Anita</v>
          </cell>
          <cell r="D1169" t="str">
            <v>1C</v>
          </cell>
          <cell r="E1169" t="str">
            <v>IBEWOUT</v>
          </cell>
          <cell r="F1169" t="str">
            <v>396</v>
          </cell>
          <cell r="G1169" t="str">
            <v>17</v>
          </cell>
          <cell r="H1169">
            <v>0</v>
          </cell>
        </row>
        <row r="1170">
          <cell r="B1170">
            <v>8797</v>
          </cell>
          <cell r="C1170" t="str">
            <v>Raunig; Fred L.</v>
          </cell>
          <cell r="D1170" t="str">
            <v>1</v>
          </cell>
          <cell r="E1170" t="str">
            <v/>
          </cell>
          <cell r="F1170" t="str">
            <v/>
          </cell>
          <cell r="G1170" t="str">
            <v/>
          </cell>
          <cell r="H1170">
            <v>0</v>
          </cell>
        </row>
        <row r="1171">
          <cell r="B1171">
            <v>8798</v>
          </cell>
          <cell r="C1171" t="str">
            <v>Raunig; Fred Michael</v>
          </cell>
          <cell r="D1171" t="str">
            <v>1</v>
          </cell>
          <cell r="E1171" t="str">
            <v>IBEWOUT</v>
          </cell>
          <cell r="F1171" t="str">
            <v>769</v>
          </cell>
          <cell r="G1171" t="str">
            <v>1</v>
          </cell>
          <cell r="H1171">
            <v>0</v>
          </cell>
        </row>
        <row r="1172">
          <cell r="B1172">
            <v>8799</v>
          </cell>
          <cell r="C1172" t="str">
            <v>Rau; Jared W</v>
          </cell>
          <cell r="D1172" t="str">
            <v>1</v>
          </cell>
          <cell r="E1172" t="str">
            <v>IBEWOUT</v>
          </cell>
          <cell r="F1172" t="str">
            <v>769</v>
          </cell>
          <cell r="G1172" t="str">
            <v>7</v>
          </cell>
          <cell r="H1172">
            <v>0</v>
          </cell>
        </row>
        <row r="1173">
          <cell r="B1173">
            <v>8805</v>
          </cell>
          <cell r="C1173" t="str">
            <v>Ramsay; Tayler M</v>
          </cell>
          <cell r="D1173" t="str">
            <v>1</v>
          </cell>
          <cell r="E1173" t="str">
            <v>IBEWOUT</v>
          </cell>
          <cell r="F1173" t="str">
            <v>769</v>
          </cell>
          <cell r="G1173" t="str">
            <v>10</v>
          </cell>
          <cell r="H1173">
            <v>0</v>
          </cell>
        </row>
        <row r="1174">
          <cell r="B1174">
            <v>8811</v>
          </cell>
          <cell r="C1174" t="str">
            <v>Ridley IV; Nelson</v>
          </cell>
          <cell r="D1174" t="str">
            <v>1C</v>
          </cell>
          <cell r="E1174" t="str">
            <v>IBEWOUT</v>
          </cell>
          <cell r="F1174" t="str">
            <v>1245</v>
          </cell>
          <cell r="G1174" t="str">
            <v>8</v>
          </cell>
          <cell r="H1174">
            <v>0</v>
          </cell>
        </row>
        <row r="1175">
          <cell r="B1175">
            <v>8817</v>
          </cell>
          <cell r="C1175" t="str">
            <v>Reavis; Sam H</v>
          </cell>
          <cell r="D1175" t="str">
            <v>1C</v>
          </cell>
          <cell r="E1175" t="str">
            <v>IBEWOUT</v>
          </cell>
          <cell r="F1175" t="str">
            <v>1245</v>
          </cell>
          <cell r="G1175" t="str">
            <v>11</v>
          </cell>
          <cell r="H1175">
            <v>0</v>
          </cell>
        </row>
        <row r="1176">
          <cell r="B1176">
            <v>8822</v>
          </cell>
          <cell r="C1176" t="str">
            <v>Reidhead; Trek W</v>
          </cell>
          <cell r="D1176" t="str">
            <v>1</v>
          </cell>
          <cell r="E1176" t="str">
            <v>IBEWOUT</v>
          </cell>
          <cell r="F1176" t="str">
            <v>47</v>
          </cell>
          <cell r="G1176" t="str">
            <v>7</v>
          </cell>
          <cell r="H1176">
            <v>0</v>
          </cell>
        </row>
        <row r="1177">
          <cell r="B1177">
            <v>8829</v>
          </cell>
          <cell r="C1177" t="str">
            <v>Richmond; Cordell D</v>
          </cell>
          <cell r="D1177" t="str">
            <v>1C</v>
          </cell>
          <cell r="E1177" t="str">
            <v>IBEWOUT</v>
          </cell>
          <cell r="F1177" t="str">
            <v>602R</v>
          </cell>
          <cell r="G1177" t="str">
            <v>14T</v>
          </cell>
          <cell r="H1177">
            <v>0</v>
          </cell>
        </row>
        <row r="1178">
          <cell r="B1178">
            <v>8832</v>
          </cell>
          <cell r="C1178" t="str">
            <v>Renn; Shane T.</v>
          </cell>
          <cell r="D1178" t="str">
            <v>1C</v>
          </cell>
          <cell r="E1178" t="str">
            <v>IBEWOUT</v>
          </cell>
          <cell r="F1178" t="str">
            <v>1245</v>
          </cell>
          <cell r="G1178" t="str">
            <v>7</v>
          </cell>
          <cell r="H1178">
            <v>0</v>
          </cell>
        </row>
        <row r="1179">
          <cell r="B1179">
            <v>8833</v>
          </cell>
          <cell r="C1179" t="str">
            <v>Ressa; Joshua W.</v>
          </cell>
          <cell r="D1179" t="str">
            <v>1C</v>
          </cell>
          <cell r="E1179" t="str">
            <v>IBEWOUT</v>
          </cell>
          <cell r="F1179" t="str">
            <v>77</v>
          </cell>
          <cell r="G1179" t="str">
            <v>16</v>
          </cell>
          <cell r="H1179">
            <v>0</v>
          </cell>
        </row>
        <row r="1180">
          <cell r="B1180">
            <v>8836</v>
          </cell>
          <cell r="C1180" t="str">
            <v>Richmond; Shawn J.</v>
          </cell>
          <cell r="D1180" t="str">
            <v>1C</v>
          </cell>
          <cell r="E1180" t="str">
            <v>IBEWOUT</v>
          </cell>
          <cell r="F1180" t="str">
            <v>1245</v>
          </cell>
          <cell r="G1180" t="str">
            <v>8</v>
          </cell>
          <cell r="H1180">
            <v>0</v>
          </cell>
        </row>
        <row r="1181">
          <cell r="B1181">
            <v>8837</v>
          </cell>
          <cell r="C1181" t="str">
            <v>Ricker; Chad M</v>
          </cell>
          <cell r="D1181" t="str">
            <v>1C</v>
          </cell>
          <cell r="E1181" t="str">
            <v>IBEWOUT</v>
          </cell>
          <cell r="F1181" t="str">
            <v>47</v>
          </cell>
          <cell r="G1181" t="str">
            <v>8</v>
          </cell>
          <cell r="H1181">
            <v>0</v>
          </cell>
        </row>
        <row r="1182">
          <cell r="B1182">
            <v>8845</v>
          </cell>
          <cell r="C1182" t="str">
            <v>Renteria; Juan Carlos</v>
          </cell>
          <cell r="D1182" t="str">
            <v>1C</v>
          </cell>
          <cell r="E1182" t="str">
            <v>IBEWOUT</v>
          </cell>
          <cell r="F1182" t="str">
            <v>1245</v>
          </cell>
          <cell r="G1182" t="str">
            <v>12</v>
          </cell>
          <cell r="H1182">
            <v>0</v>
          </cell>
        </row>
        <row r="1183">
          <cell r="B1183">
            <v>8846</v>
          </cell>
          <cell r="C1183" t="str">
            <v>Rondeau Jr.; William A</v>
          </cell>
          <cell r="D1183" t="str">
            <v>1C</v>
          </cell>
          <cell r="E1183" t="str">
            <v>IBEWOUT</v>
          </cell>
          <cell r="F1183" t="str">
            <v>126</v>
          </cell>
          <cell r="G1183" t="str">
            <v>8</v>
          </cell>
          <cell r="H1183">
            <v>0</v>
          </cell>
        </row>
        <row r="1184">
          <cell r="B1184">
            <v>8855</v>
          </cell>
          <cell r="C1184" t="str">
            <v>Robbins; Nathan Ray</v>
          </cell>
          <cell r="D1184" t="str">
            <v>1C</v>
          </cell>
          <cell r="E1184" t="str">
            <v>IBEWOUT</v>
          </cell>
          <cell r="F1184" t="str">
            <v>77</v>
          </cell>
          <cell r="G1184" t="str">
            <v>9</v>
          </cell>
          <cell r="H1184">
            <v>0</v>
          </cell>
        </row>
        <row r="1185">
          <cell r="B1185">
            <v>8856</v>
          </cell>
          <cell r="C1185" t="str">
            <v>Rethi; Attila Alex</v>
          </cell>
          <cell r="D1185" t="str">
            <v>1C</v>
          </cell>
          <cell r="E1185" t="str">
            <v>IBEWOUT</v>
          </cell>
          <cell r="F1185" t="str">
            <v>1245</v>
          </cell>
          <cell r="G1185" t="str">
            <v>16</v>
          </cell>
          <cell r="H1185">
            <v>0</v>
          </cell>
        </row>
        <row r="1186">
          <cell r="B1186">
            <v>8857</v>
          </cell>
          <cell r="C1186" t="str">
            <v>Romberg; Grant M</v>
          </cell>
          <cell r="D1186" t="str">
            <v>1C</v>
          </cell>
          <cell r="E1186" t="str">
            <v>IBEWOUT</v>
          </cell>
          <cell r="F1186" t="str">
            <v>160</v>
          </cell>
          <cell r="G1186" t="str">
            <v>8</v>
          </cell>
          <cell r="H1186">
            <v>0</v>
          </cell>
        </row>
        <row r="1187">
          <cell r="B1187">
            <v>8858</v>
          </cell>
          <cell r="C1187" t="str">
            <v>Romero; Johnny O</v>
          </cell>
          <cell r="D1187" t="str">
            <v>1C</v>
          </cell>
          <cell r="E1187" t="str">
            <v>IBEWOUT</v>
          </cell>
          <cell r="F1187" t="str">
            <v>611</v>
          </cell>
          <cell r="G1187" t="str">
            <v>12</v>
          </cell>
          <cell r="H1187">
            <v>0</v>
          </cell>
        </row>
        <row r="1188">
          <cell r="B1188">
            <v>8860</v>
          </cell>
          <cell r="C1188" t="str">
            <v>Rice; Everett L</v>
          </cell>
          <cell r="D1188" t="str">
            <v>1C</v>
          </cell>
          <cell r="E1188" t="str">
            <v>IBEWOUT</v>
          </cell>
          <cell r="F1188" t="str">
            <v>77</v>
          </cell>
          <cell r="G1188" t="str">
            <v>8</v>
          </cell>
          <cell r="H1188">
            <v>0</v>
          </cell>
        </row>
        <row r="1189">
          <cell r="B1189">
            <v>8861</v>
          </cell>
          <cell r="C1189" t="str">
            <v>Rhodes; Sam A</v>
          </cell>
          <cell r="D1189" t="str">
            <v>1C</v>
          </cell>
          <cell r="E1189" t="str">
            <v>IBEWOUT</v>
          </cell>
          <cell r="F1189" t="str">
            <v>77</v>
          </cell>
          <cell r="G1189" t="str">
            <v>8</v>
          </cell>
          <cell r="H1189">
            <v>0</v>
          </cell>
        </row>
        <row r="1190">
          <cell r="B1190">
            <v>8862</v>
          </cell>
          <cell r="C1190" t="str">
            <v>Rex; Paul Arthur</v>
          </cell>
          <cell r="D1190" t="str">
            <v>1C</v>
          </cell>
          <cell r="E1190" t="str">
            <v>IBEWOUT</v>
          </cell>
          <cell r="F1190" t="str">
            <v>47</v>
          </cell>
          <cell r="G1190" t="str">
            <v>60</v>
          </cell>
          <cell r="H1190">
            <v>0</v>
          </cell>
        </row>
        <row r="1191">
          <cell r="B1191">
            <v>8864</v>
          </cell>
          <cell r="C1191" t="str">
            <v>Rhodes; Shawn A</v>
          </cell>
          <cell r="D1191" t="str">
            <v>1</v>
          </cell>
          <cell r="E1191" t="str">
            <v/>
          </cell>
          <cell r="F1191" t="str">
            <v/>
          </cell>
          <cell r="G1191" t="str">
            <v/>
          </cell>
          <cell r="H1191">
            <v>1</v>
          </cell>
        </row>
        <row r="1192">
          <cell r="B1192">
            <v>8865</v>
          </cell>
          <cell r="C1192" t="str">
            <v>Rivet Jr.; Lipton J</v>
          </cell>
          <cell r="D1192" t="str">
            <v>1C</v>
          </cell>
          <cell r="E1192" t="str">
            <v>IBEWOUT</v>
          </cell>
          <cell r="F1192" t="str">
            <v>160</v>
          </cell>
          <cell r="G1192" t="str">
            <v>8</v>
          </cell>
          <cell r="H1192">
            <v>0</v>
          </cell>
        </row>
        <row r="1193">
          <cell r="B1193">
            <v>8868</v>
          </cell>
          <cell r="C1193" t="str">
            <v>Richardson; Rush L</v>
          </cell>
          <cell r="D1193" t="str">
            <v>1C</v>
          </cell>
          <cell r="E1193" t="str">
            <v>IBEWOUT</v>
          </cell>
          <cell r="F1193" t="str">
            <v>1245</v>
          </cell>
          <cell r="G1193" t="str">
            <v>8</v>
          </cell>
          <cell r="H1193">
            <v>0</v>
          </cell>
        </row>
        <row r="1194">
          <cell r="B1194">
            <v>8871</v>
          </cell>
          <cell r="C1194" t="str">
            <v>Romero; Ricardo</v>
          </cell>
          <cell r="D1194" t="str">
            <v>1C</v>
          </cell>
          <cell r="E1194" t="str">
            <v>IBEWOUT</v>
          </cell>
          <cell r="F1194" t="str">
            <v>47</v>
          </cell>
          <cell r="G1194" t="str">
            <v>8</v>
          </cell>
          <cell r="H1194">
            <v>0</v>
          </cell>
        </row>
        <row r="1195">
          <cell r="B1195">
            <v>8872</v>
          </cell>
          <cell r="C1195" t="str">
            <v>Richardson; Tanner J</v>
          </cell>
          <cell r="D1195" t="str">
            <v>1</v>
          </cell>
          <cell r="E1195" t="str">
            <v>IBEWOUT</v>
          </cell>
          <cell r="F1195" t="str">
            <v>77</v>
          </cell>
          <cell r="G1195" t="str">
            <v>8</v>
          </cell>
          <cell r="H1195">
            <v>0</v>
          </cell>
        </row>
        <row r="1196">
          <cell r="B1196">
            <v>8873</v>
          </cell>
          <cell r="C1196" t="str">
            <v>Rico; Jose M</v>
          </cell>
          <cell r="D1196" t="str">
            <v>1C</v>
          </cell>
          <cell r="E1196" t="str">
            <v>IBEWOUT</v>
          </cell>
          <cell r="F1196" t="str">
            <v>1245</v>
          </cell>
          <cell r="G1196" t="str">
            <v>60</v>
          </cell>
          <cell r="H1196">
            <v>0</v>
          </cell>
        </row>
        <row r="1197">
          <cell r="B1197">
            <v>8876</v>
          </cell>
          <cell r="C1197" t="str">
            <v>Richardson; March G</v>
          </cell>
          <cell r="D1197" t="str">
            <v>1</v>
          </cell>
          <cell r="E1197" t="str">
            <v>IBEWOUT</v>
          </cell>
          <cell r="F1197" t="str">
            <v>1245</v>
          </cell>
          <cell r="G1197" t="str">
            <v>12</v>
          </cell>
          <cell r="H1197">
            <v>0</v>
          </cell>
        </row>
        <row r="1198">
          <cell r="B1198">
            <v>8887</v>
          </cell>
          <cell r="C1198" t="str">
            <v>Riley; Brian Patrick</v>
          </cell>
          <cell r="D1198" t="str">
            <v>1C</v>
          </cell>
          <cell r="E1198" t="str">
            <v/>
          </cell>
          <cell r="F1198" t="str">
            <v/>
          </cell>
          <cell r="G1198" t="str">
            <v/>
          </cell>
          <cell r="H1198">
            <v>0</v>
          </cell>
        </row>
        <row r="1199">
          <cell r="B1199">
            <v>8888</v>
          </cell>
          <cell r="C1199" t="str">
            <v>Rinehimer; Geary M</v>
          </cell>
          <cell r="D1199" t="str">
            <v>1C</v>
          </cell>
          <cell r="E1199" t="str">
            <v>IBEWOUT</v>
          </cell>
          <cell r="F1199" t="str">
            <v>1319</v>
          </cell>
          <cell r="G1199" t="str">
            <v>13</v>
          </cell>
          <cell r="H1199">
            <v>0</v>
          </cell>
        </row>
        <row r="1200">
          <cell r="B1200">
            <v>8891</v>
          </cell>
          <cell r="C1200" t="str">
            <v>Rinella; Philip M</v>
          </cell>
          <cell r="D1200" t="str">
            <v>1</v>
          </cell>
          <cell r="E1200" t="str">
            <v/>
          </cell>
          <cell r="F1200" t="str">
            <v/>
          </cell>
          <cell r="G1200" t="str">
            <v/>
          </cell>
          <cell r="H1200">
            <v>0</v>
          </cell>
        </row>
        <row r="1201">
          <cell r="B1201">
            <v>8895</v>
          </cell>
          <cell r="C1201" t="str">
            <v>Roan; Dustin Michael</v>
          </cell>
          <cell r="D1201" t="str">
            <v>1C</v>
          </cell>
          <cell r="E1201" t="str">
            <v>IBEWOUT</v>
          </cell>
          <cell r="F1201" t="str">
            <v>769</v>
          </cell>
          <cell r="G1201" t="str">
            <v>33</v>
          </cell>
          <cell r="H1201">
            <v>0</v>
          </cell>
        </row>
        <row r="1202">
          <cell r="B1202">
            <v>8899</v>
          </cell>
          <cell r="C1202" t="str">
            <v>Rigg; Stuart N</v>
          </cell>
          <cell r="D1202" t="str">
            <v>1C</v>
          </cell>
          <cell r="E1202" t="str">
            <v>IBEWOUT</v>
          </cell>
          <cell r="F1202" t="str">
            <v>1245</v>
          </cell>
          <cell r="G1202" t="str">
            <v>8</v>
          </cell>
          <cell r="H1202">
            <v>0</v>
          </cell>
        </row>
        <row r="1203">
          <cell r="B1203">
            <v>8904</v>
          </cell>
          <cell r="C1203" t="str">
            <v>Rivera; Amando A</v>
          </cell>
          <cell r="D1203" t="str">
            <v>1C</v>
          </cell>
          <cell r="E1203" t="str">
            <v>IBEWOUT</v>
          </cell>
          <cell r="F1203" t="str">
            <v>47</v>
          </cell>
          <cell r="G1203" t="str">
            <v>8</v>
          </cell>
          <cell r="H1203">
            <v>0</v>
          </cell>
        </row>
        <row r="1204">
          <cell r="B1204">
            <v>8905</v>
          </cell>
          <cell r="C1204" t="str">
            <v>Rieskamp; Amanda M</v>
          </cell>
          <cell r="D1204" t="str">
            <v>1C</v>
          </cell>
          <cell r="E1204" t="str">
            <v/>
          </cell>
          <cell r="F1204" t="str">
            <v/>
          </cell>
          <cell r="G1204" t="str">
            <v/>
          </cell>
          <cell r="H1204">
            <v>0</v>
          </cell>
        </row>
        <row r="1205">
          <cell r="B1205">
            <v>8906</v>
          </cell>
          <cell r="C1205" t="str">
            <v>Rivera; Luis C</v>
          </cell>
          <cell r="D1205" t="str">
            <v>1C</v>
          </cell>
          <cell r="E1205" t="str">
            <v>IBEWOUT</v>
          </cell>
          <cell r="F1205" t="str">
            <v>47</v>
          </cell>
          <cell r="G1205" t="str">
            <v>7</v>
          </cell>
          <cell r="H1205">
            <v>0</v>
          </cell>
        </row>
        <row r="1206">
          <cell r="B1206">
            <v>8908</v>
          </cell>
          <cell r="C1206" t="str">
            <v>Rivera; Andrew L</v>
          </cell>
          <cell r="D1206" t="str">
            <v>1C</v>
          </cell>
          <cell r="E1206" t="str">
            <v>IBEWOUT</v>
          </cell>
          <cell r="F1206" t="str">
            <v>611</v>
          </cell>
          <cell r="G1206" t="str">
            <v>13</v>
          </cell>
          <cell r="H1206">
            <v>0</v>
          </cell>
        </row>
        <row r="1207">
          <cell r="B1207">
            <v>8910</v>
          </cell>
          <cell r="C1207" t="str">
            <v>Rimer Jr; James D</v>
          </cell>
          <cell r="D1207" t="str">
            <v>1C</v>
          </cell>
          <cell r="E1207" t="str">
            <v>IBEWOUT</v>
          </cell>
          <cell r="F1207" t="str">
            <v>1245</v>
          </cell>
          <cell r="G1207" t="str">
            <v>8</v>
          </cell>
          <cell r="H1207">
            <v>0</v>
          </cell>
        </row>
        <row r="1208">
          <cell r="B1208">
            <v>8914</v>
          </cell>
          <cell r="C1208" t="str">
            <v>Rivera; Juan D</v>
          </cell>
          <cell r="D1208" t="str">
            <v>1</v>
          </cell>
          <cell r="E1208" t="str">
            <v>IBEWOUT</v>
          </cell>
          <cell r="F1208" t="str">
            <v>47</v>
          </cell>
          <cell r="G1208" t="str">
            <v>17</v>
          </cell>
          <cell r="H1208">
            <v>0</v>
          </cell>
        </row>
        <row r="1209">
          <cell r="B1209">
            <v>8930</v>
          </cell>
          <cell r="C1209" t="str">
            <v>Roark; Dale B.</v>
          </cell>
          <cell r="D1209" t="str">
            <v>1C</v>
          </cell>
          <cell r="E1209" t="str">
            <v>IBEWOUT</v>
          </cell>
          <cell r="F1209" t="str">
            <v>47</v>
          </cell>
          <cell r="G1209" t="str">
            <v>8</v>
          </cell>
          <cell r="H1209">
            <v>0</v>
          </cell>
        </row>
        <row r="1210">
          <cell r="B1210">
            <v>8931</v>
          </cell>
          <cell r="C1210" t="str">
            <v>Rocha; Jonathan M</v>
          </cell>
          <cell r="D1210" t="str">
            <v>1C</v>
          </cell>
          <cell r="E1210" t="str">
            <v>IBEWOUT</v>
          </cell>
          <cell r="F1210" t="str">
            <v>1245</v>
          </cell>
          <cell r="G1210" t="str">
            <v>13</v>
          </cell>
          <cell r="H1210">
            <v>0</v>
          </cell>
        </row>
        <row r="1211">
          <cell r="B1211">
            <v>8933</v>
          </cell>
          <cell r="C1211" t="str">
            <v>Rodericks; Marvin C</v>
          </cell>
          <cell r="D1211" t="str">
            <v>1C</v>
          </cell>
          <cell r="E1211" t="str">
            <v>IBEWOUT</v>
          </cell>
          <cell r="F1211" t="str">
            <v>1049</v>
          </cell>
          <cell r="G1211" t="str">
            <v>17</v>
          </cell>
          <cell r="H1211">
            <v>0</v>
          </cell>
        </row>
        <row r="1212">
          <cell r="B1212">
            <v>8960</v>
          </cell>
          <cell r="C1212" t="str">
            <v>Rodriguez; Ruben</v>
          </cell>
          <cell r="D1212" t="str">
            <v>1C</v>
          </cell>
          <cell r="E1212" t="str">
            <v>IBEWOUT</v>
          </cell>
          <cell r="F1212" t="str">
            <v>47</v>
          </cell>
          <cell r="G1212" t="str">
            <v>8</v>
          </cell>
          <cell r="H1212">
            <v>0</v>
          </cell>
        </row>
        <row r="1213">
          <cell r="B1213">
            <v>8962</v>
          </cell>
          <cell r="C1213" t="str">
            <v>Rodriguez; Victor M</v>
          </cell>
          <cell r="D1213" t="str">
            <v>1</v>
          </cell>
          <cell r="E1213" t="str">
            <v>IBEWOUT</v>
          </cell>
          <cell r="F1213" t="str">
            <v>1245</v>
          </cell>
          <cell r="G1213" t="str">
            <v>11</v>
          </cell>
          <cell r="H1213">
            <v>0</v>
          </cell>
        </row>
        <row r="1214">
          <cell r="B1214">
            <v>9010</v>
          </cell>
          <cell r="C1214" t="str">
            <v>Roberts; James W.</v>
          </cell>
          <cell r="D1214" t="str">
            <v>1</v>
          </cell>
          <cell r="E1214" t="str">
            <v>IBEWOUT</v>
          </cell>
          <cell r="F1214" t="str">
            <v>1245</v>
          </cell>
          <cell r="G1214" t="str">
            <v>1</v>
          </cell>
          <cell r="H1214">
            <v>0</v>
          </cell>
        </row>
        <row r="1215">
          <cell r="B1215">
            <v>9011</v>
          </cell>
          <cell r="C1215" t="str">
            <v>Roberts; Steven C</v>
          </cell>
          <cell r="D1215" t="str">
            <v>1C</v>
          </cell>
          <cell r="E1215" t="str">
            <v>IBEWOUT</v>
          </cell>
          <cell r="F1215" t="str">
            <v>47</v>
          </cell>
          <cell r="G1215" t="str">
            <v>8</v>
          </cell>
          <cell r="H1215">
            <v>0</v>
          </cell>
        </row>
        <row r="1216">
          <cell r="B1216">
            <v>9012</v>
          </cell>
          <cell r="C1216" t="str">
            <v>Robinett; Austin R.</v>
          </cell>
          <cell r="D1216" t="str">
            <v>1C</v>
          </cell>
          <cell r="E1216" t="str">
            <v/>
          </cell>
          <cell r="F1216" t="str">
            <v/>
          </cell>
          <cell r="G1216" t="str">
            <v/>
          </cell>
          <cell r="H1216">
            <v>1</v>
          </cell>
        </row>
        <row r="1217">
          <cell r="B1217">
            <v>9015</v>
          </cell>
          <cell r="C1217" t="str">
            <v>Roemhildt; Keegan M.</v>
          </cell>
          <cell r="D1217" t="str">
            <v>1</v>
          </cell>
          <cell r="E1217" t="str">
            <v/>
          </cell>
          <cell r="F1217" t="str">
            <v/>
          </cell>
          <cell r="G1217" t="str">
            <v/>
          </cell>
          <cell r="H1217">
            <v>1</v>
          </cell>
        </row>
        <row r="1218">
          <cell r="B1218">
            <v>9026</v>
          </cell>
          <cell r="C1218" t="str">
            <v>Rojas; Hilario O</v>
          </cell>
          <cell r="D1218" t="str">
            <v>1C</v>
          </cell>
          <cell r="E1218" t="str">
            <v>IBEWOUT</v>
          </cell>
          <cell r="F1218" t="str">
            <v>611</v>
          </cell>
          <cell r="G1218" t="str">
            <v>15</v>
          </cell>
          <cell r="H1218">
            <v>0</v>
          </cell>
        </row>
        <row r="1219">
          <cell r="B1219">
            <v>9047</v>
          </cell>
          <cell r="C1219" t="str">
            <v>Rose; Bob R</v>
          </cell>
          <cell r="D1219" t="str">
            <v>1C</v>
          </cell>
          <cell r="E1219" t="str">
            <v>IBEWOUT</v>
          </cell>
          <cell r="F1219" t="str">
            <v>77</v>
          </cell>
          <cell r="G1219" t="str">
            <v>16</v>
          </cell>
          <cell r="H1219">
            <v>0</v>
          </cell>
        </row>
        <row r="1220">
          <cell r="B1220">
            <v>9048</v>
          </cell>
          <cell r="C1220" t="str">
            <v>Roy; Cameron Russell</v>
          </cell>
          <cell r="D1220" t="str">
            <v>1</v>
          </cell>
          <cell r="E1220" t="str">
            <v/>
          </cell>
          <cell r="F1220" t="str">
            <v/>
          </cell>
          <cell r="G1220" t="str">
            <v/>
          </cell>
          <cell r="H1220">
            <v>1</v>
          </cell>
        </row>
        <row r="1221">
          <cell r="B1221">
            <v>9068</v>
          </cell>
          <cell r="C1221" t="str">
            <v>Row; Ryan A</v>
          </cell>
          <cell r="D1221" t="str">
            <v>1C</v>
          </cell>
          <cell r="E1221" t="str">
            <v>IBEWOUT</v>
          </cell>
          <cell r="F1221" t="str">
            <v>1245</v>
          </cell>
          <cell r="G1221" t="str">
            <v>7</v>
          </cell>
          <cell r="H1221">
            <v>0</v>
          </cell>
        </row>
        <row r="1222">
          <cell r="B1222">
            <v>9072</v>
          </cell>
          <cell r="C1222" t="str">
            <v>Rowley; Jared N</v>
          </cell>
          <cell r="D1222" t="str">
            <v>1C</v>
          </cell>
          <cell r="E1222" t="str">
            <v>IBEWOUT</v>
          </cell>
          <cell r="F1222" t="str">
            <v>1245</v>
          </cell>
          <cell r="G1222" t="str">
            <v>13</v>
          </cell>
          <cell r="H1222">
            <v>0</v>
          </cell>
        </row>
        <row r="1223">
          <cell r="B1223">
            <v>9074</v>
          </cell>
          <cell r="C1223" t="str">
            <v>Ruddell; Scott M</v>
          </cell>
          <cell r="D1223" t="str">
            <v>1</v>
          </cell>
          <cell r="E1223" t="str">
            <v>IBEWOUT</v>
          </cell>
          <cell r="F1223" t="str">
            <v>77</v>
          </cell>
          <cell r="G1223" t="str">
            <v>7</v>
          </cell>
          <cell r="H1223">
            <v>0</v>
          </cell>
        </row>
        <row r="1224">
          <cell r="B1224">
            <v>9082</v>
          </cell>
          <cell r="C1224" t="str">
            <v>Ruiz; Brian D</v>
          </cell>
          <cell r="D1224" t="str">
            <v>1</v>
          </cell>
          <cell r="E1224" t="str">
            <v>IBEWOUT</v>
          </cell>
          <cell r="F1224" t="str">
            <v>1245</v>
          </cell>
          <cell r="G1224" t="str">
            <v>12</v>
          </cell>
          <cell r="H1224">
            <v>0</v>
          </cell>
        </row>
        <row r="1225">
          <cell r="B1225">
            <v>9083</v>
          </cell>
          <cell r="C1225" t="str">
            <v>Rydecki; Christopher E</v>
          </cell>
          <cell r="D1225" t="str">
            <v>1C</v>
          </cell>
          <cell r="E1225" t="str">
            <v>IBEWOUT</v>
          </cell>
          <cell r="F1225" t="str">
            <v>47</v>
          </cell>
          <cell r="G1225" t="str">
            <v>8</v>
          </cell>
          <cell r="H1225">
            <v>0</v>
          </cell>
        </row>
        <row r="1226">
          <cell r="B1226">
            <v>9084</v>
          </cell>
          <cell r="C1226" t="str">
            <v>Ruiz Castillo; Lorenzo</v>
          </cell>
          <cell r="D1226" t="str">
            <v>1C</v>
          </cell>
          <cell r="E1226" t="str">
            <v/>
          </cell>
          <cell r="F1226" t="str">
            <v/>
          </cell>
          <cell r="G1226" t="str">
            <v/>
          </cell>
          <cell r="H1226">
            <v>1</v>
          </cell>
        </row>
        <row r="1227">
          <cell r="B1227">
            <v>9087</v>
          </cell>
          <cell r="C1227" t="str">
            <v>Rossiter; Dustin R</v>
          </cell>
          <cell r="D1227" t="str">
            <v>1C</v>
          </cell>
          <cell r="E1227" t="str">
            <v/>
          </cell>
          <cell r="F1227" t="str">
            <v/>
          </cell>
          <cell r="G1227" t="str">
            <v/>
          </cell>
          <cell r="H1227">
            <v>1</v>
          </cell>
        </row>
        <row r="1228">
          <cell r="B1228">
            <v>9091</v>
          </cell>
          <cell r="C1228" t="str">
            <v>Rosenlund; David Joel</v>
          </cell>
          <cell r="D1228" t="str">
            <v>1C</v>
          </cell>
          <cell r="E1228" t="str">
            <v>IBEWOUT</v>
          </cell>
          <cell r="F1228" t="str">
            <v>1245</v>
          </cell>
          <cell r="G1228" t="str">
            <v>8</v>
          </cell>
          <cell r="H1228">
            <v>0</v>
          </cell>
        </row>
        <row r="1229">
          <cell r="B1229">
            <v>9092</v>
          </cell>
          <cell r="C1229" t="str">
            <v>Rosengrant; Jeffrey M</v>
          </cell>
          <cell r="D1229" t="str">
            <v>1C</v>
          </cell>
          <cell r="E1229" t="str">
            <v>IBEWOUT</v>
          </cell>
          <cell r="F1229" t="str">
            <v>1319</v>
          </cell>
          <cell r="G1229" t="str">
            <v>8</v>
          </cell>
          <cell r="H1229">
            <v>0</v>
          </cell>
        </row>
        <row r="1230">
          <cell r="B1230">
            <v>9107</v>
          </cell>
          <cell r="C1230" t="str">
            <v>Ross; Joe P.</v>
          </cell>
          <cell r="D1230" t="str">
            <v>1C</v>
          </cell>
          <cell r="E1230" t="str">
            <v>IBEWOUT</v>
          </cell>
          <cell r="F1230" t="str">
            <v>602R</v>
          </cell>
          <cell r="G1230" t="str">
            <v>33</v>
          </cell>
          <cell r="H1230">
            <v>0</v>
          </cell>
        </row>
        <row r="1231">
          <cell r="B1231">
            <v>9108</v>
          </cell>
          <cell r="C1231" t="str">
            <v>Robbins; Christopher A.</v>
          </cell>
          <cell r="D1231" t="str">
            <v>1C</v>
          </cell>
          <cell r="E1231" t="str">
            <v>IBEWOUT</v>
          </cell>
          <cell r="F1231" t="str">
            <v>396</v>
          </cell>
          <cell r="G1231" t="str">
            <v>10</v>
          </cell>
          <cell r="H1231">
            <v>0</v>
          </cell>
        </row>
        <row r="1232">
          <cell r="B1232">
            <v>9110</v>
          </cell>
          <cell r="C1232" t="str">
            <v>Rodriguez; Roberto J</v>
          </cell>
          <cell r="D1232" t="str">
            <v>1C</v>
          </cell>
          <cell r="E1232" t="str">
            <v>IBEWOUT</v>
          </cell>
          <cell r="F1232" t="str">
            <v>1245</v>
          </cell>
          <cell r="G1232" t="str">
            <v>7</v>
          </cell>
          <cell r="H1232">
            <v>0</v>
          </cell>
        </row>
        <row r="1233">
          <cell r="B1233">
            <v>9111</v>
          </cell>
          <cell r="C1233" t="str">
            <v>Rodriguez; Daniel N.</v>
          </cell>
          <cell r="D1233" t="str">
            <v>1C</v>
          </cell>
          <cell r="E1233" t="str">
            <v>IBEWOUT</v>
          </cell>
          <cell r="F1233" t="str">
            <v>47</v>
          </cell>
          <cell r="G1233" t="str">
            <v>17</v>
          </cell>
          <cell r="H1233">
            <v>0</v>
          </cell>
        </row>
        <row r="1234">
          <cell r="B1234">
            <v>9114</v>
          </cell>
          <cell r="C1234" t="str">
            <v>Rodriguez; Ricardo R.</v>
          </cell>
          <cell r="D1234" t="str">
            <v>1C</v>
          </cell>
          <cell r="E1234" t="str">
            <v>IBEWOUT</v>
          </cell>
          <cell r="F1234" t="str">
            <v>396</v>
          </cell>
          <cell r="G1234" t="str">
            <v>8</v>
          </cell>
          <cell r="H1234">
            <v>0</v>
          </cell>
        </row>
        <row r="1235">
          <cell r="B1235">
            <v>9116</v>
          </cell>
          <cell r="C1235" t="str">
            <v>Rogers; Jason A.</v>
          </cell>
          <cell r="D1235" t="str">
            <v>1C</v>
          </cell>
          <cell r="E1235" t="str">
            <v>IBEWOUT</v>
          </cell>
          <cell r="F1235" t="str">
            <v>1245</v>
          </cell>
          <cell r="G1235" t="str">
            <v>10</v>
          </cell>
          <cell r="H1235">
            <v>0</v>
          </cell>
        </row>
        <row r="1236">
          <cell r="B1236">
            <v>9117</v>
          </cell>
          <cell r="C1236" t="str">
            <v>Ross; Amie D</v>
          </cell>
          <cell r="D1236" t="str">
            <v>1C</v>
          </cell>
          <cell r="E1236" t="str">
            <v/>
          </cell>
          <cell r="F1236" t="str">
            <v/>
          </cell>
          <cell r="G1236" t="str">
            <v/>
          </cell>
          <cell r="H1236">
            <v>0</v>
          </cell>
        </row>
        <row r="1237">
          <cell r="B1237">
            <v>9118</v>
          </cell>
          <cell r="C1237" t="str">
            <v>Rodriguez; Ramon O</v>
          </cell>
          <cell r="D1237" t="str">
            <v>1C</v>
          </cell>
          <cell r="E1237" t="str">
            <v>IBEWOUT</v>
          </cell>
          <cell r="F1237" t="str">
            <v>1245</v>
          </cell>
          <cell r="G1237" t="str">
            <v>15</v>
          </cell>
          <cell r="H1237">
            <v>0</v>
          </cell>
        </row>
        <row r="1238">
          <cell r="B1238">
            <v>9119</v>
          </cell>
          <cell r="C1238" t="str">
            <v>Roberts; Chaney C</v>
          </cell>
          <cell r="D1238" t="str">
            <v>1C</v>
          </cell>
          <cell r="E1238" t="str">
            <v>IBEWOUT</v>
          </cell>
          <cell r="F1238" t="str">
            <v>47</v>
          </cell>
          <cell r="G1238" t="str">
            <v>17</v>
          </cell>
          <cell r="H1238">
            <v>0</v>
          </cell>
        </row>
        <row r="1239">
          <cell r="B1239">
            <v>9124</v>
          </cell>
          <cell r="C1239" t="str">
            <v>Rodriguez; Blain F</v>
          </cell>
          <cell r="D1239" t="str">
            <v>1C</v>
          </cell>
          <cell r="E1239" t="str">
            <v>IBEWOUT</v>
          </cell>
          <cell r="F1239" t="str">
            <v>47</v>
          </cell>
          <cell r="G1239" t="str">
            <v>8</v>
          </cell>
          <cell r="H1239">
            <v>0</v>
          </cell>
        </row>
        <row r="1240">
          <cell r="B1240">
            <v>9125</v>
          </cell>
          <cell r="C1240" t="str">
            <v>Rodriguez; Derek M</v>
          </cell>
          <cell r="D1240" t="str">
            <v>1C</v>
          </cell>
          <cell r="E1240" t="str">
            <v>IBEWOUT</v>
          </cell>
          <cell r="F1240" t="str">
            <v>611</v>
          </cell>
          <cell r="G1240" t="str">
            <v>17</v>
          </cell>
          <cell r="H1240">
            <v>0</v>
          </cell>
        </row>
        <row r="1241">
          <cell r="B1241">
            <v>9140</v>
          </cell>
          <cell r="C1241" t="str">
            <v>Rust; James S.</v>
          </cell>
          <cell r="D1241" t="str">
            <v>1C</v>
          </cell>
          <cell r="E1241" t="str">
            <v>IBEWOUT</v>
          </cell>
          <cell r="F1241" t="str">
            <v>1245</v>
          </cell>
          <cell r="G1241" t="str">
            <v>8</v>
          </cell>
          <cell r="H1241">
            <v>0</v>
          </cell>
        </row>
        <row r="1242">
          <cell r="B1242">
            <v>9160</v>
          </cell>
          <cell r="C1242" t="str">
            <v>Salloum; Joseph</v>
          </cell>
          <cell r="D1242" t="str">
            <v>1C</v>
          </cell>
          <cell r="E1242" t="str">
            <v>IBEWOUT</v>
          </cell>
          <cell r="F1242" t="str">
            <v>769</v>
          </cell>
          <cell r="G1242" t="str">
            <v>7</v>
          </cell>
          <cell r="H1242">
            <v>0</v>
          </cell>
        </row>
        <row r="1243">
          <cell r="B1243">
            <v>9162</v>
          </cell>
          <cell r="C1243" t="str">
            <v>Sadler; Christopher S.</v>
          </cell>
          <cell r="D1243" t="str">
            <v>1C</v>
          </cell>
          <cell r="E1243" t="str">
            <v>IBEWOUT</v>
          </cell>
          <cell r="F1243" t="str">
            <v>47</v>
          </cell>
          <cell r="G1243" t="str">
            <v>8</v>
          </cell>
          <cell r="H1243">
            <v>0</v>
          </cell>
        </row>
        <row r="1244">
          <cell r="B1244">
            <v>9164</v>
          </cell>
          <cell r="C1244" t="str">
            <v>Saiz; Robert B.</v>
          </cell>
          <cell r="D1244" t="str">
            <v>1C</v>
          </cell>
          <cell r="E1244" t="str">
            <v>IBEWOUT</v>
          </cell>
          <cell r="F1244" t="str">
            <v>769</v>
          </cell>
          <cell r="G1244" t="str">
            <v>14</v>
          </cell>
          <cell r="H1244">
            <v>0</v>
          </cell>
        </row>
        <row r="1245">
          <cell r="B1245">
            <v>9168</v>
          </cell>
          <cell r="C1245" t="str">
            <v>Sakae; Jasen D</v>
          </cell>
          <cell r="D1245" t="str">
            <v>1C</v>
          </cell>
          <cell r="E1245" t="str">
            <v>IBEWOUT</v>
          </cell>
          <cell r="F1245" t="str">
            <v>47</v>
          </cell>
          <cell r="G1245" t="str">
            <v>13</v>
          </cell>
          <cell r="H1245">
            <v>0</v>
          </cell>
        </row>
        <row r="1246">
          <cell r="B1246">
            <v>9169</v>
          </cell>
          <cell r="C1246" t="str">
            <v>Saiz; Dominic J</v>
          </cell>
          <cell r="D1246" t="str">
            <v>1C</v>
          </cell>
          <cell r="E1246" t="str">
            <v>IBEWOUT</v>
          </cell>
          <cell r="F1246" t="str">
            <v>611</v>
          </cell>
          <cell r="G1246" t="str">
            <v>15</v>
          </cell>
          <cell r="H1246">
            <v>0</v>
          </cell>
        </row>
        <row r="1247">
          <cell r="B1247">
            <v>9181</v>
          </cell>
          <cell r="C1247" t="str">
            <v>Salt; Ronald Robert</v>
          </cell>
          <cell r="D1247" t="str">
            <v>1C</v>
          </cell>
          <cell r="E1247" t="str">
            <v>IBEWOUT</v>
          </cell>
          <cell r="F1247" t="str">
            <v>769</v>
          </cell>
          <cell r="G1247" t="str">
            <v>8</v>
          </cell>
          <cell r="H1247">
            <v>0</v>
          </cell>
        </row>
        <row r="1248">
          <cell r="B1248">
            <v>9183</v>
          </cell>
          <cell r="C1248" t="str">
            <v>Salyers Jr.; Joseph Lee</v>
          </cell>
          <cell r="D1248" t="str">
            <v>1C</v>
          </cell>
          <cell r="E1248" t="str">
            <v>IBEWOUT</v>
          </cell>
          <cell r="F1248" t="str">
            <v>1245</v>
          </cell>
          <cell r="G1248" t="str">
            <v>8</v>
          </cell>
          <cell r="H1248">
            <v>0</v>
          </cell>
        </row>
        <row r="1249">
          <cell r="B1249">
            <v>9188</v>
          </cell>
          <cell r="C1249" t="str">
            <v>Salazar; Christopher</v>
          </cell>
          <cell r="D1249" t="str">
            <v>1C</v>
          </cell>
          <cell r="E1249" t="str">
            <v>IBEWOUT</v>
          </cell>
          <cell r="F1249" t="str">
            <v>769</v>
          </cell>
          <cell r="G1249" t="str">
            <v>20</v>
          </cell>
          <cell r="H1249">
            <v>0</v>
          </cell>
        </row>
        <row r="1250">
          <cell r="B1250">
            <v>9191</v>
          </cell>
          <cell r="C1250" t="str">
            <v>Salazar; Michael</v>
          </cell>
          <cell r="D1250" t="str">
            <v>1</v>
          </cell>
          <cell r="E1250" t="str">
            <v>IBEWOUT</v>
          </cell>
          <cell r="F1250" t="str">
            <v>769</v>
          </cell>
          <cell r="G1250" t="str">
            <v>7</v>
          </cell>
          <cell r="H1250">
            <v>0</v>
          </cell>
        </row>
        <row r="1251">
          <cell r="B1251">
            <v>9195</v>
          </cell>
          <cell r="C1251" t="str">
            <v>Saranto; Blake W</v>
          </cell>
          <cell r="D1251" t="str">
            <v>1C</v>
          </cell>
          <cell r="E1251" t="str">
            <v>IBEWOUT</v>
          </cell>
          <cell r="F1251" t="str">
            <v>77</v>
          </cell>
          <cell r="G1251" t="str">
            <v>16</v>
          </cell>
          <cell r="H1251">
            <v>0</v>
          </cell>
        </row>
        <row r="1252">
          <cell r="B1252">
            <v>9198</v>
          </cell>
          <cell r="C1252" t="str">
            <v>Sarinana; Ricardo</v>
          </cell>
          <cell r="D1252" t="str">
            <v>1C</v>
          </cell>
          <cell r="E1252" t="str">
            <v>IBEWOUT</v>
          </cell>
          <cell r="F1252" t="str">
            <v>47</v>
          </cell>
          <cell r="G1252" t="str">
            <v>8</v>
          </cell>
          <cell r="H1252">
            <v>0</v>
          </cell>
        </row>
        <row r="1253">
          <cell r="B1253">
            <v>9207</v>
          </cell>
          <cell r="C1253" t="str">
            <v>Saul; Mark Allen</v>
          </cell>
          <cell r="D1253" t="str">
            <v>1C</v>
          </cell>
          <cell r="E1253" t="str">
            <v>IBEWOUT</v>
          </cell>
          <cell r="F1253" t="str">
            <v>160</v>
          </cell>
          <cell r="G1253" t="str">
            <v>7</v>
          </cell>
          <cell r="H1253">
            <v>0</v>
          </cell>
        </row>
        <row r="1254">
          <cell r="B1254">
            <v>9217</v>
          </cell>
          <cell r="C1254" t="str">
            <v>Schaefer; Kurtis Jon</v>
          </cell>
          <cell r="D1254" t="str">
            <v>1C</v>
          </cell>
          <cell r="E1254" t="str">
            <v>IBEWOUT</v>
          </cell>
          <cell r="F1254" t="str">
            <v>77</v>
          </cell>
          <cell r="G1254" t="str">
            <v>7</v>
          </cell>
          <cell r="H1254">
            <v>0</v>
          </cell>
        </row>
        <row r="1255">
          <cell r="B1255">
            <v>9219</v>
          </cell>
          <cell r="C1255" t="str">
            <v>Savanpanyadeth; Erik P</v>
          </cell>
          <cell r="D1255" t="str">
            <v>1C</v>
          </cell>
          <cell r="E1255" t="str">
            <v>IBEWOUT</v>
          </cell>
          <cell r="F1255" t="str">
            <v>1245</v>
          </cell>
          <cell r="G1255" t="str">
            <v>17</v>
          </cell>
          <cell r="H1255">
            <v>0</v>
          </cell>
        </row>
        <row r="1256">
          <cell r="B1256">
            <v>9234</v>
          </cell>
          <cell r="C1256" t="str">
            <v>Schmidt; Bryan M</v>
          </cell>
          <cell r="D1256" t="str">
            <v>1</v>
          </cell>
          <cell r="E1256" t="str">
            <v>IBEWOUT</v>
          </cell>
          <cell r="F1256" t="str">
            <v>1245</v>
          </cell>
          <cell r="G1256" t="str">
            <v>8</v>
          </cell>
          <cell r="H1256">
            <v>0</v>
          </cell>
        </row>
        <row r="1257">
          <cell r="B1257">
            <v>9235</v>
          </cell>
          <cell r="C1257" t="str">
            <v>Szarkowski; Curt Thomas</v>
          </cell>
          <cell r="D1257" t="str">
            <v>1C</v>
          </cell>
          <cell r="E1257" t="str">
            <v>IBEWOUT</v>
          </cell>
          <cell r="F1257" t="str">
            <v>125</v>
          </cell>
          <cell r="G1257" t="str">
            <v>33</v>
          </cell>
          <cell r="H1257">
            <v>0</v>
          </cell>
        </row>
        <row r="1258">
          <cell r="B1258">
            <v>9238</v>
          </cell>
          <cell r="C1258" t="str">
            <v>Sanchez; John R</v>
          </cell>
          <cell r="D1258" t="str">
            <v>1C</v>
          </cell>
          <cell r="E1258" t="str">
            <v>IBEWOUT</v>
          </cell>
          <cell r="F1258" t="str">
            <v>1245</v>
          </cell>
          <cell r="G1258" t="str">
            <v>16</v>
          </cell>
          <cell r="H1258">
            <v>0</v>
          </cell>
        </row>
        <row r="1259">
          <cell r="B1259">
            <v>9240</v>
          </cell>
          <cell r="C1259" t="str">
            <v>Sanchez; Garrett H</v>
          </cell>
          <cell r="D1259" t="str">
            <v>1C</v>
          </cell>
          <cell r="E1259" t="str">
            <v>IBEWOUT</v>
          </cell>
          <cell r="F1259" t="str">
            <v>769</v>
          </cell>
          <cell r="G1259" t="str">
            <v>14</v>
          </cell>
          <cell r="H1259">
            <v>0</v>
          </cell>
        </row>
        <row r="1260">
          <cell r="B1260">
            <v>9242</v>
          </cell>
          <cell r="C1260" t="str">
            <v>Schmidt; Eric M</v>
          </cell>
          <cell r="D1260" t="str">
            <v>1</v>
          </cell>
          <cell r="E1260" t="str">
            <v>IBEWOUT</v>
          </cell>
          <cell r="F1260" t="str">
            <v>1245</v>
          </cell>
          <cell r="G1260" t="str">
            <v>1</v>
          </cell>
          <cell r="H1260">
            <v>0</v>
          </cell>
        </row>
        <row r="1261">
          <cell r="B1261">
            <v>9246</v>
          </cell>
          <cell r="C1261" t="str">
            <v>Schlenker; Michael Keith</v>
          </cell>
          <cell r="D1261" t="str">
            <v>1C</v>
          </cell>
          <cell r="E1261" t="str">
            <v>IBEWOUT</v>
          </cell>
          <cell r="F1261" t="str">
            <v>1245</v>
          </cell>
          <cell r="G1261" t="str">
            <v>7</v>
          </cell>
          <cell r="H1261">
            <v>0</v>
          </cell>
        </row>
        <row r="1262">
          <cell r="B1262">
            <v>9247</v>
          </cell>
          <cell r="C1262" t="str">
            <v>Sanchez; Jesse</v>
          </cell>
          <cell r="D1262" t="str">
            <v>1C</v>
          </cell>
          <cell r="E1262" t="str">
            <v>IBEWOUT</v>
          </cell>
          <cell r="F1262" t="str">
            <v>1245</v>
          </cell>
          <cell r="G1262" t="str">
            <v>17</v>
          </cell>
          <cell r="H1262">
            <v>0</v>
          </cell>
        </row>
        <row r="1263">
          <cell r="B1263">
            <v>9255</v>
          </cell>
          <cell r="C1263" t="str">
            <v>Santa Cruz; Gregory P.</v>
          </cell>
          <cell r="D1263" t="str">
            <v>1</v>
          </cell>
          <cell r="E1263" t="str">
            <v>IBEWOUT</v>
          </cell>
          <cell r="F1263" t="str">
            <v>1245</v>
          </cell>
          <cell r="G1263" t="str">
            <v>8</v>
          </cell>
          <cell r="H1263">
            <v>0</v>
          </cell>
        </row>
        <row r="1264">
          <cell r="B1264">
            <v>9257</v>
          </cell>
          <cell r="C1264" t="str">
            <v>Schmerber; Raymond L</v>
          </cell>
          <cell r="D1264" t="str">
            <v>1C</v>
          </cell>
          <cell r="E1264" t="str">
            <v>IBEWOUT</v>
          </cell>
          <cell r="F1264" t="str">
            <v>611</v>
          </cell>
          <cell r="G1264" t="str">
            <v>14</v>
          </cell>
          <cell r="H1264">
            <v>0</v>
          </cell>
        </row>
        <row r="1265">
          <cell r="B1265">
            <v>9258</v>
          </cell>
          <cell r="C1265" t="str">
            <v>Scott; Nevin P.</v>
          </cell>
          <cell r="D1265" t="str">
            <v>1C</v>
          </cell>
          <cell r="E1265" t="str">
            <v>IBEWOUT</v>
          </cell>
          <cell r="F1265" t="str">
            <v>611</v>
          </cell>
          <cell r="G1265" t="str">
            <v>20</v>
          </cell>
          <cell r="H1265">
            <v>0</v>
          </cell>
        </row>
        <row r="1266">
          <cell r="B1266">
            <v>9259</v>
          </cell>
          <cell r="C1266" t="str">
            <v>Scott; Bryan David</v>
          </cell>
          <cell r="D1266" t="str">
            <v>1C</v>
          </cell>
          <cell r="E1266" t="str">
            <v/>
          </cell>
          <cell r="F1266" t="str">
            <v/>
          </cell>
          <cell r="G1266" t="str">
            <v/>
          </cell>
          <cell r="H1266">
            <v>1</v>
          </cell>
        </row>
        <row r="1267">
          <cell r="B1267">
            <v>9260</v>
          </cell>
          <cell r="C1267" t="str">
            <v>Scott; Brian E</v>
          </cell>
          <cell r="D1267" t="str">
            <v>1C</v>
          </cell>
          <cell r="E1267" t="str">
            <v>IBEWOUT</v>
          </cell>
          <cell r="F1267" t="str">
            <v>602R</v>
          </cell>
          <cell r="G1267" t="str">
            <v>8</v>
          </cell>
          <cell r="H1267">
            <v>0</v>
          </cell>
        </row>
        <row r="1268">
          <cell r="B1268">
            <v>9261</v>
          </cell>
          <cell r="C1268" t="str">
            <v>Scott; Coltin B</v>
          </cell>
          <cell r="D1268" t="str">
            <v>1</v>
          </cell>
          <cell r="E1268" t="str">
            <v/>
          </cell>
          <cell r="F1268" t="str">
            <v/>
          </cell>
          <cell r="G1268" t="str">
            <v/>
          </cell>
          <cell r="H1268">
            <v>1</v>
          </cell>
        </row>
        <row r="1269">
          <cell r="B1269">
            <v>9262</v>
          </cell>
          <cell r="C1269" t="str">
            <v>Sanders; Travis P.</v>
          </cell>
          <cell r="D1269" t="str">
            <v>1</v>
          </cell>
          <cell r="E1269" t="str">
            <v>IBEWOUT</v>
          </cell>
          <cell r="F1269" t="str">
            <v>1245</v>
          </cell>
          <cell r="G1269" t="str">
            <v>1</v>
          </cell>
          <cell r="H1269">
            <v>0</v>
          </cell>
        </row>
        <row r="1270">
          <cell r="B1270">
            <v>9263</v>
          </cell>
          <cell r="C1270" t="str">
            <v>Scarbrough; James F</v>
          </cell>
          <cell r="D1270" t="str">
            <v>1</v>
          </cell>
          <cell r="E1270" t="str">
            <v>IBEWOUT</v>
          </cell>
          <cell r="F1270" t="str">
            <v>1245</v>
          </cell>
          <cell r="G1270" t="str">
            <v>8</v>
          </cell>
          <cell r="H1270">
            <v>0</v>
          </cell>
        </row>
        <row r="1271">
          <cell r="B1271">
            <v>9265</v>
          </cell>
          <cell r="C1271" t="str">
            <v>Schmeusser; Randy J</v>
          </cell>
          <cell r="D1271" t="str">
            <v>1C</v>
          </cell>
          <cell r="E1271" t="str">
            <v>IBEWOUT</v>
          </cell>
          <cell r="F1271" t="str">
            <v>125</v>
          </cell>
          <cell r="G1271" t="str">
            <v>17</v>
          </cell>
          <cell r="H1271">
            <v>0</v>
          </cell>
        </row>
        <row r="1272">
          <cell r="B1272">
            <v>9270</v>
          </cell>
          <cell r="C1272" t="str">
            <v>Scroggie; Michael L</v>
          </cell>
          <cell r="D1272" t="str">
            <v>1C</v>
          </cell>
          <cell r="E1272" t="str">
            <v>IBEWOUT</v>
          </cell>
          <cell r="F1272" t="str">
            <v>1049</v>
          </cell>
          <cell r="G1272" t="str">
            <v>8</v>
          </cell>
          <cell r="H1272">
            <v>0</v>
          </cell>
        </row>
        <row r="1273">
          <cell r="B1273">
            <v>9273</v>
          </cell>
          <cell r="C1273" t="str">
            <v>Seabourn; David D</v>
          </cell>
          <cell r="D1273" t="str">
            <v>1C</v>
          </cell>
          <cell r="E1273" t="str">
            <v>IBEWOUT</v>
          </cell>
          <cell r="F1273" t="str">
            <v>1245</v>
          </cell>
          <cell r="G1273" t="str">
            <v>16</v>
          </cell>
          <cell r="H1273">
            <v>0</v>
          </cell>
        </row>
        <row r="1274">
          <cell r="B1274">
            <v>9276</v>
          </cell>
          <cell r="C1274" t="str">
            <v>Schmucker; Samuel</v>
          </cell>
          <cell r="D1274" t="str">
            <v>1</v>
          </cell>
          <cell r="E1274" t="str">
            <v>IBEWOUT</v>
          </cell>
          <cell r="F1274" t="str">
            <v>47</v>
          </cell>
          <cell r="G1274" t="str">
            <v>8</v>
          </cell>
          <cell r="H1274">
            <v>0</v>
          </cell>
        </row>
        <row r="1275">
          <cell r="B1275">
            <v>9285</v>
          </cell>
          <cell r="C1275" t="str">
            <v>Sedlak; Anthony Michael</v>
          </cell>
          <cell r="D1275" t="str">
            <v>1C</v>
          </cell>
          <cell r="E1275" t="str">
            <v>IBEWOUT</v>
          </cell>
          <cell r="F1275" t="str">
            <v>769</v>
          </cell>
          <cell r="G1275" t="str">
            <v>22</v>
          </cell>
          <cell r="H1275">
            <v>0</v>
          </cell>
        </row>
        <row r="1276">
          <cell r="B1276">
            <v>9286</v>
          </cell>
          <cell r="C1276" t="str">
            <v>Severson; Cody D</v>
          </cell>
          <cell r="D1276" t="str">
            <v>1C</v>
          </cell>
          <cell r="E1276" t="str">
            <v>IBEWOUT</v>
          </cell>
          <cell r="F1276" t="str">
            <v>1245</v>
          </cell>
          <cell r="G1276" t="str">
            <v>8</v>
          </cell>
          <cell r="H1276">
            <v>0</v>
          </cell>
        </row>
        <row r="1277">
          <cell r="B1277">
            <v>9287</v>
          </cell>
          <cell r="C1277" t="str">
            <v>Sheridan; Anthony W</v>
          </cell>
          <cell r="D1277" t="str">
            <v>1C</v>
          </cell>
          <cell r="E1277" t="str">
            <v>IBEWOUT</v>
          </cell>
          <cell r="F1277" t="str">
            <v>47</v>
          </cell>
          <cell r="G1277" t="str">
            <v>8</v>
          </cell>
          <cell r="H1277">
            <v>0</v>
          </cell>
        </row>
        <row r="1278">
          <cell r="B1278">
            <v>9288</v>
          </cell>
          <cell r="C1278" t="str">
            <v>Servin; Carlos E.</v>
          </cell>
          <cell r="D1278" t="str">
            <v>1C</v>
          </cell>
          <cell r="E1278" t="str">
            <v>IBEWOUT</v>
          </cell>
          <cell r="F1278" t="str">
            <v>1245</v>
          </cell>
          <cell r="G1278" t="str">
            <v>10</v>
          </cell>
          <cell r="H1278">
            <v>0</v>
          </cell>
        </row>
        <row r="1279">
          <cell r="B1279">
            <v>9289</v>
          </cell>
          <cell r="C1279" t="str">
            <v>Sheridan; Jimmy L.</v>
          </cell>
          <cell r="D1279" t="str">
            <v>1C</v>
          </cell>
          <cell r="E1279" t="str">
            <v>IBEWOUT</v>
          </cell>
          <cell r="F1279" t="str">
            <v>47</v>
          </cell>
          <cell r="G1279" t="str">
            <v>8</v>
          </cell>
          <cell r="H1279">
            <v>0</v>
          </cell>
        </row>
        <row r="1280">
          <cell r="B1280">
            <v>9291</v>
          </cell>
          <cell r="C1280" t="str">
            <v>Shaffer; David D</v>
          </cell>
          <cell r="D1280" t="str">
            <v>1C</v>
          </cell>
          <cell r="E1280" t="str">
            <v/>
          </cell>
          <cell r="F1280" t="str">
            <v/>
          </cell>
          <cell r="G1280" t="str">
            <v/>
          </cell>
          <cell r="H1280">
            <v>0</v>
          </cell>
        </row>
        <row r="1281">
          <cell r="B1281">
            <v>9293</v>
          </cell>
          <cell r="C1281" t="str">
            <v>Shaddy; Jeffrey</v>
          </cell>
          <cell r="D1281" t="str">
            <v>1C</v>
          </cell>
          <cell r="E1281" t="str">
            <v>IBEWOUT</v>
          </cell>
          <cell r="F1281" t="str">
            <v>1245</v>
          </cell>
          <cell r="G1281" t="str">
            <v>13</v>
          </cell>
          <cell r="H1281">
            <v>0</v>
          </cell>
        </row>
        <row r="1282">
          <cell r="B1282">
            <v>9295</v>
          </cell>
          <cell r="C1282" t="str">
            <v>Shaw; William R.</v>
          </cell>
          <cell r="D1282" t="str">
            <v>1C</v>
          </cell>
          <cell r="E1282" t="str">
            <v>IBEWOUT</v>
          </cell>
          <cell r="F1282" t="str">
            <v>77</v>
          </cell>
          <cell r="G1282" t="str">
            <v>8</v>
          </cell>
          <cell r="H1282">
            <v>0</v>
          </cell>
        </row>
        <row r="1283">
          <cell r="B1283">
            <v>9297</v>
          </cell>
          <cell r="C1283" t="str">
            <v>Shaw; Austin M</v>
          </cell>
          <cell r="D1283" t="str">
            <v>1C</v>
          </cell>
          <cell r="E1283" t="str">
            <v>IBEWOUT</v>
          </cell>
          <cell r="F1283" t="str">
            <v>1245</v>
          </cell>
          <cell r="G1283" t="str">
            <v>14</v>
          </cell>
          <cell r="H1283">
            <v>0</v>
          </cell>
        </row>
        <row r="1284">
          <cell r="B1284">
            <v>9298</v>
          </cell>
          <cell r="C1284" t="str">
            <v>Shelton; William M</v>
          </cell>
          <cell r="D1284" t="str">
            <v>1C</v>
          </cell>
          <cell r="E1284" t="str">
            <v>IBEWOUT</v>
          </cell>
          <cell r="F1284" t="str">
            <v>47</v>
          </cell>
          <cell r="G1284" t="str">
            <v>8</v>
          </cell>
          <cell r="H1284">
            <v>0</v>
          </cell>
        </row>
        <row r="1285">
          <cell r="B1285">
            <v>9299</v>
          </cell>
          <cell r="C1285" t="str">
            <v>Shelton; Jacob R.</v>
          </cell>
          <cell r="D1285" t="str">
            <v>1C</v>
          </cell>
          <cell r="E1285" t="str">
            <v>IBEWOUT</v>
          </cell>
          <cell r="F1285" t="str">
            <v>1245</v>
          </cell>
          <cell r="G1285" t="str">
            <v>8</v>
          </cell>
          <cell r="H1285">
            <v>0</v>
          </cell>
        </row>
        <row r="1286">
          <cell r="B1286">
            <v>9300</v>
          </cell>
          <cell r="C1286" t="str">
            <v>Shearer; Kaylee A</v>
          </cell>
          <cell r="D1286" t="str">
            <v>1C</v>
          </cell>
          <cell r="E1286" t="str">
            <v/>
          </cell>
          <cell r="F1286" t="str">
            <v/>
          </cell>
          <cell r="G1286" t="str">
            <v/>
          </cell>
          <cell r="H1286">
            <v>0</v>
          </cell>
        </row>
        <row r="1287">
          <cell r="B1287">
            <v>9306</v>
          </cell>
          <cell r="C1287" t="str">
            <v>Shelton; Matthew Scott</v>
          </cell>
          <cell r="D1287" t="str">
            <v>1C</v>
          </cell>
          <cell r="E1287" t="str">
            <v/>
          </cell>
          <cell r="F1287" t="str">
            <v/>
          </cell>
          <cell r="G1287" t="str">
            <v/>
          </cell>
          <cell r="H1287">
            <v>1</v>
          </cell>
        </row>
        <row r="1288">
          <cell r="B1288">
            <v>9307</v>
          </cell>
          <cell r="C1288" t="str">
            <v>Sheen; Frederick W.</v>
          </cell>
          <cell r="D1288" t="str">
            <v>1C</v>
          </cell>
          <cell r="E1288" t="str">
            <v>IBEWOUT</v>
          </cell>
          <cell r="F1288" t="str">
            <v>125</v>
          </cell>
          <cell r="G1288" t="str">
            <v>8</v>
          </cell>
          <cell r="H1288">
            <v>0</v>
          </cell>
        </row>
        <row r="1289">
          <cell r="B1289">
            <v>9312</v>
          </cell>
          <cell r="C1289" t="str">
            <v>Shiflett; William J</v>
          </cell>
          <cell r="D1289" t="str">
            <v>1C</v>
          </cell>
          <cell r="E1289" t="str">
            <v>IBEWOUT</v>
          </cell>
          <cell r="F1289" t="str">
            <v>77</v>
          </cell>
          <cell r="G1289" t="str">
            <v>8</v>
          </cell>
          <cell r="H1289">
            <v>0</v>
          </cell>
        </row>
        <row r="1290">
          <cell r="B1290">
            <v>9315</v>
          </cell>
          <cell r="C1290" t="str">
            <v>Sherlock; Andrew C</v>
          </cell>
          <cell r="D1290" t="str">
            <v>1C</v>
          </cell>
          <cell r="E1290" t="str">
            <v>IBEWOUT</v>
          </cell>
          <cell r="F1290" t="str">
            <v>769</v>
          </cell>
          <cell r="G1290" t="str">
            <v>8</v>
          </cell>
          <cell r="H1290">
            <v>0</v>
          </cell>
        </row>
        <row r="1291">
          <cell r="B1291">
            <v>9317</v>
          </cell>
          <cell r="C1291" t="str">
            <v>Shrum; Joel R</v>
          </cell>
          <cell r="D1291" t="str">
            <v>1C</v>
          </cell>
          <cell r="E1291" t="str">
            <v>IBEWOUT</v>
          </cell>
          <cell r="F1291" t="str">
            <v>1245</v>
          </cell>
          <cell r="G1291" t="str">
            <v>7</v>
          </cell>
          <cell r="H1291">
            <v>0</v>
          </cell>
        </row>
        <row r="1292">
          <cell r="B1292">
            <v>9318</v>
          </cell>
          <cell r="C1292" t="str">
            <v>Shipman; Audie L.</v>
          </cell>
          <cell r="D1292" t="str">
            <v>1C</v>
          </cell>
          <cell r="E1292" t="str">
            <v>IBEWOUT</v>
          </cell>
          <cell r="F1292" t="str">
            <v>47</v>
          </cell>
          <cell r="G1292" t="str">
            <v>8</v>
          </cell>
          <cell r="H1292">
            <v>0</v>
          </cell>
        </row>
        <row r="1293">
          <cell r="B1293">
            <v>9320</v>
          </cell>
          <cell r="C1293" t="str">
            <v>Shull; Travis J</v>
          </cell>
          <cell r="D1293" t="str">
            <v>1C</v>
          </cell>
          <cell r="E1293" t="str">
            <v>IBEWOUT</v>
          </cell>
          <cell r="F1293" t="str">
            <v>1245</v>
          </cell>
          <cell r="G1293" t="str">
            <v>12</v>
          </cell>
          <cell r="H1293">
            <v>0</v>
          </cell>
        </row>
        <row r="1294">
          <cell r="B1294">
            <v>9323</v>
          </cell>
          <cell r="C1294" t="str">
            <v>Shaw-Sunderland; Christopher M</v>
          </cell>
          <cell r="D1294" t="str">
            <v>1</v>
          </cell>
          <cell r="E1294" t="str">
            <v>IBEWOUT</v>
          </cell>
          <cell r="F1294" t="str">
            <v>1245</v>
          </cell>
          <cell r="G1294" t="str">
            <v>13</v>
          </cell>
          <cell r="H1294">
            <v>0</v>
          </cell>
        </row>
        <row r="1295">
          <cell r="B1295">
            <v>9325</v>
          </cell>
          <cell r="C1295" t="str">
            <v>Shaffer-Murphy; Jacob C</v>
          </cell>
          <cell r="D1295" t="str">
            <v>1C</v>
          </cell>
          <cell r="E1295" t="str">
            <v>IBEWOUT</v>
          </cell>
          <cell r="F1295" t="str">
            <v>47</v>
          </cell>
          <cell r="G1295" t="str">
            <v>8</v>
          </cell>
          <cell r="H1295">
            <v>0</v>
          </cell>
        </row>
        <row r="1296">
          <cell r="B1296">
            <v>9328</v>
          </cell>
          <cell r="C1296" t="str">
            <v>Silvas; Raul Torres</v>
          </cell>
          <cell r="D1296" t="str">
            <v>1</v>
          </cell>
          <cell r="E1296" t="str">
            <v>IBEWOUT</v>
          </cell>
          <cell r="F1296" t="str">
            <v>769</v>
          </cell>
          <cell r="G1296" t="str">
            <v>8</v>
          </cell>
          <cell r="H1296">
            <v>0</v>
          </cell>
        </row>
        <row r="1297">
          <cell r="B1297">
            <v>9329</v>
          </cell>
          <cell r="C1297" t="str">
            <v>Silvas; Enrique</v>
          </cell>
          <cell r="D1297" t="str">
            <v>1C</v>
          </cell>
          <cell r="E1297" t="str">
            <v>IBEWOUT</v>
          </cell>
          <cell r="F1297" t="str">
            <v>47</v>
          </cell>
          <cell r="G1297" t="str">
            <v>8</v>
          </cell>
          <cell r="H1297">
            <v>0</v>
          </cell>
        </row>
        <row r="1298">
          <cell r="B1298">
            <v>9337</v>
          </cell>
          <cell r="C1298" t="str">
            <v>Sibley; Anthony E</v>
          </cell>
          <cell r="D1298" t="str">
            <v>1C</v>
          </cell>
          <cell r="E1298" t="str">
            <v>IBEWOUT</v>
          </cell>
          <cell r="F1298" t="str">
            <v>396</v>
          </cell>
          <cell r="G1298" t="str">
            <v>8</v>
          </cell>
          <cell r="H1298">
            <v>0</v>
          </cell>
        </row>
        <row r="1299">
          <cell r="B1299">
            <v>9338</v>
          </cell>
          <cell r="C1299" t="str">
            <v>Sichak; Keith Douglas</v>
          </cell>
          <cell r="D1299" t="str">
            <v>1</v>
          </cell>
          <cell r="E1299" t="str">
            <v/>
          </cell>
          <cell r="F1299" t="str">
            <v/>
          </cell>
          <cell r="G1299" t="str">
            <v/>
          </cell>
          <cell r="H1299">
            <v>1</v>
          </cell>
        </row>
        <row r="1300">
          <cell r="B1300">
            <v>9340</v>
          </cell>
          <cell r="C1300" t="str">
            <v>Side; Ryan P</v>
          </cell>
          <cell r="D1300" t="str">
            <v>1</v>
          </cell>
          <cell r="E1300" t="str">
            <v>IBEWOUT</v>
          </cell>
          <cell r="F1300" t="str">
            <v>47</v>
          </cell>
          <cell r="G1300" t="str">
            <v>8</v>
          </cell>
          <cell r="H1300">
            <v>0</v>
          </cell>
        </row>
        <row r="1301">
          <cell r="B1301">
            <v>9354</v>
          </cell>
          <cell r="C1301" t="str">
            <v>Sparks; Kyle Gene</v>
          </cell>
          <cell r="D1301" t="str">
            <v>1C</v>
          </cell>
          <cell r="E1301" t="str">
            <v>IBEWOUT</v>
          </cell>
          <cell r="F1301" t="str">
            <v>1245</v>
          </cell>
          <cell r="G1301" t="str">
            <v>1</v>
          </cell>
          <cell r="H1301">
            <v>0</v>
          </cell>
        </row>
        <row r="1302">
          <cell r="B1302">
            <v>9355</v>
          </cell>
          <cell r="C1302" t="str">
            <v>Spargo; Joseph C</v>
          </cell>
          <cell r="D1302" t="str">
            <v>1C</v>
          </cell>
          <cell r="E1302" t="str">
            <v>IBEWOUT</v>
          </cell>
          <cell r="F1302" t="str">
            <v>47</v>
          </cell>
          <cell r="G1302" t="str">
            <v>17</v>
          </cell>
          <cell r="H1302">
            <v>0</v>
          </cell>
        </row>
        <row r="1303">
          <cell r="B1303">
            <v>9364</v>
          </cell>
          <cell r="C1303" t="str">
            <v>Sprunt; Stuart Gregory</v>
          </cell>
          <cell r="D1303" t="str">
            <v>1C</v>
          </cell>
          <cell r="E1303" t="str">
            <v>IBEWOUT</v>
          </cell>
          <cell r="F1303" t="str">
            <v>769</v>
          </cell>
          <cell r="G1303" t="str">
            <v>8</v>
          </cell>
          <cell r="H1303">
            <v>0</v>
          </cell>
        </row>
        <row r="1304">
          <cell r="B1304">
            <v>9365</v>
          </cell>
          <cell r="C1304" t="str">
            <v>Shorty; Darrell Thomas</v>
          </cell>
          <cell r="D1304" t="str">
            <v>1C</v>
          </cell>
          <cell r="E1304" t="str">
            <v>IBEWOUT</v>
          </cell>
          <cell r="F1304" t="str">
            <v>611</v>
          </cell>
          <cell r="G1304" t="str">
            <v>8</v>
          </cell>
          <cell r="H1304">
            <v>0</v>
          </cell>
        </row>
        <row r="1305">
          <cell r="B1305">
            <v>9374</v>
          </cell>
          <cell r="C1305" t="str">
            <v>Simons; Nicholas R.</v>
          </cell>
          <cell r="D1305" t="str">
            <v>1C</v>
          </cell>
          <cell r="E1305" t="str">
            <v>IBEWOUT</v>
          </cell>
          <cell r="F1305" t="str">
            <v>1245</v>
          </cell>
          <cell r="G1305" t="str">
            <v>7</v>
          </cell>
          <cell r="H1305">
            <v>0</v>
          </cell>
        </row>
        <row r="1306">
          <cell r="B1306">
            <v>9375</v>
          </cell>
          <cell r="C1306" t="str">
            <v>Simmons; Cyrus E.</v>
          </cell>
          <cell r="D1306" t="str">
            <v>1C</v>
          </cell>
          <cell r="E1306" t="str">
            <v>IBEWOUT</v>
          </cell>
          <cell r="F1306" t="str">
            <v>1245</v>
          </cell>
          <cell r="G1306" t="str">
            <v>8</v>
          </cell>
          <cell r="H1306">
            <v>0</v>
          </cell>
        </row>
        <row r="1307">
          <cell r="B1307">
            <v>9377</v>
          </cell>
          <cell r="C1307" t="str">
            <v>Singledecker; Devin J.</v>
          </cell>
          <cell r="D1307" t="str">
            <v>1C</v>
          </cell>
          <cell r="E1307" t="str">
            <v>IBEWOUT</v>
          </cell>
          <cell r="F1307" t="str">
            <v>77</v>
          </cell>
          <cell r="G1307" t="str">
            <v>10</v>
          </cell>
          <cell r="H1307">
            <v>0</v>
          </cell>
        </row>
        <row r="1308">
          <cell r="B1308">
            <v>9380</v>
          </cell>
          <cell r="C1308" t="str">
            <v>Spears; Harvey L.</v>
          </cell>
          <cell r="D1308" t="str">
            <v>1C</v>
          </cell>
          <cell r="E1308" t="str">
            <v>IBEWOUT</v>
          </cell>
          <cell r="F1308" t="str">
            <v>47</v>
          </cell>
          <cell r="G1308" t="str">
            <v>8</v>
          </cell>
          <cell r="H1308">
            <v>0</v>
          </cell>
        </row>
        <row r="1309">
          <cell r="B1309">
            <v>9382</v>
          </cell>
          <cell r="C1309" t="str">
            <v>Spear; George J</v>
          </cell>
          <cell r="D1309" t="str">
            <v>1C</v>
          </cell>
          <cell r="E1309" t="str">
            <v>IBEWOUT</v>
          </cell>
          <cell r="F1309" t="str">
            <v>77</v>
          </cell>
          <cell r="G1309" t="str">
            <v>8</v>
          </cell>
          <cell r="H1309">
            <v>0</v>
          </cell>
        </row>
        <row r="1310">
          <cell r="B1310">
            <v>9386</v>
          </cell>
          <cell r="C1310" t="str">
            <v>Spurrier; Warren</v>
          </cell>
          <cell r="D1310" t="str">
            <v>1C</v>
          </cell>
          <cell r="E1310" t="str">
            <v>IBEWOUT</v>
          </cell>
          <cell r="F1310" t="str">
            <v>77</v>
          </cell>
          <cell r="G1310" t="str">
            <v>8</v>
          </cell>
          <cell r="H1310">
            <v>0</v>
          </cell>
        </row>
        <row r="1311">
          <cell r="B1311">
            <v>9396</v>
          </cell>
          <cell r="C1311" t="str">
            <v>Skaar; Nickolas D</v>
          </cell>
          <cell r="D1311" t="str">
            <v>1</v>
          </cell>
          <cell r="E1311" t="str">
            <v>IBEWOUT</v>
          </cell>
          <cell r="F1311" t="str">
            <v>77</v>
          </cell>
          <cell r="G1311" t="str">
            <v>9</v>
          </cell>
          <cell r="H1311">
            <v>0</v>
          </cell>
        </row>
        <row r="1312">
          <cell r="B1312">
            <v>9400</v>
          </cell>
          <cell r="C1312" t="str">
            <v>Slater; Anthony W.</v>
          </cell>
          <cell r="D1312" t="str">
            <v>1C</v>
          </cell>
          <cell r="E1312" t="str">
            <v>IBEWOUT</v>
          </cell>
          <cell r="F1312" t="str">
            <v>47</v>
          </cell>
          <cell r="G1312" t="str">
            <v>8</v>
          </cell>
          <cell r="H1312">
            <v>0</v>
          </cell>
        </row>
        <row r="1313">
          <cell r="B1313">
            <v>9457</v>
          </cell>
          <cell r="C1313" t="str">
            <v>Smith; Alfred D</v>
          </cell>
          <cell r="D1313" t="str">
            <v>1C</v>
          </cell>
          <cell r="E1313" t="str">
            <v>IBEWOUT</v>
          </cell>
          <cell r="F1313" t="str">
            <v>47</v>
          </cell>
          <cell r="G1313" t="str">
            <v>17</v>
          </cell>
          <cell r="H1313">
            <v>0</v>
          </cell>
        </row>
        <row r="1314">
          <cell r="B1314">
            <v>9459</v>
          </cell>
          <cell r="C1314" t="str">
            <v>Smith; Garrett L</v>
          </cell>
          <cell r="D1314" t="str">
            <v>1</v>
          </cell>
          <cell r="E1314" t="str">
            <v>IBEWOUT</v>
          </cell>
          <cell r="F1314" t="str">
            <v>769</v>
          </cell>
          <cell r="G1314" t="str">
            <v>17</v>
          </cell>
          <cell r="H1314">
            <v>0</v>
          </cell>
        </row>
        <row r="1315">
          <cell r="B1315">
            <v>9461</v>
          </cell>
          <cell r="C1315" t="str">
            <v>Smith; Christopher B</v>
          </cell>
          <cell r="D1315" t="str">
            <v>1C</v>
          </cell>
          <cell r="E1315" t="str">
            <v>IBEWOUT</v>
          </cell>
          <cell r="F1315" t="str">
            <v>160</v>
          </cell>
          <cell r="G1315" t="str">
            <v>8</v>
          </cell>
          <cell r="H1315">
            <v>0</v>
          </cell>
        </row>
        <row r="1316">
          <cell r="B1316">
            <v>9463</v>
          </cell>
          <cell r="C1316" t="str">
            <v>Smith; George M</v>
          </cell>
          <cell r="D1316" t="str">
            <v>1C</v>
          </cell>
          <cell r="E1316" t="str">
            <v>IBEWOUT</v>
          </cell>
          <cell r="F1316" t="str">
            <v>1245</v>
          </cell>
          <cell r="G1316" t="str">
            <v>7</v>
          </cell>
          <cell r="H1316">
            <v>0</v>
          </cell>
        </row>
        <row r="1317">
          <cell r="B1317">
            <v>9475</v>
          </cell>
          <cell r="C1317" t="str">
            <v>Smith; Darren R.</v>
          </cell>
          <cell r="D1317" t="str">
            <v>1C</v>
          </cell>
          <cell r="E1317" t="str">
            <v>IBEWOUT</v>
          </cell>
          <cell r="F1317" t="str">
            <v>47</v>
          </cell>
          <cell r="G1317" t="str">
            <v>8</v>
          </cell>
          <cell r="H1317">
            <v>0</v>
          </cell>
        </row>
        <row r="1318">
          <cell r="B1318">
            <v>9489</v>
          </cell>
          <cell r="C1318" t="str">
            <v>Smith; Dustin A</v>
          </cell>
          <cell r="D1318" t="str">
            <v>1</v>
          </cell>
          <cell r="E1318" t="str">
            <v/>
          </cell>
          <cell r="F1318" t="str">
            <v/>
          </cell>
          <cell r="G1318" t="str">
            <v/>
          </cell>
          <cell r="H1318">
            <v>0</v>
          </cell>
        </row>
        <row r="1319">
          <cell r="B1319">
            <v>9494</v>
          </cell>
          <cell r="C1319" t="str">
            <v>Smith; Karl V</v>
          </cell>
          <cell r="D1319" t="str">
            <v>1C</v>
          </cell>
          <cell r="E1319" t="str">
            <v>IBEWOUT</v>
          </cell>
          <cell r="F1319" t="str">
            <v>1245</v>
          </cell>
          <cell r="G1319" t="str">
            <v>8</v>
          </cell>
          <cell r="H1319">
            <v>0</v>
          </cell>
        </row>
        <row r="1320">
          <cell r="B1320">
            <v>9503</v>
          </cell>
          <cell r="C1320" t="str">
            <v>Schneider; Howard I</v>
          </cell>
          <cell r="D1320" t="str">
            <v>1C</v>
          </cell>
          <cell r="E1320" t="str">
            <v>IBEWOUT</v>
          </cell>
          <cell r="F1320" t="str">
            <v>77</v>
          </cell>
          <cell r="G1320" t="str">
            <v>17</v>
          </cell>
          <cell r="H1320">
            <v>0</v>
          </cell>
        </row>
        <row r="1321">
          <cell r="B1321">
            <v>9505</v>
          </cell>
          <cell r="C1321" t="str">
            <v>Smith; Wayne A</v>
          </cell>
          <cell r="D1321" t="str">
            <v>1</v>
          </cell>
          <cell r="E1321" t="str">
            <v/>
          </cell>
          <cell r="F1321" t="str">
            <v/>
          </cell>
          <cell r="G1321" t="str">
            <v/>
          </cell>
          <cell r="H1321">
            <v>1</v>
          </cell>
        </row>
        <row r="1322">
          <cell r="B1322">
            <v>9506</v>
          </cell>
          <cell r="C1322" t="str">
            <v>Smith; Jerry D.</v>
          </cell>
          <cell r="D1322" t="str">
            <v>1C</v>
          </cell>
          <cell r="E1322" t="str">
            <v/>
          </cell>
          <cell r="F1322" t="str">
            <v/>
          </cell>
          <cell r="G1322" t="str">
            <v/>
          </cell>
          <cell r="H1322">
            <v>0</v>
          </cell>
        </row>
        <row r="1323">
          <cell r="B1323">
            <v>9509</v>
          </cell>
          <cell r="C1323" t="str">
            <v>Smith; Joel J</v>
          </cell>
          <cell r="D1323" t="str">
            <v>1C</v>
          </cell>
          <cell r="E1323" t="str">
            <v>IBEWOUT</v>
          </cell>
          <cell r="F1323" t="str">
            <v>611</v>
          </cell>
          <cell r="G1323" t="str">
            <v>17</v>
          </cell>
          <cell r="H1323">
            <v>0</v>
          </cell>
        </row>
        <row r="1324">
          <cell r="B1324">
            <v>9511</v>
          </cell>
          <cell r="C1324" t="str">
            <v>Smith; Wayne A</v>
          </cell>
          <cell r="D1324" t="str">
            <v>1C</v>
          </cell>
          <cell r="E1324" t="str">
            <v>IBEWOUT</v>
          </cell>
          <cell r="F1324" t="str">
            <v>1245</v>
          </cell>
          <cell r="G1324" t="str">
            <v>8</v>
          </cell>
          <cell r="H1324">
            <v>0</v>
          </cell>
        </row>
        <row r="1325">
          <cell r="B1325">
            <v>9518</v>
          </cell>
          <cell r="C1325" t="str">
            <v>Schneider; Casey J</v>
          </cell>
          <cell r="D1325" t="str">
            <v>1C</v>
          </cell>
          <cell r="E1325" t="str">
            <v>IBEWOUT</v>
          </cell>
          <cell r="F1325" t="str">
            <v>125</v>
          </cell>
          <cell r="G1325" t="str">
            <v>12</v>
          </cell>
          <cell r="H1325">
            <v>0</v>
          </cell>
        </row>
        <row r="1326">
          <cell r="B1326">
            <v>9520</v>
          </cell>
          <cell r="C1326" t="str">
            <v>Smith; Patrick T.</v>
          </cell>
          <cell r="D1326" t="str">
            <v>1</v>
          </cell>
          <cell r="E1326" t="str">
            <v>IBEWOUT</v>
          </cell>
          <cell r="F1326" t="str">
            <v>125</v>
          </cell>
          <cell r="G1326" t="str">
            <v>4</v>
          </cell>
          <cell r="H1326">
            <v>0</v>
          </cell>
        </row>
        <row r="1327">
          <cell r="B1327">
            <v>9534</v>
          </cell>
          <cell r="C1327" t="str">
            <v>Smothermon; Archie DeWayne</v>
          </cell>
          <cell r="D1327" t="str">
            <v>1C</v>
          </cell>
          <cell r="E1327" t="str">
            <v>IBEWOUT</v>
          </cell>
          <cell r="F1327" t="str">
            <v>77</v>
          </cell>
          <cell r="G1327" t="str">
            <v>8</v>
          </cell>
          <cell r="H1327">
            <v>0</v>
          </cell>
        </row>
        <row r="1328">
          <cell r="B1328">
            <v>9540</v>
          </cell>
          <cell r="C1328" t="str">
            <v>Schnider; Jacob Clinton</v>
          </cell>
          <cell r="D1328" t="str">
            <v>1C</v>
          </cell>
          <cell r="E1328" t="str">
            <v>IBEWOUT</v>
          </cell>
          <cell r="F1328" t="str">
            <v>1245</v>
          </cell>
          <cell r="G1328" t="str">
            <v>8</v>
          </cell>
          <cell r="H1328">
            <v>0</v>
          </cell>
        </row>
        <row r="1329">
          <cell r="B1329">
            <v>9542</v>
          </cell>
          <cell r="C1329" t="str">
            <v>Schnider; Kyle Rod</v>
          </cell>
          <cell r="D1329" t="str">
            <v>1</v>
          </cell>
          <cell r="E1329" t="str">
            <v>IBEWOUT</v>
          </cell>
          <cell r="F1329" t="str">
            <v>47</v>
          </cell>
          <cell r="G1329" t="str">
            <v>1</v>
          </cell>
          <cell r="H1329">
            <v>0</v>
          </cell>
        </row>
        <row r="1330">
          <cell r="B1330">
            <v>9552</v>
          </cell>
          <cell r="C1330" t="str">
            <v>Schreiner; Stephen A</v>
          </cell>
          <cell r="D1330" t="str">
            <v>1C</v>
          </cell>
          <cell r="E1330" t="str">
            <v>IBEWOUT</v>
          </cell>
          <cell r="F1330" t="str">
            <v>47</v>
          </cell>
          <cell r="G1330" t="str">
            <v>13</v>
          </cell>
          <cell r="H1330">
            <v>0</v>
          </cell>
        </row>
        <row r="1331">
          <cell r="B1331">
            <v>9554</v>
          </cell>
          <cell r="C1331" t="str">
            <v>Schumacher; Matthew J</v>
          </cell>
          <cell r="D1331" t="str">
            <v>1</v>
          </cell>
          <cell r="E1331" t="str">
            <v>IBEWOUT</v>
          </cell>
          <cell r="F1331" t="str">
            <v>47</v>
          </cell>
          <cell r="G1331" t="str">
            <v>16</v>
          </cell>
          <cell r="H1331">
            <v>0</v>
          </cell>
        </row>
        <row r="1332">
          <cell r="B1332">
            <v>9555</v>
          </cell>
          <cell r="C1332" t="str">
            <v>Schnider Sr.; Kevin Todd</v>
          </cell>
          <cell r="D1332" t="str">
            <v>1</v>
          </cell>
          <cell r="E1332" t="str">
            <v>IBEWOUT</v>
          </cell>
          <cell r="F1332" t="str">
            <v>1245</v>
          </cell>
          <cell r="G1332" t="str">
            <v>8</v>
          </cell>
          <cell r="H1332">
            <v>0</v>
          </cell>
        </row>
        <row r="1333">
          <cell r="B1333">
            <v>9557</v>
          </cell>
          <cell r="C1333" t="str">
            <v>Schnider Jr.; Kevin T</v>
          </cell>
          <cell r="D1333" t="str">
            <v>1</v>
          </cell>
          <cell r="E1333" t="str">
            <v>IBEWOUT</v>
          </cell>
          <cell r="F1333" t="str">
            <v>1245</v>
          </cell>
          <cell r="G1333" t="str">
            <v>16</v>
          </cell>
          <cell r="H1333">
            <v>0</v>
          </cell>
        </row>
        <row r="1334">
          <cell r="B1334">
            <v>9559</v>
          </cell>
          <cell r="C1334" t="str">
            <v>Schumacher; Anthony J</v>
          </cell>
          <cell r="D1334" t="str">
            <v>1</v>
          </cell>
          <cell r="E1334" t="str">
            <v>IBEWOUT</v>
          </cell>
          <cell r="F1334" t="str">
            <v>47</v>
          </cell>
          <cell r="G1334" t="str">
            <v>1</v>
          </cell>
          <cell r="H1334">
            <v>0</v>
          </cell>
        </row>
        <row r="1335">
          <cell r="B1335">
            <v>9561</v>
          </cell>
          <cell r="C1335" t="str">
            <v>Sokolovich; Eduard</v>
          </cell>
          <cell r="D1335" t="str">
            <v>1C</v>
          </cell>
          <cell r="E1335" t="str">
            <v>IBEWOUT</v>
          </cell>
          <cell r="F1335" t="str">
            <v>769</v>
          </cell>
          <cell r="G1335" t="str">
            <v>12</v>
          </cell>
          <cell r="H1335">
            <v>0</v>
          </cell>
        </row>
        <row r="1336">
          <cell r="B1336">
            <v>9563</v>
          </cell>
          <cell r="C1336" t="str">
            <v>Sotelo; Demis C.</v>
          </cell>
          <cell r="D1336" t="str">
            <v>1C</v>
          </cell>
          <cell r="E1336" t="str">
            <v>IBEWOUT</v>
          </cell>
          <cell r="F1336" t="str">
            <v>47</v>
          </cell>
          <cell r="G1336" t="str">
            <v>16</v>
          </cell>
          <cell r="H1336">
            <v>0</v>
          </cell>
        </row>
        <row r="1337">
          <cell r="B1337">
            <v>9566</v>
          </cell>
          <cell r="C1337" t="str">
            <v>Somers; Daniel R</v>
          </cell>
          <cell r="D1337" t="str">
            <v>1C</v>
          </cell>
          <cell r="E1337" t="str">
            <v>IBEWOUT</v>
          </cell>
          <cell r="F1337" t="str">
            <v>1245</v>
          </cell>
          <cell r="G1337" t="str">
            <v>8</v>
          </cell>
          <cell r="H1337">
            <v>0</v>
          </cell>
        </row>
        <row r="1338">
          <cell r="B1338">
            <v>9570</v>
          </cell>
          <cell r="C1338" t="str">
            <v>Solis; Gerardo</v>
          </cell>
          <cell r="D1338" t="str">
            <v>1</v>
          </cell>
          <cell r="E1338" t="str">
            <v>IBEWOUT</v>
          </cell>
          <cell r="F1338" t="str">
            <v>1245</v>
          </cell>
          <cell r="G1338" t="str">
            <v>8</v>
          </cell>
          <cell r="H1338">
            <v>0</v>
          </cell>
        </row>
        <row r="1339">
          <cell r="B1339">
            <v>9575</v>
          </cell>
          <cell r="C1339" t="str">
            <v>Sorensen; Kelly</v>
          </cell>
          <cell r="D1339" t="str">
            <v>1C</v>
          </cell>
          <cell r="E1339" t="str">
            <v>IBEWOUT</v>
          </cell>
          <cell r="F1339" t="str">
            <v>1245</v>
          </cell>
          <cell r="G1339" t="str">
            <v>16</v>
          </cell>
          <cell r="H1339">
            <v>0</v>
          </cell>
        </row>
        <row r="1340">
          <cell r="B1340">
            <v>9577</v>
          </cell>
          <cell r="C1340" t="str">
            <v>Solper; Robert C</v>
          </cell>
          <cell r="D1340" t="str">
            <v>1</v>
          </cell>
          <cell r="E1340" t="str">
            <v/>
          </cell>
          <cell r="F1340" t="str">
            <v/>
          </cell>
          <cell r="G1340" t="str">
            <v/>
          </cell>
          <cell r="H1340">
            <v>0</v>
          </cell>
        </row>
        <row r="1341">
          <cell r="B1341">
            <v>9610</v>
          </cell>
          <cell r="C1341" t="str">
            <v>Stewart; Taylor B</v>
          </cell>
          <cell r="D1341" t="str">
            <v>1</v>
          </cell>
          <cell r="E1341" t="str">
            <v>IBEWOUT</v>
          </cell>
          <cell r="F1341" t="str">
            <v>1245</v>
          </cell>
          <cell r="G1341" t="str">
            <v>8</v>
          </cell>
          <cell r="H1341">
            <v>0</v>
          </cell>
        </row>
        <row r="1342">
          <cell r="B1342">
            <v>9612</v>
          </cell>
          <cell r="C1342" t="str">
            <v>Stafford; Miles Randolph</v>
          </cell>
          <cell r="D1342" t="str">
            <v>1C</v>
          </cell>
          <cell r="E1342" t="str">
            <v>IBEWOUT</v>
          </cell>
          <cell r="F1342" t="str">
            <v>77</v>
          </cell>
          <cell r="G1342" t="str">
            <v>17</v>
          </cell>
          <cell r="H1342">
            <v>0</v>
          </cell>
        </row>
        <row r="1343">
          <cell r="B1343">
            <v>9613</v>
          </cell>
          <cell r="C1343" t="str">
            <v>Staniforth; Cory D</v>
          </cell>
          <cell r="D1343" t="str">
            <v>1C</v>
          </cell>
          <cell r="E1343" t="str">
            <v>IBEWOUT</v>
          </cell>
          <cell r="F1343" t="str">
            <v>1245</v>
          </cell>
          <cell r="G1343" t="str">
            <v>8</v>
          </cell>
          <cell r="H1343">
            <v>0</v>
          </cell>
        </row>
        <row r="1344">
          <cell r="B1344">
            <v>9615</v>
          </cell>
          <cell r="C1344" t="str">
            <v>Stanton; Adam M</v>
          </cell>
          <cell r="D1344" t="str">
            <v>1C</v>
          </cell>
          <cell r="E1344" t="str">
            <v>IBEWOUT</v>
          </cell>
          <cell r="F1344" t="str">
            <v>126</v>
          </cell>
          <cell r="G1344" t="str">
            <v>12</v>
          </cell>
          <cell r="H1344">
            <v>0</v>
          </cell>
        </row>
        <row r="1345">
          <cell r="B1345">
            <v>9618</v>
          </cell>
          <cell r="C1345" t="str">
            <v>Standifer; Eddie L</v>
          </cell>
          <cell r="D1345" t="str">
            <v>1C</v>
          </cell>
          <cell r="E1345" t="str">
            <v>IBEWOUT</v>
          </cell>
          <cell r="F1345" t="str">
            <v>1245</v>
          </cell>
          <cell r="G1345" t="str">
            <v>60</v>
          </cell>
          <cell r="H1345">
            <v>0</v>
          </cell>
        </row>
        <row r="1346">
          <cell r="B1346">
            <v>9620</v>
          </cell>
          <cell r="C1346" t="str">
            <v>Stanley; Lucas C.</v>
          </cell>
          <cell r="D1346" t="str">
            <v>1C</v>
          </cell>
          <cell r="E1346" t="str">
            <v>IBEWOUT</v>
          </cell>
          <cell r="F1346" t="str">
            <v>1245</v>
          </cell>
          <cell r="G1346" t="str">
            <v>11</v>
          </cell>
          <cell r="H1346">
            <v>0</v>
          </cell>
        </row>
        <row r="1347">
          <cell r="B1347">
            <v>9626</v>
          </cell>
          <cell r="C1347" t="str">
            <v>Stewart; Aubrey Lamar</v>
          </cell>
          <cell r="D1347" t="str">
            <v>1</v>
          </cell>
          <cell r="E1347" t="str">
            <v>IBEWOUT</v>
          </cell>
          <cell r="F1347" t="str">
            <v>1245</v>
          </cell>
          <cell r="G1347" t="str">
            <v>7</v>
          </cell>
          <cell r="H1347">
            <v>0</v>
          </cell>
        </row>
        <row r="1348">
          <cell r="B1348">
            <v>9627</v>
          </cell>
          <cell r="C1348" t="str">
            <v>Stansbury; Ben A</v>
          </cell>
          <cell r="D1348" t="str">
            <v>1C</v>
          </cell>
          <cell r="E1348" t="str">
            <v>IBEWOUT</v>
          </cell>
          <cell r="F1348" t="str">
            <v>602R</v>
          </cell>
          <cell r="G1348" t="str">
            <v>8</v>
          </cell>
          <cell r="H1348">
            <v>0</v>
          </cell>
        </row>
        <row r="1349">
          <cell r="B1349">
            <v>9628</v>
          </cell>
          <cell r="C1349" t="str">
            <v>Stark; Jeff Thomas</v>
          </cell>
          <cell r="D1349" t="str">
            <v>1</v>
          </cell>
          <cell r="E1349" t="str">
            <v/>
          </cell>
          <cell r="F1349" t="str">
            <v/>
          </cell>
          <cell r="G1349" t="str">
            <v/>
          </cell>
          <cell r="H1349">
            <v>1</v>
          </cell>
        </row>
        <row r="1350">
          <cell r="B1350">
            <v>9631</v>
          </cell>
          <cell r="C1350" t="str">
            <v>Steward; Thomas J</v>
          </cell>
          <cell r="D1350" t="str">
            <v>1C</v>
          </cell>
          <cell r="E1350" t="str">
            <v>IBEWOUT</v>
          </cell>
          <cell r="F1350" t="str">
            <v>47</v>
          </cell>
          <cell r="G1350" t="str">
            <v>8</v>
          </cell>
          <cell r="H1350">
            <v>0</v>
          </cell>
        </row>
        <row r="1351">
          <cell r="B1351">
            <v>9637</v>
          </cell>
          <cell r="C1351" t="str">
            <v>Steffes; Michael S</v>
          </cell>
          <cell r="D1351" t="str">
            <v>1</v>
          </cell>
          <cell r="E1351" t="str">
            <v>IBEWOUT</v>
          </cell>
          <cell r="F1351" t="str">
            <v>769</v>
          </cell>
          <cell r="G1351" t="str">
            <v>13</v>
          </cell>
          <cell r="H1351">
            <v>0</v>
          </cell>
        </row>
        <row r="1352">
          <cell r="B1352">
            <v>9639</v>
          </cell>
          <cell r="C1352" t="str">
            <v>Stinton; Marco Isaiah</v>
          </cell>
          <cell r="D1352" t="str">
            <v>1C</v>
          </cell>
          <cell r="E1352" t="str">
            <v>IBEWOUT</v>
          </cell>
          <cell r="F1352" t="str">
            <v>47</v>
          </cell>
          <cell r="G1352" t="str">
            <v>13</v>
          </cell>
          <cell r="H1352">
            <v>0</v>
          </cell>
        </row>
        <row r="1353">
          <cell r="B1353">
            <v>9640</v>
          </cell>
          <cell r="C1353" t="str">
            <v>Stimmler; Justin E</v>
          </cell>
          <cell r="D1353" t="str">
            <v>1C</v>
          </cell>
          <cell r="E1353" t="str">
            <v>IBEWOUT</v>
          </cell>
          <cell r="F1353" t="str">
            <v>126</v>
          </cell>
          <cell r="G1353" t="str">
            <v>33</v>
          </cell>
          <cell r="H1353">
            <v>0</v>
          </cell>
        </row>
        <row r="1354">
          <cell r="B1354">
            <v>9662</v>
          </cell>
          <cell r="C1354" t="str">
            <v>Stewart; Joseph Benjamin</v>
          </cell>
          <cell r="D1354" t="str">
            <v>1C</v>
          </cell>
          <cell r="E1354" t="str">
            <v>IBEWOUT</v>
          </cell>
          <cell r="F1354" t="str">
            <v>47</v>
          </cell>
          <cell r="G1354" t="str">
            <v>8</v>
          </cell>
          <cell r="H1354">
            <v>0</v>
          </cell>
        </row>
        <row r="1355">
          <cell r="B1355">
            <v>9663</v>
          </cell>
          <cell r="C1355" t="str">
            <v>Stewart; Joshua A</v>
          </cell>
          <cell r="D1355" t="str">
            <v>1C</v>
          </cell>
          <cell r="E1355" t="str">
            <v>IBEWOUT</v>
          </cell>
          <cell r="F1355" t="str">
            <v>104</v>
          </cell>
          <cell r="G1355" t="str">
            <v>8</v>
          </cell>
          <cell r="H1355">
            <v>0</v>
          </cell>
        </row>
        <row r="1356">
          <cell r="B1356">
            <v>9670</v>
          </cell>
          <cell r="C1356" t="str">
            <v>Stewart; Vincent Ray</v>
          </cell>
          <cell r="D1356" t="str">
            <v>1C</v>
          </cell>
          <cell r="E1356" t="str">
            <v>IBEWOUT</v>
          </cell>
          <cell r="F1356" t="str">
            <v>1245</v>
          </cell>
          <cell r="G1356" t="str">
            <v>8</v>
          </cell>
          <cell r="H1356">
            <v>0</v>
          </cell>
        </row>
        <row r="1357">
          <cell r="B1357">
            <v>9688</v>
          </cell>
          <cell r="C1357" t="str">
            <v>Strickland-Wynn; Anthony J</v>
          </cell>
          <cell r="D1357" t="str">
            <v>1C</v>
          </cell>
          <cell r="E1357" t="str">
            <v>IBEWOUT</v>
          </cell>
          <cell r="F1357" t="str">
            <v>1245</v>
          </cell>
          <cell r="G1357" t="str">
            <v>8</v>
          </cell>
          <cell r="H1357">
            <v>0</v>
          </cell>
        </row>
        <row r="1358">
          <cell r="B1358">
            <v>9695</v>
          </cell>
          <cell r="C1358" t="str">
            <v>Sturdevant; Darin D.</v>
          </cell>
          <cell r="D1358" t="str">
            <v>1</v>
          </cell>
          <cell r="E1358" t="str">
            <v/>
          </cell>
          <cell r="F1358" t="str">
            <v/>
          </cell>
          <cell r="G1358" t="str">
            <v/>
          </cell>
          <cell r="H1358">
            <v>0</v>
          </cell>
        </row>
        <row r="1359">
          <cell r="B1359">
            <v>9708</v>
          </cell>
          <cell r="C1359" t="str">
            <v>Stephens; Richard L</v>
          </cell>
          <cell r="D1359" t="str">
            <v>1C</v>
          </cell>
          <cell r="E1359" t="str">
            <v>IBEWOUT</v>
          </cell>
          <cell r="F1359" t="str">
            <v>1245</v>
          </cell>
          <cell r="G1359" t="str">
            <v>13</v>
          </cell>
          <cell r="H1359">
            <v>0</v>
          </cell>
        </row>
        <row r="1360">
          <cell r="B1360">
            <v>9712</v>
          </cell>
          <cell r="C1360" t="str">
            <v>Strand; Sheldon R.</v>
          </cell>
          <cell r="D1360" t="str">
            <v>1</v>
          </cell>
          <cell r="E1360" t="str">
            <v/>
          </cell>
          <cell r="F1360" t="str">
            <v/>
          </cell>
          <cell r="G1360" t="str">
            <v/>
          </cell>
          <cell r="H1360">
            <v>0</v>
          </cell>
        </row>
        <row r="1361">
          <cell r="B1361">
            <v>9717</v>
          </cell>
          <cell r="C1361" t="str">
            <v>Stephens; William M.</v>
          </cell>
          <cell r="D1361" t="str">
            <v>1C</v>
          </cell>
          <cell r="E1361" t="str">
            <v/>
          </cell>
          <cell r="F1361" t="str">
            <v/>
          </cell>
          <cell r="G1361" t="str">
            <v/>
          </cell>
          <cell r="H1361">
            <v>0</v>
          </cell>
        </row>
        <row r="1362">
          <cell r="B1362">
            <v>9718</v>
          </cell>
          <cell r="C1362" t="str">
            <v>Stoneburner; Robert H.</v>
          </cell>
          <cell r="D1362" t="str">
            <v>1C</v>
          </cell>
          <cell r="E1362" t="str">
            <v>IBEWOUT</v>
          </cell>
          <cell r="F1362" t="str">
            <v>222</v>
          </cell>
          <cell r="G1362" t="str">
            <v>13</v>
          </cell>
          <cell r="H1362">
            <v>0</v>
          </cell>
        </row>
        <row r="1363">
          <cell r="B1363">
            <v>9721</v>
          </cell>
          <cell r="C1363" t="str">
            <v>Stevenson; Trent H.</v>
          </cell>
          <cell r="D1363" t="str">
            <v>1C</v>
          </cell>
          <cell r="E1363" t="str">
            <v>IBEWOUT</v>
          </cell>
          <cell r="F1363" t="str">
            <v>1245</v>
          </cell>
          <cell r="G1363" t="str">
            <v>8</v>
          </cell>
          <cell r="H1363">
            <v>0</v>
          </cell>
        </row>
        <row r="1364">
          <cell r="B1364">
            <v>9723</v>
          </cell>
          <cell r="C1364" t="str">
            <v>Stevens; Raymond</v>
          </cell>
          <cell r="D1364" t="str">
            <v>1C</v>
          </cell>
          <cell r="E1364" t="str">
            <v>IBEWOUT</v>
          </cell>
          <cell r="F1364" t="str">
            <v>1245</v>
          </cell>
          <cell r="G1364" t="str">
            <v>8</v>
          </cell>
          <cell r="H1364">
            <v>0</v>
          </cell>
        </row>
        <row r="1365">
          <cell r="B1365">
            <v>9726</v>
          </cell>
          <cell r="C1365" t="str">
            <v>Strader; Edward A</v>
          </cell>
          <cell r="D1365" t="str">
            <v>1</v>
          </cell>
          <cell r="E1365" t="str">
            <v>IBEWOUT</v>
          </cell>
          <cell r="F1365" t="str">
            <v>611</v>
          </cell>
          <cell r="G1365" t="str">
            <v>7</v>
          </cell>
          <cell r="H1365">
            <v>0</v>
          </cell>
        </row>
        <row r="1366">
          <cell r="B1366">
            <v>9727</v>
          </cell>
          <cell r="C1366" t="str">
            <v>Stevens; Cole L</v>
          </cell>
          <cell r="D1366" t="str">
            <v>1C</v>
          </cell>
          <cell r="E1366" t="str">
            <v>IBEWOUT</v>
          </cell>
          <cell r="F1366" t="str">
            <v>77</v>
          </cell>
          <cell r="G1366" t="str">
            <v>13</v>
          </cell>
          <cell r="H1366">
            <v>0</v>
          </cell>
        </row>
        <row r="1367">
          <cell r="B1367">
            <v>9731</v>
          </cell>
          <cell r="C1367" t="str">
            <v>Sugerik; David B</v>
          </cell>
          <cell r="D1367" t="str">
            <v>1C</v>
          </cell>
          <cell r="E1367" t="str">
            <v>IBEWOUT</v>
          </cell>
          <cell r="F1367" t="str">
            <v>1319</v>
          </cell>
          <cell r="G1367" t="str">
            <v>8</v>
          </cell>
          <cell r="H1367">
            <v>0</v>
          </cell>
        </row>
        <row r="1368">
          <cell r="B1368">
            <v>9732</v>
          </cell>
          <cell r="C1368" t="str">
            <v>Symonds; Roy D</v>
          </cell>
          <cell r="D1368" t="str">
            <v>1C</v>
          </cell>
          <cell r="E1368" t="str">
            <v>IBEWOUT</v>
          </cell>
          <cell r="F1368" t="str">
            <v>602R</v>
          </cell>
          <cell r="G1368" t="str">
            <v>8</v>
          </cell>
          <cell r="H1368">
            <v>0</v>
          </cell>
        </row>
        <row r="1369">
          <cell r="B1369">
            <v>9733</v>
          </cell>
          <cell r="C1369" t="str">
            <v>Strader Jr.; Edward A</v>
          </cell>
          <cell r="D1369" t="str">
            <v>1</v>
          </cell>
          <cell r="E1369" t="str">
            <v>IBEWOUT</v>
          </cell>
          <cell r="F1369" t="str">
            <v>611</v>
          </cell>
          <cell r="G1369" t="str">
            <v>18</v>
          </cell>
          <cell r="H1369">
            <v>0</v>
          </cell>
        </row>
        <row r="1370">
          <cell r="B1370">
            <v>9734</v>
          </cell>
          <cell r="C1370" t="str">
            <v>Stevenson; Micah J</v>
          </cell>
          <cell r="D1370" t="str">
            <v>1C</v>
          </cell>
          <cell r="E1370" t="str">
            <v/>
          </cell>
          <cell r="F1370" t="str">
            <v/>
          </cell>
          <cell r="G1370" t="str">
            <v/>
          </cell>
          <cell r="H1370">
            <v>1</v>
          </cell>
        </row>
        <row r="1371">
          <cell r="B1371">
            <v>9736</v>
          </cell>
          <cell r="C1371" t="str">
            <v>Strasser; Richard L</v>
          </cell>
          <cell r="D1371" t="str">
            <v>1</v>
          </cell>
          <cell r="E1371" t="str">
            <v>IBEWOUT</v>
          </cell>
          <cell r="F1371" t="str">
            <v>47</v>
          </cell>
          <cell r="G1371" t="str">
            <v>16</v>
          </cell>
          <cell r="H1371">
            <v>0</v>
          </cell>
        </row>
        <row r="1372">
          <cell r="B1372">
            <v>9738</v>
          </cell>
          <cell r="C1372" t="str">
            <v>Stolz; Brandon N</v>
          </cell>
          <cell r="D1372" t="str">
            <v>1C</v>
          </cell>
          <cell r="E1372" t="str">
            <v>IBEWOUT</v>
          </cell>
          <cell r="F1372" t="str">
            <v>160</v>
          </cell>
          <cell r="G1372" t="str">
            <v>15</v>
          </cell>
          <cell r="H1372">
            <v>0</v>
          </cell>
        </row>
        <row r="1373">
          <cell r="B1373">
            <v>9740</v>
          </cell>
          <cell r="C1373" t="str">
            <v>Swain; Cody J.</v>
          </cell>
          <cell r="D1373" t="str">
            <v>1C</v>
          </cell>
          <cell r="E1373" t="str">
            <v>IBEWOUT</v>
          </cell>
          <cell r="F1373" t="str">
            <v>1245</v>
          </cell>
          <cell r="G1373" t="str">
            <v>8</v>
          </cell>
          <cell r="H1373">
            <v>0</v>
          </cell>
        </row>
        <row r="1374">
          <cell r="B1374">
            <v>9743</v>
          </cell>
          <cell r="C1374" t="str">
            <v>Stephas; Roger J</v>
          </cell>
          <cell r="D1374" t="str">
            <v>1C</v>
          </cell>
          <cell r="E1374" t="str">
            <v>IBEWOUT</v>
          </cell>
          <cell r="F1374" t="str">
            <v>611</v>
          </cell>
          <cell r="G1374" t="str">
            <v>8</v>
          </cell>
          <cell r="H1374">
            <v>0</v>
          </cell>
        </row>
        <row r="1375">
          <cell r="B1375">
            <v>9747</v>
          </cell>
          <cell r="C1375" t="str">
            <v>Swegan; David L</v>
          </cell>
          <cell r="D1375" t="str">
            <v>1C</v>
          </cell>
          <cell r="E1375" t="str">
            <v>IBEWOUT</v>
          </cell>
          <cell r="F1375" t="str">
            <v>611</v>
          </cell>
          <cell r="G1375" t="str">
            <v>13</v>
          </cell>
          <cell r="H1375">
            <v>0</v>
          </cell>
        </row>
        <row r="1376">
          <cell r="B1376">
            <v>9748</v>
          </cell>
          <cell r="C1376" t="str">
            <v>Swennes; Taylor W</v>
          </cell>
          <cell r="D1376" t="str">
            <v>1</v>
          </cell>
          <cell r="E1376" t="str">
            <v>IBEWOUT</v>
          </cell>
          <cell r="F1376" t="str">
            <v>769</v>
          </cell>
          <cell r="G1376" t="str">
            <v>8</v>
          </cell>
          <cell r="H1376">
            <v>0</v>
          </cell>
        </row>
        <row r="1377">
          <cell r="B1377">
            <v>9750</v>
          </cell>
          <cell r="C1377" t="str">
            <v>Swiger; Robert H</v>
          </cell>
          <cell r="D1377" t="str">
            <v>1C</v>
          </cell>
          <cell r="E1377" t="str">
            <v>IBEWOUT</v>
          </cell>
          <cell r="F1377" t="str">
            <v>77</v>
          </cell>
          <cell r="G1377" t="str">
            <v>8</v>
          </cell>
          <cell r="H1377">
            <v>0</v>
          </cell>
        </row>
        <row r="1378">
          <cell r="B1378">
            <v>9822</v>
          </cell>
          <cell r="C1378" t="str">
            <v>Taglieri; Matthew D</v>
          </cell>
          <cell r="D1378" t="str">
            <v>1C</v>
          </cell>
          <cell r="E1378" t="str">
            <v>IBEWOUT</v>
          </cell>
          <cell r="F1378" t="str">
            <v>1245</v>
          </cell>
          <cell r="G1378" t="str">
            <v>15</v>
          </cell>
          <cell r="H1378">
            <v>0</v>
          </cell>
        </row>
        <row r="1379">
          <cell r="B1379">
            <v>9823</v>
          </cell>
          <cell r="C1379" t="str">
            <v>Taghon; Elijah D</v>
          </cell>
          <cell r="D1379" t="str">
            <v>1</v>
          </cell>
          <cell r="E1379" t="str">
            <v/>
          </cell>
          <cell r="F1379" t="str">
            <v/>
          </cell>
          <cell r="G1379" t="str">
            <v/>
          </cell>
          <cell r="H1379">
            <v>0</v>
          </cell>
        </row>
        <row r="1380">
          <cell r="B1380">
            <v>9825</v>
          </cell>
          <cell r="C1380" t="str">
            <v>Szteliga; Bryan D</v>
          </cell>
          <cell r="D1380" t="str">
            <v>1C</v>
          </cell>
          <cell r="E1380" t="str">
            <v>IBEWOUT</v>
          </cell>
          <cell r="F1380" t="str">
            <v>1245</v>
          </cell>
          <cell r="G1380" t="str">
            <v>8</v>
          </cell>
          <cell r="H1380">
            <v>0</v>
          </cell>
        </row>
        <row r="1381">
          <cell r="B1381">
            <v>9830</v>
          </cell>
          <cell r="C1381" t="str">
            <v>Talbott; William Gale</v>
          </cell>
          <cell r="D1381" t="str">
            <v>1</v>
          </cell>
          <cell r="E1381" t="str">
            <v>IBEWOUT</v>
          </cell>
          <cell r="F1381" t="str">
            <v>47</v>
          </cell>
          <cell r="G1381" t="str">
            <v>16</v>
          </cell>
          <cell r="H1381">
            <v>0</v>
          </cell>
        </row>
        <row r="1382">
          <cell r="B1382">
            <v>9835</v>
          </cell>
          <cell r="C1382" t="str">
            <v>Tatro; Lynn D</v>
          </cell>
          <cell r="D1382" t="str">
            <v>1C</v>
          </cell>
          <cell r="E1382" t="str">
            <v>IBEWOUT</v>
          </cell>
          <cell r="F1382" t="str">
            <v>77</v>
          </cell>
          <cell r="G1382" t="str">
            <v>16</v>
          </cell>
          <cell r="H1382">
            <v>0</v>
          </cell>
        </row>
        <row r="1383">
          <cell r="B1383">
            <v>9836</v>
          </cell>
          <cell r="C1383" t="str">
            <v>Tamez; Javier</v>
          </cell>
          <cell r="D1383" t="str">
            <v>1C</v>
          </cell>
          <cell r="E1383" t="str">
            <v>IBEWOUT</v>
          </cell>
          <cell r="F1383" t="str">
            <v>47</v>
          </cell>
          <cell r="G1383" t="str">
            <v>17</v>
          </cell>
          <cell r="H1383">
            <v>0</v>
          </cell>
        </row>
        <row r="1384">
          <cell r="B1384">
            <v>9838</v>
          </cell>
          <cell r="C1384" t="str">
            <v>Tasa; Brenden S</v>
          </cell>
          <cell r="D1384" t="str">
            <v>1C</v>
          </cell>
          <cell r="E1384" t="str">
            <v>IBEWOUT</v>
          </cell>
          <cell r="F1384" t="str">
            <v>611</v>
          </cell>
          <cell r="G1384" t="str">
            <v>12</v>
          </cell>
          <cell r="H1384">
            <v>0</v>
          </cell>
        </row>
        <row r="1385">
          <cell r="B1385">
            <v>9839</v>
          </cell>
          <cell r="C1385" t="str">
            <v>Taylor; Dalthard Ronald</v>
          </cell>
          <cell r="D1385" t="str">
            <v>1C</v>
          </cell>
          <cell r="E1385" t="str">
            <v>IBEWOUT</v>
          </cell>
          <cell r="F1385" t="str">
            <v>47</v>
          </cell>
          <cell r="G1385" t="str">
            <v>8</v>
          </cell>
          <cell r="H1385">
            <v>0</v>
          </cell>
        </row>
        <row r="1386">
          <cell r="B1386">
            <v>9840</v>
          </cell>
          <cell r="C1386" t="str">
            <v>Tapani; Randall J</v>
          </cell>
          <cell r="D1386" t="str">
            <v>1</v>
          </cell>
          <cell r="E1386" t="str">
            <v>IBEWOUT</v>
          </cell>
          <cell r="F1386" t="str">
            <v>77</v>
          </cell>
          <cell r="G1386" t="str">
            <v>9</v>
          </cell>
          <cell r="H1386">
            <v>0</v>
          </cell>
        </row>
        <row r="1387">
          <cell r="B1387">
            <v>9841</v>
          </cell>
          <cell r="C1387" t="str">
            <v>Taylor; Dalthard Grant</v>
          </cell>
          <cell r="D1387" t="str">
            <v>1C</v>
          </cell>
          <cell r="E1387" t="str">
            <v>IBEWOUT</v>
          </cell>
          <cell r="F1387" t="str">
            <v>769</v>
          </cell>
          <cell r="G1387" t="str">
            <v>16</v>
          </cell>
          <cell r="H1387">
            <v>0</v>
          </cell>
        </row>
        <row r="1388">
          <cell r="B1388">
            <v>9847</v>
          </cell>
          <cell r="C1388" t="str">
            <v>Taylor; Corey M</v>
          </cell>
          <cell r="D1388" t="str">
            <v>1C</v>
          </cell>
          <cell r="E1388" t="str">
            <v>IBEWOUT</v>
          </cell>
          <cell r="F1388" t="str">
            <v>1245</v>
          </cell>
          <cell r="G1388" t="str">
            <v>8</v>
          </cell>
          <cell r="H1388">
            <v>0</v>
          </cell>
        </row>
        <row r="1389">
          <cell r="B1389">
            <v>9858</v>
          </cell>
          <cell r="C1389" t="str">
            <v>Teasley; Ryan D</v>
          </cell>
          <cell r="D1389" t="str">
            <v>1</v>
          </cell>
          <cell r="E1389" t="str">
            <v>IBEWOUT</v>
          </cell>
          <cell r="F1389" t="str">
            <v>47</v>
          </cell>
          <cell r="G1389" t="str">
            <v>8</v>
          </cell>
          <cell r="H1389">
            <v>0</v>
          </cell>
        </row>
        <row r="1390">
          <cell r="B1390">
            <v>9862</v>
          </cell>
          <cell r="C1390" t="str">
            <v>Tellez; John Henry</v>
          </cell>
          <cell r="D1390" t="str">
            <v>1C</v>
          </cell>
          <cell r="E1390" t="str">
            <v/>
          </cell>
          <cell r="F1390" t="str">
            <v/>
          </cell>
          <cell r="G1390" t="str">
            <v/>
          </cell>
          <cell r="H1390">
            <v>1</v>
          </cell>
        </row>
        <row r="1391">
          <cell r="B1391">
            <v>9868</v>
          </cell>
          <cell r="C1391" t="str">
            <v>Terlep; Greg J.</v>
          </cell>
          <cell r="D1391" t="str">
            <v>1C</v>
          </cell>
          <cell r="E1391" t="str">
            <v>IBEWOUT</v>
          </cell>
          <cell r="F1391" t="str">
            <v>1245</v>
          </cell>
          <cell r="G1391" t="str">
            <v>60</v>
          </cell>
          <cell r="H1391">
            <v>0</v>
          </cell>
        </row>
        <row r="1392">
          <cell r="B1392">
            <v>9869</v>
          </cell>
          <cell r="C1392" t="str">
            <v>Tepesano; Pablo A</v>
          </cell>
          <cell r="D1392" t="str">
            <v>1C</v>
          </cell>
          <cell r="E1392" t="str">
            <v>IBEWOUT</v>
          </cell>
          <cell r="F1392" t="str">
            <v>47</v>
          </cell>
          <cell r="G1392" t="str">
            <v>8</v>
          </cell>
          <cell r="H1392">
            <v>0</v>
          </cell>
        </row>
        <row r="1393">
          <cell r="B1393">
            <v>9871</v>
          </cell>
          <cell r="C1393" t="str">
            <v>Tenney; Michael J</v>
          </cell>
          <cell r="D1393" t="str">
            <v>1C</v>
          </cell>
          <cell r="E1393" t="str">
            <v>IBEWOUT</v>
          </cell>
          <cell r="F1393" t="str">
            <v>1245</v>
          </cell>
          <cell r="G1393" t="str">
            <v>8</v>
          </cell>
          <cell r="H1393">
            <v>0</v>
          </cell>
        </row>
        <row r="1394">
          <cell r="B1394">
            <v>9875</v>
          </cell>
          <cell r="C1394" t="str">
            <v>Tennell; Rodrick Q</v>
          </cell>
          <cell r="D1394" t="str">
            <v>1</v>
          </cell>
          <cell r="E1394" t="str">
            <v>IBEWOUT</v>
          </cell>
          <cell r="F1394" t="str">
            <v>769</v>
          </cell>
          <cell r="G1394" t="str">
            <v>9</v>
          </cell>
          <cell r="H1394">
            <v>0</v>
          </cell>
        </row>
        <row r="1395">
          <cell r="B1395">
            <v>9877</v>
          </cell>
          <cell r="C1395" t="str">
            <v>Tenneson; Mack E</v>
          </cell>
          <cell r="D1395" t="str">
            <v>1</v>
          </cell>
          <cell r="E1395" t="str">
            <v/>
          </cell>
          <cell r="F1395" t="str">
            <v/>
          </cell>
          <cell r="G1395" t="str">
            <v/>
          </cell>
          <cell r="H1395">
            <v>0</v>
          </cell>
        </row>
        <row r="1396">
          <cell r="B1396">
            <v>9910</v>
          </cell>
          <cell r="C1396" t="str">
            <v>Thagon; Robert G</v>
          </cell>
          <cell r="D1396" t="str">
            <v>1C</v>
          </cell>
          <cell r="E1396" t="str">
            <v/>
          </cell>
          <cell r="F1396" t="str">
            <v/>
          </cell>
          <cell r="G1396" t="str">
            <v/>
          </cell>
          <cell r="H1396">
            <v>1</v>
          </cell>
        </row>
        <row r="1397">
          <cell r="B1397">
            <v>9911</v>
          </cell>
          <cell r="C1397" t="str">
            <v>Thein; Trenton J</v>
          </cell>
          <cell r="D1397" t="str">
            <v>1</v>
          </cell>
          <cell r="E1397" t="str">
            <v>IBEWOUT</v>
          </cell>
          <cell r="F1397" t="str">
            <v>769</v>
          </cell>
          <cell r="G1397" t="str">
            <v>14</v>
          </cell>
          <cell r="H1397">
            <v>0</v>
          </cell>
        </row>
        <row r="1398">
          <cell r="B1398">
            <v>9941</v>
          </cell>
          <cell r="C1398" t="str">
            <v>Thomas; Justin M</v>
          </cell>
          <cell r="D1398" t="str">
            <v>1C</v>
          </cell>
          <cell r="E1398" t="str">
            <v>IBEWOUT</v>
          </cell>
          <cell r="F1398" t="str">
            <v>1245</v>
          </cell>
          <cell r="G1398" t="str">
            <v>8</v>
          </cell>
          <cell r="H1398">
            <v>0</v>
          </cell>
        </row>
        <row r="1399">
          <cell r="B1399">
            <v>9942</v>
          </cell>
          <cell r="C1399" t="str">
            <v>Thomas; Molly</v>
          </cell>
          <cell r="D1399" t="str">
            <v>1</v>
          </cell>
          <cell r="E1399" t="str">
            <v>IBEWOUT</v>
          </cell>
          <cell r="F1399" t="str">
            <v>769</v>
          </cell>
          <cell r="G1399" t="str">
            <v>15</v>
          </cell>
          <cell r="H1399">
            <v>0</v>
          </cell>
        </row>
        <row r="1400">
          <cell r="B1400">
            <v>9943</v>
          </cell>
          <cell r="C1400" t="str">
            <v>Thomas; Kyle R</v>
          </cell>
          <cell r="D1400" t="str">
            <v>1C</v>
          </cell>
          <cell r="E1400" t="str">
            <v>IBEWOUT</v>
          </cell>
          <cell r="F1400" t="str">
            <v>1245</v>
          </cell>
          <cell r="G1400" t="str">
            <v>8</v>
          </cell>
          <cell r="H1400">
            <v>0</v>
          </cell>
        </row>
        <row r="1401">
          <cell r="B1401">
            <v>9946</v>
          </cell>
          <cell r="C1401" t="str">
            <v>Thomas; Dustin James</v>
          </cell>
          <cell r="D1401" t="str">
            <v>1</v>
          </cell>
          <cell r="E1401" t="str">
            <v>IBEWOUT</v>
          </cell>
          <cell r="F1401" t="str">
            <v>1245</v>
          </cell>
          <cell r="G1401" t="str">
            <v>20</v>
          </cell>
          <cell r="H1401">
            <v>0</v>
          </cell>
        </row>
        <row r="1402">
          <cell r="B1402">
            <v>9950</v>
          </cell>
          <cell r="C1402" t="str">
            <v>Thomas; Vance L</v>
          </cell>
          <cell r="D1402" t="str">
            <v>1C</v>
          </cell>
          <cell r="E1402" t="str">
            <v>IBEWOUT</v>
          </cell>
          <cell r="F1402" t="str">
            <v>47</v>
          </cell>
          <cell r="G1402" t="str">
            <v>8</v>
          </cell>
          <cell r="H1402">
            <v>0</v>
          </cell>
        </row>
        <row r="1403">
          <cell r="B1403">
            <v>9952</v>
          </cell>
          <cell r="C1403" t="str">
            <v>Tijerina; Ramiro</v>
          </cell>
          <cell r="D1403" t="str">
            <v>1C</v>
          </cell>
          <cell r="E1403" t="str">
            <v>IBEWOUT</v>
          </cell>
          <cell r="F1403" t="str">
            <v>1245</v>
          </cell>
          <cell r="G1403" t="str">
            <v>8</v>
          </cell>
          <cell r="H1403">
            <v>0</v>
          </cell>
        </row>
        <row r="1404">
          <cell r="B1404">
            <v>9957</v>
          </cell>
          <cell r="C1404" t="str">
            <v>Thomas; Samuel Troy</v>
          </cell>
          <cell r="D1404" t="str">
            <v>1C</v>
          </cell>
          <cell r="E1404" t="str">
            <v>IBEWOUT</v>
          </cell>
          <cell r="F1404" t="str">
            <v>77</v>
          </cell>
          <cell r="G1404" t="str">
            <v>16</v>
          </cell>
          <cell r="H1404">
            <v>0</v>
          </cell>
        </row>
        <row r="1405">
          <cell r="B1405">
            <v>9959</v>
          </cell>
          <cell r="C1405" t="str">
            <v>Thompson; Glen S</v>
          </cell>
          <cell r="D1405" t="str">
            <v>1C</v>
          </cell>
          <cell r="E1405" t="str">
            <v>IBEWOUT</v>
          </cell>
          <cell r="F1405" t="str">
            <v>160</v>
          </cell>
          <cell r="G1405" t="str">
            <v>8</v>
          </cell>
          <cell r="H1405">
            <v>0</v>
          </cell>
        </row>
        <row r="1406">
          <cell r="B1406">
            <v>9960</v>
          </cell>
          <cell r="C1406" t="str">
            <v>Thompson; Ryan M.</v>
          </cell>
          <cell r="D1406" t="str">
            <v>1C</v>
          </cell>
          <cell r="E1406" t="str">
            <v>IBEWOUT</v>
          </cell>
          <cell r="F1406" t="str">
            <v>77</v>
          </cell>
          <cell r="G1406" t="str">
            <v>10</v>
          </cell>
          <cell r="H1406">
            <v>0</v>
          </cell>
        </row>
        <row r="1407">
          <cell r="B1407">
            <v>9961</v>
          </cell>
          <cell r="C1407" t="str">
            <v>Thompson; Padraic K</v>
          </cell>
          <cell r="D1407" t="str">
            <v>1</v>
          </cell>
          <cell r="E1407" t="str">
            <v>IBEWOUT</v>
          </cell>
          <cell r="F1407" t="str">
            <v>1245</v>
          </cell>
          <cell r="G1407" t="str">
            <v>7</v>
          </cell>
          <cell r="H1407">
            <v>0</v>
          </cell>
        </row>
        <row r="1408">
          <cell r="B1408">
            <v>9964</v>
          </cell>
          <cell r="C1408" t="str">
            <v>Thomson; Michael D.</v>
          </cell>
          <cell r="D1408" t="str">
            <v>1C</v>
          </cell>
          <cell r="E1408" t="str">
            <v>IBEWOUT</v>
          </cell>
          <cell r="F1408" t="str">
            <v>769</v>
          </cell>
          <cell r="G1408" t="str">
            <v>20</v>
          </cell>
          <cell r="H1408">
            <v>0</v>
          </cell>
        </row>
        <row r="1409">
          <cell r="B1409">
            <v>9967</v>
          </cell>
          <cell r="C1409" t="str">
            <v>Thomson; Shayne A</v>
          </cell>
          <cell r="D1409" t="str">
            <v>1</v>
          </cell>
          <cell r="E1409" t="str">
            <v/>
          </cell>
          <cell r="F1409" t="str">
            <v/>
          </cell>
          <cell r="G1409" t="str">
            <v/>
          </cell>
          <cell r="H1409">
            <v>0</v>
          </cell>
        </row>
        <row r="1410">
          <cell r="B1410">
            <v>9973</v>
          </cell>
          <cell r="C1410" t="str">
            <v>Thygesen; Brian R.</v>
          </cell>
          <cell r="D1410" t="str">
            <v>1C</v>
          </cell>
          <cell r="E1410" t="str">
            <v>IBEWOUT</v>
          </cell>
          <cell r="F1410" t="str">
            <v>77</v>
          </cell>
          <cell r="G1410" t="str">
            <v>12</v>
          </cell>
          <cell r="H1410">
            <v>0</v>
          </cell>
        </row>
        <row r="1411">
          <cell r="B1411">
            <v>9983</v>
          </cell>
          <cell r="C1411" t="str">
            <v>Tidwell; Scott D</v>
          </cell>
          <cell r="D1411" t="str">
            <v>1</v>
          </cell>
          <cell r="E1411" t="str">
            <v>IBEWOUT</v>
          </cell>
          <cell r="F1411" t="str">
            <v>1245</v>
          </cell>
          <cell r="G1411" t="str">
            <v>7</v>
          </cell>
          <cell r="H1411">
            <v>0</v>
          </cell>
        </row>
        <row r="1412">
          <cell r="B1412">
            <v>9985</v>
          </cell>
          <cell r="C1412" t="str">
            <v>Tucker; Michael W.</v>
          </cell>
          <cell r="D1412" t="str">
            <v>1C</v>
          </cell>
          <cell r="E1412" t="str">
            <v>IBEWOUT</v>
          </cell>
          <cell r="F1412" t="str">
            <v>47</v>
          </cell>
          <cell r="G1412" t="str">
            <v>20</v>
          </cell>
          <cell r="H1412">
            <v>0</v>
          </cell>
        </row>
        <row r="1413">
          <cell r="B1413">
            <v>9988</v>
          </cell>
          <cell r="C1413" t="str">
            <v>Torres; Victor M.</v>
          </cell>
          <cell r="D1413" t="str">
            <v>1C</v>
          </cell>
          <cell r="E1413" t="str">
            <v>IBEWOUT</v>
          </cell>
          <cell r="F1413" t="str">
            <v>769</v>
          </cell>
          <cell r="G1413" t="str">
            <v>16</v>
          </cell>
          <cell r="H1413">
            <v>0</v>
          </cell>
        </row>
        <row r="1414">
          <cell r="B1414">
            <v>9994</v>
          </cell>
          <cell r="C1414" t="str">
            <v>Tonasket; Justin L</v>
          </cell>
          <cell r="D1414" t="str">
            <v>1C</v>
          </cell>
          <cell r="E1414" t="str">
            <v>IBEWOUT</v>
          </cell>
          <cell r="F1414" t="str">
            <v>1245</v>
          </cell>
          <cell r="G1414" t="str">
            <v>13</v>
          </cell>
          <cell r="H1414">
            <v>0</v>
          </cell>
        </row>
        <row r="1415">
          <cell r="B1415">
            <v>9995</v>
          </cell>
          <cell r="C1415" t="str">
            <v>Tom; Antonio J</v>
          </cell>
          <cell r="D1415" t="str">
            <v>1C</v>
          </cell>
          <cell r="E1415" t="str">
            <v>IBEWOUT</v>
          </cell>
          <cell r="F1415" t="str">
            <v>769</v>
          </cell>
          <cell r="G1415" t="str">
            <v>15</v>
          </cell>
          <cell r="H1415">
            <v>0</v>
          </cell>
        </row>
        <row r="1416">
          <cell r="B1416">
            <v>9996</v>
          </cell>
          <cell r="C1416" t="str">
            <v>Toftdahl; Nels R.</v>
          </cell>
          <cell r="D1416" t="str">
            <v>1</v>
          </cell>
          <cell r="E1416" t="str">
            <v>IBEWOUT</v>
          </cell>
          <cell r="F1416" t="str">
            <v>77</v>
          </cell>
          <cell r="G1416" t="str">
            <v>7</v>
          </cell>
          <cell r="H1416">
            <v>0</v>
          </cell>
        </row>
        <row r="1417">
          <cell r="B1417">
            <v>9997</v>
          </cell>
          <cell r="C1417" t="str">
            <v>Tolson; Chad A</v>
          </cell>
          <cell r="D1417" t="str">
            <v>1C</v>
          </cell>
          <cell r="E1417" t="str">
            <v>IBEWOUT</v>
          </cell>
          <cell r="F1417" t="str">
            <v>1245</v>
          </cell>
          <cell r="G1417" t="str">
            <v>15</v>
          </cell>
          <cell r="H1417">
            <v>0</v>
          </cell>
        </row>
        <row r="1418">
          <cell r="B1418">
            <v>9999</v>
          </cell>
          <cell r="C1418" t="str">
            <v>Tramblie; Tanner David</v>
          </cell>
          <cell r="D1418" t="str">
            <v>1</v>
          </cell>
          <cell r="E1418" t="str">
            <v>IBEWOUT</v>
          </cell>
          <cell r="F1418" t="str">
            <v>77</v>
          </cell>
          <cell r="G1418" t="str">
            <v>7</v>
          </cell>
          <cell r="H1418">
            <v>0</v>
          </cell>
        </row>
        <row r="1419">
          <cell r="B1419">
            <v>10001</v>
          </cell>
          <cell r="C1419" t="str">
            <v>Tohara; John D.</v>
          </cell>
          <cell r="D1419" t="str">
            <v>1C</v>
          </cell>
          <cell r="E1419" t="str">
            <v>IBEWOUT</v>
          </cell>
          <cell r="F1419" t="str">
            <v>396</v>
          </cell>
          <cell r="G1419" t="str">
            <v>21</v>
          </cell>
          <cell r="H1419">
            <v>0</v>
          </cell>
        </row>
        <row r="1420">
          <cell r="B1420">
            <v>10002</v>
          </cell>
          <cell r="C1420" t="str">
            <v>Toman; Lance E</v>
          </cell>
          <cell r="D1420" t="str">
            <v>1C</v>
          </cell>
          <cell r="E1420" t="str">
            <v>IBEWOUT</v>
          </cell>
          <cell r="F1420" t="str">
            <v>1245</v>
          </cell>
          <cell r="G1420" t="str">
            <v>8</v>
          </cell>
          <cell r="H1420">
            <v>0</v>
          </cell>
        </row>
        <row r="1421">
          <cell r="B1421">
            <v>10007</v>
          </cell>
          <cell r="C1421" t="str">
            <v>Torbet; William Wesley</v>
          </cell>
          <cell r="D1421" t="str">
            <v>1</v>
          </cell>
          <cell r="E1421" t="str">
            <v/>
          </cell>
          <cell r="F1421" t="str">
            <v/>
          </cell>
          <cell r="G1421" t="str">
            <v/>
          </cell>
          <cell r="H1421">
            <v>1</v>
          </cell>
        </row>
        <row r="1422">
          <cell r="B1422">
            <v>10026</v>
          </cell>
          <cell r="C1422" t="str">
            <v>Trimnal; Jerry Gamble</v>
          </cell>
          <cell r="D1422" t="str">
            <v>1C</v>
          </cell>
          <cell r="E1422" t="str">
            <v>IBEWOUT</v>
          </cell>
          <cell r="F1422" t="str">
            <v>47</v>
          </cell>
          <cell r="G1422" t="str">
            <v>7</v>
          </cell>
          <cell r="H1422">
            <v>0</v>
          </cell>
        </row>
        <row r="1423">
          <cell r="B1423">
            <v>10028</v>
          </cell>
          <cell r="C1423" t="str">
            <v>Triner; Jeremy BJ</v>
          </cell>
          <cell r="D1423" t="str">
            <v>1C</v>
          </cell>
          <cell r="E1423" t="str">
            <v>IBEWOUT</v>
          </cell>
          <cell r="F1423" t="str">
            <v>47</v>
          </cell>
          <cell r="G1423" t="str">
            <v>8</v>
          </cell>
          <cell r="H1423">
            <v>0</v>
          </cell>
        </row>
        <row r="1424">
          <cell r="B1424">
            <v>10030</v>
          </cell>
          <cell r="C1424" t="str">
            <v>Tritten; Eric W</v>
          </cell>
          <cell r="D1424" t="str">
            <v>1C</v>
          </cell>
          <cell r="E1424" t="str">
            <v>IBEWOUT</v>
          </cell>
          <cell r="F1424" t="str">
            <v>126</v>
          </cell>
          <cell r="G1424" t="str">
            <v>13</v>
          </cell>
          <cell r="H1424">
            <v>0</v>
          </cell>
        </row>
        <row r="1425">
          <cell r="B1425">
            <v>10031</v>
          </cell>
          <cell r="C1425" t="str">
            <v>Triplett; Bret M</v>
          </cell>
          <cell r="D1425" t="str">
            <v>1C</v>
          </cell>
          <cell r="E1425" t="str">
            <v>IBEWOUT</v>
          </cell>
          <cell r="F1425" t="str">
            <v>1319</v>
          </cell>
          <cell r="G1425" t="str">
            <v>15</v>
          </cell>
          <cell r="H1425">
            <v>0</v>
          </cell>
        </row>
        <row r="1426">
          <cell r="B1426">
            <v>10034</v>
          </cell>
          <cell r="C1426" t="str">
            <v>Tropkoff; Robert J</v>
          </cell>
          <cell r="D1426" t="str">
            <v>1C</v>
          </cell>
          <cell r="E1426" t="str">
            <v>IBEWOUT</v>
          </cell>
          <cell r="F1426" t="str">
            <v>1319</v>
          </cell>
          <cell r="G1426" t="str">
            <v>21</v>
          </cell>
          <cell r="H1426">
            <v>0</v>
          </cell>
        </row>
        <row r="1427">
          <cell r="B1427">
            <v>10039</v>
          </cell>
          <cell r="C1427" t="str">
            <v>Tsuha; Mark</v>
          </cell>
          <cell r="D1427" t="str">
            <v>1C</v>
          </cell>
          <cell r="E1427" t="str">
            <v>IBEWOUT</v>
          </cell>
          <cell r="F1427" t="str">
            <v>77</v>
          </cell>
          <cell r="G1427" t="str">
            <v>16</v>
          </cell>
          <cell r="H1427">
            <v>0</v>
          </cell>
        </row>
        <row r="1428">
          <cell r="B1428">
            <v>10041</v>
          </cell>
          <cell r="C1428" t="str">
            <v>Trush; Cody N.</v>
          </cell>
          <cell r="D1428" t="str">
            <v>1</v>
          </cell>
          <cell r="E1428" t="str">
            <v>IBEWOUT</v>
          </cell>
          <cell r="F1428" t="str">
            <v>47</v>
          </cell>
          <cell r="G1428" t="str">
            <v>8</v>
          </cell>
          <cell r="H1428">
            <v>0</v>
          </cell>
        </row>
        <row r="1429">
          <cell r="B1429">
            <v>10048</v>
          </cell>
          <cell r="C1429" t="str">
            <v>Turner; Luke E</v>
          </cell>
          <cell r="D1429" t="str">
            <v>1</v>
          </cell>
          <cell r="E1429" t="str">
            <v>IBEWOUT</v>
          </cell>
          <cell r="F1429" t="str">
            <v>77</v>
          </cell>
          <cell r="G1429" t="str">
            <v>8</v>
          </cell>
          <cell r="H1429">
            <v>0</v>
          </cell>
        </row>
        <row r="1430">
          <cell r="B1430">
            <v>10049</v>
          </cell>
          <cell r="C1430" t="str">
            <v>Truog; Brannon M</v>
          </cell>
          <cell r="D1430" t="str">
            <v>1C</v>
          </cell>
          <cell r="E1430" t="str">
            <v>IBEWOUT</v>
          </cell>
          <cell r="F1430" t="str">
            <v>769</v>
          </cell>
          <cell r="G1430" t="str">
            <v>17</v>
          </cell>
          <cell r="H1430">
            <v>0</v>
          </cell>
        </row>
        <row r="1431">
          <cell r="B1431">
            <v>10051</v>
          </cell>
          <cell r="C1431" t="str">
            <v>Treadwell; Joshua S</v>
          </cell>
          <cell r="D1431" t="str">
            <v>1C</v>
          </cell>
          <cell r="E1431" t="str">
            <v>IBEWOUT</v>
          </cell>
          <cell r="F1431" t="str">
            <v>602R</v>
          </cell>
          <cell r="G1431" t="str">
            <v>8</v>
          </cell>
          <cell r="H1431">
            <v>0</v>
          </cell>
        </row>
        <row r="1432">
          <cell r="B1432">
            <v>10055</v>
          </cell>
          <cell r="C1432" t="str">
            <v>Torres; Isaac</v>
          </cell>
          <cell r="D1432" t="str">
            <v>1C</v>
          </cell>
          <cell r="E1432" t="str">
            <v>IBEWOUT</v>
          </cell>
          <cell r="F1432" t="str">
            <v>1245</v>
          </cell>
          <cell r="G1432" t="str">
            <v>8</v>
          </cell>
          <cell r="H1432">
            <v>0</v>
          </cell>
        </row>
        <row r="1433">
          <cell r="B1433">
            <v>10056</v>
          </cell>
          <cell r="C1433" t="str">
            <v>Torres; Federico R</v>
          </cell>
          <cell r="D1433" t="str">
            <v>1</v>
          </cell>
          <cell r="E1433" t="str">
            <v/>
          </cell>
          <cell r="F1433" t="str">
            <v/>
          </cell>
          <cell r="G1433" t="str">
            <v/>
          </cell>
          <cell r="H1433">
            <v>1</v>
          </cell>
        </row>
        <row r="1434">
          <cell r="B1434">
            <v>10057</v>
          </cell>
          <cell r="C1434" t="str">
            <v>Torres; Carlos</v>
          </cell>
          <cell r="D1434" t="str">
            <v>1C</v>
          </cell>
          <cell r="E1434" t="str">
            <v>IBEWOUT</v>
          </cell>
          <cell r="F1434" t="str">
            <v>1245</v>
          </cell>
          <cell r="G1434" t="str">
            <v>17</v>
          </cell>
          <cell r="H1434">
            <v>0</v>
          </cell>
        </row>
        <row r="1435">
          <cell r="B1435">
            <v>10058</v>
          </cell>
          <cell r="C1435" t="str">
            <v>Towns; Isaac W</v>
          </cell>
          <cell r="D1435" t="str">
            <v>1C</v>
          </cell>
          <cell r="E1435" t="str">
            <v>IBEWOUT</v>
          </cell>
          <cell r="F1435" t="str">
            <v>47</v>
          </cell>
          <cell r="G1435" t="str">
            <v>8</v>
          </cell>
          <cell r="H1435">
            <v>0</v>
          </cell>
        </row>
        <row r="1436">
          <cell r="B1436">
            <v>10060</v>
          </cell>
          <cell r="C1436" t="str">
            <v>Tweed; Herbert Coke</v>
          </cell>
          <cell r="D1436" t="str">
            <v>1</v>
          </cell>
          <cell r="E1436" t="str">
            <v>IBEWOUT</v>
          </cell>
          <cell r="F1436" t="str">
            <v>47</v>
          </cell>
          <cell r="G1436" t="str">
            <v>7</v>
          </cell>
          <cell r="H1436">
            <v>1</v>
          </cell>
        </row>
        <row r="1437">
          <cell r="B1437">
            <v>10067</v>
          </cell>
          <cell r="C1437" t="str">
            <v>Tune; Christopher D</v>
          </cell>
          <cell r="D1437" t="str">
            <v>1C</v>
          </cell>
          <cell r="E1437" t="str">
            <v>IBEWOUT</v>
          </cell>
          <cell r="F1437" t="str">
            <v>77</v>
          </cell>
          <cell r="G1437" t="str">
            <v>8</v>
          </cell>
          <cell r="H1437">
            <v>0</v>
          </cell>
        </row>
        <row r="1438">
          <cell r="B1438">
            <v>10069</v>
          </cell>
          <cell r="C1438" t="str">
            <v>Turner; Bradley S.</v>
          </cell>
          <cell r="D1438" t="str">
            <v>1C</v>
          </cell>
          <cell r="E1438" t="str">
            <v>IBEWOUT</v>
          </cell>
          <cell r="F1438" t="str">
            <v>47</v>
          </cell>
          <cell r="G1438" t="str">
            <v>60</v>
          </cell>
          <cell r="H1438">
            <v>0</v>
          </cell>
        </row>
        <row r="1439">
          <cell r="B1439">
            <v>10071</v>
          </cell>
          <cell r="C1439" t="str">
            <v>Turpin; Kyle R</v>
          </cell>
          <cell r="D1439" t="str">
            <v>1C</v>
          </cell>
          <cell r="E1439" t="str">
            <v>IBEWOUT</v>
          </cell>
          <cell r="F1439" t="str">
            <v>1245</v>
          </cell>
          <cell r="G1439" t="str">
            <v>17</v>
          </cell>
          <cell r="H1439">
            <v>0</v>
          </cell>
        </row>
        <row r="1440">
          <cell r="B1440">
            <v>10076</v>
          </cell>
          <cell r="C1440" t="str">
            <v>Uitto; Jacob P</v>
          </cell>
          <cell r="D1440" t="str">
            <v>1C</v>
          </cell>
          <cell r="E1440" t="str">
            <v>IBEWOUT</v>
          </cell>
          <cell r="F1440" t="str">
            <v>77</v>
          </cell>
          <cell r="G1440" t="str">
            <v>13</v>
          </cell>
          <cell r="H1440">
            <v>0</v>
          </cell>
        </row>
        <row r="1441">
          <cell r="B1441">
            <v>10078</v>
          </cell>
          <cell r="C1441" t="str">
            <v>Uhlenkott; Nicholas P</v>
          </cell>
          <cell r="D1441" t="str">
            <v>1C</v>
          </cell>
          <cell r="E1441" t="str">
            <v>IBEWOUT</v>
          </cell>
          <cell r="F1441" t="str">
            <v>77</v>
          </cell>
          <cell r="G1441" t="str">
            <v>8</v>
          </cell>
          <cell r="H1441">
            <v>0</v>
          </cell>
        </row>
        <row r="1442">
          <cell r="B1442">
            <v>10085</v>
          </cell>
          <cell r="C1442" t="str">
            <v>Unsworth; Isaac W</v>
          </cell>
          <cell r="D1442" t="str">
            <v>1C</v>
          </cell>
          <cell r="E1442" t="str">
            <v>IBEWOUT</v>
          </cell>
          <cell r="F1442" t="str">
            <v>47</v>
          </cell>
          <cell r="G1442" t="str">
            <v>7</v>
          </cell>
          <cell r="H1442">
            <v>0</v>
          </cell>
        </row>
        <row r="1443">
          <cell r="B1443">
            <v>10086</v>
          </cell>
          <cell r="C1443" t="str">
            <v>Unruh; Spencer J</v>
          </cell>
          <cell r="D1443" t="str">
            <v>1C</v>
          </cell>
          <cell r="E1443" t="str">
            <v>IBEWOUT</v>
          </cell>
          <cell r="F1443" t="str">
            <v>1245</v>
          </cell>
          <cell r="G1443" t="str">
            <v>8</v>
          </cell>
          <cell r="H1443">
            <v>0</v>
          </cell>
        </row>
        <row r="1444">
          <cell r="B1444">
            <v>10090</v>
          </cell>
          <cell r="C1444" t="str">
            <v>Uribe; Jorge</v>
          </cell>
          <cell r="D1444" t="str">
            <v>1C</v>
          </cell>
          <cell r="E1444" t="str">
            <v>IBEWOUT</v>
          </cell>
          <cell r="F1444" t="str">
            <v>1245</v>
          </cell>
          <cell r="G1444" t="str">
            <v>16</v>
          </cell>
          <cell r="H1444">
            <v>0</v>
          </cell>
        </row>
        <row r="1445">
          <cell r="B1445">
            <v>10105</v>
          </cell>
          <cell r="C1445" t="str">
            <v>Urquijo; Bernardo</v>
          </cell>
          <cell r="D1445" t="str">
            <v>1C</v>
          </cell>
          <cell r="E1445" t="str">
            <v>IBEWOUT</v>
          </cell>
          <cell r="F1445" t="str">
            <v>1245</v>
          </cell>
          <cell r="G1445" t="str">
            <v>8</v>
          </cell>
          <cell r="H1445">
            <v>0</v>
          </cell>
        </row>
        <row r="1446">
          <cell r="B1446">
            <v>10112</v>
          </cell>
          <cell r="C1446" t="str">
            <v>Valenzuela; Mark</v>
          </cell>
          <cell r="D1446" t="str">
            <v>1C</v>
          </cell>
          <cell r="E1446" t="str">
            <v>IBEWOUT</v>
          </cell>
          <cell r="F1446" t="str">
            <v>47</v>
          </cell>
          <cell r="G1446" t="str">
            <v>17</v>
          </cell>
          <cell r="H1446">
            <v>0</v>
          </cell>
        </row>
        <row r="1447">
          <cell r="B1447">
            <v>10123</v>
          </cell>
          <cell r="C1447" t="str">
            <v>Valenzuela; Ariel A</v>
          </cell>
          <cell r="D1447" t="str">
            <v>1C</v>
          </cell>
          <cell r="E1447" t="str">
            <v>IBEWOUT</v>
          </cell>
          <cell r="F1447" t="str">
            <v>1245</v>
          </cell>
          <cell r="G1447" t="str">
            <v>12</v>
          </cell>
          <cell r="H1447">
            <v>0</v>
          </cell>
        </row>
        <row r="1448">
          <cell r="B1448">
            <v>10139</v>
          </cell>
          <cell r="C1448" t="str">
            <v>Vanwert Jr.; Richard A</v>
          </cell>
          <cell r="D1448" t="str">
            <v>1C</v>
          </cell>
          <cell r="E1448" t="str">
            <v>IBEWOUT</v>
          </cell>
          <cell r="F1448" t="str">
            <v>1319</v>
          </cell>
          <cell r="G1448" t="str">
            <v>8</v>
          </cell>
          <cell r="H1448">
            <v>0</v>
          </cell>
        </row>
        <row r="1449">
          <cell r="B1449">
            <v>10140</v>
          </cell>
          <cell r="C1449" t="str">
            <v>Vann; Tyhein E</v>
          </cell>
          <cell r="D1449" t="str">
            <v>1C</v>
          </cell>
          <cell r="E1449" t="str">
            <v>IBEWOUT</v>
          </cell>
          <cell r="F1449" t="str">
            <v>126</v>
          </cell>
          <cell r="G1449" t="str">
            <v>8</v>
          </cell>
          <cell r="H1449">
            <v>0</v>
          </cell>
        </row>
        <row r="1450">
          <cell r="B1450">
            <v>10146</v>
          </cell>
          <cell r="C1450" t="str">
            <v>Valencia; Gary S</v>
          </cell>
          <cell r="D1450" t="str">
            <v>1C</v>
          </cell>
          <cell r="E1450" t="str">
            <v>IBEWOUT</v>
          </cell>
          <cell r="F1450" t="str">
            <v>1245</v>
          </cell>
          <cell r="G1450" t="str">
            <v>13</v>
          </cell>
          <cell r="H1450">
            <v>0</v>
          </cell>
        </row>
        <row r="1451">
          <cell r="B1451">
            <v>10148</v>
          </cell>
          <cell r="C1451" t="str">
            <v>Vanderheiden; Ricky J.</v>
          </cell>
          <cell r="D1451" t="str">
            <v>1C</v>
          </cell>
          <cell r="E1451" t="str">
            <v>IBEWOUT</v>
          </cell>
          <cell r="F1451" t="str">
            <v>47</v>
          </cell>
          <cell r="G1451" t="str">
            <v>8</v>
          </cell>
          <cell r="H1451">
            <v>0</v>
          </cell>
        </row>
        <row r="1452">
          <cell r="B1452">
            <v>10149</v>
          </cell>
          <cell r="C1452" t="str">
            <v>Vargas; Joe F</v>
          </cell>
          <cell r="D1452" t="str">
            <v>1C</v>
          </cell>
          <cell r="E1452" t="str">
            <v>IBEWOUT</v>
          </cell>
          <cell r="F1452" t="str">
            <v>1245</v>
          </cell>
          <cell r="G1452" t="str">
            <v>12</v>
          </cell>
          <cell r="H1452">
            <v>0</v>
          </cell>
        </row>
        <row r="1453">
          <cell r="B1453">
            <v>10154</v>
          </cell>
          <cell r="C1453" t="str">
            <v>Vanderwood; Eric L</v>
          </cell>
          <cell r="D1453" t="str">
            <v>1C</v>
          </cell>
          <cell r="E1453" t="str">
            <v/>
          </cell>
          <cell r="F1453" t="str">
            <v/>
          </cell>
          <cell r="G1453" t="str">
            <v/>
          </cell>
          <cell r="H1453">
            <v>0</v>
          </cell>
        </row>
        <row r="1454">
          <cell r="B1454">
            <v>10155</v>
          </cell>
          <cell r="C1454" t="str">
            <v>Vandyke; Jess D</v>
          </cell>
          <cell r="D1454" t="str">
            <v>1C</v>
          </cell>
          <cell r="E1454" t="str">
            <v>IBEWOUT</v>
          </cell>
          <cell r="F1454" t="str">
            <v>1245</v>
          </cell>
          <cell r="G1454" t="str">
            <v>8</v>
          </cell>
          <cell r="H1454">
            <v>0</v>
          </cell>
        </row>
        <row r="1455">
          <cell r="B1455">
            <v>10157</v>
          </cell>
          <cell r="C1455" t="str">
            <v>Vaughters; Brett Randall</v>
          </cell>
          <cell r="D1455" t="str">
            <v>1</v>
          </cell>
          <cell r="E1455" t="str">
            <v/>
          </cell>
          <cell r="F1455" t="str">
            <v/>
          </cell>
          <cell r="G1455" t="str">
            <v/>
          </cell>
          <cell r="H1455">
            <v>1</v>
          </cell>
        </row>
        <row r="1456">
          <cell r="B1456">
            <v>10158</v>
          </cell>
          <cell r="C1456" t="str">
            <v>Valis; Theodore G.</v>
          </cell>
          <cell r="D1456" t="str">
            <v>1C</v>
          </cell>
          <cell r="E1456" t="str">
            <v>IBEWOUT</v>
          </cell>
          <cell r="F1456" t="str">
            <v>769</v>
          </cell>
          <cell r="G1456" t="str">
            <v>8</v>
          </cell>
          <cell r="H1456">
            <v>0</v>
          </cell>
        </row>
        <row r="1457">
          <cell r="B1457">
            <v>10160</v>
          </cell>
          <cell r="C1457" t="str">
            <v>Varnell; Derek B</v>
          </cell>
          <cell r="D1457" t="str">
            <v>1C</v>
          </cell>
          <cell r="E1457" t="str">
            <v>IBEWOUT</v>
          </cell>
          <cell r="F1457" t="str">
            <v>602R</v>
          </cell>
          <cell r="G1457" t="str">
            <v>11T</v>
          </cell>
          <cell r="H1457">
            <v>0</v>
          </cell>
        </row>
        <row r="1458">
          <cell r="B1458">
            <v>10161</v>
          </cell>
          <cell r="C1458" t="str">
            <v>Vargas; Andre A</v>
          </cell>
          <cell r="D1458" t="str">
            <v>1</v>
          </cell>
          <cell r="E1458" t="str">
            <v/>
          </cell>
          <cell r="F1458" t="str">
            <v/>
          </cell>
          <cell r="G1458" t="str">
            <v/>
          </cell>
          <cell r="H1458">
            <v>1</v>
          </cell>
        </row>
        <row r="1459">
          <cell r="B1459">
            <v>10167</v>
          </cell>
          <cell r="C1459" t="str">
            <v>Van Horn; Seth J</v>
          </cell>
          <cell r="D1459" t="str">
            <v>1</v>
          </cell>
          <cell r="E1459" t="str">
            <v>IBEWOUT</v>
          </cell>
          <cell r="F1459" t="str">
            <v>611</v>
          </cell>
          <cell r="G1459" t="str">
            <v>9</v>
          </cell>
          <cell r="H1459">
            <v>0</v>
          </cell>
        </row>
        <row r="1460">
          <cell r="B1460">
            <v>10170</v>
          </cell>
          <cell r="C1460" t="str">
            <v>Vega-Brown; Elias</v>
          </cell>
          <cell r="D1460" t="str">
            <v>1C</v>
          </cell>
          <cell r="E1460" t="str">
            <v>IBEWOUT</v>
          </cell>
          <cell r="F1460" t="str">
            <v>1245</v>
          </cell>
          <cell r="G1460" t="str">
            <v>8</v>
          </cell>
          <cell r="H1460">
            <v>0</v>
          </cell>
        </row>
        <row r="1461">
          <cell r="B1461">
            <v>10171</v>
          </cell>
          <cell r="C1461" t="str">
            <v>VanAntwerp; Derek R.</v>
          </cell>
          <cell r="D1461" t="str">
            <v>1C</v>
          </cell>
          <cell r="E1461" t="str">
            <v>IBEWOUT</v>
          </cell>
          <cell r="F1461" t="str">
            <v>1245</v>
          </cell>
          <cell r="G1461" t="str">
            <v>7</v>
          </cell>
          <cell r="H1461">
            <v>0</v>
          </cell>
        </row>
        <row r="1462">
          <cell r="B1462">
            <v>10173</v>
          </cell>
          <cell r="C1462" t="str">
            <v>Vessel; Derick L</v>
          </cell>
          <cell r="D1462" t="str">
            <v>1C</v>
          </cell>
          <cell r="E1462" t="str">
            <v>IBEWOUT</v>
          </cell>
          <cell r="F1462" t="str">
            <v>769</v>
          </cell>
          <cell r="G1462" t="str">
            <v>12</v>
          </cell>
          <cell r="H1462">
            <v>0</v>
          </cell>
        </row>
        <row r="1463">
          <cell r="B1463">
            <v>10177</v>
          </cell>
          <cell r="C1463" t="str">
            <v>Verkler; Jacob M</v>
          </cell>
          <cell r="D1463" t="str">
            <v>1C</v>
          </cell>
          <cell r="E1463" t="str">
            <v>IBEWOUT</v>
          </cell>
          <cell r="F1463" t="str">
            <v>1245</v>
          </cell>
          <cell r="G1463" t="str">
            <v>15</v>
          </cell>
          <cell r="H1463">
            <v>0</v>
          </cell>
        </row>
        <row r="1464">
          <cell r="B1464">
            <v>10180</v>
          </cell>
          <cell r="C1464" t="str">
            <v>Vermeire; Damon L</v>
          </cell>
          <cell r="D1464" t="str">
            <v>1</v>
          </cell>
          <cell r="E1464" t="str">
            <v>IBEWOUT</v>
          </cell>
          <cell r="F1464" t="str">
            <v>77</v>
          </cell>
          <cell r="G1464" t="str">
            <v>7</v>
          </cell>
          <cell r="H1464">
            <v>0</v>
          </cell>
        </row>
        <row r="1465">
          <cell r="B1465">
            <v>10181</v>
          </cell>
          <cell r="C1465" t="str">
            <v>Vick; Clinton W</v>
          </cell>
          <cell r="D1465" t="str">
            <v>1C</v>
          </cell>
          <cell r="E1465" t="str">
            <v>IBEWOUT</v>
          </cell>
          <cell r="F1465" t="str">
            <v>160</v>
          </cell>
          <cell r="G1465" t="str">
            <v>7</v>
          </cell>
          <cell r="H1465">
            <v>0</v>
          </cell>
        </row>
        <row r="1466">
          <cell r="B1466">
            <v>10183</v>
          </cell>
          <cell r="C1466" t="str">
            <v>Vickers; Tom E</v>
          </cell>
          <cell r="D1466" t="str">
            <v>1C</v>
          </cell>
          <cell r="E1466" t="str">
            <v>IBEWOUT</v>
          </cell>
          <cell r="F1466" t="str">
            <v>1245</v>
          </cell>
          <cell r="G1466" t="str">
            <v>17</v>
          </cell>
          <cell r="H1466">
            <v>0</v>
          </cell>
        </row>
        <row r="1467">
          <cell r="B1467">
            <v>10184</v>
          </cell>
          <cell r="C1467" t="str">
            <v>Vickhammer; Bryan S</v>
          </cell>
          <cell r="D1467" t="str">
            <v>1C</v>
          </cell>
          <cell r="E1467" t="str">
            <v>IBEWOUT</v>
          </cell>
          <cell r="F1467" t="str">
            <v>1245</v>
          </cell>
          <cell r="G1467" t="str">
            <v>12</v>
          </cell>
          <cell r="H1467">
            <v>0</v>
          </cell>
        </row>
        <row r="1468">
          <cell r="B1468">
            <v>10185</v>
          </cell>
          <cell r="C1468" t="str">
            <v>Velasco; Jose J</v>
          </cell>
          <cell r="D1468" t="str">
            <v>1</v>
          </cell>
          <cell r="E1468" t="str">
            <v>IBEWOUT</v>
          </cell>
          <cell r="F1468" t="str">
            <v>77</v>
          </cell>
          <cell r="G1468" t="str">
            <v>11</v>
          </cell>
          <cell r="H1468">
            <v>0</v>
          </cell>
        </row>
        <row r="1469">
          <cell r="B1469">
            <v>10187</v>
          </cell>
          <cell r="C1469" t="str">
            <v>Vega; Eduardo</v>
          </cell>
          <cell r="D1469" t="str">
            <v>1</v>
          </cell>
          <cell r="E1469" t="str">
            <v>IBEWOUT</v>
          </cell>
          <cell r="F1469" t="str">
            <v>47</v>
          </cell>
          <cell r="G1469" t="str">
            <v>13</v>
          </cell>
          <cell r="H1469">
            <v>0</v>
          </cell>
        </row>
        <row r="1470">
          <cell r="B1470">
            <v>10189</v>
          </cell>
          <cell r="C1470" t="str">
            <v>Varozza; Travis A</v>
          </cell>
          <cell r="D1470" t="str">
            <v>1</v>
          </cell>
          <cell r="E1470" t="str">
            <v>IBEWOUT</v>
          </cell>
          <cell r="F1470" t="str">
            <v>77</v>
          </cell>
          <cell r="G1470" t="str">
            <v>8</v>
          </cell>
          <cell r="H1470">
            <v>0</v>
          </cell>
        </row>
        <row r="1471">
          <cell r="B1471">
            <v>10190</v>
          </cell>
          <cell r="C1471" t="str">
            <v>Ventura; Francisco A</v>
          </cell>
          <cell r="D1471" t="str">
            <v>1C</v>
          </cell>
          <cell r="E1471" t="str">
            <v>IBEWOUT</v>
          </cell>
          <cell r="F1471" t="str">
            <v>47</v>
          </cell>
          <cell r="G1471" t="str">
            <v>14</v>
          </cell>
          <cell r="H1471">
            <v>0</v>
          </cell>
        </row>
        <row r="1472">
          <cell r="B1472">
            <v>10191</v>
          </cell>
          <cell r="C1472" t="str">
            <v>Verduzco Jr; Ricardo</v>
          </cell>
          <cell r="D1472" t="str">
            <v>1</v>
          </cell>
          <cell r="E1472" t="str">
            <v>IBEWOUT</v>
          </cell>
          <cell r="F1472" t="str">
            <v>769</v>
          </cell>
          <cell r="G1472" t="str">
            <v>8</v>
          </cell>
          <cell r="H1472">
            <v>0</v>
          </cell>
        </row>
        <row r="1473">
          <cell r="B1473">
            <v>10195</v>
          </cell>
          <cell r="C1473" t="str">
            <v>Vogt; Jay A.</v>
          </cell>
          <cell r="D1473" t="str">
            <v>1C</v>
          </cell>
          <cell r="E1473" t="str">
            <v>IBEWOUT</v>
          </cell>
          <cell r="F1473" t="str">
            <v>47</v>
          </cell>
          <cell r="G1473" t="str">
            <v>8</v>
          </cell>
          <cell r="H1473">
            <v>0</v>
          </cell>
        </row>
        <row r="1474">
          <cell r="B1474">
            <v>10203</v>
          </cell>
          <cell r="C1474" t="str">
            <v>Vigil; Darian Marie</v>
          </cell>
          <cell r="D1474" t="str">
            <v>1</v>
          </cell>
          <cell r="E1474" t="str">
            <v/>
          </cell>
          <cell r="F1474" t="str">
            <v/>
          </cell>
          <cell r="G1474" t="str">
            <v/>
          </cell>
          <cell r="H1474">
            <v>0</v>
          </cell>
        </row>
        <row r="1475">
          <cell r="B1475">
            <v>10205</v>
          </cell>
          <cell r="C1475" t="str">
            <v>Vorce; Brian M</v>
          </cell>
          <cell r="D1475" t="str">
            <v>1C</v>
          </cell>
          <cell r="E1475" t="str">
            <v>IBEWOUT</v>
          </cell>
          <cell r="F1475" t="str">
            <v>1245</v>
          </cell>
          <cell r="G1475" t="str">
            <v>8</v>
          </cell>
          <cell r="H1475">
            <v>0</v>
          </cell>
        </row>
        <row r="1476">
          <cell r="B1476">
            <v>10209</v>
          </cell>
          <cell r="C1476" t="str">
            <v>Voshall; Jared C</v>
          </cell>
          <cell r="D1476" t="str">
            <v>1C</v>
          </cell>
          <cell r="E1476" t="str">
            <v>IBEWOUT</v>
          </cell>
          <cell r="F1476" t="str">
            <v>1245</v>
          </cell>
          <cell r="G1476" t="str">
            <v>7</v>
          </cell>
          <cell r="H1476">
            <v>0</v>
          </cell>
        </row>
        <row r="1477">
          <cell r="B1477">
            <v>10210</v>
          </cell>
          <cell r="C1477" t="str">
            <v>Villarreal; Gil</v>
          </cell>
          <cell r="D1477" t="str">
            <v>1</v>
          </cell>
          <cell r="E1477" t="str">
            <v>IBEWOUT</v>
          </cell>
          <cell r="F1477" t="str">
            <v>1245</v>
          </cell>
          <cell r="G1477" t="str">
            <v>17</v>
          </cell>
          <cell r="H1477">
            <v>0</v>
          </cell>
        </row>
        <row r="1478">
          <cell r="B1478">
            <v>10212</v>
          </cell>
          <cell r="C1478" t="str">
            <v>Villa Jr.; Arturo</v>
          </cell>
          <cell r="D1478" t="str">
            <v>1C</v>
          </cell>
          <cell r="E1478" t="str">
            <v>IBEWOUT</v>
          </cell>
          <cell r="F1478" t="str">
            <v>1245</v>
          </cell>
          <cell r="G1478" t="str">
            <v>15</v>
          </cell>
          <cell r="H1478">
            <v>0</v>
          </cell>
        </row>
        <row r="1479">
          <cell r="B1479">
            <v>10216</v>
          </cell>
          <cell r="C1479" t="str">
            <v>Volesky; Dakota R</v>
          </cell>
          <cell r="D1479" t="str">
            <v>1</v>
          </cell>
          <cell r="E1479" t="str">
            <v/>
          </cell>
          <cell r="F1479" t="str">
            <v/>
          </cell>
          <cell r="G1479" t="str">
            <v/>
          </cell>
          <cell r="H1479">
            <v>0</v>
          </cell>
        </row>
        <row r="1480">
          <cell r="B1480">
            <v>10231</v>
          </cell>
          <cell r="C1480" t="str">
            <v>Wager; Brett L.</v>
          </cell>
          <cell r="D1480" t="str">
            <v>1C</v>
          </cell>
          <cell r="E1480" t="str">
            <v>IBEWOUT</v>
          </cell>
          <cell r="F1480" t="str">
            <v>611</v>
          </cell>
          <cell r="G1480" t="str">
            <v>9</v>
          </cell>
          <cell r="H1480">
            <v>0</v>
          </cell>
        </row>
        <row r="1481">
          <cell r="B1481">
            <v>10235</v>
          </cell>
          <cell r="C1481" t="str">
            <v>Waddell; Robert C</v>
          </cell>
          <cell r="D1481" t="str">
            <v>1</v>
          </cell>
          <cell r="E1481" t="str">
            <v>IBEWOUT</v>
          </cell>
          <cell r="F1481" t="str">
            <v>769</v>
          </cell>
          <cell r="G1481" t="str">
            <v>8</v>
          </cell>
          <cell r="H1481">
            <v>0</v>
          </cell>
        </row>
        <row r="1482">
          <cell r="B1482">
            <v>10252</v>
          </cell>
          <cell r="C1482" t="str">
            <v>Waite; Ronald Eric</v>
          </cell>
          <cell r="D1482" t="str">
            <v>1C</v>
          </cell>
          <cell r="E1482" t="str">
            <v/>
          </cell>
          <cell r="F1482" t="str">
            <v/>
          </cell>
          <cell r="G1482" t="str">
            <v/>
          </cell>
          <cell r="H1482">
            <v>1</v>
          </cell>
        </row>
        <row r="1483">
          <cell r="B1483">
            <v>10253</v>
          </cell>
          <cell r="C1483" t="str">
            <v>Wakefield; Josiah T</v>
          </cell>
          <cell r="D1483" t="str">
            <v>1C</v>
          </cell>
          <cell r="E1483" t="str">
            <v/>
          </cell>
          <cell r="F1483" t="str">
            <v/>
          </cell>
          <cell r="G1483" t="str">
            <v/>
          </cell>
          <cell r="H1483">
            <v>1</v>
          </cell>
        </row>
        <row r="1484">
          <cell r="B1484">
            <v>10257</v>
          </cell>
          <cell r="C1484" t="str">
            <v>Wakeland; Alex R</v>
          </cell>
          <cell r="D1484" t="str">
            <v>1C</v>
          </cell>
          <cell r="E1484" t="str">
            <v>IBEWOUT</v>
          </cell>
          <cell r="F1484" t="str">
            <v>602R</v>
          </cell>
          <cell r="G1484" t="str">
            <v>8</v>
          </cell>
          <cell r="H1484">
            <v>0</v>
          </cell>
        </row>
        <row r="1485">
          <cell r="B1485">
            <v>10273</v>
          </cell>
          <cell r="C1485" t="str">
            <v>Walker; Matthew R.</v>
          </cell>
          <cell r="D1485" t="str">
            <v>1C</v>
          </cell>
          <cell r="E1485" t="str">
            <v>IBEWOUT</v>
          </cell>
          <cell r="F1485" t="str">
            <v>1245</v>
          </cell>
          <cell r="G1485" t="str">
            <v>8</v>
          </cell>
          <cell r="H1485">
            <v>0</v>
          </cell>
        </row>
        <row r="1486">
          <cell r="B1486">
            <v>10275</v>
          </cell>
          <cell r="C1486" t="str">
            <v>Walker; Danny L</v>
          </cell>
          <cell r="D1486" t="str">
            <v>1C</v>
          </cell>
          <cell r="E1486" t="str">
            <v>IBEWOUT</v>
          </cell>
          <cell r="F1486" t="str">
            <v>47</v>
          </cell>
          <cell r="G1486" t="str">
            <v>17</v>
          </cell>
          <cell r="H1486">
            <v>0</v>
          </cell>
        </row>
        <row r="1487">
          <cell r="B1487">
            <v>10276</v>
          </cell>
          <cell r="C1487" t="str">
            <v>Walker; Damon V</v>
          </cell>
          <cell r="D1487" t="str">
            <v>1C</v>
          </cell>
          <cell r="E1487" t="str">
            <v>IBEWOUT</v>
          </cell>
          <cell r="F1487" t="str">
            <v>1245</v>
          </cell>
          <cell r="G1487" t="str">
            <v>8</v>
          </cell>
          <cell r="H1487">
            <v>0</v>
          </cell>
        </row>
        <row r="1488">
          <cell r="B1488">
            <v>10279</v>
          </cell>
          <cell r="C1488" t="str">
            <v>Walker; Stephanie G.</v>
          </cell>
          <cell r="D1488" t="str">
            <v>1</v>
          </cell>
          <cell r="E1488" t="str">
            <v/>
          </cell>
          <cell r="F1488" t="str">
            <v/>
          </cell>
          <cell r="G1488" t="str">
            <v/>
          </cell>
          <cell r="H1488">
            <v>1</v>
          </cell>
        </row>
        <row r="1489">
          <cell r="B1489">
            <v>10289</v>
          </cell>
          <cell r="C1489" t="str">
            <v>Wallace; Benjamin D.</v>
          </cell>
          <cell r="D1489" t="str">
            <v>1C</v>
          </cell>
          <cell r="E1489" t="str">
            <v>IBEWOUT</v>
          </cell>
          <cell r="F1489" t="str">
            <v>47</v>
          </cell>
          <cell r="G1489" t="str">
            <v>8</v>
          </cell>
          <cell r="H1489">
            <v>0</v>
          </cell>
        </row>
        <row r="1490">
          <cell r="B1490">
            <v>10291</v>
          </cell>
          <cell r="C1490" t="str">
            <v>Walter; Ryan A.</v>
          </cell>
          <cell r="D1490" t="str">
            <v>1C</v>
          </cell>
          <cell r="E1490" t="str">
            <v>IBEWOUT</v>
          </cell>
          <cell r="F1490" t="str">
            <v>1245</v>
          </cell>
          <cell r="G1490" t="str">
            <v>8</v>
          </cell>
          <cell r="H1490">
            <v>0</v>
          </cell>
        </row>
        <row r="1491">
          <cell r="B1491">
            <v>10305</v>
          </cell>
          <cell r="C1491" t="str">
            <v>Wallace; Scott A.</v>
          </cell>
          <cell r="D1491" t="str">
            <v>1C</v>
          </cell>
          <cell r="E1491" t="str">
            <v>IBEWOUT</v>
          </cell>
          <cell r="F1491" t="str">
            <v>769</v>
          </cell>
          <cell r="G1491" t="str">
            <v>11</v>
          </cell>
          <cell r="H1491">
            <v>0</v>
          </cell>
        </row>
        <row r="1492">
          <cell r="B1492">
            <v>10432</v>
          </cell>
          <cell r="C1492" t="str">
            <v>Ward; Barry E</v>
          </cell>
          <cell r="D1492" t="str">
            <v>1C</v>
          </cell>
          <cell r="E1492" t="str">
            <v>IBEWOUT</v>
          </cell>
          <cell r="F1492" t="str">
            <v>1245</v>
          </cell>
          <cell r="G1492" t="str">
            <v>8</v>
          </cell>
          <cell r="H1492">
            <v>0</v>
          </cell>
        </row>
        <row r="1493">
          <cell r="B1493">
            <v>10435</v>
          </cell>
          <cell r="C1493" t="str">
            <v>Ward; Colton T</v>
          </cell>
          <cell r="D1493" t="str">
            <v>1</v>
          </cell>
          <cell r="E1493" t="str">
            <v>IBEWOUT</v>
          </cell>
          <cell r="F1493" t="str">
            <v>77</v>
          </cell>
          <cell r="G1493" t="str">
            <v>8</v>
          </cell>
          <cell r="H1493">
            <v>0</v>
          </cell>
        </row>
        <row r="1494">
          <cell r="B1494">
            <v>10437</v>
          </cell>
          <cell r="C1494" t="str">
            <v>Warner; Dusty D</v>
          </cell>
          <cell r="D1494" t="str">
            <v>1</v>
          </cell>
          <cell r="E1494" t="str">
            <v>IBEWOUT</v>
          </cell>
          <cell r="F1494" t="str">
            <v>1245</v>
          </cell>
          <cell r="G1494" t="str">
            <v>16</v>
          </cell>
          <cell r="H1494">
            <v>0</v>
          </cell>
        </row>
        <row r="1495">
          <cell r="B1495">
            <v>10439</v>
          </cell>
          <cell r="C1495" t="str">
            <v>Washington; Donell</v>
          </cell>
          <cell r="D1495" t="str">
            <v>1C</v>
          </cell>
          <cell r="E1495" t="str">
            <v>IBEWOUT</v>
          </cell>
          <cell r="F1495" t="str">
            <v>396</v>
          </cell>
          <cell r="G1495" t="str">
            <v>33</v>
          </cell>
          <cell r="H1495">
            <v>0</v>
          </cell>
        </row>
        <row r="1496">
          <cell r="B1496">
            <v>10440</v>
          </cell>
          <cell r="C1496" t="str">
            <v>Wasdin; Jimmy L</v>
          </cell>
          <cell r="D1496" t="str">
            <v>1C</v>
          </cell>
          <cell r="E1496" t="str">
            <v>IBEWOUT</v>
          </cell>
          <cell r="F1496" t="str">
            <v>1245</v>
          </cell>
          <cell r="G1496" t="str">
            <v>8</v>
          </cell>
          <cell r="H1496">
            <v>0</v>
          </cell>
        </row>
        <row r="1497">
          <cell r="B1497">
            <v>10445</v>
          </cell>
          <cell r="C1497" t="str">
            <v>Watkins; Garrett L</v>
          </cell>
          <cell r="D1497" t="str">
            <v>1C</v>
          </cell>
          <cell r="E1497" t="str">
            <v>IBEWOUT</v>
          </cell>
          <cell r="F1497" t="str">
            <v>126</v>
          </cell>
          <cell r="G1497" t="str">
            <v>16</v>
          </cell>
          <cell r="H1497">
            <v>0</v>
          </cell>
        </row>
        <row r="1498">
          <cell r="B1498">
            <v>10449</v>
          </cell>
          <cell r="C1498" t="str">
            <v>Watkins; Gary L</v>
          </cell>
          <cell r="D1498" t="str">
            <v>1C</v>
          </cell>
          <cell r="E1498" t="str">
            <v>IBEWOUT</v>
          </cell>
          <cell r="F1498" t="str">
            <v>126</v>
          </cell>
          <cell r="G1498" t="str">
            <v>8</v>
          </cell>
          <cell r="H1498">
            <v>0</v>
          </cell>
        </row>
        <row r="1499">
          <cell r="B1499">
            <v>10453</v>
          </cell>
          <cell r="C1499" t="str">
            <v>Watson; Frederic M.</v>
          </cell>
          <cell r="D1499" t="str">
            <v>1C</v>
          </cell>
          <cell r="E1499" t="str">
            <v>IBEWIN</v>
          </cell>
          <cell r="F1499" t="str">
            <v>714</v>
          </cell>
          <cell r="G1499" t="str">
            <v>8I</v>
          </cell>
          <cell r="H1499">
            <v>0</v>
          </cell>
        </row>
        <row r="1500">
          <cell r="B1500">
            <v>10546</v>
          </cell>
          <cell r="C1500" t="str">
            <v>Torres Cervantes; Federico</v>
          </cell>
          <cell r="D1500" t="str">
            <v>1</v>
          </cell>
          <cell r="E1500" t="str">
            <v/>
          </cell>
          <cell r="F1500" t="str">
            <v/>
          </cell>
          <cell r="G1500" t="str">
            <v/>
          </cell>
          <cell r="H1500">
            <v>0</v>
          </cell>
        </row>
        <row r="1501">
          <cell r="B1501">
            <v>10549</v>
          </cell>
          <cell r="C1501" t="str">
            <v>Werner; Allen</v>
          </cell>
          <cell r="D1501" t="str">
            <v>1C</v>
          </cell>
          <cell r="E1501" t="str">
            <v>IBEWOUT</v>
          </cell>
          <cell r="F1501" t="str">
            <v>1245</v>
          </cell>
          <cell r="G1501" t="str">
            <v>60</v>
          </cell>
          <cell r="H1501">
            <v>0</v>
          </cell>
        </row>
        <row r="1502">
          <cell r="B1502">
            <v>10550</v>
          </cell>
          <cell r="C1502" t="str">
            <v>Weathers; Kenneth Wilford</v>
          </cell>
          <cell r="D1502" t="str">
            <v>1</v>
          </cell>
          <cell r="E1502" t="str">
            <v/>
          </cell>
          <cell r="F1502" t="str">
            <v/>
          </cell>
          <cell r="G1502" t="str">
            <v/>
          </cell>
          <cell r="H1502">
            <v>1</v>
          </cell>
        </row>
        <row r="1503">
          <cell r="B1503">
            <v>10552</v>
          </cell>
          <cell r="C1503" t="str">
            <v>Weaver; Emmett Lynn</v>
          </cell>
          <cell r="D1503" t="str">
            <v>1</v>
          </cell>
          <cell r="E1503" t="str">
            <v>IBEWOUT</v>
          </cell>
          <cell r="F1503" t="str">
            <v>47</v>
          </cell>
          <cell r="G1503" t="str">
            <v>16</v>
          </cell>
          <cell r="H1503">
            <v>0</v>
          </cell>
        </row>
        <row r="1504">
          <cell r="B1504">
            <v>10556</v>
          </cell>
          <cell r="C1504" t="str">
            <v>Weaver; Benjamin P.</v>
          </cell>
          <cell r="D1504" t="str">
            <v>1C</v>
          </cell>
          <cell r="E1504" t="str">
            <v>IBEWOUT</v>
          </cell>
          <cell r="F1504" t="str">
            <v>1319</v>
          </cell>
          <cell r="G1504" t="str">
            <v>8</v>
          </cell>
          <cell r="H1504">
            <v>0</v>
          </cell>
        </row>
        <row r="1505">
          <cell r="B1505">
            <v>10557</v>
          </cell>
          <cell r="C1505" t="str">
            <v>Weber; Jeremy Louis</v>
          </cell>
          <cell r="D1505" t="str">
            <v>1C</v>
          </cell>
          <cell r="E1505" t="str">
            <v>IBEWOUT</v>
          </cell>
          <cell r="F1505" t="str">
            <v>77</v>
          </cell>
          <cell r="G1505" t="str">
            <v>7</v>
          </cell>
          <cell r="H1505">
            <v>0</v>
          </cell>
        </row>
        <row r="1506">
          <cell r="B1506">
            <v>10558</v>
          </cell>
          <cell r="C1506" t="str">
            <v>Webber; Cody C</v>
          </cell>
          <cell r="D1506" t="str">
            <v>1C</v>
          </cell>
          <cell r="E1506" t="str">
            <v>IBEWOUT</v>
          </cell>
          <cell r="F1506" t="str">
            <v>1245</v>
          </cell>
          <cell r="G1506" t="str">
            <v>8</v>
          </cell>
          <cell r="H1506">
            <v>0</v>
          </cell>
        </row>
        <row r="1507">
          <cell r="B1507">
            <v>10559</v>
          </cell>
          <cell r="C1507" t="str">
            <v>Weekes; Bruce S</v>
          </cell>
          <cell r="D1507" t="str">
            <v>1C</v>
          </cell>
          <cell r="E1507" t="str">
            <v>IBEWOUT</v>
          </cell>
          <cell r="F1507" t="str">
            <v>1245</v>
          </cell>
          <cell r="G1507" t="str">
            <v>8</v>
          </cell>
          <cell r="H1507">
            <v>0</v>
          </cell>
        </row>
        <row r="1508">
          <cell r="B1508">
            <v>10560</v>
          </cell>
          <cell r="C1508" t="str">
            <v>Weber; Austin J</v>
          </cell>
          <cell r="D1508" t="str">
            <v>1C</v>
          </cell>
          <cell r="E1508" t="str">
            <v>IBEWOUT</v>
          </cell>
          <cell r="F1508" t="str">
            <v>77</v>
          </cell>
          <cell r="G1508" t="str">
            <v>9</v>
          </cell>
          <cell r="H1508">
            <v>0</v>
          </cell>
        </row>
        <row r="1509">
          <cell r="B1509">
            <v>10561</v>
          </cell>
          <cell r="C1509" t="str">
            <v>Wedebrand; Jacob W</v>
          </cell>
          <cell r="D1509" t="str">
            <v>1</v>
          </cell>
          <cell r="E1509" t="str">
            <v>IBEWOUT</v>
          </cell>
          <cell r="F1509" t="str">
            <v>47</v>
          </cell>
          <cell r="G1509" t="str">
            <v>8</v>
          </cell>
          <cell r="H1509">
            <v>0</v>
          </cell>
        </row>
        <row r="1510">
          <cell r="B1510">
            <v>10563</v>
          </cell>
          <cell r="C1510" t="str">
            <v>Webb; Jeffrey A</v>
          </cell>
          <cell r="D1510" t="str">
            <v>1</v>
          </cell>
          <cell r="E1510" t="str">
            <v>IBEWOUT</v>
          </cell>
          <cell r="F1510" t="str">
            <v>1245</v>
          </cell>
          <cell r="G1510" t="str">
            <v>8</v>
          </cell>
          <cell r="H1510">
            <v>0</v>
          </cell>
        </row>
        <row r="1511">
          <cell r="B1511">
            <v>10564</v>
          </cell>
          <cell r="C1511" t="str">
            <v>Webb; Richard R.</v>
          </cell>
          <cell r="D1511" t="str">
            <v>1</v>
          </cell>
          <cell r="E1511" t="str">
            <v>IBEWOUT</v>
          </cell>
          <cell r="F1511" t="str">
            <v>1245</v>
          </cell>
          <cell r="G1511" t="str">
            <v>8</v>
          </cell>
          <cell r="H1511">
            <v>0</v>
          </cell>
        </row>
        <row r="1512">
          <cell r="B1512">
            <v>10580</v>
          </cell>
          <cell r="C1512" t="str">
            <v>Wells; Chris A.</v>
          </cell>
          <cell r="D1512" t="str">
            <v>1C</v>
          </cell>
          <cell r="E1512" t="str">
            <v>IBEWOUT</v>
          </cell>
          <cell r="F1512" t="str">
            <v>769</v>
          </cell>
          <cell r="G1512" t="str">
            <v>20</v>
          </cell>
          <cell r="H1512">
            <v>0</v>
          </cell>
        </row>
        <row r="1513">
          <cell r="B1513">
            <v>10581</v>
          </cell>
          <cell r="C1513" t="str">
            <v>Wells; Robert O</v>
          </cell>
          <cell r="D1513" t="str">
            <v>1C</v>
          </cell>
          <cell r="E1513" t="str">
            <v>IBEWOUT</v>
          </cell>
          <cell r="F1513" t="str">
            <v>602R</v>
          </cell>
          <cell r="G1513" t="str">
            <v>8</v>
          </cell>
          <cell r="H1513">
            <v>0</v>
          </cell>
        </row>
        <row r="1514">
          <cell r="B1514">
            <v>10586</v>
          </cell>
          <cell r="C1514" t="str">
            <v>Welch; David A</v>
          </cell>
          <cell r="D1514" t="str">
            <v>1C</v>
          </cell>
          <cell r="E1514" t="str">
            <v>IBEWOUT</v>
          </cell>
          <cell r="F1514" t="str">
            <v>1245</v>
          </cell>
          <cell r="G1514" t="str">
            <v>15</v>
          </cell>
          <cell r="H1514">
            <v>0</v>
          </cell>
        </row>
        <row r="1515">
          <cell r="B1515">
            <v>10587</v>
          </cell>
          <cell r="C1515" t="str">
            <v>Wendt; Matthew S</v>
          </cell>
          <cell r="D1515" t="str">
            <v>1C</v>
          </cell>
          <cell r="E1515" t="str">
            <v>IBEWOUT</v>
          </cell>
          <cell r="F1515" t="str">
            <v>47</v>
          </cell>
          <cell r="G1515" t="str">
            <v>7</v>
          </cell>
          <cell r="H1515">
            <v>0</v>
          </cell>
        </row>
        <row r="1516">
          <cell r="B1516">
            <v>10594</v>
          </cell>
          <cell r="C1516" t="str">
            <v>Weldon; Brett A</v>
          </cell>
          <cell r="D1516" t="str">
            <v>1</v>
          </cell>
          <cell r="E1516" t="str">
            <v>IBEWOUT</v>
          </cell>
          <cell r="F1516" t="str">
            <v>47</v>
          </cell>
          <cell r="G1516" t="str">
            <v>7</v>
          </cell>
          <cell r="H1516">
            <v>0</v>
          </cell>
        </row>
        <row r="1517">
          <cell r="B1517">
            <v>10595</v>
          </cell>
          <cell r="C1517" t="str">
            <v>Weideman; Michael R</v>
          </cell>
          <cell r="D1517" t="str">
            <v>1C</v>
          </cell>
          <cell r="E1517" t="str">
            <v>IBEWOUT</v>
          </cell>
          <cell r="F1517" t="str">
            <v>1245</v>
          </cell>
          <cell r="G1517" t="str">
            <v>8</v>
          </cell>
          <cell r="H1517">
            <v>0</v>
          </cell>
        </row>
        <row r="1518">
          <cell r="B1518">
            <v>10597</v>
          </cell>
          <cell r="C1518" t="str">
            <v>West; Rueben James</v>
          </cell>
          <cell r="D1518" t="str">
            <v>1</v>
          </cell>
          <cell r="E1518" t="str">
            <v>IBEWOUT</v>
          </cell>
          <cell r="F1518" t="str">
            <v>47</v>
          </cell>
          <cell r="G1518" t="str">
            <v>1</v>
          </cell>
          <cell r="H1518">
            <v>0</v>
          </cell>
        </row>
        <row r="1519">
          <cell r="B1519">
            <v>10599</v>
          </cell>
          <cell r="C1519" t="str">
            <v>Welcher; Scott A</v>
          </cell>
          <cell r="D1519" t="str">
            <v>1</v>
          </cell>
          <cell r="E1519" t="str">
            <v/>
          </cell>
          <cell r="F1519" t="str">
            <v/>
          </cell>
          <cell r="G1519" t="str">
            <v/>
          </cell>
          <cell r="H1519">
            <v>0</v>
          </cell>
        </row>
        <row r="1520">
          <cell r="B1520">
            <v>10602</v>
          </cell>
          <cell r="C1520" t="str">
            <v>Weyl; Christopher L</v>
          </cell>
          <cell r="D1520" t="str">
            <v>1</v>
          </cell>
          <cell r="E1520" t="str">
            <v>IBEWOUT</v>
          </cell>
          <cell r="F1520" t="str">
            <v>47</v>
          </cell>
          <cell r="G1520" t="str">
            <v>7</v>
          </cell>
          <cell r="H1520">
            <v>0</v>
          </cell>
        </row>
        <row r="1521">
          <cell r="B1521">
            <v>10630</v>
          </cell>
          <cell r="C1521" t="str">
            <v>White; Jamail</v>
          </cell>
          <cell r="D1521" t="str">
            <v>1C</v>
          </cell>
          <cell r="E1521" t="str">
            <v>IBEWOUT</v>
          </cell>
          <cell r="F1521" t="str">
            <v>47</v>
          </cell>
          <cell r="G1521" t="str">
            <v>8</v>
          </cell>
          <cell r="H1521">
            <v>0</v>
          </cell>
        </row>
        <row r="1522">
          <cell r="B1522">
            <v>10642</v>
          </cell>
          <cell r="C1522" t="str">
            <v>Wheeler; Shane M</v>
          </cell>
          <cell r="D1522" t="str">
            <v>1C</v>
          </cell>
          <cell r="E1522" t="str">
            <v>IBEWOUT</v>
          </cell>
          <cell r="F1522" t="str">
            <v>77</v>
          </cell>
          <cell r="G1522" t="str">
            <v>16</v>
          </cell>
          <cell r="H1522">
            <v>0</v>
          </cell>
        </row>
        <row r="1523">
          <cell r="B1523">
            <v>10647</v>
          </cell>
          <cell r="C1523" t="str">
            <v>Whitaker; Justin W</v>
          </cell>
          <cell r="D1523" t="str">
            <v>1C</v>
          </cell>
          <cell r="E1523" t="str">
            <v>IBEWOUT</v>
          </cell>
          <cell r="F1523" t="str">
            <v>47</v>
          </cell>
          <cell r="G1523" t="str">
            <v>8</v>
          </cell>
          <cell r="H1523">
            <v>0</v>
          </cell>
        </row>
        <row r="1524">
          <cell r="B1524">
            <v>10648</v>
          </cell>
          <cell r="C1524" t="str">
            <v>Whitcomb; Shawn M</v>
          </cell>
          <cell r="D1524" t="str">
            <v>1C</v>
          </cell>
          <cell r="E1524" t="str">
            <v>IBEWOUT</v>
          </cell>
          <cell r="F1524" t="str">
            <v>396</v>
          </cell>
          <cell r="G1524" t="str">
            <v>8</v>
          </cell>
          <cell r="H1524">
            <v>0</v>
          </cell>
        </row>
        <row r="1525">
          <cell r="B1525">
            <v>10652</v>
          </cell>
          <cell r="C1525" t="str">
            <v>Whitney; Jason K</v>
          </cell>
          <cell r="D1525" t="str">
            <v>1C</v>
          </cell>
          <cell r="E1525" t="str">
            <v>IBEWOUT</v>
          </cell>
          <cell r="F1525" t="str">
            <v>1245</v>
          </cell>
          <cell r="G1525" t="str">
            <v>7</v>
          </cell>
          <cell r="H1525">
            <v>0</v>
          </cell>
        </row>
        <row r="1526">
          <cell r="B1526">
            <v>10653</v>
          </cell>
          <cell r="C1526" t="str">
            <v>White; Anthony S</v>
          </cell>
          <cell r="D1526" t="str">
            <v>1C</v>
          </cell>
          <cell r="E1526" t="str">
            <v>IBEWOUT</v>
          </cell>
          <cell r="F1526" t="str">
            <v>47</v>
          </cell>
          <cell r="G1526" t="str">
            <v>8</v>
          </cell>
          <cell r="H1526">
            <v>0</v>
          </cell>
        </row>
        <row r="1527">
          <cell r="B1527">
            <v>10665</v>
          </cell>
          <cell r="C1527" t="str">
            <v>Whiting; Kenneth E.</v>
          </cell>
          <cell r="D1527" t="str">
            <v>1C</v>
          </cell>
          <cell r="E1527" t="str">
            <v>IBEWOUT</v>
          </cell>
          <cell r="F1527" t="str">
            <v>47</v>
          </cell>
          <cell r="G1527" t="str">
            <v>8</v>
          </cell>
          <cell r="H1527">
            <v>0</v>
          </cell>
        </row>
        <row r="1528">
          <cell r="B1528">
            <v>10672</v>
          </cell>
          <cell r="C1528" t="str">
            <v>Wickman; David S.</v>
          </cell>
          <cell r="D1528" t="str">
            <v>1C</v>
          </cell>
          <cell r="E1528" t="str">
            <v>IBEWOUT</v>
          </cell>
          <cell r="F1528" t="str">
            <v>125</v>
          </cell>
          <cell r="G1528" t="str">
            <v>14</v>
          </cell>
          <cell r="H1528">
            <v>0</v>
          </cell>
        </row>
        <row r="1529">
          <cell r="B1529">
            <v>10679</v>
          </cell>
          <cell r="C1529" t="str">
            <v>Wilburn; Sean D.</v>
          </cell>
          <cell r="D1529" t="str">
            <v>1C</v>
          </cell>
          <cell r="E1529" t="str">
            <v>IBEWOUT</v>
          </cell>
          <cell r="F1529" t="str">
            <v>1245</v>
          </cell>
          <cell r="G1529" t="str">
            <v>8</v>
          </cell>
          <cell r="H1529">
            <v>0</v>
          </cell>
        </row>
        <row r="1530">
          <cell r="B1530">
            <v>10687</v>
          </cell>
          <cell r="C1530" t="str">
            <v>Wilcox; Freddy H.</v>
          </cell>
          <cell r="D1530" t="str">
            <v>1C</v>
          </cell>
          <cell r="E1530" t="str">
            <v>IBEWOUT</v>
          </cell>
          <cell r="F1530" t="str">
            <v>125</v>
          </cell>
          <cell r="G1530" t="str">
            <v>15</v>
          </cell>
          <cell r="H1530">
            <v>0</v>
          </cell>
        </row>
        <row r="1531">
          <cell r="B1531">
            <v>10723</v>
          </cell>
          <cell r="C1531" t="str">
            <v>Wilkinson; Cody M</v>
          </cell>
          <cell r="D1531" t="str">
            <v>1C</v>
          </cell>
          <cell r="E1531" t="str">
            <v>IBEWOUT</v>
          </cell>
          <cell r="F1531" t="str">
            <v>1245</v>
          </cell>
          <cell r="G1531" t="str">
            <v>8</v>
          </cell>
          <cell r="H1531">
            <v>0</v>
          </cell>
        </row>
        <row r="1532">
          <cell r="B1532">
            <v>10730</v>
          </cell>
          <cell r="C1532" t="str">
            <v>Worlinsky; Benjamin C.</v>
          </cell>
          <cell r="D1532" t="str">
            <v>1C</v>
          </cell>
          <cell r="E1532" t="str">
            <v>IBEWOUT</v>
          </cell>
          <cell r="F1532" t="str">
            <v>1319</v>
          </cell>
          <cell r="G1532" t="str">
            <v>13</v>
          </cell>
          <cell r="H1532">
            <v>0</v>
          </cell>
        </row>
        <row r="1533">
          <cell r="B1533">
            <v>10745</v>
          </cell>
          <cell r="C1533" t="str">
            <v>Williams; David J</v>
          </cell>
          <cell r="D1533" t="str">
            <v>1</v>
          </cell>
          <cell r="E1533" t="str">
            <v>IBEWOUT</v>
          </cell>
          <cell r="F1533" t="str">
            <v>125</v>
          </cell>
          <cell r="G1533" t="str">
            <v>11</v>
          </cell>
          <cell r="H1533">
            <v>0</v>
          </cell>
        </row>
        <row r="1534">
          <cell r="B1534">
            <v>10747</v>
          </cell>
          <cell r="C1534" t="str">
            <v>Williams; Anthony J</v>
          </cell>
          <cell r="D1534" t="str">
            <v>1C</v>
          </cell>
          <cell r="E1534" t="str">
            <v>IBEWOUT</v>
          </cell>
          <cell r="F1534" t="str">
            <v>1245</v>
          </cell>
          <cell r="G1534" t="str">
            <v>8</v>
          </cell>
          <cell r="H1534">
            <v>0</v>
          </cell>
        </row>
        <row r="1535">
          <cell r="B1535">
            <v>10749</v>
          </cell>
          <cell r="C1535" t="str">
            <v>Williams II; Orville C.</v>
          </cell>
          <cell r="D1535" t="str">
            <v>1C</v>
          </cell>
          <cell r="E1535" t="str">
            <v>IBEWOUT</v>
          </cell>
          <cell r="F1535" t="str">
            <v>769</v>
          </cell>
          <cell r="G1535" t="str">
            <v>20</v>
          </cell>
          <cell r="H1535">
            <v>0</v>
          </cell>
        </row>
        <row r="1536">
          <cell r="B1536">
            <v>10750</v>
          </cell>
          <cell r="C1536" t="str">
            <v>Williams; Harley L.</v>
          </cell>
          <cell r="D1536" t="str">
            <v>1C</v>
          </cell>
          <cell r="E1536" t="str">
            <v>IBEWOUT</v>
          </cell>
          <cell r="F1536" t="str">
            <v>769</v>
          </cell>
          <cell r="G1536" t="str">
            <v>33</v>
          </cell>
          <cell r="H1536">
            <v>1</v>
          </cell>
        </row>
        <row r="1537">
          <cell r="B1537">
            <v>10754</v>
          </cell>
          <cell r="C1537" t="str">
            <v>Williams; Benjamin J</v>
          </cell>
          <cell r="D1537" t="str">
            <v>1C</v>
          </cell>
          <cell r="E1537" t="str">
            <v>IBEWOUT</v>
          </cell>
          <cell r="F1537" t="str">
            <v>47</v>
          </cell>
          <cell r="G1537" t="str">
            <v>8</v>
          </cell>
          <cell r="H1537">
            <v>0</v>
          </cell>
        </row>
        <row r="1538">
          <cell r="B1538">
            <v>10756</v>
          </cell>
          <cell r="C1538" t="str">
            <v>Williams; Michael Lavell</v>
          </cell>
          <cell r="D1538" t="str">
            <v>1C</v>
          </cell>
          <cell r="E1538" t="str">
            <v>IBEWOUT</v>
          </cell>
          <cell r="F1538" t="str">
            <v>396</v>
          </cell>
          <cell r="G1538" t="str">
            <v>18</v>
          </cell>
          <cell r="H1538">
            <v>0</v>
          </cell>
        </row>
        <row r="1539">
          <cell r="B1539">
            <v>10763</v>
          </cell>
          <cell r="C1539" t="str">
            <v>Williams; Rodney L.</v>
          </cell>
          <cell r="D1539" t="str">
            <v>1</v>
          </cell>
          <cell r="E1539" t="str">
            <v>IBEWOUT</v>
          </cell>
          <cell r="F1539" t="str">
            <v>47</v>
          </cell>
          <cell r="G1539" t="str">
            <v>7</v>
          </cell>
          <cell r="H1539">
            <v>0</v>
          </cell>
        </row>
        <row r="1540">
          <cell r="B1540">
            <v>10766</v>
          </cell>
          <cell r="C1540" t="str">
            <v>Williams; Robbie A</v>
          </cell>
          <cell r="D1540" t="str">
            <v>1C</v>
          </cell>
          <cell r="E1540" t="str">
            <v>IBEWOUT</v>
          </cell>
          <cell r="F1540" t="str">
            <v>1245</v>
          </cell>
          <cell r="G1540" t="str">
            <v>8</v>
          </cell>
          <cell r="H1540">
            <v>0</v>
          </cell>
        </row>
        <row r="1541">
          <cell r="B1541">
            <v>10767</v>
          </cell>
          <cell r="C1541" t="str">
            <v>Williams; Andy Ryan</v>
          </cell>
          <cell r="D1541" t="str">
            <v>1</v>
          </cell>
          <cell r="E1541" t="str">
            <v>IBEWOUT</v>
          </cell>
          <cell r="F1541" t="str">
            <v>769</v>
          </cell>
          <cell r="G1541" t="str">
            <v>7</v>
          </cell>
          <cell r="H1541">
            <v>0</v>
          </cell>
        </row>
        <row r="1542">
          <cell r="B1542">
            <v>10780</v>
          </cell>
          <cell r="C1542" t="str">
            <v>Williams Jr.; Rich W.</v>
          </cell>
          <cell r="D1542" t="str">
            <v>1C</v>
          </cell>
          <cell r="E1542" t="str">
            <v>IBEWOUT</v>
          </cell>
          <cell r="F1542" t="str">
            <v>125</v>
          </cell>
          <cell r="G1542" t="str">
            <v>1</v>
          </cell>
          <cell r="H1542">
            <v>1</v>
          </cell>
        </row>
        <row r="1543">
          <cell r="B1543">
            <v>10784</v>
          </cell>
          <cell r="C1543" t="str">
            <v>Wimberly; Bryan E</v>
          </cell>
          <cell r="D1543" t="str">
            <v>1C</v>
          </cell>
          <cell r="E1543" t="str">
            <v>IBEWOUT</v>
          </cell>
          <cell r="F1543" t="str">
            <v>47</v>
          </cell>
          <cell r="G1543" t="str">
            <v>17</v>
          </cell>
          <cell r="H1543">
            <v>0</v>
          </cell>
        </row>
        <row r="1544">
          <cell r="B1544">
            <v>10787</v>
          </cell>
          <cell r="C1544" t="str">
            <v>Winkler; Jessie E.</v>
          </cell>
          <cell r="D1544" t="str">
            <v>1C</v>
          </cell>
          <cell r="E1544" t="str">
            <v>IBEWOUT</v>
          </cell>
          <cell r="F1544" t="str">
            <v>1319</v>
          </cell>
          <cell r="G1544" t="str">
            <v>8</v>
          </cell>
          <cell r="H1544">
            <v>0</v>
          </cell>
        </row>
        <row r="1545">
          <cell r="B1545">
            <v>10789</v>
          </cell>
          <cell r="C1545" t="str">
            <v>Woods; Kyle E.</v>
          </cell>
          <cell r="D1545" t="str">
            <v>1C</v>
          </cell>
          <cell r="E1545" t="str">
            <v>IBEWOUT</v>
          </cell>
          <cell r="F1545" t="str">
            <v>1245</v>
          </cell>
          <cell r="G1545" t="str">
            <v>8</v>
          </cell>
          <cell r="H1545">
            <v>0</v>
          </cell>
        </row>
        <row r="1546">
          <cell r="B1546">
            <v>10792</v>
          </cell>
          <cell r="C1546" t="str">
            <v>Wilson; Hayward L</v>
          </cell>
          <cell r="D1546" t="str">
            <v>1</v>
          </cell>
          <cell r="E1546" t="str">
            <v/>
          </cell>
          <cell r="F1546" t="str">
            <v/>
          </cell>
          <cell r="G1546" t="str">
            <v/>
          </cell>
          <cell r="H1546">
            <v>0</v>
          </cell>
        </row>
        <row r="1547">
          <cell r="B1547">
            <v>10795</v>
          </cell>
          <cell r="C1547" t="str">
            <v>Wilmarth; Lewis Day</v>
          </cell>
          <cell r="D1547" t="str">
            <v>1C</v>
          </cell>
          <cell r="E1547" t="str">
            <v>IBEWOUT</v>
          </cell>
          <cell r="F1547" t="str">
            <v>47</v>
          </cell>
          <cell r="G1547" t="str">
            <v>16</v>
          </cell>
          <cell r="H1547">
            <v>0</v>
          </cell>
        </row>
        <row r="1548">
          <cell r="B1548">
            <v>10797</v>
          </cell>
          <cell r="C1548" t="str">
            <v>Wilson; Glenn M</v>
          </cell>
          <cell r="D1548" t="str">
            <v>1</v>
          </cell>
          <cell r="E1548" t="str">
            <v>IBEWOUT</v>
          </cell>
          <cell r="F1548" t="str">
            <v>47</v>
          </cell>
          <cell r="G1548" t="str">
            <v>16</v>
          </cell>
          <cell r="H1548">
            <v>0</v>
          </cell>
        </row>
        <row r="1549">
          <cell r="B1549">
            <v>10798</v>
          </cell>
          <cell r="C1549" t="str">
            <v>Winslow; Andy J</v>
          </cell>
          <cell r="D1549" t="str">
            <v>1C</v>
          </cell>
          <cell r="E1549" t="str">
            <v/>
          </cell>
          <cell r="F1549" t="str">
            <v/>
          </cell>
          <cell r="G1549" t="str">
            <v/>
          </cell>
          <cell r="H1549">
            <v>1</v>
          </cell>
        </row>
        <row r="1550">
          <cell r="B1550">
            <v>10799</v>
          </cell>
          <cell r="C1550" t="str">
            <v>Wilson; John D.</v>
          </cell>
          <cell r="D1550" t="str">
            <v>1C</v>
          </cell>
          <cell r="E1550" t="str">
            <v>IBEWOUT</v>
          </cell>
          <cell r="F1550" t="str">
            <v>47</v>
          </cell>
          <cell r="G1550" t="str">
            <v>7</v>
          </cell>
          <cell r="H1550">
            <v>0</v>
          </cell>
        </row>
        <row r="1551">
          <cell r="B1551">
            <v>10800</v>
          </cell>
          <cell r="C1551" t="str">
            <v>Wiseley II; Carl W.</v>
          </cell>
          <cell r="D1551" t="str">
            <v>1C</v>
          </cell>
          <cell r="E1551" t="str">
            <v>IBEWOUT</v>
          </cell>
          <cell r="F1551" t="str">
            <v>1245</v>
          </cell>
          <cell r="G1551" t="str">
            <v>8</v>
          </cell>
          <cell r="H1551">
            <v>0</v>
          </cell>
        </row>
        <row r="1552">
          <cell r="B1552">
            <v>10803</v>
          </cell>
          <cell r="C1552" t="str">
            <v>Wimer; Christopher R</v>
          </cell>
          <cell r="D1552" t="str">
            <v>1C</v>
          </cell>
          <cell r="E1552" t="str">
            <v>IBEWOUT</v>
          </cell>
          <cell r="F1552" t="str">
            <v>1245</v>
          </cell>
          <cell r="G1552" t="str">
            <v>11</v>
          </cell>
          <cell r="H1552">
            <v>0</v>
          </cell>
        </row>
        <row r="1553">
          <cell r="B1553">
            <v>10806</v>
          </cell>
          <cell r="C1553" t="str">
            <v>Wing; Chad E</v>
          </cell>
          <cell r="D1553" t="str">
            <v>1C</v>
          </cell>
          <cell r="E1553" t="str">
            <v>IBEWOUT</v>
          </cell>
          <cell r="F1553" t="str">
            <v>1245</v>
          </cell>
          <cell r="G1553" t="str">
            <v>12</v>
          </cell>
          <cell r="H1553">
            <v>0</v>
          </cell>
        </row>
        <row r="1554">
          <cell r="B1554">
            <v>10808</v>
          </cell>
          <cell r="C1554" t="str">
            <v>Wobbema; Austin R</v>
          </cell>
          <cell r="D1554" t="str">
            <v>1</v>
          </cell>
          <cell r="E1554" t="str">
            <v>IBEWOUT</v>
          </cell>
          <cell r="F1554" t="str">
            <v>47</v>
          </cell>
          <cell r="G1554" t="str">
            <v>7</v>
          </cell>
          <cell r="H1554">
            <v>0</v>
          </cell>
        </row>
        <row r="1555">
          <cell r="B1555">
            <v>10811</v>
          </cell>
          <cell r="C1555" t="str">
            <v>Wolford; Cabot L.</v>
          </cell>
          <cell r="D1555" t="str">
            <v>1</v>
          </cell>
          <cell r="E1555" t="str">
            <v/>
          </cell>
          <cell r="F1555" t="str">
            <v/>
          </cell>
          <cell r="G1555" t="str">
            <v/>
          </cell>
          <cell r="H1555">
            <v>1</v>
          </cell>
        </row>
        <row r="1556">
          <cell r="B1556">
            <v>10821</v>
          </cell>
          <cell r="C1556" t="str">
            <v>Wilson; Robby A</v>
          </cell>
          <cell r="D1556" t="str">
            <v>1</v>
          </cell>
          <cell r="E1556" t="str">
            <v>IBEWOUT</v>
          </cell>
          <cell r="F1556" t="str">
            <v>47</v>
          </cell>
          <cell r="G1556" t="str">
            <v>7</v>
          </cell>
          <cell r="H1556">
            <v>0</v>
          </cell>
        </row>
        <row r="1557">
          <cell r="B1557">
            <v>10823</v>
          </cell>
          <cell r="C1557" t="str">
            <v>Wylie; Jared D</v>
          </cell>
          <cell r="D1557" t="str">
            <v>1C</v>
          </cell>
          <cell r="E1557" t="str">
            <v>IBEWOUT</v>
          </cell>
          <cell r="F1557" t="str">
            <v>1245</v>
          </cell>
          <cell r="G1557" t="str">
            <v>13</v>
          </cell>
          <cell r="H1557">
            <v>0</v>
          </cell>
        </row>
        <row r="1558">
          <cell r="B1558">
            <v>10831</v>
          </cell>
          <cell r="C1558" t="str">
            <v>Wofford; Joseph W</v>
          </cell>
          <cell r="D1558" t="str">
            <v>1C</v>
          </cell>
          <cell r="E1558" t="str">
            <v>IBEWOUT</v>
          </cell>
          <cell r="F1558" t="str">
            <v>47</v>
          </cell>
          <cell r="G1558" t="str">
            <v>16</v>
          </cell>
          <cell r="H1558">
            <v>0</v>
          </cell>
        </row>
        <row r="1559">
          <cell r="B1559">
            <v>10832</v>
          </cell>
          <cell r="C1559" t="str">
            <v>Wolski; Andrew J</v>
          </cell>
          <cell r="D1559" t="str">
            <v>1</v>
          </cell>
          <cell r="E1559" t="str">
            <v/>
          </cell>
          <cell r="F1559" t="str">
            <v/>
          </cell>
          <cell r="G1559" t="str">
            <v/>
          </cell>
          <cell r="H1559">
            <v>1</v>
          </cell>
        </row>
        <row r="1560">
          <cell r="B1560">
            <v>10836</v>
          </cell>
          <cell r="C1560" t="str">
            <v>Woitt; Tom D.</v>
          </cell>
          <cell r="D1560" t="str">
            <v>1C</v>
          </cell>
          <cell r="E1560" t="str">
            <v/>
          </cell>
          <cell r="F1560" t="str">
            <v/>
          </cell>
          <cell r="G1560" t="str">
            <v/>
          </cell>
          <cell r="H1560">
            <v>1</v>
          </cell>
        </row>
        <row r="1561">
          <cell r="B1561">
            <v>10837</v>
          </cell>
          <cell r="C1561" t="str">
            <v>Wolsten; Todd M.</v>
          </cell>
          <cell r="D1561" t="str">
            <v>1C</v>
          </cell>
          <cell r="E1561" t="str">
            <v>IBEWOUT</v>
          </cell>
          <cell r="F1561" t="str">
            <v>1245</v>
          </cell>
          <cell r="G1561" t="str">
            <v>17</v>
          </cell>
          <cell r="H1561">
            <v>0</v>
          </cell>
        </row>
        <row r="1562">
          <cell r="B1562">
            <v>10839</v>
          </cell>
          <cell r="C1562" t="str">
            <v>Woodard; Christopher K</v>
          </cell>
          <cell r="D1562" t="str">
            <v>1C</v>
          </cell>
          <cell r="E1562" t="str">
            <v>IBEWOUT</v>
          </cell>
          <cell r="F1562" t="str">
            <v>47</v>
          </cell>
          <cell r="G1562" t="str">
            <v>8</v>
          </cell>
          <cell r="H1562">
            <v>0</v>
          </cell>
        </row>
        <row r="1563">
          <cell r="B1563">
            <v>10841</v>
          </cell>
          <cell r="C1563" t="str">
            <v>Wittner; Adam K</v>
          </cell>
          <cell r="D1563" t="str">
            <v>1C</v>
          </cell>
          <cell r="E1563" t="str">
            <v>IBEWOUT</v>
          </cell>
          <cell r="F1563" t="str">
            <v>77</v>
          </cell>
          <cell r="G1563" t="str">
            <v>8</v>
          </cell>
          <cell r="H1563">
            <v>0</v>
          </cell>
        </row>
        <row r="1564">
          <cell r="B1564">
            <v>10869</v>
          </cell>
          <cell r="C1564" t="str">
            <v>Wilson; Jeffrey M.</v>
          </cell>
          <cell r="D1564" t="str">
            <v>1C</v>
          </cell>
          <cell r="E1564" t="str">
            <v>IBEWOUT</v>
          </cell>
          <cell r="F1564" t="str">
            <v>1245</v>
          </cell>
          <cell r="G1564" t="str">
            <v>8</v>
          </cell>
          <cell r="H1564">
            <v>0</v>
          </cell>
        </row>
        <row r="1565">
          <cell r="B1565">
            <v>10879</v>
          </cell>
          <cell r="C1565" t="str">
            <v>Wilson; Brenton J</v>
          </cell>
          <cell r="D1565" t="str">
            <v>1C</v>
          </cell>
          <cell r="E1565" t="str">
            <v>IBEWOUT</v>
          </cell>
          <cell r="F1565" t="str">
            <v>47</v>
          </cell>
          <cell r="G1565" t="str">
            <v>11</v>
          </cell>
          <cell r="H1565">
            <v>0</v>
          </cell>
        </row>
        <row r="1566">
          <cell r="B1566">
            <v>10884</v>
          </cell>
          <cell r="C1566" t="str">
            <v>Woll; Mark Anthone</v>
          </cell>
          <cell r="D1566" t="str">
            <v>1</v>
          </cell>
          <cell r="E1566" t="str">
            <v>IBEWOUT</v>
          </cell>
          <cell r="F1566" t="str">
            <v>125</v>
          </cell>
          <cell r="G1566" t="str">
            <v>16</v>
          </cell>
          <cell r="H1566">
            <v>0</v>
          </cell>
        </row>
        <row r="1567">
          <cell r="B1567">
            <v>10886</v>
          </cell>
          <cell r="C1567" t="str">
            <v>Vinyard; Max D</v>
          </cell>
          <cell r="D1567" t="str">
            <v>1</v>
          </cell>
          <cell r="E1567" t="str">
            <v>IBEWOUT</v>
          </cell>
          <cell r="F1567" t="str">
            <v>1245</v>
          </cell>
          <cell r="G1567" t="str">
            <v>7</v>
          </cell>
          <cell r="H1567">
            <v>0</v>
          </cell>
        </row>
        <row r="1568">
          <cell r="B1568">
            <v>10889</v>
          </cell>
          <cell r="C1568" t="str">
            <v>Yetka; Brian V.</v>
          </cell>
          <cell r="D1568" t="str">
            <v>1C</v>
          </cell>
          <cell r="E1568" t="str">
            <v>IBEWOUT</v>
          </cell>
          <cell r="F1568" t="str">
            <v>47</v>
          </cell>
          <cell r="G1568" t="str">
            <v>8</v>
          </cell>
          <cell r="H1568">
            <v>0</v>
          </cell>
        </row>
        <row r="1569">
          <cell r="B1569">
            <v>10891</v>
          </cell>
          <cell r="C1569" t="str">
            <v>Yadon; Nicholas J.</v>
          </cell>
          <cell r="D1569" t="str">
            <v>1C</v>
          </cell>
          <cell r="E1569" t="str">
            <v>IBEWOUT</v>
          </cell>
          <cell r="F1569" t="str">
            <v>769</v>
          </cell>
          <cell r="G1569" t="str">
            <v>8</v>
          </cell>
          <cell r="H1569">
            <v>0</v>
          </cell>
        </row>
        <row r="1570">
          <cell r="B1570">
            <v>10893</v>
          </cell>
          <cell r="C1570" t="str">
            <v>Yazzie; Dehn D</v>
          </cell>
          <cell r="D1570" t="str">
            <v>1C</v>
          </cell>
          <cell r="E1570" t="str">
            <v>IBEWOUT</v>
          </cell>
          <cell r="F1570" t="str">
            <v>769</v>
          </cell>
          <cell r="G1570" t="str">
            <v>8</v>
          </cell>
          <cell r="H1570">
            <v>0</v>
          </cell>
        </row>
        <row r="1571">
          <cell r="B1571">
            <v>10894</v>
          </cell>
          <cell r="C1571" t="str">
            <v>Yazzie; Merlon K.</v>
          </cell>
          <cell r="D1571" t="str">
            <v>1C</v>
          </cell>
          <cell r="E1571" t="str">
            <v>IBEWOUT</v>
          </cell>
          <cell r="F1571" t="str">
            <v>769</v>
          </cell>
          <cell r="G1571" t="str">
            <v>8</v>
          </cell>
          <cell r="H1571">
            <v>0</v>
          </cell>
        </row>
        <row r="1572">
          <cell r="B1572">
            <v>10899</v>
          </cell>
          <cell r="C1572" t="str">
            <v>Yochum; Kevin R</v>
          </cell>
          <cell r="D1572" t="str">
            <v>1C</v>
          </cell>
          <cell r="E1572" t="str">
            <v>IBEWOUT</v>
          </cell>
          <cell r="F1572" t="str">
            <v>602R</v>
          </cell>
          <cell r="G1572" t="str">
            <v>8</v>
          </cell>
          <cell r="H1572">
            <v>0</v>
          </cell>
        </row>
        <row r="1573">
          <cell r="B1573">
            <v>10902</v>
          </cell>
          <cell r="C1573" t="str">
            <v>Young; Greg N</v>
          </cell>
          <cell r="D1573" t="str">
            <v>1C</v>
          </cell>
          <cell r="E1573" t="str">
            <v>IBEWOUT</v>
          </cell>
          <cell r="F1573" t="str">
            <v>1245</v>
          </cell>
          <cell r="G1573" t="str">
            <v>8</v>
          </cell>
          <cell r="H1573">
            <v>0</v>
          </cell>
        </row>
        <row r="1574">
          <cell r="B1574">
            <v>10905</v>
          </cell>
          <cell r="C1574" t="str">
            <v>Zamora; Rod R.</v>
          </cell>
          <cell r="D1574" t="str">
            <v>1C</v>
          </cell>
          <cell r="E1574" t="str">
            <v>IBEWOUT</v>
          </cell>
          <cell r="F1574" t="str">
            <v>47</v>
          </cell>
          <cell r="G1574" t="str">
            <v>17</v>
          </cell>
          <cell r="H1574">
            <v>0</v>
          </cell>
        </row>
        <row r="1575">
          <cell r="B1575">
            <v>10907</v>
          </cell>
          <cell r="C1575" t="str">
            <v>Zamora; Catarino R</v>
          </cell>
          <cell r="D1575" t="str">
            <v>1C</v>
          </cell>
          <cell r="E1575" t="str">
            <v>IBEWOUT</v>
          </cell>
          <cell r="F1575" t="str">
            <v>47</v>
          </cell>
          <cell r="G1575" t="str">
            <v>16</v>
          </cell>
          <cell r="H1575">
            <v>0</v>
          </cell>
        </row>
        <row r="1576">
          <cell r="B1576">
            <v>10909</v>
          </cell>
          <cell r="C1576" t="str">
            <v>Zamudio U; Raymundo</v>
          </cell>
          <cell r="D1576" t="str">
            <v>1C</v>
          </cell>
          <cell r="E1576" t="str">
            <v>IBEWOUT</v>
          </cell>
          <cell r="F1576" t="str">
            <v>1245</v>
          </cell>
          <cell r="G1576" t="str">
            <v>70T</v>
          </cell>
          <cell r="H1576">
            <v>0</v>
          </cell>
        </row>
        <row r="1577">
          <cell r="B1577">
            <v>10910</v>
          </cell>
          <cell r="C1577" t="str">
            <v>Zinkl; Matthew H</v>
          </cell>
          <cell r="D1577" t="str">
            <v>1C</v>
          </cell>
          <cell r="E1577" t="str">
            <v>IBEWOUT</v>
          </cell>
          <cell r="F1577" t="str">
            <v>47</v>
          </cell>
          <cell r="G1577" t="str">
            <v>13</v>
          </cell>
          <cell r="H1577">
            <v>0</v>
          </cell>
        </row>
        <row r="1578">
          <cell r="B1578">
            <v>10912</v>
          </cell>
          <cell r="C1578" t="str">
            <v>Yanez; Fernando V</v>
          </cell>
          <cell r="D1578" t="str">
            <v>1C</v>
          </cell>
          <cell r="E1578" t="str">
            <v>IBEWOUT</v>
          </cell>
          <cell r="F1578" t="str">
            <v>47</v>
          </cell>
          <cell r="G1578" t="str">
            <v>16</v>
          </cell>
          <cell r="H1578">
            <v>0</v>
          </cell>
        </row>
        <row r="1579">
          <cell r="B1579">
            <v>10923</v>
          </cell>
          <cell r="C1579" t="str">
            <v>Zeulner; Zachariah Robert</v>
          </cell>
          <cell r="D1579" t="str">
            <v>1</v>
          </cell>
          <cell r="E1579" t="str">
            <v>IBEWOUT</v>
          </cell>
          <cell r="F1579" t="str">
            <v>1245</v>
          </cell>
          <cell r="G1579" t="str">
            <v>1</v>
          </cell>
          <cell r="H1579">
            <v>1</v>
          </cell>
        </row>
        <row r="1580">
          <cell r="B1580">
            <v>10924</v>
          </cell>
          <cell r="C1580" t="str">
            <v>Zeveney; Patrick J</v>
          </cell>
          <cell r="D1580" t="str">
            <v>1C</v>
          </cell>
          <cell r="E1580" t="str">
            <v>IBEWOUT</v>
          </cell>
          <cell r="F1580" t="str">
            <v>1319</v>
          </cell>
          <cell r="G1580" t="str">
            <v>8</v>
          </cell>
          <cell r="H1580">
            <v>0</v>
          </cell>
        </row>
        <row r="1581">
          <cell r="B1581">
            <v>10926</v>
          </cell>
          <cell r="C1581" t="str">
            <v>Zacher; Theodore R.</v>
          </cell>
          <cell r="D1581" t="str">
            <v>1C</v>
          </cell>
          <cell r="E1581" t="str">
            <v/>
          </cell>
          <cell r="F1581" t="str">
            <v/>
          </cell>
          <cell r="G1581" t="str">
            <v/>
          </cell>
          <cell r="H1581">
            <v>1</v>
          </cell>
        </row>
        <row r="1582">
          <cell r="B1582">
            <v>10929</v>
          </cell>
          <cell r="C1582" t="str">
            <v>Nieves Zarate; Jose</v>
          </cell>
          <cell r="D1582" t="str">
            <v>1C</v>
          </cell>
          <cell r="E1582" t="str">
            <v>IBEWOUT</v>
          </cell>
          <cell r="F1582" t="str">
            <v>47</v>
          </cell>
          <cell r="G1582" t="str">
            <v>8</v>
          </cell>
          <cell r="H1582">
            <v>0</v>
          </cell>
        </row>
        <row r="1583">
          <cell r="B1583">
            <v>10930</v>
          </cell>
          <cell r="C1583" t="str">
            <v>Young; Micah J.</v>
          </cell>
          <cell r="D1583" t="str">
            <v>1C</v>
          </cell>
          <cell r="E1583" t="str">
            <v>IBEWOUT</v>
          </cell>
          <cell r="F1583" t="str">
            <v>1245</v>
          </cell>
          <cell r="G1583" t="str">
            <v>8</v>
          </cell>
          <cell r="H1583">
            <v>0</v>
          </cell>
        </row>
        <row r="1584">
          <cell r="B1584">
            <v>10931</v>
          </cell>
          <cell r="C1584" t="str">
            <v>Zul; Daniel</v>
          </cell>
          <cell r="D1584" t="str">
            <v>1C</v>
          </cell>
          <cell r="E1584" t="str">
            <v>IBEWOUT</v>
          </cell>
          <cell r="F1584" t="str">
            <v>1245</v>
          </cell>
          <cell r="G1584" t="str">
            <v>17</v>
          </cell>
          <cell r="H1584">
            <v>0</v>
          </cell>
        </row>
        <row r="1585">
          <cell r="B1585">
            <v>10932</v>
          </cell>
          <cell r="C1585" t="str">
            <v>Youngblood; Mark O</v>
          </cell>
          <cell r="D1585" t="str">
            <v>1C</v>
          </cell>
          <cell r="E1585" t="str">
            <v>IBEWOUT</v>
          </cell>
          <cell r="F1585" t="str">
            <v>602R</v>
          </cell>
          <cell r="G1585" t="str">
            <v>8</v>
          </cell>
          <cell r="H1585">
            <v>0</v>
          </cell>
        </row>
        <row r="1586">
          <cell r="B1586">
            <v>10933</v>
          </cell>
          <cell r="C1586" t="str">
            <v>Yunkin; Russell</v>
          </cell>
          <cell r="D1586" t="str">
            <v>1C</v>
          </cell>
          <cell r="E1586" t="str">
            <v>IBEWOUT</v>
          </cell>
          <cell r="F1586" t="str">
            <v>126</v>
          </cell>
          <cell r="G1586" t="str">
            <v>8</v>
          </cell>
          <cell r="H1586">
            <v>0</v>
          </cell>
        </row>
        <row r="1587">
          <cell r="B1587">
            <v>10934</v>
          </cell>
          <cell r="C1587" t="str">
            <v>Zeigler; Logan R</v>
          </cell>
          <cell r="D1587" t="str">
            <v>1C</v>
          </cell>
          <cell r="E1587" t="str">
            <v>IBEWOUT</v>
          </cell>
          <cell r="F1587" t="str">
            <v>611</v>
          </cell>
          <cell r="G1587" t="str">
            <v>12</v>
          </cell>
          <cell r="H1587">
            <v>0</v>
          </cell>
        </row>
      </sheetData>
      <sheetData sheetId="3">
        <row r="5">
          <cell r="A5" t="str">
            <v xml:space="preserve">Hours </v>
          </cell>
          <cell r="B5" t="str">
            <v>8ST, then everything else DT</v>
          </cell>
        </row>
        <row r="6">
          <cell r="A6" t="str">
            <v>PD</v>
          </cell>
          <cell r="B6" t="str">
            <v>$50/day (must work 4 hours or until noon, whichever is later)</v>
          </cell>
        </row>
        <row r="7">
          <cell r="A7" t="str">
            <v>Meal</v>
          </cell>
          <cell r="B7" t="str">
            <v>$15 after 10.5 hours (then after every 4.5 hours)</v>
          </cell>
        </row>
        <row r="8">
          <cell r="A8" t="str">
            <v>In Lieu</v>
          </cell>
          <cell r="B8" t="str">
            <v>0.5DT after 10.5 hours (then after every 4.5 hours)</v>
          </cell>
        </row>
        <row r="9">
          <cell r="A9" t="str">
            <v>Job Details</v>
          </cell>
        </row>
        <row r="10">
          <cell r="A10" t="str">
            <v>Extra</v>
          </cell>
          <cell r="B10" t="str">
            <v>Phase</v>
          </cell>
          <cell r="C10" t="str">
            <v>Phase Description</v>
          </cell>
          <cell r="D10" t="str">
            <v>Category</v>
          </cell>
          <cell r="E10" t="str">
            <v>Description</v>
          </cell>
        </row>
        <row r="11">
          <cell r="A11" t="str">
            <v/>
          </cell>
          <cell r="B11" t="str">
            <v>1-001</v>
          </cell>
          <cell r="C11" t="str">
            <v>Project Superintendent (Hrs)</v>
          </cell>
          <cell r="D11" t="str">
            <v>DT</v>
          </cell>
          <cell r="E11" t="str">
            <v>Double Time - Jobs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ed Codes"/>
      <sheetName val="Job Details"/>
      <sheetName val="Employees"/>
      <sheetName val="Job List"/>
      <sheetName val="Master Tab "/>
      <sheetName val="Master Training"/>
      <sheetName val="Hernandez, Alex"/>
      <sheetName val="Vinyard"/>
      <sheetName val="Lawson "/>
      <sheetName val="Westmoreland"/>
      <sheetName val="Stafford"/>
      <sheetName val="Silveira "/>
      <sheetName val="Silva"/>
      <sheetName val="Demond"/>
      <sheetName val="Bell "/>
      <sheetName val="Bossow"/>
      <sheetName val="Arroyo "/>
      <sheetName val="Peterson"/>
      <sheetName val="Webb"/>
      <sheetName val="Pion"/>
      <sheetName val="Smoots"/>
      <sheetName val="Cervantez "/>
      <sheetName val="Smith "/>
      <sheetName val="A Peterson "/>
      <sheetName val="Smith, C "/>
      <sheetName val="Rodriguez "/>
      <sheetName val="Hendry"/>
      <sheetName val="Aasen"/>
      <sheetName val="Grobe "/>
      <sheetName val="Goforth "/>
      <sheetName val="Gillmore "/>
      <sheetName val="Peake "/>
      <sheetName val="Franks"/>
      <sheetName val="Smith, B "/>
      <sheetName val="Jusef "/>
      <sheetName val="Flores"/>
      <sheetName val="LeCaire "/>
      <sheetName val="Bush "/>
      <sheetName val="Wolfe"/>
      <sheetName val="Shaw "/>
      <sheetName val="Kranzusch "/>
      <sheetName val="Tice"/>
      <sheetName val="Green "/>
      <sheetName val="Everitt"/>
      <sheetName val="C Johnson"/>
      <sheetName val="Seabourn "/>
      <sheetName val="Brown "/>
      <sheetName val="Lloyd "/>
      <sheetName val="Schmidt "/>
      <sheetName val="Bullard"/>
      <sheetName val="LaJocies "/>
      <sheetName val="Brown"/>
      <sheetName val="Hill"/>
      <sheetName val="McGahan "/>
      <sheetName val="Apalategui"/>
      <sheetName val="Ros "/>
      <sheetName val="Stewart"/>
      <sheetName val="Dixon"/>
      <sheetName val="Perkins"/>
      <sheetName val="Bliudzuis"/>
      <sheetName val="Mallory"/>
      <sheetName val="Zwan "/>
      <sheetName val="Smoots TR"/>
      <sheetName val="Silveira TR"/>
      <sheetName val="ColumnLists"/>
    </sheetNames>
    <sheetDataSet>
      <sheetData sheetId="0"/>
      <sheetData sheetId="1">
        <row r="5">
          <cell r="A5" t="str">
            <v>5/8's Crew</v>
          </cell>
          <cell r="B5"/>
          <cell r="C5" t="str">
            <v>4/10's Crew</v>
          </cell>
          <cell r="D5"/>
          <cell r="E5" t="str">
            <v>Distribution Crews</v>
          </cell>
        </row>
        <row r="6">
          <cell r="A6" t="str">
            <v>8 ST</v>
          </cell>
          <cell r="B6" t="str">
            <v>10 ST</v>
          </cell>
          <cell r="C6" t="str">
            <v>5/8's Crew</v>
          </cell>
          <cell r="D6"/>
          <cell r="E6" t="str">
            <v>4/10's Crew</v>
          </cell>
        </row>
        <row r="7">
          <cell r="A7" t="str">
            <v>2 OT</v>
          </cell>
          <cell r="B7" t="str">
            <v>10+ DT</v>
          </cell>
          <cell r="C7" t="str">
            <v>8 ST</v>
          </cell>
          <cell r="D7" t="str">
            <v>10 ST</v>
          </cell>
          <cell r="E7" t="str">
            <v>Saturday</v>
          </cell>
        </row>
        <row r="8">
          <cell r="A8" t="str">
            <v>10+ DT</v>
          </cell>
          <cell r="B8"/>
          <cell r="C8" t="str">
            <v>8+ DT</v>
          </cell>
          <cell r="D8" t="str">
            <v>10+ DT</v>
          </cell>
          <cell r="E8" t="str">
            <v>All DT</v>
          </cell>
        </row>
        <row r="9">
          <cell r="A9" t="str">
            <v>Saturday</v>
          </cell>
          <cell r="B9"/>
          <cell r="C9" t="str">
            <v>Sunday</v>
          </cell>
          <cell r="D9"/>
          <cell r="E9" t="str">
            <v>Sunday</v>
          </cell>
        </row>
        <row r="10">
          <cell r="A10" t="str">
            <v>8 OT</v>
          </cell>
          <cell r="B10"/>
          <cell r="C10" t="str">
            <v>All DT</v>
          </cell>
          <cell r="D10"/>
          <cell r="E10" t="str">
            <v>All DT</v>
          </cell>
        </row>
        <row r="11">
          <cell r="A11" t="str">
            <v>8+DT</v>
          </cell>
          <cell r="B11"/>
          <cell r="C11"/>
          <cell r="D11"/>
          <cell r="E11"/>
        </row>
      </sheetData>
      <sheetData sheetId="2">
        <row r="1">
          <cell r="B1" t="str">
            <v>Employees</v>
          </cell>
          <cell r="C1"/>
          <cell r="D1"/>
          <cell r="E1"/>
          <cell r="F1"/>
          <cell r="G1"/>
          <cell r="H1"/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1036</v>
          </cell>
          <cell r="C4" t="str">
            <v>Aasen; Cody A</v>
          </cell>
          <cell r="D4" t="str">
            <v>1</v>
          </cell>
          <cell r="E4" t="str">
            <v>IBEWOUT</v>
          </cell>
          <cell r="F4" t="str">
            <v>1245</v>
          </cell>
          <cell r="G4" t="str">
            <v>8</v>
          </cell>
          <cell r="H4">
            <v>0</v>
          </cell>
        </row>
        <row r="5">
          <cell r="B5">
            <v>1038</v>
          </cell>
          <cell r="C5" t="str">
            <v>Aguilar; Juan A.</v>
          </cell>
          <cell r="D5" t="str">
            <v>1</v>
          </cell>
          <cell r="E5" t="str">
            <v/>
          </cell>
          <cell r="F5" t="str">
            <v/>
          </cell>
          <cell r="G5" t="str">
            <v/>
          </cell>
          <cell r="H5">
            <v>0</v>
          </cell>
        </row>
        <row r="6">
          <cell r="B6">
            <v>1043</v>
          </cell>
          <cell r="C6" t="str">
            <v>Adema; Matthew</v>
          </cell>
          <cell r="D6" t="str">
            <v>1C</v>
          </cell>
          <cell r="E6" t="str">
            <v>IBEWOUT</v>
          </cell>
          <cell r="F6" t="str">
            <v>1245</v>
          </cell>
          <cell r="G6" t="str">
            <v>8</v>
          </cell>
          <cell r="H6">
            <v>0</v>
          </cell>
        </row>
        <row r="7">
          <cell r="B7">
            <v>1046</v>
          </cell>
          <cell r="C7" t="str">
            <v>Alcala Jr.; Juan Antonio</v>
          </cell>
          <cell r="D7" t="str">
            <v>1C</v>
          </cell>
          <cell r="E7" t="str">
            <v>IBEWOUT</v>
          </cell>
          <cell r="F7" t="str">
            <v>47</v>
          </cell>
          <cell r="G7" t="str">
            <v>7</v>
          </cell>
          <cell r="H7">
            <v>0</v>
          </cell>
        </row>
        <row r="8">
          <cell r="B8">
            <v>1055</v>
          </cell>
          <cell r="C8" t="str">
            <v>Adams; Timothy J</v>
          </cell>
          <cell r="D8" t="str">
            <v>1</v>
          </cell>
          <cell r="E8" t="str">
            <v>IBEWOUT</v>
          </cell>
          <cell r="F8" t="str">
            <v>125</v>
          </cell>
          <cell r="G8" t="str">
            <v>33</v>
          </cell>
          <cell r="H8">
            <v>0</v>
          </cell>
        </row>
        <row r="9">
          <cell r="B9">
            <v>1056</v>
          </cell>
          <cell r="C9" t="str">
            <v>Ewanchew; John F.</v>
          </cell>
          <cell r="D9" t="str">
            <v>1C</v>
          </cell>
          <cell r="E9" t="str">
            <v>IBEWOUT</v>
          </cell>
          <cell r="F9" t="str">
            <v>396</v>
          </cell>
          <cell r="G9" t="str">
            <v>8</v>
          </cell>
          <cell r="H9">
            <v>0</v>
          </cell>
        </row>
        <row r="10">
          <cell r="B10">
            <v>1058</v>
          </cell>
          <cell r="C10" t="str">
            <v>Adamson; Dakota L</v>
          </cell>
          <cell r="D10" t="str">
            <v>1</v>
          </cell>
          <cell r="E10" t="str">
            <v>IBEWOUT</v>
          </cell>
          <cell r="F10" t="str">
            <v>77</v>
          </cell>
          <cell r="G10" t="str">
            <v>8</v>
          </cell>
          <cell r="H10">
            <v>0</v>
          </cell>
        </row>
        <row r="11">
          <cell r="B11">
            <v>1059</v>
          </cell>
          <cell r="C11" t="str">
            <v>Aleman; Carlos A</v>
          </cell>
          <cell r="D11" t="str">
            <v>1C</v>
          </cell>
          <cell r="E11" t="str">
            <v>IBEWOUT</v>
          </cell>
          <cell r="F11" t="str">
            <v>1245</v>
          </cell>
          <cell r="G11" t="str">
            <v>11</v>
          </cell>
          <cell r="H11">
            <v>0</v>
          </cell>
        </row>
        <row r="12">
          <cell r="B12">
            <v>1061</v>
          </cell>
          <cell r="C12" t="str">
            <v>Alday; Caleb T.</v>
          </cell>
          <cell r="D12" t="str">
            <v>1C</v>
          </cell>
          <cell r="E12" t="str">
            <v>IBEWOUT</v>
          </cell>
          <cell r="F12" t="str">
            <v>1245</v>
          </cell>
          <cell r="G12" t="str">
            <v>8</v>
          </cell>
          <cell r="H12">
            <v>0</v>
          </cell>
        </row>
        <row r="13">
          <cell r="B13">
            <v>1064</v>
          </cell>
          <cell r="C13" t="str">
            <v>Aguilar; Matthias J</v>
          </cell>
          <cell r="D13" t="str">
            <v>1C</v>
          </cell>
          <cell r="E13" t="str">
            <v>IBEWOUT</v>
          </cell>
          <cell r="F13" t="str">
            <v>1245</v>
          </cell>
          <cell r="G13" t="str">
            <v>17</v>
          </cell>
          <cell r="H13">
            <v>0</v>
          </cell>
        </row>
        <row r="14">
          <cell r="B14">
            <v>1085</v>
          </cell>
          <cell r="C14" t="str">
            <v>Almendarez; Raymond K</v>
          </cell>
          <cell r="D14" t="str">
            <v>1C</v>
          </cell>
          <cell r="E14" t="str">
            <v>IBEWOUT</v>
          </cell>
          <cell r="F14" t="str">
            <v>1245</v>
          </cell>
          <cell r="G14" t="str">
            <v>8</v>
          </cell>
          <cell r="H14">
            <v>0</v>
          </cell>
        </row>
        <row r="15">
          <cell r="B15">
            <v>1095</v>
          </cell>
          <cell r="C15" t="str">
            <v>Alexander; James C</v>
          </cell>
          <cell r="D15" t="str">
            <v>1C</v>
          </cell>
          <cell r="E15" t="str">
            <v>IBEWOUT</v>
          </cell>
          <cell r="F15" t="str">
            <v>47</v>
          </cell>
          <cell r="G15" t="str">
            <v>8</v>
          </cell>
          <cell r="H15">
            <v>0</v>
          </cell>
        </row>
        <row r="16">
          <cell r="B16">
            <v>1103</v>
          </cell>
          <cell r="C16" t="str">
            <v>Allen; Corey L.</v>
          </cell>
          <cell r="D16" t="str">
            <v>1C</v>
          </cell>
          <cell r="E16" t="str">
            <v>IBEWOUT</v>
          </cell>
          <cell r="F16" t="str">
            <v>1245</v>
          </cell>
          <cell r="G16" t="str">
            <v>7</v>
          </cell>
          <cell r="H16">
            <v>0</v>
          </cell>
        </row>
        <row r="17">
          <cell r="B17">
            <v>1104</v>
          </cell>
          <cell r="C17" t="str">
            <v>Amburgey; James R</v>
          </cell>
          <cell r="D17" t="str">
            <v>1C</v>
          </cell>
          <cell r="E17" t="str">
            <v>IBEWOUT</v>
          </cell>
          <cell r="F17" t="str">
            <v>769</v>
          </cell>
          <cell r="G17" t="str">
            <v>8</v>
          </cell>
          <cell r="H17">
            <v>0</v>
          </cell>
        </row>
        <row r="18">
          <cell r="B18">
            <v>1105</v>
          </cell>
          <cell r="C18" t="str">
            <v>Amador; Luis D</v>
          </cell>
          <cell r="D18" t="str">
            <v>1</v>
          </cell>
          <cell r="E18" t="str">
            <v/>
          </cell>
          <cell r="F18" t="str">
            <v/>
          </cell>
          <cell r="G18" t="str">
            <v/>
          </cell>
          <cell r="H18">
            <v>0</v>
          </cell>
        </row>
        <row r="19">
          <cell r="B19">
            <v>1106</v>
          </cell>
          <cell r="C19" t="str">
            <v>Archibeque; Larry Michael</v>
          </cell>
          <cell r="D19" t="str">
            <v>1C</v>
          </cell>
          <cell r="E19" t="str">
            <v>IBEWOUT</v>
          </cell>
          <cell r="F19" t="str">
            <v>611</v>
          </cell>
          <cell r="G19" t="str">
            <v>16</v>
          </cell>
          <cell r="H19">
            <v>0</v>
          </cell>
        </row>
        <row r="20">
          <cell r="B20">
            <v>1108</v>
          </cell>
          <cell r="C20" t="str">
            <v>Arehart; Joshua D.</v>
          </cell>
          <cell r="D20" t="str">
            <v>1C</v>
          </cell>
          <cell r="E20" t="str">
            <v>IBEWOUT</v>
          </cell>
          <cell r="F20" t="str">
            <v>125</v>
          </cell>
          <cell r="G20" t="str">
            <v>7</v>
          </cell>
          <cell r="H20">
            <v>0</v>
          </cell>
        </row>
        <row r="21">
          <cell r="B21">
            <v>1109</v>
          </cell>
          <cell r="C21" t="str">
            <v>Atayde; Manuel</v>
          </cell>
          <cell r="D21" t="str">
            <v>1C</v>
          </cell>
          <cell r="E21" t="str">
            <v>IBEWOUT</v>
          </cell>
          <cell r="F21" t="str">
            <v>769</v>
          </cell>
          <cell r="G21" t="str">
            <v>22</v>
          </cell>
          <cell r="H21">
            <v>0</v>
          </cell>
        </row>
        <row r="22">
          <cell r="B22">
            <v>1110</v>
          </cell>
          <cell r="C22" t="str">
            <v>Al-Raies; Sam</v>
          </cell>
          <cell r="D22" t="str">
            <v>1C</v>
          </cell>
          <cell r="E22" t="str">
            <v>IBEWOUT</v>
          </cell>
          <cell r="F22" t="str">
            <v>47</v>
          </cell>
          <cell r="G22" t="str">
            <v>60</v>
          </cell>
          <cell r="H22">
            <v>0</v>
          </cell>
        </row>
        <row r="23">
          <cell r="B23">
            <v>1111</v>
          </cell>
          <cell r="C23" t="str">
            <v>Atchison; Jason E.</v>
          </cell>
          <cell r="D23" t="str">
            <v>1C</v>
          </cell>
          <cell r="E23" t="str">
            <v>IBEWOUT</v>
          </cell>
          <cell r="F23" t="str">
            <v>769</v>
          </cell>
          <cell r="G23" t="str">
            <v>8</v>
          </cell>
          <cell r="H23">
            <v>0</v>
          </cell>
        </row>
        <row r="24">
          <cell r="B24">
            <v>1112</v>
          </cell>
          <cell r="C24" t="str">
            <v>Amato; Pietro</v>
          </cell>
          <cell r="D24" t="str">
            <v>1C</v>
          </cell>
          <cell r="E24" t="str">
            <v>IBEWOUT</v>
          </cell>
          <cell r="F24" t="str">
            <v>1049</v>
          </cell>
          <cell r="G24" t="str">
            <v>15</v>
          </cell>
          <cell r="H24">
            <v>0</v>
          </cell>
        </row>
        <row r="25">
          <cell r="B25">
            <v>1114</v>
          </cell>
          <cell r="C25" t="str">
            <v>Archuleta Jr.; Felix</v>
          </cell>
          <cell r="D25" t="str">
            <v>1C</v>
          </cell>
          <cell r="E25" t="str">
            <v>IBEWOUT</v>
          </cell>
          <cell r="F25" t="str">
            <v>611</v>
          </cell>
          <cell r="G25" t="str">
            <v>10</v>
          </cell>
          <cell r="H25">
            <v>0</v>
          </cell>
        </row>
        <row r="26">
          <cell r="B26">
            <v>1115</v>
          </cell>
          <cell r="C26" t="str">
            <v>Archuleta; Louis A.</v>
          </cell>
          <cell r="D26" t="str">
            <v>1C</v>
          </cell>
          <cell r="E26" t="str">
            <v>IBEWOUT</v>
          </cell>
          <cell r="F26" t="str">
            <v>1245</v>
          </cell>
          <cell r="G26" t="str">
            <v>17</v>
          </cell>
          <cell r="H26">
            <v>0</v>
          </cell>
        </row>
        <row r="27">
          <cell r="B27">
            <v>1118</v>
          </cell>
          <cell r="C27" t="str">
            <v>Arias; Albert G</v>
          </cell>
          <cell r="D27" t="str">
            <v>1</v>
          </cell>
          <cell r="E27" t="str">
            <v>IBEWOUT</v>
          </cell>
          <cell r="F27" t="str">
            <v>47</v>
          </cell>
          <cell r="G27" t="str">
            <v>12</v>
          </cell>
          <cell r="H27">
            <v>0</v>
          </cell>
        </row>
        <row r="28">
          <cell r="B28">
            <v>1119</v>
          </cell>
          <cell r="C28" t="str">
            <v>Amato; Joshua D</v>
          </cell>
          <cell r="D28" t="str">
            <v>1C</v>
          </cell>
          <cell r="E28" t="str">
            <v>IBEWOUT</v>
          </cell>
          <cell r="F28" t="str">
            <v>611</v>
          </cell>
          <cell r="G28" t="str">
            <v>14</v>
          </cell>
          <cell r="H28">
            <v>0</v>
          </cell>
        </row>
        <row r="29">
          <cell r="B29">
            <v>1130</v>
          </cell>
          <cell r="C29" t="str">
            <v>Allred; Shane M.</v>
          </cell>
          <cell r="D29" t="str">
            <v>1C</v>
          </cell>
          <cell r="E29" t="str">
            <v>IBEWOUT</v>
          </cell>
          <cell r="F29" t="str">
            <v>1245</v>
          </cell>
          <cell r="G29" t="str">
            <v>8</v>
          </cell>
          <cell r="H29">
            <v>0</v>
          </cell>
        </row>
        <row r="30">
          <cell r="B30">
            <v>1180</v>
          </cell>
          <cell r="C30" t="str">
            <v>Atayde; Dimas</v>
          </cell>
          <cell r="D30" t="str">
            <v>1C</v>
          </cell>
          <cell r="E30" t="str">
            <v>IBEWOUT</v>
          </cell>
          <cell r="F30" t="str">
            <v>769</v>
          </cell>
          <cell r="G30" t="str">
            <v>22</v>
          </cell>
          <cell r="H30">
            <v>0</v>
          </cell>
        </row>
        <row r="31">
          <cell r="B31">
            <v>1192</v>
          </cell>
          <cell r="C31" t="str">
            <v>Andersen; David Mitch</v>
          </cell>
          <cell r="D31" t="str">
            <v>1C</v>
          </cell>
          <cell r="E31" t="str">
            <v/>
          </cell>
          <cell r="F31" t="str">
            <v/>
          </cell>
          <cell r="G31" t="str">
            <v/>
          </cell>
          <cell r="H31">
            <v>0</v>
          </cell>
        </row>
        <row r="32">
          <cell r="B32">
            <v>1193</v>
          </cell>
          <cell r="C32" t="str">
            <v>Arredondo; Juan V</v>
          </cell>
          <cell r="D32" t="str">
            <v>1C</v>
          </cell>
          <cell r="E32" t="str">
            <v>IBEWOUT</v>
          </cell>
          <cell r="F32" t="str">
            <v>769</v>
          </cell>
          <cell r="G32" t="str">
            <v>8</v>
          </cell>
          <cell r="H32">
            <v>0</v>
          </cell>
        </row>
        <row r="33">
          <cell r="B33">
            <v>1194</v>
          </cell>
          <cell r="C33" t="str">
            <v>Arreola; George</v>
          </cell>
          <cell r="D33" t="str">
            <v>1C</v>
          </cell>
          <cell r="E33" t="str">
            <v>IBEWOUT</v>
          </cell>
          <cell r="F33" t="str">
            <v>47</v>
          </cell>
          <cell r="G33" t="str">
            <v>17</v>
          </cell>
          <cell r="H33">
            <v>0</v>
          </cell>
        </row>
        <row r="34">
          <cell r="B34">
            <v>1197</v>
          </cell>
          <cell r="C34" t="str">
            <v>Andrea; Josh M</v>
          </cell>
          <cell r="D34" t="str">
            <v>1C</v>
          </cell>
          <cell r="E34" t="str">
            <v>IBEWOUT</v>
          </cell>
          <cell r="F34" t="str">
            <v>77</v>
          </cell>
          <cell r="G34" t="str">
            <v>15</v>
          </cell>
          <cell r="H34">
            <v>0</v>
          </cell>
        </row>
        <row r="35">
          <cell r="B35">
            <v>1199</v>
          </cell>
          <cell r="C35" t="str">
            <v>Andress; Jesse B</v>
          </cell>
          <cell r="D35" t="str">
            <v>1C</v>
          </cell>
          <cell r="E35" t="str">
            <v>IBEWOUT</v>
          </cell>
          <cell r="F35" t="str">
            <v>77</v>
          </cell>
          <cell r="G35" t="str">
            <v>8</v>
          </cell>
          <cell r="H35">
            <v>0</v>
          </cell>
        </row>
        <row r="36">
          <cell r="B36">
            <v>1202</v>
          </cell>
          <cell r="C36" t="str">
            <v>Anderson; Chad M.</v>
          </cell>
          <cell r="D36" t="str">
            <v>1C</v>
          </cell>
          <cell r="E36" t="str">
            <v/>
          </cell>
          <cell r="F36" t="str">
            <v/>
          </cell>
          <cell r="G36" t="str">
            <v/>
          </cell>
          <cell r="H36">
            <v>1</v>
          </cell>
        </row>
        <row r="37">
          <cell r="B37">
            <v>1203</v>
          </cell>
          <cell r="C37" t="str">
            <v>Anderson; Clyde M.</v>
          </cell>
          <cell r="D37" t="str">
            <v>1C</v>
          </cell>
          <cell r="E37" t="str">
            <v/>
          </cell>
          <cell r="F37" t="str">
            <v/>
          </cell>
          <cell r="G37" t="str">
            <v/>
          </cell>
          <cell r="H37">
            <v>1</v>
          </cell>
        </row>
        <row r="38">
          <cell r="B38">
            <v>1206</v>
          </cell>
          <cell r="C38" t="str">
            <v>Arroyo; Jose M</v>
          </cell>
          <cell r="D38" t="str">
            <v>1</v>
          </cell>
          <cell r="E38" t="str">
            <v>IBEWOUT</v>
          </cell>
          <cell r="F38" t="str">
            <v>1245</v>
          </cell>
          <cell r="G38" t="str">
            <v>10</v>
          </cell>
          <cell r="H38">
            <v>0</v>
          </cell>
        </row>
        <row r="39">
          <cell r="B39">
            <v>1207</v>
          </cell>
          <cell r="C39" t="str">
            <v>Arrington; Austin M</v>
          </cell>
          <cell r="D39" t="str">
            <v>1</v>
          </cell>
          <cell r="E39" t="str">
            <v>IBEWOUT</v>
          </cell>
          <cell r="F39" t="str">
            <v>125</v>
          </cell>
          <cell r="G39" t="str">
            <v>13</v>
          </cell>
          <cell r="H39">
            <v>0</v>
          </cell>
        </row>
        <row r="40">
          <cell r="B40">
            <v>1209</v>
          </cell>
          <cell r="C40" t="str">
            <v>Andrade; Carlos</v>
          </cell>
          <cell r="D40" t="str">
            <v>1</v>
          </cell>
          <cell r="E40" t="str">
            <v>IBEWOUT</v>
          </cell>
          <cell r="F40" t="str">
            <v>47</v>
          </cell>
          <cell r="G40" t="str">
            <v>10</v>
          </cell>
          <cell r="H40">
            <v>0</v>
          </cell>
        </row>
        <row r="41">
          <cell r="B41">
            <v>1217</v>
          </cell>
          <cell r="C41" t="str">
            <v>Andrews; Cory R</v>
          </cell>
          <cell r="D41" t="str">
            <v>1C</v>
          </cell>
          <cell r="E41" t="str">
            <v>IBEWOUT</v>
          </cell>
          <cell r="F41" t="str">
            <v>125</v>
          </cell>
          <cell r="G41" t="str">
            <v>8</v>
          </cell>
          <cell r="H41">
            <v>0</v>
          </cell>
        </row>
        <row r="42">
          <cell r="B42">
            <v>1219</v>
          </cell>
          <cell r="C42" t="str">
            <v>Andrews; James H</v>
          </cell>
          <cell r="D42" t="str">
            <v>1C</v>
          </cell>
          <cell r="E42" t="str">
            <v>IBEWOUT</v>
          </cell>
          <cell r="F42" t="str">
            <v>1245</v>
          </cell>
          <cell r="G42" t="str">
            <v>8</v>
          </cell>
          <cell r="H42">
            <v>0</v>
          </cell>
        </row>
        <row r="43">
          <cell r="B43">
            <v>1221</v>
          </cell>
          <cell r="C43" t="str">
            <v>Arlt; Dalton M</v>
          </cell>
          <cell r="D43" t="str">
            <v>1C</v>
          </cell>
          <cell r="E43" t="str">
            <v>IBEWOUT</v>
          </cell>
          <cell r="F43" t="str">
            <v>769</v>
          </cell>
          <cell r="G43" t="str">
            <v>10</v>
          </cell>
          <cell r="H43">
            <v>0</v>
          </cell>
        </row>
        <row r="44">
          <cell r="B44">
            <v>1223</v>
          </cell>
          <cell r="C44" t="str">
            <v>Angulo; Jose L</v>
          </cell>
          <cell r="D44" t="str">
            <v>1C</v>
          </cell>
          <cell r="E44" t="str">
            <v>IBEWOUT</v>
          </cell>
          <cell r="F44" t="str">
            <v>47</v>
          </cell>
          <cell r="G44" t="str">
            <v>17</v>
          </cell>
          <cell r="H44">
            <v>0</v>
          </cell>
        </row>
        <row r="45">
          <cell r="B45">
            <v>1224</v>
          </cell>
          <cell r="C45" t="str">
            <v>Anonuevo; Jomar N</v>
          </cell>
          <cell r="D45" t="str">
            <v>1</v>
          </cell>
          <cell r="E45" t="str">
            <v>IBEWOUT</v>
          </cell>
          <cell r="F45" t="str">
            <v>77</v>
          </cell>
          <cell r="G45" t="str">
            <v>14</v>
          </cell>
          <cell r="H45">
            <v>0</v>
          </cell>
        </row>
        <row r="46">
          <cell r="B46">
            <v>1225</v>
          </cell>
          <cell r="C46" t="str">
            <v>Angelucci; Dylan R</v>
          </cell>
          <cell r="D46" t="str">
            <v>1C</v>
          </cell>
          <cell r="E46" t="str">
            <v>IBEWOUT</v>
          </cell>
          <cell r="F46" t="str">
            <v>611</v>
          </cell>
          <cell r="G46" t="str">
            <v>17</v>
          </cell>
          <cell r="H46">
            <v>0</v>
          </cell>
        </row>
        <row r="47">
          <cell r="B47">
            <v>1228</v>
          </cell>
          <cell r="C47" t="str">
            <v>Apalategui; Randall</v>
          </cell>
          <cell r="D47" t="str">
            <v>1</v>
          </cell>
          <cell r="E47" t="str">
            <v>IBEWOUT</v>
          </cell>
          <cell r="F47" t="str">
            <v>1245</v>
          </cell>
          <cell r="G47" t="str">
            <v>11</v>
          </cell>
          <cell r="H47">
            <v>0</v>
          </cell>
        </row>
        <row r="48">
          <cell r="B48">
            <v>1229</v>
          </cell>
          <cell r="C48" t="str">
            <v>Apana; Walter K</v>
          </cell>
          <cell r="D48" t="str">
            <v>1C</v>
          </cell>
          <cell r="E48" t="str">
            <v>IBEWOUT</v>
          </cell>
          <cell r="F48" t="str">
            <v>1186</v>
          </cell>
          <cell r="G48" t="str">
            <v>16</v>
          </cell>
          <cell r="H48">
            <v>0</v>
          </cell>
        </row>
        <row r="49">
          <cell r="B49">
            <v>1231</v>
          </cell>
          <cell r="C49" t="str">
            <v>Aparicio; Diego</v>
          </cell>
          <cell r="D49" t="str">
            <v>1C</v>
          </cell>
          <cell r="E49" t="str">
            <v>IBEWOUT</v>
          </cell>
          <cell r="F49" t="str">
            <v>1245</v>
          </cell>
          <cell r="G49" t="str">
            <v>14</v>
          </cell>
          <cell r="H49">
            <v>0</v>
          </cell>
        </row>
        <row r="50">
          <cell r="B50">
            <v>1232</v>
          </cell>
          <cell r="C50" t="str">
            <v>Apperson; Todd J</v>
          </cell>
          <cell r="D50" t="str">
            <v>1C</v>
          </cell>
          <cell r="E50" t="str">
            <v>IBEWIN</v>
          </cell>
          <cell r="F50" t="str">
            <v>280</v>
          </cell>
          <cell r="G50" t="str">
            <v>62</v>
          </cell>
          <cell r="H50">
            <v>0</v>
          </cell>
        </row>
        <row r="51">
          <cell r="B51">
            <v>1234</v>
          </cell>
          <cell r="C51" t="str">
            <v>Andrews; Riston B.</v>
          </cell>
          <cell r="D51" t="str">
            <v>1C</v>
          </cell>
          <cell r="E51" t="str">
            <v>IBEWOUT</v>
          </cell>
          <cell r="F51" t="str">
            <v>125</v>
          </cell>
          <cell r="G51" t="str">
            <v>17</v>
          </cell>
          <cell r="H51">
            <v>0</v>
          </cell>
        </row>
        <row r="52">
          <cell r="B52">
            <v>1236</v>
          </cell>
          <cell r="C52" t="str">
            <v>Anderson; James N</v>
          </cell>
          <cell r="D52" t="str">
            <v>1C</v>
          </cell>
          <cell r="E52" t="str">
            <v>IBEWOUT</v>
          </cell>
          <cell r="F52" t="str">
            <v>1245</v>
          </cell>
          <cell r="G52" t="str">
            <v>17</v>
          </cell>
          <cell r="H52">
            <v>0</v>
          </cell>
        </row>
        <row r="53">
          <cell r="B53">
            <v>1238</v>
          </cell>
          <cell r="C53" t="str">
            <v>Anderson; Trenton L.</v>
          </cell>
          <cell r="D53" t="str">
            <v>1C</v>
          </cell>
          <cell r="E53" t="str">
            <v>IBEWOUT</v>
          </cell>
          <cell r="F53" t="str">
            <v>47</v>
          </cell>
          <cell r="G53" t="str">
            <v>8</v>
          </cell>
          <cell r="H53">
            <v>0</v>
          </cell>
        </row>
        <row r="54">
          <cell r="B54">
            <v>1240</v>
          </cell>
          <cell r="C54" t="str">
            <v>Anderson; Max C</v>
          </cell>
          <cell r="D54" t="str">
            <v>1C</v>
          </cell>
          <cell r="E54" t="str">
            <v>IBEWOUT</v>
          </cell>
          <cell r="F54" t="str">
            <v>77</v>
          </cell>
          <cell r="G54" t="str">
            <v>8</v>
          </cell>
          <cell r="H54">
            <v>0</v>
          </cell>
        </row>
        <row r="55">
          <cell r="B55">
            <v>1241</v>
          </cell>
          <cell r="C55" t="str">
            <v>Anderson; Michael L.</v>
          </cell>
          <cell r="D55" t="str">
            <v>1C</v>
          </cell>
          <cell r="E55" t="str">
            <v>IBEWOUT</v>
          </cell>
          <cell r="F55" t="str">
            <v>1245</v>
          </cell>
          <cell r="G55" t="str">
            <v>10</v>
          </cell>
          <cell r="H55">
            <v>0</v>
          </cell>
        </row>
        <row r="56">
          <cell r="B56">
            <v>1242</v>
          </cell>
          <cell r="C56" t="str">
            <v>Andrew; Lucas D.</v>
          </cell>
          <cell r="D56" t="str">
            <v>1</v>
          </cell>
          <cell r="E56" t="str">
            <v>IBEWOUT</v>
          </cell>
          <cell r="F56" t="str">
            <v>77</v>
          </cell>
          <cell r="G56" t="str">
            <v>7</v>
          </cell>
          <cell r="H56">
            <v>0</v>
          </cell>
        </row>
        <row r="57">
          <cell r="B57">
            <v>1245</v>
          </cell>
          <cell r="C57" t="str">
            <v>Arnold; Dylan M</v>
          </cell>
          <cell r="D57" t="str">
            <v>1C</v>
          </cell>
          <cell r="E57" t="str">
            <v>IBEWOUT</v>
          </cell>
          <cell r="F57" t="str">
            <v>77</v>
          </cell>
          <cell r="G57" t="str">
            <v>8</v>
          </cell>
          <cell r="H57">
            <v>0</v>
          </cell>
        </row>
        <row r="58">
          <cell r="B58">
            <v>1247</v>
          </cell>
          <cell r="C58" t="str">
            <v>Arana; Daniel I</v>
          </cell>
          <cell r="D58" t="str">
            <v>1C</v>
          </cell>
          <cell r="E58" t="str">
            <v>IBEWOUT</v>
          </cell>
          <cell r="F58" t="str">
            <v>47</v>
          </cell>
          <cell r="G58" t="str">
            <v>13</v>
          </cell>
          <cell r="H58">
            <v>0</v>
          </cell>
        </row>
        <row r="59">
          <cell r="B59">
            <v>1255</v>
          </cell>
          <cell r="C59" t="str">
            <v>Ash IV; Leonard C</v>
          </cell>
          <cell r="D59" t="str">
            <v>1C</v>
          </cell>
          <cell r="E59" t="str">
            <v>IBEWOUT</v>
          </cell>
          <cell r="F59" t="str">
            <v>611</v>
          </cell>
          <cell r="G59" t="str">
            <v>8</v>
          </cell>
          <cell r="H59">
            <v>0</v>
          </cell>
        </row>
        <row r="60">
          <cell r="B60">
            <v>1256</v>
          </cell>
          <cell r="C60" t="str">
            <v>Atencio; Aaron B</v>
          </cell>
          <cell r="D60" t="str">
            <v>1</v>
          </cell>
          <cell r="E60" t="str">
            <v>IBEWOUT</v>
          </cell>
          <cell r="F60" t="str">
            <v>611</v>
          </cell>
          <cell r="G60" t="str">
            <v>9</v>
          </cell>
          <cell r="H60">
            <v>0</v>
          </cell>
        </row>
        <row r="61">
          <cell r="B61">
            <v>1260</v>
          </cell>
          <cell r="C61" t="str">
            <v>Austin; Berton R.</v>
          </cell>
          <cell r="D61" t="str">
            <v>1C</v>
          </cell>
          <cell r="E61" t="str">
            <v/>
          </cell>
          <cell r="F61" t="str">
            <v/>
          </cell>
          <cell r="G61" t="str">
            <v/>
          </cell>
          <cell r="H61">
            <v>1</v>
          </cell>
        </row>
        <row r="62">
          <cell r="B62">
            <v>1261</v>
          </cell>
          <cell r="C62" t="str">
            <v>Auzston; Russell E</v>
          </cell>
          <cell r="D62" t="str">
            <v>1C</v>
          </cell>
          <cell r="E62" t="str">
            <v>IBEWOUT</v>
          </cell>
          <cell r="F62" t="str">
            <v>47</v>
          </cell>
          <cell r="G62" t="str">
            <v>8</v>
          </cell>
          <cell r="H62">
            <v>0</v>
          </cell>
        </row>
        <row r="63">
          <cell r="B63">
            <v>1270</v>
          </cell>
          <cell r="C63" t="str">
            <v>Ayers; Christopher S</v>
          </cell>
          <cell r="D63" t="str">
            <v>1C</v>
          </cell>
          <cell r="E63" t="str">
            <v>IBEWOUT</v>
          </cell>
          <cell r="F63" t="str">
            <v>769</v>
          </cell>
          <cell r="G63" t="str">
            <v>15</v>
          </cell>
          <cell r="H63">
            <v>0</v>
          </cell>
        </row>
        <row r="64">
          <cell r="B64">
            <v>1274</v>
          </cell>
          <cell r="C64" t="str">
            <v>Averhart; Alexander M</v>
          </cell>
          <cell r="D64" t="str">
            <v>1</v>
          </cell>
          <cell r="E64" t="str">
            <v>IBEWOUT</v>
          </cell>
          <cell r="F64" t="str">
            <v>769</v>
          </cell>
          <cell r="G64" t="str">
            <v>15</v>
          </cell>
          <cell r="H64">
            <v>0</v>
          </cell>
        </row>
        <row r="65">
          <cell r="B65">
            <v>1275</v>
          </cell>
          <cell r="C65" t="str">
            <v>Avery; Bella</v>
          </cell>
          <cell r="D65" t="str">
            <v>1C</v>
          </cell>
          <cell r="E65" t="str">
            <v/>
          </cell>
          <cell r="F65" t="str">
            <v/>
          </cell>
          <cell r="G65" t="str">
            <v/>
          </cell>
          <cell r="H65">
            <v>0</v>
          </cell>
        </row>
        <row r="66">
          <cell r="B66">
            <v>1283</v>
          </cell>
          <cell r="C66" t="str">
            <v>Avelar Palacios; Moises</v>
          </cell>
          <cell r="D66" t="str">
            <v>1C</v>
          </cell>
          <cell r="E66" t="str">
            <v>IBEWOUT</v>
          </cell>
          <cell r="F66" t="str">
            <v>1245</v>
          </cell>
          <cell r="G66" t="str">
            <v>11</v>
          </cell>
          <cell r="H66">
            <v>0</v>
          </cell>
        </row>
        <row r="67">
          <cell r="B67">
            <v>1331</v>
          </cell>
          <cell r="C67" t="str">
            <v>Babb; Mitchell R.</v>
          </cell>
          <cell r="D67" t="str">
            <v>1C</v>
          </cell>
          <cell r="E67" t="str">
            <v>IBEWOUT</v>
          </cell>
          <cell r="F67" t="str">
            <v>1245</v>
          </cell>
          <cell r="G67" t="str">
            <v>8</v>
          </cell>
          <cell r="H67">
            <v>0</v>
          </cell>
        </row>
        <row r="68">
          <cell r="B68">
            <v>1335</v>
          </cell>
          <cell r="C68" t="str">
            <v>Badalamente; Joseph A</v>
          </cell>
          <cell r="D68" t="str">
            <v>1C</v>
          </cell>
          <cell r="E68" t="str">
            <v>IBEWOUT</v>
          </cell>
          <cell r="F68" t="str">
            <v>1049</v>
          </cell>
          <cell r="G68" t="str">
            <v>15</v>
          </cell>
          <cell r="H68">
            <v>0</v>
          </cell>
        </row>
        <row r="69">
          <cell r="B69">
            <v>1338</v>
          </cell>
          <cell r="C69" t="str">
            <v>Bair; Ronald</v>
          </cell>
          <cell r="D69" t="str">
            <v>1</v>
          </cell>
          <cell r="E69" t="str">
            <v/>
          </cell>
          <cell r="F69" t="str">
            <v/>
          </cell>
          <cell r="G69" t="str">
            <v/>
          </cell>
          <cell r="H69">
            <v>0</v>
          </cell>
        </row>
        <row r="70">
          <cell r="B70">
            <v>1353</v>
          </cell>
          <cell r="C70" t="str">
            <v>Bannister Jr; Kenneth W</v>
          </cell>
          <cell r="D70" t="str">
            <v>1C</v>
          </cell>
          <cell r="E70" t="str">
            <v>IBEWOUT</v>
          </cell>
          <cell r="F70" t="str">
            <v>1245</v>
          </cell>
          <cell r="G70" t="str">
            <v>8</v>
          </cell>
          <cell r="H70">
            <v>0</v>
          </cell>
        </row>
        <row r="71">
          <cell r="B71">
            <v>1358</v>
          </cell>
          <cell r="C71" t="str">
            <v>Baldovino; Ernest Dion</v>
          </cell>
          <cell r="D71" t="str">
            <v>1C</v>
          </cell>
          <cell r="E71" t="str">
            <v>IBEWOUT</v>
          </cell>
          <cell r="F71" t="str">
            <v>1049</v>
          </cell>
          <cell r="G71" t="str">
            <v>8</v>
          </cell>
          <cell r="H71">
            <v>0</v>
          </cell>
        </row>
        <row r="72">
          <cell r="B72">
            <v>1359</v>
          </cell>
          <cell r="C72" t="str">
            <v>Bailey; Gary D</v>
          </cell>
          <cell r="D72" t="str">
            <v>1C</v>
          </cell>
          <cell r="E72" t="str">
            <v>IBEWOUT</v>
          </cell>
          <cell r="F72" t="str">
            <v>602R</v>
          </cell>
          <cell r="G72" t="str">
            <v>15T</v>
          </cell>
          <cell r="H72">
            <v>0</v>
          </cell>
        </row>
        <row r="73">
          <cell r="B73">
            <v>1361</v>
          </cell>
          <cell r="C73" t="str">
            <v>Bailey; Michael J</v>
          </cell>
          <cell r="D73" t="str">
            <v>1C</v>
          </cell>
          <cell r="E73" t="str">
            <v>IBEWOUT</v>
          </cell>
          <cell r="F73" t="str">
            <v>483</v>
          </cell>
          <cell r="G73" t="str">
            <v>8</v>
          </cell>
          <cell r="H73">
            <v>0</v>
          </cell>
        </row>
        <row r="74">
          <cell r="B74">
            <v>1365</v>
          </cell>
          <cell r="C74" t="str">
            <v>Bagwell; Douglas W.</v>
          </cell>
          <cell r="D74" t="str">
            <v>1</v>
          </cell>
          <cell r="E74" t="str">
            <v>IBEWOUT</v>
          </cell>
          <cell r="F74" t="str">
            <v>611</v>
          </cell>
          <cell r="G74" t="str">
            <v>16</v>
          </cell>
          <cell r="H74">
            <v>0</v>
          </cell>
        </row>
        <row r="75">
          <cell r="B75">
            <v>1371</v>
          </cell>
          <cell r="C75" t="str">
            <v>Baggerly; Richard A</v>
          </cell>
          <cell r="D75" t="str">
            <v>1C</v>
          </cell>
          <cell r="E75" t="str">
            <v>IBEWOUT</v>
          </cell>
          <cell r="F75" t="str">
            <v>77</v>
          </cell>
          <cell r="G75" t="str">
            <v>17</v>
          </cell>
          <cell r="H75">
            <v>0</v>
          </cell>
        </row>
        <row r="76">
          <cell r="B76">
            <v>1372</v>
          </cell>
          <cell r="C76" t="str">
            <v>Bamer; Gregory F</v>
          </cell>
          <cell r="D76" t="str">
            <v>1C</v>
          </cell>
          <cell r="E76" t="str">
            <v>IBEWOUT</v>
          </cell>
          <cell r="F76" t="str">
            <v>77</v>
          </cell>
          <cell r="G76" t="str">
            <v>7</v>
          </cell>
          <cell r="H76">
            <v>0</v>
          </cell>
        </row>
        <row r="77">
          <cell r="B77">
            <v>1374</v>
          </cell>
          <cell r="C77" t="str">
            <v>Bailey; Matthew</v>
          </cell>
          <cell r="D77" t="str">
            <v>1C</v>
          </cell>
          <cell r="E77" t="str">
            <v>IBEWOUT</v>
          </cell>
          <cell r="F77" t="str">
            <v>47</v>
          </cell>
          <cell r="G77" t="str">
            <v>8</v>
          </cell>
          <cell r="H77">
            <v>0</v>
          </cell>
        </row>
        <row r="78">
          <cell r="B78">
            <v>1377</v>
          </cell>
          <cell r="C78" t="str">
            <v>Baliaris-Salvi; Rajan A</v>
          </cell>
          <cell r="D78" t="str">
            <v>1C</v>
          </cell>
          <cell r="E78" t="str">
            <v>IBEWOUT</v>
          </cell>
          <cell r="F78" t="str">
            <v>1186</v>
          </cell>
          <cell r="G78" t="str">
            <v>18</v>
          </cell>
          <cell r="H78">
            <v>0</v>
          </cell>
        </row>
        <row r="79">
          <cell r="B79">
            <v>1475</v>
          </cell>
          <cell r="C79" t="str">
            <v>Barley; Tyrone L</v>
          </cell>
          <cell r="D79" t="str">
            <v>1C</v>
          </cell>
          <cell r="E79" t="str">
            <v>IBEWOUT</v>
          </cell>
          <cell r="F79" t="str">
            <v>1245</v>
          </cell>
          <cell r="G79" t="str">
            <v>17</v>
          </cell>
          <cell r="H79">
            <v>0</v>
          </cell>
        </row>
        <row r="80">
          <cell r="B80">
            <v>1482</v>
          </cell>
          <cell r="C80" t="str">
            <v>Barcena; Oscar</v>
          </cell>
          <cell r="D80" t="str">
            <v>1C</v>
          </cell>
          <cell r="E80" t="str">
            <v>IBEWOUT</v>
          </cell>
          <cell r="F80" t="str">
            <v>47</v>
          </cell>
          <cell r="G80" t="str">
            <v>17</v>
          </cell>
          <cell r="H80">
            <v>0</v>
          </cell>
        </row>
        <row r="81">
          <cell r="B81">
            <v>1485</v>
          </cell>
          <cell r="C81" t="str">
            <v>Barker; Kyle D.</v>
          </cell>
          <cell r="D81" t="str">
            <v>1C</v>
          </cell>
          <cell r="E81" t="str">
            <v>IBEWOUT</v>
          </cell>
          <cell r="F81" t="str">
            <v>77</v>
          </cell>
          <cell r="G81" t="str">
            <v>12</v>
          </cell>
          <cell r="H81">
            <v>0</v>
          </cell>
        </row>
        <row r="82">
          <cell r="B82">
            <v>1490</v>
          </cell>
          <cell r="C82" t="str">
            <v>Barlow; Gary L</v>
          </cell>
          <cell r="D82" t="str">
            <v>1C</v>
          </cell>
          <cell r="E82" t="str">
            <v>IBEWOUT</v>
          </cell>
          <cell r="F82" t="str">
            <v>47</v>
          </cell>
          <cell r="G82" t="str">
            <v>17</v>
          </cell>
          <cell r="H82">
            <v>0</v>
          </cell>
        </row>
        <row r="83">
          <cell r="B83">
            <v>1491</v>
          </cell>
          <cell r="C83" t="str">
            <v>Barnard; Mathew W.</v>
          </cell>
          <cell r="D83" t="str">
            <v>1</v>
          </cell>
          <cell r="E83" t="str">
            <v>IBEWOUT</v>
          </cell>
          <cell r="F83" t="str">
            <v>47</v>
          </cell>
          <cell r="G83" t="str">
            <v>8</v>
          </cell>
          <cell r="H83">
            <v>0</v>
          </cell>
        </row>
        <row r="84">
          <cell r="B84">
            <v>1500</v>
          </cell>
          <cell r="C84" t="str">
            <v>Barnes; Brian Dale</v>
          </cell>
          <cell r="D84" t="str">
            <v>1C</v>
          </cell>
          <cell r="E84" t="str">
            <v>IBEWOUT</v>
          </cell>
          <cell r="F84" t="str">
            <v>77</v>
          </cell>
          <cell r="G84" t="str">
            <v>7</v>
          </cell>
          <cell r="H84">
            <v>0</v>
          </cell>
        </row>
        <row r="85">
          <cell r="B85">
            <v>1506</v>
          </cell>
          <cell r="C85" t="str">
            <v>Barnes; Rodney</v>
          </cell>
          <cell r="D85" t="str">
            <v>1C</v>
          </cell>
          <cell r="E85" t="str">
            <v>IBEWOUT</v>
          </cell>
          <cell r="F85" t="str">
            <v>47</v>
          </cell>
          <cell r="G85" t="str">
            <v>8</v>
          </cell>
          <cell r="H85">
            <v>0</v>
          </cell>
        </row>
        <row r="86">
          <cell r="B86">
            <v>1527</v>
          </cell>
          <cell r="C86" t="str">
            <v>Bash; Troy S.</v>
          </cell>
          <cell r="D86" t="str">
            <v>1C</v>
          </cell>
          <cell r="E86" t="str">
            <v>IBEWOUT</v>
          </cell>
          <cell r="F86" t="str">
            <v>769</v>
          </cell>
          <cell r="G86" t="str">
            <v>14</v>
          </cell>
          <cell r="H86">
            <v>0</v>
          </cell>
        </row>
        <row r="87">
          <cell r="B87">
            <v>1530</v>
          </cell>
          <cell r="C87" t="str">
            <v>Basham; Geoffery K</v>
          </cell>
          <cell r="D87" t="str">
            <v>1C</v>
          </cell>
          <cell r="E87" t="str">
            <v>IBEWOUT</v>
          </cell>
          <cell r="F87" t="str">
            <v>602R</v>
          </cell>
          <cell r="G87" t="str">
            <v>18</v>
          </cell>
          <cell r="H87">
            <v>0</v>
          </cell>
        </row>
        <row r="88">
          <cell r="B88">
            <v>1532</v>
          </cell>
          <cell r="C88" t="str">
            <v>Battise; Nikolas T</v>
          </cell>
          <cell r="D88" t="str">
            <v>1C</v>
          </cell>
          <cell r="E88" t="str">
            <v>IBEWOUT</v>
          </cell>
          <cell r="F88" t="str">
            <v>47</v>
          </cell>
          <cell r="G88" t="str">
            <v>8</v>
          </cell>
          <cell r="H88">
            <v>0</v>
          </cell>
        </row>
        <row r="89">
          <cell r="B89">
            <v>1533</v>
          </cell>
          <cell r="C89" t="str">
            <v>Barron; Cameron S</v>
          </cell>
          <cell r="D89" t="str">
            <v>1C</v>
          </cell>
          <cell r="E89" t="str">
            <v>IBEWOUT</v>
          </cell>
          <cell r="F89" t="str">
            <v>602R</v>
          </cell>
          <cell r="G89" t="str">
            <v>14T</v>
          </cell>
          <cell r="H89">
            <v>0</v>
          </cell>
        </row>
        <row r="90">
          <cell r="B90">
            <v>1536</v>
          </cell>
          <cell r="C90" t="str">
            <v>Barrows; Trent D</v>
          </cell>
          <cell r="D90" t="str">
            <v>1</v>
          </cell>
          <cell r="E90" t="str">
            <v>IBEWOUT</v>
          </cell>
          <cell r="F90" t="str">
            <v>47</v>
          </cell>
          <cell r="G90" t="str">
            <v>16</v>
          </cell>
          <cell r="H90">
            <v>0</v>
          </cell>
        </row>
        <row r="91">
          <cell r="B91">
            <v>1554</v>
          </cell>
          <cell r="C91" t="str">
            <v>Beck; Evan D.</v>
          </cell>
          <cell r="D91" t="str">
            <v>1C</v>
          </cell>
          <cell r="E91" t="str">
            <v>IBEWOUT</v>
          </cell>
          <cell r="F91" t="str">
            <v>125</v>
          </cell>
          <cell r="G91" t="str">
            <v>8</v>
          </cell>
          <cell r="H91">
            <v>0</v>
          </cell>
        </row>
        <row r="92">
          <cell r="B92">
            <v>1556</v>
          </cell>
          <cell r="C92" t="str">
            <v>Bednar; Shannon Michael</v>
          </cell>
          <cell r="D92" t="str">
            <v>1C</v>
          </cell>
          <cell r="E92" t="str">
            <v>IBEWOUT</v>
          </cell>
          <cell r="F92" t="str">
            <v>1245</v>
          </cell>
          <cell r="G92" t="str">
            <v>8</v>
          </cell>
          <cell r="H92">
            <v>0</v>
          </cell>
        </row>
        <row r="93">
          <cell r="B93">
            <v>1565</v>
          </cell>
          <cell r="C93" t="str">
            <v>Begaye; Donald</v>
          </cell>
          <cell r="D93" t="str">
            <v>1C</v>
          </cell>
          <cell r="E93" t="str">
            <v>IBEWOUT</v>
          </cell>
          <cell r="F93" t="str">
            <v>769</v>
          </cell>
          <cell r="G93" t="str">
            <v>8</v>
          </cell>
          <cell r="H93">
            <v>0</v>
          </cell>
        </row>
        <row r="94">
          <cell r="B94">
            <v>1568</v>
          </cell>
          <cell r="C94" t="str">
            <v>Beissel; Lee C</v>
          </cell>
          <cell r="D94" t="str">
            <v>1C</v>
          </cell>
          <cell r="E94" t="str">
            <v/>
          </cell>
          <cell r="F94" t="str">
            <v/>
          </cell>
          <cell r="G94" t="str">
            <v/>
          </cell>
          <cell r="H94">
            <v>1</v>
          </cell>
        </row>
        <row r="95">
          <cell r="B95">
            <v>1572</v>
          </cell>
          <cell r="C95" t="str">
            <v>Belcher; Jeffrey James</v>
          </cell>
          <cell r="D95" t="str">
            <v>1C</v>
          </cell>
          <cell r="E95" t="str">
            <v>IBEWOUT</v>
          </cell>
          <cell r="F95" t="str">
            <v>47</v>
          </cell>
          <cell r="G95" t="str">
            <v>8</v>
          </cell>
          <cell r="H95">
            <v>0</v>
          </cell>
        </row>
        <row r="96">
          <cell r="B96">
            <v>1574</v>
          </cell>
          <cell r="C96" t="str">
            <v>Beach; Dale D.</v>
          </cell>
          <cell r="D96" t="str">
            <v>1</v>
          </cell>
          <cell r="E96" t="str">
            <v>IBEWOUT</v>
          </cell>
          <cell r="F96" t="str">
            <v>77</v>
          </cell>
          <cell r="G96" t="str">
            <v>1</v>
          </cell>
          <cell r="H96">
            <v>0</v>
          </cell>
        </row>
        <row r="97">
          <cell r="B97">
            <v>1579</v>
          </cell>
          <cell r="C97" t="str">
            <v>Bauer; Bradley L</v>
          </cell>
          <cell r="D97" t="str">
            <v>1C</v>
          </cell>
          <cell r="E97" t="str">
            <v>IBEWOUT</v>
          </cell>
          <cell r="F97" t="str">
            <v>160</v>
          </cell>
          <cell r="G97" t="str">
            <v>8</v>
          </cell>
          <cell r="H97">
            <v>0</v>
          </cell>
        </row>
        <row r="98">
          <cell r="B98">
            <v>1580</v>
          </cell>
          <cell r="C98" t="str">
            <v>Bell; Edward Douglas</v>
          </cell>
          <cell r="D98" t="str">
            <v>1C</v>
          </cell>
          <cell r="E98" t="str">
            <v>IBEWOUT</v>
          </cell>
          <cell r="F98" t="str">
            <v>1245</v>
          </cell>
          <cell r="G98" t="str">
            <v>8</v>
          </cell>
          <cell r="H98">
            <v>0</v>
          </cell>
        </row>
        <row r="99">
          <cell r="B99">
            <v>1581</v>
          </cell>
          <cell r="C99" t="str">
            <v>Bedoy; Cody J</v>
          </cell>
          <cell r="D99" t="str">
            <v>1C</v>
          </cell>
          <cell r="E99" t="str">
            <v>IBEWOUT</v>
          </cell>
          <cell r="F99" t="str">
            <v>1245</v>
          </cell>
          <cell r="G99" t="str">
            <v>8</v>
          </cell>
          <cell r="H99">
            <v>0</v>
          </cell>
        </row>
        <row r="100">
          <cell r="B100">
            <v>1585</v>
          </cell>
          <cell r="C100" t="str">
            <v>Bellos; Jacob G.</v>
          </cell>
          <cell r="D100" t="str">
            <v>1C</v>
          </cell>
          <cell r="E100" t="str">
            <v>IBEWOUT</v>
          </cell>
          <cell r="F100" t="str">
            <v>77</v>
          </cell>
          <cell r="G100" t="str">
            <v>12</v>
          </cell>
          <cell r="H100">
            <v>0</v>
          </cell>
        </row>
        <row r="101">
          <cell r="B101">
            <v>1586</v>
          </cell>
          <cell r="C101" t="str">
            <v>Beeler; Michael A</v>
          </cell>
          <cell r="D101" t="str">
            <v>1</v>
          </cell>
          <cell r="E101" t="str">
            <v/>
          </cell>
          <cell r="F101" t="str">
            <v/>
          </cell>
          <cell r="G101" t="str">
            <v/>
          </cell>
          <cell r="H101">
            <v>0</v>
          </cell>
        </row>
        <row r="102">
          <cell r="B102">
            <v>1595</v>
          </cell>
          <cell r="C102" t="str">
            <v>Beltran; Juan F</v>
          </cell>
          <cell r="D102" t="str">
            <v>1C</v>
          </cell>
          <cell r="E102" t="str">
            <v>IBEWOUT</v>
          </cell>
          <cell r="F102" t="str">
            <v>47</v>
          </cell>
          <cell r="G102" t="str">
            <v>8</v>
          </cell>
          <cell r="H102">
            <v>0</v>
          </cell>
        </row>
        <row r="103">
          <cell r="B103">
            <v>1598</v>
          </cell>
          <cell r="C103" t="str">
            <v>Becker; Bryan</v>
          </cell>
          <cell r="D103" t="str">
            <v>1C</v>
          </cell>
          <cell r="E103" t="str">
            <v/>
          </cell>
          <cell r="F103" t="str">
            <v/>
          </cell>
          <cell r="G103" t="str">
            <v/>
          </cell>
          <cell r="H103">
            <v>0</v>
          </cell>
        </row>
        <row r="104">
          <cell r="B104">
            <v>1599</v>
          </cell>
          <cell r="C104" t="str">
            <v>Luna Beltran; Ramon</v>
          </cell>
          <cell r="D104" t="str">
            <v>1C</v>
          </cell>
          <cell r="E104" t="str">
            <v>IBEWOUT</v>
          </cell>
          <cell r="F104" t="str">
            <v>1245</v>
          </cell>
          <cell r="G104" t="str">
            <v>17</v>
          </cell>
          <cell r="H104">
            <v>0</v>
          </cell>
        </row>
        <row r="105">
          <cell r="B105">
            <v>1604</v>
          </cell>
          <cell r="C105" t="str">
            <v>Bojt; James E</v>
          </cell>
          <cell r="D105" t="str">
            <v>1C</v>
          </cell>
          <cell r="E105" t="str">
            <v>IBEWOUT</v>
          </cell>
          <cell r="F105" t="str">
            <v>126</v>
          </cell>
          <cell r="G105" t="str">
            <v>7S</v>
          </cell>
          <cell r="H105">
            <v>0</v>
          </cell>
        </row>
        <row r="106">
          <cell r="B106">
            <v>1606</v>
          </cell>
          <cell r="C106" t="str">
            <v>Bock; Nathan Philip</v>
          </cell>
          <cell r="D106" t="str">
            <v>1C</v>
          </cell>
          <cell r="E106" t="str">
            <v>IBEWOUT</v>
          </cell>
          <cell r="F106" t="str">
            <v>77</v>
          </cell>
          <cell r="G106" t="str">
            <v>8</v>
          </cell>
          <cell r="H106">
            <v>0</v>
          </cell>
        </row>
        <row r="107">
          <cell r="B107">
            <v>1608</v>
          </cell>
          <cell r="C107" t="str">
            <v>Boisvert; Harry A</v>
          </cell>
          <cell r="D107" t="str">
            <v>1</v>
          </cell>
          <cell r="E107" t="str">
            <v>IBEWOUT</v>
          </cell>
          <cell r="F107" t="str">
            <v>1245</v>
          </cell>
          <cell r="G107" t="str">
            <v>8</v>
          </cell>
          <cell r="H107">
            <v>0</v>
          </cell>
        </row>
        <row r="108">
          <cell r="B108">
            <v>1610</v>
          </cell>
          <cell r="C108" t="str">
            <v>Belsterling; David J</v>
          </cell>
          <cell r="D108" t="str">
            <v>1C</v>
          </cell>
          <cell r="E108" t="str">
            <v>IBEWOUT</v>
          </cell>
          <cell r="F108" t="str">
            <v>126</v>
          </cell>
          <cell r="G108" t="str">
            <v>13</v>
          </cell>
          <cell r="H108">
            <v>0</v>
          </cell>
        </row>
        <row r="109">
          <cell r="B109">
            <v>1614</v>
          </cell>
          <cell r="C109" t="str">
            <v>Bentley; Lonne</v>
          </cell>
          <cell r="D109" t="str">
            <v>1C</v>
          </cell>
          <cell r="E109" t="str">
            <v>IBEWOUT</v>
          </cell>
          <cell r="F109" t="str">
            <v>77</v>
          </cell>
          <cell r="G109" t="str">
            <v>8</v>
          </cell>
          <cell r="H109">
            <v>0</v>
          </cell>
        </row>
        <row r="110">
          <cell r="B110">
            <v>1619</v>
          </cell>
          <cell r="C110" t="str">
            <v>Berg; Dane M</v>
          </cell>
          <cell r="D110" t="str">
            <v>1</v>
          </cell>
          <cell r="E110" t="str">
            <v>IBEWOUT</v>
          </cell>
          <cell r="F110" t="str">
            <v>77</v>
          </cell>
          <cell r="G110" t="str">
            <v>8</v>
          </cell>
          <cell r="H110">
            <v>0</v>
          </cell>
        </row>
        <row r="111">
          <cell r="B111">
            <v>1622</v>
          </cell>
          <cell r="C111" t="str">
            <v>Bell; Michael G</v>
          </cell>
          <cell r="D111" t="str">
            <v>1</v>
          </cell>
          <cell r="E111" t="str">
            <v>IBEWOUT</v>
          </cell>
          <cell r="F111" t="str">
            <v>1245</v>
          </cell>
          <cell r="G111" t="str">
            <v>8</v>
          </cell>
          <cell r="H111">
            <v>0</v>
          </cell>
        </row>
        <row r="112">
          <cell r="B112">
            <v>1647</v>
          </cell>
          <cell r="C112" t="str">
            <v>Baxter; Olliver</v>
          </cell>
          <cell r="D112" t="str">
            <v>1</v>
          </cell>
          <cell r="E112" t="str">
            <v/>
          </cell>
          <cell r="F112" t="str">
            <v/>
          </cell>
          <cell r="G112" t="str">
            <v/>
          </cell>
          <cell r="H112">
            <v>0</v>
          </cell>
        </row>
        <row r="113">
          <cell r="B113">
            <v>1720</v>
          </cell>
          <cell r="C113" t="str">
            <v>Berry; Andrew C.</v>
          </cell>
          <cell r="D113" t="str">
            <v>1</v>
          </cell>
          <cell r="E113" t="str">
            <v>IBEWOUT</v>
          </cell>
          <cell r="F113" t="str">
            <v>125</v>
          </cell>
          <cell r="G113" t="str">
            <v>7</v>
          </cell>
          <cell r="H113">
            <v>0</v>
          </cell>
        </row>
        <row r="114">
          <cell r="B114">
            <v>1738</v>
          </cell>
          <cell r="C114" t="str">
            <v>Bereta Jr; Larry L</v>
          </cell>
          <cell r="D114" t="str">
            <v>1C</v>
          </cell>
          <cell r="E114" t="str">
            <v>IBEWOUT</v>
          </cell>
          <cell r="F114" t="str">
            <v>47</v>
          </cell>
          <cell r="G114" t="str">
            <v>8</v>
          </cell>
          <cell r="H114">
            <v>0</v>
          </cell>
        </row>
        <row r="115">
          <cell r="B115">
            <v>1755</v>
          </cell>
          <cell r="C115" t="str">
            <v>Bibiano; Brandon Lee</v>
          </cell>
          <cell r="D115" t="str">
            <v>1C</v>
          </cell>
          <cell r="E115" t="str">
            <v>IBEWOUT</v>
          </cell>
          <cell r="F115" t="str">
            <v>611</v>
          </cell>
          <cell r="G115" t="str">
            <v>8</v>
          </cell>
          <cell r="H115">
            <v>0</v>
          </cell>
        </row>
        <row r="116">
          <cell r="B116">
            <v>1763</v>
          </cell>
          <cell r="C116" t="str">
            <v>Biggs; Bret S</v>
          </cell>
          <cell r="D116" t="str">
            <v>1C</v>
          </cell>
          <cell r="E116" t="str">
            <v>IBEWOUT</v>
          </cell>
          <cell r="F116" t="str">
            <v>1245</v>
          </cell>
          <cell r="G116" t="str">
            <v>8</v>
          </cell>
          <cell r="H116">
            <v>0</v>
          </cell>
        </row>
        <row r="117">
          <cell r="B117">
            <v>1769</v>
          </cell>
          <cell r="C117" t="str">
            <v>Bindel; Bruce A.</v>
          </cell>
          <cell r="D117" t="str">
            <v>1C</v>
          </cell>
          <cell r="E117" t="str">
            <v>IBEWOUT</v>
          </cell>
          <cell r="F117" t="str">
            <v>1245</v>
          </cell>
          <cell r="G117" t="str">
            <v>17</v>
          </cell>
          <cell r="H117">
            <v>0</v>
          </cell>
        </row>
        <row r="118">
          <cell r="B118">
            <v>1770</v>
          </cell>
          <cell r="C118" t="str">
            <v>Biro; Brandon J</v>
          </cell>
          <cell r="D118" t="str">
            <v>1C</v>
          </cell>
          <cell r="E118" t="str">
            <v>IBEWOUT</v>
          </cell>
          <cell r="F118" t="str">
            <v>769</v>
          </cell>
          <cell r="G118" t="str">
            <v>17</v>
          </cell>
          <cell r="H118">
            <v>0</v>
          </cell>
        </row>
        <row r="119">
          <cell r="B119">
            <v>1774</v>
          </cell>
          <cell r="C119" t="str">
            <v>Bishop; Clark Bryant</v>
          </cell>
          <cell r="D119" t="str">
            <v>1C</v>
          </cell>
          <cell r="E119" t="str">
            <v>IBEWOUT</v>
          </cell>
          <cell r="F119" t="str">
            <v>1245</v>
          </cell>
          <cell r="G119" t="str">
            <v>8</v>
          </cell>
          <cell r="H119">
            <v>0</v>
          </cell>
        </row>
        <row r="120">
          <cell r="B120">
            <v>1775</v>
          </cell>
          <cell r="C120" t="str">
            <v>Bishop; Andrew M</v>
          </cell>
          <cell r="D120" t="str">
            <v>1C</v>
          </cell>
          <cell r="E120" t="str">
            <v>IBEWOUT</v>
          </cell>
          <cell r="F120" t="str">
            <v>77</v>
          </cell>
          <cell r="G120" t="str">
            <v>23</v>
          </cell>
          <cell r="H120">
            <v>0</v>
          </cell>
        </row>
        <row r="121">
          <cell r="B121">
            <v>1778</v>
          </cell>
          <cell r="C121" t="str">
            <v>Bishop; Toby J.</v>
          </cell>
          <cell r="D121" t="str">
            <v>1C</v>
          </cell>
          <cell r="E121" t="str">
            <v>IBEWOUT</v>
          </cell>
          <cell r="F121" t="str">
            <v>396</v>
          </cell>
          <cell r="G121" t="str">
            <v>8</v>
          </cell>
          <cell r="H121">
            <v>0</v>
          </cell>
        </row>
        <row r="122">
          <cell r="B122">
            <v>1780</v>
          </cell>
          <cell r="C122" t="str">
            <v>Bischoff; Robert S</v>
          </cell>
          <cell r="D122" t="str">
            <v>1C</v>
          </cell>
          <cell r="E122" t="str">
            <v>IBEWOUT</v>
          </cell>
          <cell r="F122" t="str">
            <v>1319</v>
          </cell>
          <cell r="G122" t="str">
            <v>8</v>
          </cell>
          <cell r="H122">
            <v>0</v>
          </cell>
        </row>
        <row r="123">
          <cell r="B123">
            <v>1830</v>
          </cell>
          <cell r="C123" t="str">
            <v>Black; Jonathan Michael</v>
          </cell>
          <cell r="D123" t="str">
            <v>1</v>
          </cell>
          <cell r="E123" t="str">
            <v>IBEWOUT</v>
          </cell>
          <cell r="F123" t="str">
            <v>125</v>
          </cell>
          <cell r="G123" t="str">
            <v>8</v>
          </cell>
          <cell r="H123">
            <v>0</v>
          </cell>
        </row>
        <row r="124">
          <cell r="B124">
            <v>1831</v>
          </cell>
          <cell r="C124" t="str">
            <v>Black; Haven</v>
          </cell>
          <cell r="D124" t="str">
            <v>1C</v>
          </cell>
          <cell r="E124" t="str">
            <v>IBEWOUT</v>
          </cell>
          <cell r="F124" t="str">
            <v>47</v>
          </cell>
          <cell r="G124" t="str">
            <v>17</v>
          </cell>
          <cell r="H124">
            <v>0</v>
          </cell>
        </row>
        <row r="125">
          <cell r="B125">
            <v>1835</v>
          </cell>
          <cell r="C125" t="str">
            <v>Blacksheep; Darrell A.</v>
          </cell>
          <cell r="D125" t="str">
            <v>1C</v>
          </cell>
          <cell r="E125" t="str">
            <v>IBEWOUT</v>
          </cell>
          <cell r="F125" t="str">
            <v>769</v>
          </cell>
          <cell r="G125" t="str">
            <v>8</v>
          </cell>
          <cell r="H125">
            <v>0</v>
          </cell>
        </row>
        <row r="126">
          <cell r="B126">
            <v>1839</v>
          </cell>
          <cell r="C126" t="str">
            <v>Blagg; Michael L.</v>
          </cell>
          <cell r="D126" t="str">
            <v>1C</v>
          </cell>
          <cell r="E126" t="str">
            <v>IBEWOUT</v>
          </cell>
          <cell r="F126" t="str">
            <v>602R</v>
          </cell>
          <cell r="G126" t="str">
            <v>8</v>
          </cell>
          <cell r="H126">
            <v>0</v>
          </cell>
        </row>
        <row r="127">
          <cell r="B127">
            <v>1846</v>
          </cell>
          <cell r="C127" t="str">
            <v>Blalock; Michael R</v>
          </cell>
          <cell r="D127" t="str">
            <v>1C</v>
          </cell>
          <cell r="E127" t="str">
            <v>IBEWOUT</v>
          </cell>
          <cell r="F127" t="str">
            <v>769</v>
          </cell>
          <cell r="G127" t="str">
            <v>8</v>
          </cell>
          <cell r="H127">
            <v>0</v>
          </cell>
        </row>
        <row r="128">
          <cell r="B128">
            <v>1849</v>
          </cell>
          <cell r="C128" t="str">
            <v>Blakely Jr.; Steven William</v>
          </cell>
          <cell r="D128" t="str">
            <v>1C</v>
          </cell>
          <cell r="E128" t="str">
            <v>IBEWOUT</v>
          </cell>
          <cell r="F128" t="str">
            <v>769</v>
          </cell>
          <cell r="G128" t="str">
            <v>22</v>
          </cell>
          <cell r="H128">
            <v>0</v>
          </cell>
        </row>
        <row r="129">
          <cell r="B129">
            <v>1851</v>
          </cell>
          <cell r="C129" t="str">
            <v>Blakely; Taunia M</v>
          </cell>
          <cell r="D129" t="str">
            <v>1C</v>
          </cell>
          <cell r="E129" t="str">
            <v>IBEWIN</v>
          </cell>
          <cell r="F129" t="str">
            <v>280</v>
          </cell>
          <cell r="G129" t="str">
            <v>61</v>
          </cell>
          <cell r="H129">
            <v>0</v>
          </cell>
        </row>
        <row r="130">
          <cell r="B130">
            <v>1859</v>
          </cell>
          <cell r="C130" t="str">
            <v>Bliudzius; Nicholas J</v>
          </cell>
          <cell r="D130" t="str">
            <v>1</v>
          </cell>
          <cell r="E130" t="str">
            <v>IBEWOUT</v>
          </cell>
          <cell r="F130" t="str">
            <v>1245</v>
          </cell>
          <cell r="G130" t="str">
            <v>17</v>
          </cell>
          <cell r="H130">
            <v>0</v>
          </cell>
        </row>
        <row r="131">
          <cell r="B131">
            <v>1860</v>
          </cell>
          <cell r="C131" t="str">
            <v>Bligh; Brandon R</v>
          </cell>
          <cell r="D131" t="str">
            <v>1C</v>
          </cell>
          <cell r="E131" t="str">
            <v>IBEWOUT</v>
          </cell>
          <cell r="F131" t="str">
            <v>47</v>
          </cell>
          <cell r="G131" t="str">
            <v>8</v>
          </cell>
          <cell r="H131">
            <v>0</v>
          </cell>
        </row>
        <row r="132">
          <cell r="B132">
            <v>1869</v>
          </cell>
          <cell r="C132" t="str">
            <v>Bleak; Coby R</v>
          </cell>
          <cell r="D132" t="str">
            <v>1</v>
          </cell>
          <cell r="E132" t="str">
            <v>IBEWOUT</v>
          </cell>
          <cell r="F132" t="str">
            <v>47</v>
          </cell>
          <cell r="G132" t="str">
            <v>8</v>
          </cell>
          <cell r="H132">
            <v>0</v>
          </cell>
        </row>
        <row r="133">
          <cell r="B133">
            <v>1871</v>
          </cell>
          <cell r="C133" t="str">
            <v>Blount; Undrae A</v>
          </cell>
          <cell r="D133" t="str">
            <v>1C</v>
          </cell>
          <cell r="E133" t="str">
            <v>IBEWOUT</v>
          </cell>
          <cell r="F133" t="str">
            <v>1049</v>
          </cell>
          <cell r="G133" t="str">
            <v>17</v>
          </cell>
          <cell r="H133">
            <v>0</v>
          </cell>
        </row>
        <row r="134">
          <cell r="B134">
            <v>1940</v>
          </cell>
          <cell r="C134" t="str">
            <v>Bond; Bob M.</v>
          </cell>
          <cell r="D134" t="str">
            <v>1C</v>
          </cell>
          <cell r="E134" t="str">
            <v>IBEWOUT</v>
          </cell>
          <cell r="F134" t="str">
            <v>77</v>
          </cell>
          <cell r="G134" t="str">
            <v>8</v>
          </cell>
          <cell r="H134">
            <v>0</v>
          </cell>
        </row>
        <row r="135">
          <cell r="B135">
            <v>1962</v>
          </cell>
          <cell r="C135" t="str">
            <v>Booker; Chris L</v>
          </cell>
          <cell r="D135" t="str">
            <v>1C</v>
          </cell>
          <cell r="E135" t="str">
            <v>IBEWOUT</v>
          </cell>
          <cell r="F135" t="str">
            <v>1245</v>
          </cell>
          <cell r="G135" t="str">
            <v>8</v>
          </cell>
          <cell r="H135">
            <v>0</v>
          </cell>
        </row>
        <row r="136">
          <cell r="B136">
            <v>1970</v>
          </cell>
          <cell r="C136" t="str">
            <v>Booton; Michael G</v>
          </cell>
          <cell r="D136" t="str">
            <v>1C</v>
          </cell>
          <cell r="E136" t="str">
            <v>IBEWOUT</v>
          </cell>
          <cell r="F136" t="str">
            <v>1245</v>
          </cell>
          <cell r="G136" t="str">
            <v>13</v>
          </cell>
          <cell r="H136">
            <v>0</v>
          </cell>
        </row>
        <row r="137">
          <cell r="B137">
            <v>1980</v>
          </cell>
          <cell r="C137" t="str">
            <v>Borboa; Jose C.</v>
          </cell>
          <cell r="D137" t="str">
            <v>1C</v>
          </cell>
          <cell r="E137" t="str">
            <v>IBEWOUT</v>
          </cell>
          <cell r="F137" t="str">
            <v>769</v>
          </cell>
          <cell r="G137" t="str">
            <v>20</v>
          </cell>
          <cell r="H137">
            <v>0</v>
          </cell>
        </row>
        <row r="138">
          <cell r="B138">
            <v>1981</v>
          </cell>
          <cell r="C138" t="str">
            <v>Borden; James A</v>
          </cell>
          <cell r="D138" t="str">
            <v>1</v>
          </cell>
          <cell r="E138" t="str">
            <v>IBEWOUT</v>
          </cell>
          <cell r="F138" t="str">
            <v>77</v>
          </cell>
          <cell r="G138" t="str">
            <v>13</v>
          </cell>
          <cell r="H138">
            <v>0</v>
          </cell>
        </row>
        <row r="139">
          <cell r="B139">
            <v>2068</v>
          </cell>
          <cell r="C139" t="str">
            <v>Bauder; Craig Richard</v>
          </cell>
          <cell r="D139" t="str">
            <v>1</v>
          </cell>
          <cell r="E139" t="str">
            <v/>
          </cell>
          <cell r="F139" t="str">
            <v/>
          </cell>
          <cell r="G139" t="str">
            <v/>
          </cell>
          <cell r="H139">
            <v>1</v>
          </cell>
        </row>
        <row r="140">
          <cell r="B140">
            <v>2084</v>
          </cell>
          <cell r="C140" t="str">
            <v>Boughamer; Brandon J</v>
          </cell>
          <cell r="D140" t="str">
            <v>1C</v>
          </cell>
          <cell r="E140" t="str">
            <v>IBEWOUT</v>
          </cell>
          <cell r="F140" t="str">
            <v>769</v>
          </cell>
          <cell r="G140" t="str">
            <v>15</v>
          </cell>
          <cell r="H140">
            <v>0</v>
          </cell>
        </row>
        <row r="141">
          <cell r="B141">
            <v>2086</v>
          </cell>
          <cell r="C141" t="str">
            <v>Boulden; Alexander A</v>
          </cell>
          <cell r="D141" t="str">
            <v>1C</v>
          </cell>
          <cell r="E141" t="str">
            <v>IBEWOUT</v>
          </cell>
          <cell r="F141" t="str">
            <v>1245</v>
          </cell>
          <cell r="G141" t="str">
            <v>17</v>
          </cell>
          <cell r="H141">
            <v>0</v>
          </cell>
        </row>
        <row r="142">
          <cell r="B142">
            <v>2090</v>
          </cell>
          <cell r="C142" t="str">
            <v>Bourgeois; Russel L</v>
          </cell>
          <cell r="D142" t="str">
            <v>1C</v>
          </cell>
          <cell r="E142" t="str">
            <v>IBEWOUT</v>
          </cell>
          <cell r="F142" t="str">
            <v>77</v>
          </cell>
          <cell r="G142" t="str">
            <v>8</v>
          </cell>
          <cell r="H142">
            <v>0</v>
          </cell>
        </row>
        <row r="143">
          <cell r="B143">
            <v>2092</v>
          </cell>
          <cell r="C143" t="str">
            <v>Bossow; Tyson J</v>
          </cell>
          <cell r="D143" t="str">
            <v>1</v>
          </cell>
          <cell r="E143" t="str">
            <v>IBEWOUT</v>
          </cell>
          <cell r="F143" t="str">
            <v>1245</v>
          </cell>
          <cell r="G143" t="str">
            <v>8</v>
          </cell>
          <cell r="H143">
            <v>0</v>
          </cell>
        </row>
        <row r="144">
          <cell r="B144">
            <v>2114</v>
          </cell>
          <cell r="C144" t="str">
            <v>Bowie; William B</v>
          </cell>
          <cell r="D144" t="str">
            <v>1C</v>
          </cell>
          <cell r="E144" t="str">
            <v>IBEWOUT</v>
          </cell>
          <cell r="F144" t="str">
            <v>1049</v>
          </cell>
          <cell r="G144" t="str">
            <v>8</v>
          </cell>
          <cell r="H144">
            <v>0</v>
          </cell>
        </row>
        <row r="145">
          <cell r="B145">
            <v>2118</v>
          </cell>
          <cell r="C145" t="str">
            <v>Bautista; Hector N.</v>
          </cell>
          <cell r="D145" t="str">
            <v>1C</v>
          </cell>
          <cell r="E145" t="str">
            <v>IBEWOUT</v>
          </cell>
          <cell r="F145" t="str">
            <v>396</v>
          </cell>
          <cell r="G145" t="str">
            <v>8</v>
          </cell>
          <cell r="H145">
            <v>0</v>
          </cell>
        </row>
        <row r="146">
          <cell r="B146">
            <v>2119</v>
          </cell>
          <cell r="C146" t="str">
            <v>Brandt; Travis M</v>
          </cell>
          <cell r="D146" t="str">
            <v>1</v>
          </cell>
          <cell r="E146" t="str">
            <v>IBEWOUT</v>
          </cell>
          <cell r="F146" t="str">
            <v>47</v>
          </cell>
          <cell r="G146" t="str">
            <v>7</v>
          </cell>
          <cell r="H146">
            <v>0</v>
          </cell>
        </row>
        <row r="147">
          <cell r="B147">
            <v>2128</v>
          </cell>
          <cell r="C147" t="str">
            <v>Braaten; Jason W</v>
          </cell>
          <cell r="D147" t="str">
            <v>1C</v>
          </cell>
          <cell r="E147" t="str">
            <v>IBEWOUT</v>
          </cell>
          <cell r="F147" t="str">
            <v>1245</v>
          </cell>
          <cell r="G147" t="str">
            <v>8</v>
          </cell>
          <cell r="H147">
            <v>0</v>
          </cell>
        </row>
        <row r="148">
          <cell r="B148">
            <v>2129</v>
          </cell>
          <cell r="C148" t="str">
            <v>Bradford; Richard</v>
          </cell>
          <cell r="D148" t="str">
            <v>1C</v>
          </cell>
          <cell r="E148" t="str">
            <v>IBEWOUT</v>
          </cell>
          <cell r="F148" t="str">
            <v>602R</v>
          </cell>
          <cell r="G148" t="str">
            <v>7</v>
          </cell>
          <cell r="H148">
            <v>0</v>
          </cell>
        </row>
        <row r="149">
          <cell r="B149">
            <v>2131</v>
          </cell>
          <cell r="C149" t="str">
            <v>Bradley; Michael W.</v>
          </cell>
          <cell r="D149" t="str">
            <v>1C</v>
          </cell>
          <cell r="E149" t="str">
            <v>IBEWOUT</v>
          </cell>
          <cell r="F149" t="str">
            <v>1245</v>
          </cell>
          <cell r="G149" t="str">
            <v>8</v>
          </cell>
          <cell r="H149">
            <v>0</v>
          </cell>
        </row>
        <row r="150">
          <cell r="B150">
            <v>2136</v>
          </cell>
          <cell r="C150" t="str">
            <v>Boyd Jr.; Philip R.</v>
          </cell>
          <cell r="D150" t="str">
            <v>1C</v>
          </cell>
          <cell r="E150" t="str">
            <v>IBEWOUT</v>
          </cell>
          <cell r="F150" t="str">
            <v>1245</v>
          </cell>
          <cell r="G150" t="str">
            <v>8</v>
          </cell>
          <cell r="H150">
            <v>0</v>
          </cell>
        </row>
        <row r="151">
          <cell r="B151">
            <v>2137</v>
          </cell>
          <cell r="C151" t="str">
            <v>Boyd; Joseph M</v>
          </cell>
          <cell r="D151" t="str">
            <v>1</v>
          </cell>
          <cell r="E151" t="str">
            <v>IBEWOUT</v>
          </cell>
          <cell r="F151" t="str">
            <v>77</v>
          </cell>
          <cell r="G151" t="str">
            <v>12</v>
          </cell>
          <cell r="H151">
            <v>0</v>
          </cell>
        </row>
        <row r="152">
          <cell r="B152">
            <v>2140</v>
          </cell>
          <cell r="C152" t="str">
            <v>Brant; Justin</v>
          </cell>
          <cell r="D152" t="str">
            <v>1C</v>
          </cell>
          <cell r="E152" t="str">
            <v/>
          </cell>
          <cell r="F152" t="str">
            <v/>
          </cell>
          <cell r="G152" t="str">
            <v/>
          </cell>
          <cell r="H152">
            <v>0</v>
          </cell>
        </row>
        <row r="153">
          <cell r="B153">
            <v>2141</v>
          </cell>
          <cell r="C153" t="str">
            <v>Boyle; Kevin T.</v>
          </cell>
          <cell r="D153" t="str">
            <v>1C</v>
          </cell>
          <cell r="E153" t="str">
            <v>IBEWOUT</v>
          </cell>
          <cell r="F153" t="str">
            <v>125</v>
          </cell>
          <cell r="G153" t="str">
            <v>12</v>
          </cell>
          <cell r="H153">
            <v>0</v>
          </cell>
        </row>
        <row r="154">
          <cell r="B154">
            <v>2144</v>
          </cell>
          <cell r="C154" t="str">
            <v>Brdlik; Michael R</v>
          </cell>
          <cell r="D154" t="str">
            <v>1C</v>
          </cell>
          <cell r="E154" t="str">
            <v>IBEWOUT</v>
          </cell>
          <cell r="F154" t="str">
            <v>1245</v>
          </cell>
          <cell r="G154" t="str">
            <v>8</v>
          </cell>
          <cell r="H154">
            <v>0</v>
          </cell>
        </row>
        <row r="155">
          <cell r="B155">
            <v>2174</v>
          </cell>
          <cell r="C155" t="str">
            <v>Breaux; Derrick J</v>
          </cell>
          <cell r="D155" t="str">
            <v>1</v>
          </cell>
          <cell r="E155" t="str">
            <v/>
          </cell>
          <cell r="F155" t="str">
            <v/>
          </cell>
          <cell r="G155" t="str">
            <v/>
          </cell>
          <cell r="H155">
            <v>0</v>
          </cell>
        </row>
        <row r="156">
          <cell r="B156">
            <v>2188</v>
          </cell>
          <cell r="C156" t="str">
            <v>Brennan; Michael D.</v>
          </cell>
          <cell r="D156" t="str">
            <v>1</v>
          </cell>
          <cell r="E156" t="str">
            <v>IBEWOUT</v>
          </cell>
          <cell r="F156" t="str">
            <v>611</v>
          </cell>
          <cell r="G156" t="str">
            <v>7</v>
          </cell>
          <cell r="H156">
            <v>0</v>
          </cell>
        </row>
        <row r="157">
          <cell r="B157">
            <v>2203</v>
          </cell>
          <cell r="C157" t="str">
            <v>Britt; Mitchell L.</v>
          </cell>
          <cell r="D157" t="str">
            <v>1C</v>
          </cell>
          <cell r="E157" t="str">
            <v>IBEWOUT</v>
          </cell>
          <cell r="F157" t="str">
            <v>1245</v>
          </cell>
          <cell r="G157" t="str">
            <v>8</v>
          </cell>
          <cell r="H157">
            <v>0</v>
          </cell>
        </row>
        <row r="158">
          <cell r="B158">
            <v>2205</v>
          </cell>
          <cell r="C158" t="str">
            <v>Britton; Mark C</v>
          </cell>
          <cell r="D158" t="str">
            <v>1</v>
          </cell>
          <cell r="E158" t="str">
            <v/>
          </cell>
          <cell r="F158" t="str">
            <v/>
          </cell>
          <cell r="G158" t="str">
            <v/>
          </cell>
          <cell r="H158">
            <v>1</v>
          </cell>
        </row>
        <row r="159">
          <cell r="B159">
            <v>2210</v>
          </cell>
          <cell r="C159" t="str">
            <v>Brogdon; Case O</v>
          </cell>
          <cell r="D159" t="str">
            <v>1C</v>
          </cell>
          <cell r="E159" t="str">
            <v>IBEWOUT</v>
          </cell>
          <cell r="F159" t="str">
            <v>611</v>
          </cell>
          <cell r="G159" t="str">
            <v>11</v>
          </cell>
          <cell r="H159">
            <v>0</v>
          </cell>
        </row>
        <row r="160">
          <cell r="B160">
            <v>2213</v>
          </cell>
          <cell r="C160" t="str">
            <v>Bronson; Jeffrey Wayne</v>
          </cell>
          <cell r="D160" t="str">
            <v>1</v>
          </cell>
          <cell r="E160" t="str">
            <v>IBEWOUT</v>
          </cell>
          <cell r="F160" t="str">
            <v>125</v>
          </cell>
          <cell r="G160" t="str">
            <v>7</v>
          </cell>
          <cell r="H160">
            <v>1</v>
          </cell>
        </row>
        <row r="161">
          <cell r="B161">
            <v>2218</v>
          </cell>
          <cell r="C161" t="str">
            <v>Brown Jr; David W.</v>
          </cell>
          <cell r="D161" t="str">
            <v>1</v>
          </cell>
          <cell r="E161" t="str">
            <v>IBEWOUT</v>
          </cell>
          <cell r="F161" t="str">
            <v>1245</v>
          </cell>
          <cell r="G161" t="str">
            <v>7</v>
          </cell>
          <cell r="H161">
            <v>0</v>
          </cell>
        </row>
        <row r="162">
          <cell r="B162">
            <v>2221</v>
          </cell>
          <cell r="C162" t="str">
            <v>Brown; Zebulun M</v>
          </cell>
          <cell r="D162" t="str">
            <v>1</v>
          </cell>
          <cell r="E162" t="str">
            <v>IBEWOUT</v>
          </cell>
          <cell r="F162" t="str">
            <v>1245</v>
          </cell>
          <cell r="G162" t="str">
            <v>16</v>
          </cell>
          <cell r="H162">
            <v>0</v>
          </cell>
        </row>
        <row r="163">
          <cell r="B163">
            <v>2223</v>
          </cell>
          <cell r="C163" t="str">
            <v>Childers; Clayton J</v>
          </cell>
          <cell r="D163" t="str">
            <v>1C</v>
          </cell>
          <cell r="E163" t="str">
            <v>IBEWOUT</v>
          </cell>
          <cell r="F163" t="str">
            <v>77</v>
          </cell>
          <cell r="G163" t="str">
            <v>8</v>
          </cell>
          <cell r="H163">
            <v>0</v>
          </cell>
        </row>
        <row r="164">
          <cell r="B164">
            <v>2243</v>
          </cell>
          <cell r="C164" t="str">
            <v>Brown; Kevin C.</v>
          </cell>
          <cell r="D164" t="str">
            <v>1C</v>
          </cell>
          <cell r="E164" t="str">
            <v>IBEWOUT</v>
          </cell>
          <cell r="F164" t="str">
            <v>1245</v>
          </cell>
          <cell r="G164" t="str">
            <v>7</v>
          </cell>
          <cell r="H164">
            <v>0</v>
          </cell>
        </row>
        <row r="165">
          <cell r="B165">
            <v>2262</v>
          </cell>
          <cell r="C165" t="str">
            <v>Brumfield; Kevin M</v>
          </cell>
          <cell r="D165" t="str">
            <v>1</v>
          </cell>
          <cell r="E165" t="str">
            <v>IBEWOUT</v>
          </cell>
          <cell r="F165" t="str">
            <v>125</v>
          </cell>
          <cell r="G165" t="str">
            <v>13</v>
          </cell>
          <cell r="H165">
            <v>0</v>
          </cell>
        </row>
        <row r="166">
          <cell r="B166">
            <v>2265</v>
          </cell>
          <cell r="C166" t="str">
            <v>Brothers; John W</v>
          </cell>
          <cell r="D166" t="str">
            <v>1C</v>
          </cell>
          <cell r="E166" t="str">
            <v/>
          </cell>
          <cell r="F166" t="str">
            <v/>
          </cell>
          <cell r="G166" t="str">
            <v/>
          </cell>
          <cell r="H166">
            <v>0</v>
          </cell>
        </row>
        <row r="167">
          <cell r="B167">
            <v>2268</v>
          </cell>
          <cell r="C167" t="str">
            <v>Brown; Richard R</v>
          </cell>
          <cell r="D167" t="str">
            <v>1C</v>
          </cell>
          <cell r="E167" t="str">
            <v>IBEWOUT</v>
          </cell>
          <cell r="F167" t="str">
            <v>126</v>
          </cell>
          <cell r="G167" t="str">
            <v>16</v>
          </cell>
          <cell r="H167">
            <v>0</v>
          </cell>
        </row>
        <row r="168">
          <cell r="B168">
            <v>2270</v>
          </cell>
          <cell r="C168" t="str">
            <v>Brown; Floyd W</v>
          </cell>
          <cell r="D168" t="str">
            <v>1C</v>
          </cell>
          <cell r="E168" t="str">
            <v>IBEWOUT</v>
          </cell>
          <cell r="F168" t="str">
            <v>769</v>
          </cell>
          <cell r="G168" t="str">
            <v>8</v>
          </cell>
          <cell r="H168">
            <v>0</v>
          </cell>
        </row>
        <row r="169">
          <cell r="B169">
            <v>2279</v>
          </cell>
          <cell r="C169" t="str">
            <v>Bruce; Carson L</v>
          </cell>
          <cell r="D169" t="str">
            <v>1C</v>
          </cell>
          <cell r="E169" t="str">
            <v>IBEWOUT</v>
          </cell>
          <cell r="F169" t="str">
            <v>1245</v>
          </cell>
          <cell r="G169" t="str">
            <v>7</v>
          </cell>
          <cell r="H169">
            <v>0</v>
          </cell>
        </row>
        <row r="170">
          <cell r="B170">
            <v>2341</v>
          </cell>
          <cell r="C170" t="str">
            <v>Buchanan; Jerrett S</v>
          </cell>
          <cell r="D170" t="str">
            <v>1C</v>
          </cell>
          <cell r="E170" t="str">
            <v>IBEWOUT</v>
          </cell>
          <cell r="F170" t="str">
            <v>125</v>
          </cell>
          <cell r="G170" t="str">
            <v>11</v>
          </cell>
          <cell r="H170">
            <v>0</v>
          </cell>
        </row>
        <row r="171">
          <cell r="B171">
            <v>2349</v>
          </cell>
          <cell r="C171" t="str">
            <v>Buelow; Jacob T.</v>
          </cell>
          <cell r="D171" t="str">
            <v>1</v>
          </cell>
          <cell r="E171" t="str">
            <v>IBEWOUT</v>
          </cell>
          <cell r="F171" t="str">
            <v>77</v>
          </cell>
          <cell r="G171" t="str">
            <v>8</v>
          </cell>
          <cell r="H171">
            <v>0</v>
          </cell>
        </row>
        <row r="172">
          <cell r="B172">
            <v>2356</v>
          </cell>
          <cell r="C172" t="str">
            <v>Bullard; Richard TL</v>
          </cell>
          <cell r="D172" t="str">
            <v>1</v>
          </cell>
          <cell r="E172" t="str">
            <v>IBEWOUT</v>
          </cell>
          <cell r="F172" t="str">
            <v>1245</v>
          </cell>
          <cell r="G172" t="str">
            <v>8</v>
          </cell>
          <cell r="H172">
            <v>0</v>
          </cell>
        </row>
        <row r="173">
          <cell r="B173">
            <v>2360</v>
          </cell>
          <cell r="C173" t="str">
            <v>Bunnell; Gregory L</v>
          </cell>
          <cell r="D173" t="str">
            <v>1C</v>
          </cell>
          <cell r="E173" t="str">
            <v>IBEWOUT</v>
          </cell>
          <cell r="F173" t="str">
            <v>1245</v>
          </cell>
          <cell r="G173" t="str">
            <v>8</v>
          </cell>
          <cell r="H173">
            <v>0</v>
          </cell>
        </row>
        <row r="174">
          <cell r="B174">
            <v>2365</v>
          </cell>
          <cell r="C174" t="str">
            <v>Burkhard; Christopher R</v>
          </cell>
          <cell r="D174" t="str">
            <v>1</v>
          </cell>
          <cell r="E174" t="str">
            <v>IBEWOUT</v>
          </cell>
          <cell r="F174" t="str">
            <v>611</v>
          </cell>
          <cell r="G174" t="str">
            <v>1</v>
          </cell>
          <cell r="H174">
            <v>0</v>
          </cell>
        </row>
        <row r="175">
          <cell r="B175">
            <v>2366</v>
          </cell>
          <cell r="C175" t="str">
            <v>Burchett; Justin D.</v>
          </cell>
          <cell r="D175" t="str">
            <v>1C</v>
          </cell>
          <cell r="E175" t="str">
            <v>IBEWOUT</v>
          </cell>
          <cell r="F175" t="str">
            <v>769</v>
          </cell>
          <cell r="G175" t="str">
            <v>15</v>
          </cell>
          <cell r="H175">
            <v>0</v>
          </cell>
        </row>
        <row r="176">
          <cell r="B176">
            <v>2379</v>
          </cell>
          <cell r="C176" t="str">
            <v>Bush; Jeffrey D</v>
          </cell>
          <cell r="D176" t="str">
            <v>1</v>
          </cell>
          <cell r="E176" t="str">
            <v>IBEWOUT</v>
          </cell>
          <cell r="F176" t="str">
            <v>1245</v>
          </cell>
          <cell r="G176" t="str">
            <v>8</v>
          </cell>
          <cell r="H176">
            <v>0</v>
          </cell>
        </row>
        <row r="177">
          <cell r="B177">
            <v>2380</v>
          </cell>
          <cell r="C177" t="str">
            <v>Bush; Jeffrey W.</v>
          </cell>
          <cell r="D177" t="str">
            <v>1C</v>
          </cell>
          <cell r="E177" t="str">
            <v>IBEWOUT</v>
          </cell>
          <cell r="F177" t="str">
            <v>769</v>
          </cell>
          <cell r="G177" t="str">
            <v>16</v>
          </cell>
          <cell r="H177">
            <v>0</v>
          </cell>
        </row>
        <row r="178">
          <cell r="B178">
            <v>2388</v>
          </cell>
          <cell r="C178" t="str">
            <v>Buswell; Gannon B.</v>
          </cell>
          <cell r="D178" t="str">
            <v>1</v>
          </cell>
          <cell r="E178" t="str">
            <v/>
          </cell>
          <cell r="F178" t="str">
            <v/>
          </cell>
          <cell r="G178" t="str">
            <v/>
          </cell>
          <cell r="H178">
            <v>1</v>
          </cell>
        </row>
        <row r="179">
          <cell r="B179">
            <v>2389</v>
          </cell>
          <cell r="C179" t="str">
            <v>Bustos; Anthony D</v>
          </cell>
          <cell r="D179" t="str">
            <v>1</v>
          </cell>
          <cell r="E179" t="str">
            <v>IBEWOUT</v>
          </cell>
          <cell r="F179" t="str">
            <v>611</v>
          </cell>
          <cell r="G179" t="str">
            <v>8</v>
          </cell>
          <cell r="H179">
            <v>0</v>
          </cell>
        </row>
        <row r="180">
          <cell r="B180">
            <v>2402</v>
          </cell>
          <cell r="C180" t="str">
            <v>Burt; Matthew P</v>
          </cell>
          <cell r="D180" t="str">
            <v>1C</v>
          </cell>
          <cell r="E180" t="str">
            <v>IBEWOUT</v>
          </cell>
          <cell r="F180" t="str">
            <v>47</v>
          </cell>
          <cell r="G180" t="str">
            <v>8</v>
          </cell>
          <cell r="H180">
            <v>0</v>
          </cell>
        </row>
        <row r="181">
          <cell r="B181">
            <v>2408</v>
          </cell>
          <cell r="C181" t="str">
            <v>Burnett; Eva M</v>
          </cell>
          <cell r="D181" t="str">
            <v>1C</v>
          </cell>
          <cell r="E181" t="str">
            <v>IBEWOUT</v>
          </cell>
          <cell r="F181" t="str">
            <v>47</v>
          </cell>
          <cell r="G181" t="str">
            <v>17</v>
          </cell>
          <cell r="H181">
            <v>0</v>
          </cell>
        </row>
        <row r="182">
          <cell r="B182">
            <v>2411</v>
          </cell>
          <cell r="C182" t="str">
            <v>Burnette; Mark S</v>
          </cell>
          <cell r="D182" t="str">
            <v>1</v>
          </cell>
          <cell r="E182" t="str">
            <v>IBEWIN</v>
          </cell>
          <cell r="F182" t="str">
            <v>73</v>
          </cell>
          <cell r="G182" t="str">
            <v>62</v>
          </cell>
          <cell r="H182">
            <v>0</v>
          </cell>
        </row>
        <row r="183">
          <cell r="B183">
            <v>2420</v>
          </cell>
          <cell r="C183" t="str">
            <v>Butcher; Kody A.</v>
          </cell>
          <cell r="D183" t="str">
            <v>1C</v>
          </cell>
          <cell r="E183" t="str">
            <v>IBEWOUT</v>
          </cell>
          <cell r="F183" t="str">
            <v>1319</v>
          </cell>
          <cell r="G183" t="str">
            <v>12</v>
          </cell>
          <cell r="H183">
            <v>0</v>
          </cell>
        </row>
        <row r="184">
          <cell r="B184">
            <v>2551</v>
          </cell>
          <cell r="C184" t="str">
            <v>Calahan; Stephen D</v>
          </cell>
          <cell r="D184" t="str">
            <v>1</v>
          </cell>
          <cell r="E184" t="str">
            <v>IBEWOUT</v>
          </cell>
          <cell r="F184" t="str">
            <v>47</v>
          </cell>
          <cell r="G184" t="str">
            <v>17</v>
          </cell>
          <cell r="H184">
            <v>0</v>
          </cell>
        </row>
        <row r="185">
          <cell r="B185">
            <v>2555</v>
          </cell>
          <cell r="C185" t="str">
            <v>Cain; Jonathan B</v>
          </cell>
          <cell r="D185" t="str">
            <v>1C</v>
          </cell>
          <cell r="E185" t="str">
            <v>IBEWOUT</v>
          </cell>
          <cell r="F185" t="str">
            <v>1245</v>
          </cell>
          <cell r="G185" t="str">
            <v>8</v>
          </cell>
          <cell r="H185">
            <v>0</v>
          </cell>
        </row>
        <row r="186">
          <cell r="B186">
            <v>2556</v>
          </cell>
          <cell r="C186" t="str">
            <v>Calhoun; Anthony R</v>
          </cell>
          <cell r="D186" t="str">
            <v>1C</v>
          </cell>
          <cell r="E186" t="str">
            <v>IBEWOUT</v>
          </cell>
          <cell r="F186" t="str">
            <v>1245</v>
          </cell>
          <cell r="G186" t="str">
            <v>8</v>
          </cell>
          <cell r="H186">
            <v>0</v>
          </cell>
        </row>
        <row r="187">
          <cell r="B187">
            <v>2557</v>
          </cell>
          <cell r="C187" t="str">
            <v>Caldwell; Shawn D.</v>
          </cell>
          <cell r="D187" t="str">
            <v>1</v>
          </cell>
          <cell r="E187" t="str">
            <v/>
          </cell>
          <cell r="F187" t="str">
            <v/>
          </cell>
          <cell r="G187" t="str">
            <v/>
          </cell>
          <cell r="H187">
            <v>1</v>
          </cell>
        </row>
        <row r="188">
          <cell r="B188">
            <v>2558</v>
          </cell>
          <cell r="C188" t="str">
            <v>Calvillo; Ramon C</v>
          </cell>
          <cell r="D188" t="str">
            <v>1C</v>
          </cell>
          <cell r="E188" t="str">
            <v>IBEWOUT</v>
          </cell>
          <cell r="F188" t="str">
            <v>47</v>
          </cell>
          <cell r="G188" t="str">
            <v>17</v>
          </cell>
          <cell r="H188">
            <v>0</v>
          </cell>
        </row>
        <row r="189">
          <cell r="B189">
            <v>2559</v>
          </cell>
          <cell r="C189" t="str">
            <v>Caldwell; Brian J</v>
          </cell>
          <cell r="D189" t="str">
            <v>1C</v>
          </cell>
          <cell r="E189" t="str">
            <v>IBEWOUT</v>
          </cell>
          <cell r="F189" t="str">
            <v>104</v>
          </cell>
          <cell r="G189" t="str">
            <v>8</v>
          </cell>
          <cell r="H189">
            <v>0</v>
          </cell>
        </row>
        <row r="190">
          <cell r="B190">
            <v>2560</v>
          </cell>
          <cell r="C190" t="str">
            <v>Cage; Cody M</v>
          </cell>
          <cell r="D190" t="str">
            <v>1C</v>
          </cell>
          <cell r="E190" t="str">
            <v>IBEWOUT</v>
          </cell>
          <cell r="F190" t="str">
            <v>1245</v>
          </cell>
          <cell r="G190" t="str">
            <v>8</v>
          </cell>
          <cell r="H190">
            <v>0</v>
          </cell>
        </row>
        <row r="191">
          <cell r="B191">
            <v>2561</v>
          </cell>
          <cell r="C191" t="str">
            <v>Caldwell; Randy C</v>
          </cell>
          <cell r="D191" t="str">
            <v>1C</v>
          </cell>
          <cell r="E191" t="str">
            <v>IBEWOUT</v>
          </cell>
          <cell r="F191" t="str">
            <v>1245</v>
          </cell>
          <cell r="G191" t="str">
            <v>8</v>
          </cell>
          <cell r="H191">
            <v>0</v>
          </cell>
        </row>
        <row r="192">
          <cell r="B192">
            <v>2563</v>
          </cell>
          <cell r="C192" t="str">
            <v>Canal; Adam</v>
          </cell>
          <cell r="D192" t="str">
            <v>1C</v>
          </cell>
          <cell r="E192" t="str">
            <v>IBEWOUT</v>
          </cell>
          <cell r="F192" t="str">
            <v>1245</v>
          </cell>
          <cell r="G192" t="str">
            <v>17</v>
          </cell>
          <cell r="H192">
            <v>0</v>
          </cell>
        </row>
        <row r="193">
          <cell r="B193">
            <v>2564</v>
          </cell>
          <cell r="C193" t="str">
            <v>Camp; Travis D</v>
          </cell>
          <cell r="D193" t="str">
            <v>1</v>
          </cell>
          <cell r="E193" t="str">
            <v>IBEWOUT</v>
          </cell>
          <cell r="F193" t="str">
            <v>77</v>
          </cell>
          <cell r="G193" t="str">
            <v>8</v>
          </cell>
          <cell r="H193">
            <v>0</v>
          </cell>
        </row>
        <row r="194">
          <cell r="B194">
            <v>2572</v>
          </cell>
          <cell r="C194" t="str">
            <v>Carbajal Jr.; Robert E</v>
          </cell>
          <cell r="D194" t="str">
            <v>1C</v>
          </cell>
          <cell r="E194" t="str">
            <v>IBEWOUT</v>
          </cell>
          <cell r="F194" t="str">
            <v>47</v>
          </cell>
          <cell r="G194" t="str">
            <v>8</v>
          </cell>
          <cell r="H194">
            <v>0</v>
          </cell>
        </row>
        <row r="195">
          <cell r="B195">
            <v>2575</v>
          </cell>
          <cell r="C195" t="str">
            <v>Carlon; Ramy M.</v>
          </cell>
          <cell r="D195" t="str">
            <v>1C</v>
          </cell>
          <cell r="E195" t="str">
            <v>IBEWOUT</v>
          </cell>
          <cell r="F195" t="str">
            <v>769</v>
          </cell>
          <cell r="G195" t="str">
            <v>20</v>
          </cell>
          <cell r="H195">
            <v>0</v>
          </cell>
        </row>
        <row r="196">
          <cell r="B196">
            <v>2584</v>
          </cell>
          <cell r="C196" t="str">
            <v>Campas; Abdullah J.</v>
          </cell>
          <cell r="D196" t="str">
            <v>1C</v>
          </cell>
          <cell r="E196" t="str">
            <v>IBEWOUT</v>
          </cell>
          <cell r="F196" t="str">
            <v>769</v>
          </cell>
          <cell r="G196" t="str">
            <v>13</v>
          </cell>
          <cell r="H196">
            <v>0</v>
          </cell>
        </row>
        <row r="197">
          <cell r="B197">
            <v>2591</v>
          </cell>
          <cell r="C197" t="str">
            <v>Camacho II; Christopher B</v>
          </cell>
          <cell r="D197" t="str">
            <v>1C</v>
          </cell>
          <cell r="E197" t="str">
            <v>IBEWOUT</v>
          </cell>
          <cell r="F197" t="str">
            <v>47</v>
          </cell>
          <cell r="G197" t="str">
            <v>13</v>
          </cell>
          <cell r="H197">
            <v>0</v>
          </cell>
        </row>
        <row r="198">
          <cell r="B198">
            <v>2597</v>
          </cell>
          <cell r="C198" t="str">
            <v>Campos; Hector A.</v>
          </cell>
          <cell r="D198" t="str">
            <v>1C</v>
          </cell>
          <cell r="E198" t="str">
            <v>IBEWOUT</v>
          </cell>
          <cell r="F198" t="str">
            <v>769</v>
          </cell>
          <cell r="G198" t="str">
            <v>16</v>
          </cell>
          <cell r="H198">
            <v>0</v>
          </cell>
        </row>
        <row r="199">
          <cell r="B199">
            <v>2613</v>
          </cell>
          <cell r="C199" t="str">
            <v>Carr; Grant R</v>
          </cell>
          <cell r="D199" t="str">
            <v>1</v>
          </cell>
          <cell r="E199" t="str">
            <v>IBEWOUT</v>
          </cell>
          <cell r="F199" t="str">
            <v>47</v>
          </cell>
          <cell r="G199" t="str">
            <v>17</v>
          </cell>
          <cell r="H199">
            <v>0</v>
          </cell>
        </row>
        <row r="200">
          <cell r="B200">
            <v>2616</v>
          </cell>
          <cell r="C200" t="str">
            <v>Carr; Jeffrey A</v>
          </cell>
          <cell r="D200" t="str">
            <v>1C</v>
          </cell>
          <cell r="E200" t="str">
            <v>IBEWOUT</v>
          </cell>
          <cell r="F200" t="str">
            <v>1245</v>
          </cell>
          <cell r="G200" t="str">
            <v>9</v>
          </cell>
          <cell r="H200">
            <v>0</v>
          </cell>
        </row>
        <row r="201">
          <cell r="B201">
            <v>2617</v>
          </cell>
          <cell r="C201" t="str">
            <v>Carlson; Dina M</v>
          </cell>
          <cell r="D201" t="str">
            <v>1</v>
          </cell>
          <cell r="E201" t="str">
            <v/>
          </cell>
          <cell r="F201" t="str">
            <v/>
          </cell>
          <cell r="G201" t="str">
            <v/>
          </cell>
          <cell r="H201">
            <v>1</v>
          </cell>
        </row>
        <row r="202">
          <cell r="B202">
            <v>2621</v>
          </cell>
          <cell r="C202" t="str">
            <v>Carlton; Ryan W</v>
          </cell>
          <cell r="D202" t="str">
            <v>1C</v>
          </cell>
          <cell r="E202" t="str">
            <v>IBEWOUT</v>
          </cell>
          <cell r="F202" t="str">
            <v>77</v>
          </cell>
          <cell r="G202" t="str">
            <v>8</v>
          </cell>
          <cell r="H202">
            <v>0</v>
          </cell>
        </row>
        <row r="203">
          <cell r="B203">
            <v>2622</v>
          </cell>
          <cell r="C203" t="str">
            <v>Carmona; Jonathan H</v>
          </cell>
          <cell r="D203" t="str">
            <v>1C</v>
          </cell>
          <cell r="E203" t="str">
            <v>IBEWOUT</v>
          </cell>
          <cell r="F203" t="str">
            <v>1245</v>
          </cell>
          <cell r="G203" t="str">
            <v>17</v>
          </cell>
          <cell r="H203">
            <v>0</v>
          </cell>
        </row>
        <row r="204">
          <cell r="B204">
            <v>2623</v>
          </cell>
          <cell r="C204" t="str">
            <v>Carrillo; Kylie Dianne</v>
          </cell>
          <cell r="D204" t="str">
            <v>1C</v>
          </cell>
          <cell r="E204" t="str">
            <v/>
          </cell>
          <cell r="F204" t="str">
            <v/>
          </cell>
          <cell r="G204" t="str">
            <v/>
          </cell>
          <cell r="H204">
            <v>0</v>
          </cell>
        </row>
        <row r="205">
          <cell r="B205">
            <v>2626</v>
          </cell>
          <cell r="C205" t="str">
            <v>Carstensen; Joshua J</v>
          </cell>
          <cell r="D205" t="str">
            <v>1C</v>
          </cell>
          <cell r="E205" t="str">
            <v>IBEWOUT</v>
          </cell>
          <cell r="F205" t="str">
            <v>769</v>
          </cell>
          <cell r="G205" t="str">
            <v>8</v>
          </cell>
          <cell r="H205">
            <v>0</v>
          </cell>
        </row>
        <row r="206">
          <cell r="B206">
            <v>2627</v>
          </cell>
          <cell r="C206" t="str">
            <v>Carter; Andrew R.</v>
          </cell>
          <cell r="D206" t="str">
            <v>1C</v>
          </cell>
          <cell r="E206" t="str">
            <v/>
          </cell>
          <cell r="F206" t="str">
            <v/>
          </cell>
          <cell r="G206" t="str">
            <v/>
          </cell>
          <cell r="H206">
            <v>0</v>
          </cell>
        </row>
        <row r="207">
          <cell r="B207">
            <v>2628</v>
          </cell>
          <cell r="C207" t="str">
            <v>Carter; Craig A</v>
          </cell>
          <cell r="D207" t="str">
            <v>1C</v>
          </cell>
          <cell r="E207" t="str">
            <v>IBEWOUT</v>
          </cell>
          <cell r="F207" t="str">
            <v>602R</v>
          </cell>
          <cell r="G207" t="str">
            <v>10T</v>
          </cell>
          <cell r="H207">
            <v>0</v>
          </cell>
        </row>
        <row r="208">
          <cell r="B208">
            <v>2629</v>
          </cell>
          <cell r="C208" t="str">
            <v>Carrera; Jason E</v>
          </cell>
          <cell r="D208" t="str">
            <v>1</v>
          </cell>
          <cell r="E208" t="str">
            <v>IBEWOUT</v>
          </cell>
          <cell r="F208" t="str">
            <v>769</v>
          </cell>
          <cell r="G208" t="str">
            <v>12</v>
          </cell>
          <cell r="H208">
            <v>0</v>
          </cell>
        </row>
        <row r="209">
          <cell r="B209">
            <v>2630</v>
          </cell>
          <cell r="C209" t="str">
            <v>Carranza; Andrew M</v>
          </cell>
          <cell r="D209" t="str">
            <v>1</v>
          </cell>
          <cell r="E209" t="str">
            <v>IBEWOUT</v>
          </cell>
          <cell r="F209" t="str">
            <v>47</v>
          </cell>
          <cell r="G209" t="str">
            <v>17</v>
          </cell>
          <cell r="H209">
            <v>0</v>
          </cell>
        </row>
        <row r="210">
          <cell r="B210">
            <v>2631</v>
          </cell>
          <cell r="C210" t="str">
            <v>Carter; Richard Ashley</v>
          </cell>
          <cell r="D210" t="str">
            <v>1</v>
          </cell>
          <cell r="E210" t="str">
            <v/>
          </cell>
          <cell r="F210" t="str">
            <v/>
          </cell>
          <cell r="G210" t="str">
            <v/>
          </cell>
          <cell r="H210">
            <v>0</v>
          </cell>
        </row>
        <row r="211">
          <cell r="B211">
            <v>2634</v>
          </cell>
          <cell r="C211" t="str">
            <v>Case; Kory V</v>
          </cell>
          <cell r="D211" t="str">
            <v>1</v>
          </cell>
          <cell r="E211" t="str">
            <v>IBEWOUT</v>
          </cell>
          <cell r="F211" t="str">
            <v>1245</v>
          </cell>
          <cell r="G211" t="str">
            <v>1</v>
          </cell>
          <cell r="H211">
            <v>0</v>
          </cell>
        </row>
        <row r="212">
          <cell r="B212">
            <v>2635</v>
          </cell>
          <cell r="C212" t="str">
            <v>Case; Scott R</v>
          </cell>
          <cell r="D212" t="str">
            <v>1C</v>
          </cell>
          <cell r="E212" t="str">
            <v>IBEWOUT</v>
          </cell>
          <cell r="F212" t="str">
            <v>47</v>
          </cell>
          <cell r="G212" t="str">
            <v>8</v>
          </cell>
          <cell r="H212">
            <v>0</v>
          </cell>
        </row>
        <row r="213">
          <cell r="B213">
            <v>2637</v>
          </cell>
          <cell r="C213" t="str">
            <v>Casey; Justin B</v>
          </cell>
          <cell r="D213" t="str">
            <v>1C</v>
          </cell>
          <cell r="E213" t="str">
            <v>IBEWOUT</v>
          </cell>
          <cell r="F213" t="str">
            <v>1245</v>
          </cell>
          <cell r="G213" t="str">
            <v>12</v>
          </cell>
          <cell r="H213">
            <v>0</v>
          </cell>
        </row>
        <row r="214">
          <cell r="B214">
            <v>2638</v>
          </cell>
          <cell r="C214" t="str">
            <v>Cashman; William Brady</v>
          </cell>
          <cell r="D214" t="str">
            <v>1C</v>
          </cell>
          <cell r="E214" t="str">
            <v/>
          </cell>
          <cell r="F214" t="str">
            <v/>
          </cell>
          <cell r="G214" t="str">
            <v/>
          </cell>
          <cell r="H214">
            <v>0</v>
          </cell>
        </row>
        <row r="215">
          <cell r="B215">
            <v>2640</v>
          </cell>
          <cell r="C215" t="str">
            <v>Cavanaugh; Thomas</v>
          </cell>
          <cell r="D215" t="str">
            <v>1C</v>
          </cell>
          <cell r="E215" t="str">
            <v>IBEWOUT</v>
          </cell>
          <cell r="F215" t="str">
            <v>104</v>
          </cell>
          <cell r="G215" t="str">
            <v>33</v>
          </cell>
          <cell r="H215">
            <v>0</v>
          </cell>
        </row>
        <row r="216">
          <cell r="B216">
            <v>2641</v>
          </cell>
          <cell r="C216" t="str">
            <v>Caves; Dustan L</v>
          </cell>
          <cell r="D216" t="str">
            <v>1C</v>
          </cell>
          <cell r="E216" t="str">
            <v>IBEWOUT</v>
          </cell>
          <cell r="F216" t="str">
            <v>602R</v>
          </cell>
          <cell r="G216" t="str">
            <v>8</v>
          </cell>
          <cell r="H216">
            <v>0</v>
          </cell>
        </row>
        <row r="217">
          <cell r="B217">
            <v>2643</v>
          </cell>
          <cell r="C217" t="str">
            <v>Cedillo; Ceasar A</v>
          </cell>
          <cell r="D217" t="str">
            <v>1C</v>
          </cell>
          <cell r="E217" t="str">
            <v>IBEWOUT</v>
          </cell>
          <cell r="F217" t="str">
            <v>47</v>
          </cell>
          <cell r="G217" t="str">
            <v>15</v>
          </cell>
          <cell r="H217">
            <v>0</v>
          </cell>
        </row>
        <row r="218">
          <cell r="B218">
            <v>2645</v>
          </cell>
          <cell r="C218" t="str">
            <v>Cervantez; Fabian</v>
          </cell>
          <cell r="D218" t="str">
            <v>1</v>
          </cell>
          <cell r="E218" t="str">
            <v>IBEWOUT</v>
          </cell>
          <cell r="F218" t="str">
            <v>1245</v>
          </cell>
          <cell r="G218" t="str">
            <v>13</v>
          </cell>
          <cell r="H218">
            <v>0</v>
          </cell>
        </row>
        <row r="219">
          <cell r="B219">
            <v>2646</v>
          </cell>
          <cell r="C219" t="str">
            <v>Castillo; Rudy Remigio</v>
          </cell>
          <cell r="D219" t="str">
            <v>1C</v>
          </cell>
          <cell r="E219" t="str">
            <v>IBEWOUT</v>
          </cell>
          <cell r="F219" t="str">
            <v>47</v>
          </cell>
          <cell r="G219" t="str">
            <v>8</v>
          </cell>
          <cell r="H219">
            <v>0</v>
          </cell>
        </row>
        <row r="220">
          <cell r="B220">
            <v>2647</v>
          </cell>
          <cell r="C220" t="str">
            <v>Castellon; Luis R</v>
          </cell>
          <cell r="D220" t="str">
            <v>1C</v>
          </cell>
          <cell r="E220" t="str">
            <v>IBEWOUT</v>
          </cell>
          <cell r="F220" t="str">
            <v>1245</v>
          </cell>
          <cell r="G220" t="str">
            <v>17</v>
          </cell>
          <cell r="H220">
            <v>0</v>
          </cell>
        </row>
        <row r="221">
          <cell r="B221">
            <v>2652</v>
          </cell>
          <cell r="C221" t="str">
            <v>Catlin; Jeffrey A</v>
          </cell>
          <cell r="D221" t="str">
            <v>1C</v>
          </cell>
          <cell r="E221" t="str">
            <v>IBEWOUT</v>
          </cell>
          <cell r="F221" t="str">
            <v>1245</v>
          </cell>
          <cell r="G221" t="str">
            <v>16</v>
          </cell>
          <cell r="H221">
            <v>0</v>
          </cell>
        </row>
        <row r="222">
          <cell r="B222">
            <v>2653</v>
          </cell>
          <cell r="C222" t="str">
            <v>Campbell; Aaron D</v>
          </cell>
          <cell r="D222" t="str">
            <v>1C</v>
          </cell>
          <cell r="E222" t="str">
            <v>IBEWOUT</v>
          </cell>
          <cell r="F222" t="str">
            <v>77</v>
          </cell>
          <cell r="G222" t="str">
            <v>8</v>
          </cell>
          <cell r="H222">
            <v>0</v>
          </cell>
        </row>
        <row r="223">
          <cell r="B223">
            <v>2658</v>
          </cell>
          <cell r="C223" t="str">
            <v>Casey; Austin J</v>
          </cell>
          <cell r="D223" t="str">
            <v>1C</v>
          </cell>
          <cell r="E223" t="str">
            <v/>
          </cell>
          <cell r="F223" t="str">
            <v/>
          </cell>
          <cell r="G223" t="str">
            <v/>
          </cell>
          <cell r="H223">
            <v>1</v>
          </cell>
        </row>
        <row r="224">
          <cell r="B224">
            <v>2662</v>
          </cell>
          <cell r="C224" t="str">
            <v>Castle; Nicholas C.</v>
          </cell>
          <cell r="D224" t="str">
            <v>1C</v>
          </cell>
          <cell r="E224" t="str">
            <v>IBEWOUT</v>
          </cell>
          <cell r="F224" t="str">
            <v>47</v>
          </cell>
          <cell r="G224" t="str">
            <v>8</v>
          </cell>
          <cell r="H224">
            <v>0</v>
          </cell>
        </row>
        <row r="225">
          <cell r="B225">
            <v>2663</v>
          </cell>
          <cell r="C225" t="str">
            <v>Cerenzia; Kurk M</v>
          </cell>
          <cell r="D225" t="str">
            <v>1C</v>
          </cell>
          <cell r="E225" t="str">
            <v>IBEWOUT</v>
          </cell>
          <cell r="F225" t="str">
            <v>77</v>
          </cell>
          <cell r="G225" t="str">
            <v>8</v>
          </cell>
          <cell r="H225">
            <v>0</v>
          </cell>
        </row>
        <row r="226">
          <cell r="B226">
            <v>2670</v>
          </cell>
          <cell r="C226" t="str">
            <v>Cartwright; Brandon J</v>
          </cell>
          <cell r="D226" t="str">
            <v>1C</v>
          </cell>
          <cell r="E226" t="str">
            <v>IBEWOUT</v>
          </cell>
          <cell r="F226" t="str">
            <v>1245</v>
          </cell>
          <cell r="G226" t="str">
            <v>8</v>
          </cell>
          <cell r="H226">
            <v>0</v>
          </cell>
        </row>
        <row r="227">
          <cell r="B227">
            <v>2707</v>
          </cell>
          <cell r="C227" t="str">
            <v>Champion; Rusty D.</v>
          </cell>
          <cell r="D227" t="str">
            <v>1C</v>
          </cell>
          <cell r="E227" t="str">
            <v>IBEWOUT</v>
          </cell>
          <cell r="F227" t="str">
            <v>47</v>
          </cell>
          <cell r="G227" t="str">
            <v>17</v>
          </cell>
          <cell r="H227">
            <v>0</v>
          </cell>
        </row>
        <row r="228">
          <cell r="B228">
            <v>2709</v>
          </cell>
          <cell r="C228" t="str">
            <v>Champagne; Ronald R</v>
          </cell>
          <cell r="D228" t="str">
            <v>1C</v>
          </cell>
          <cell r="E228" t="str">
            <v>IBEWOUT</v>
          </cell>
          <cell r="F228" t="str">
            <v>47</v>
          </cell>
          <cell r="G228" t="str">
            <v>8</v>
          </cell>
          <cell r="H228">
            <v>0</v>
          </cell>
        </row>
        <row r="229">
          <cell r="B229">
            <v>2715</v>
          </cell>
          <cell r="C229" t="str">
            <v>Cheatham; Daryl T.</v>
          </cell>
          <cell r="D229" t="str">
            <v>1C</v>
          </cell>
          <cell r="E229" t="str">
            <v>IBEWOUT</v>
          </cell>
          <cell r="F229" t="str">
            <v>47</v>
          </cell>
          <cell r="G229" t="str">
            <v>8</v>
          </cell>
          <cell r="H229">
            <v>0</v>
          </cell>
        </row>
        <row r="230">
          <cell r="B230">
            <v>2718</v>
          </cell>
          <cell r="C230" t="str">
            <v>Chew; Seth D</v>
          </cell>
          <cell r="D230" t="str">
            <v>1C</v>
          </cell>
          <cell r="E230" t="str">
            <v>IBEWOUT</v>
          </cell>
          <cell r="F230" t="str">
            <v>1245</v>
          </cell>
          <cell r="G230" t="str">
            <v>8</v>
          </cell>
          <cell r="H230">
            <v>0</v>
          </cell>
        </row>
        <row r="231">
          <cell r="B231">
            <v>2722</v>
          </cell>
          <cell r="C231" t="str">
            <v>Chennault; Jacob</v>
          </cell>
          <cell r="D231" t="str">
            <v>1C</v>
          </cell>
          <cell r="E231" t="str">
            <v>IBEWOUT</v>
          </cell>
          <cell r="F231" t="str">
            <v>1245</v>
          </cell>
          <cell r="G231" t="str">
            <v>8</v>
          </cell>
          <cell r="H231">
            <v>0</v>
          </cell>
        </row>
        <row r="232">
          <cell r="B232">
            <v>2724</v>
          </cell>
          <cell r="C232" t="str">
            <v>Choron; Romuald Laurent</v>
          </cell>
          <cell r="D232" t="str">
            <v>1C</v>
          </cell>
          <cell r="E232" t="str">
            <v>IBEWOUT</v>
          </cell>
          <cell r="F232" t="str">
            <v>1245</v>
          </cell>
          <cell r="G232" t="str">
            <v>8</v>
          </cell>
          <cell r="H232">
            <v>0</v>
          </cell>
        </row>
        <row r="233">
          <cell r="B233">
            <v>2726</v>
          </cell>
          <cell r="C233" t="str">
            <v>Ciddio; Perez L</v>
          </cell>
          <cell r="D233" t="str">
            <v>1C</v>
          </cell>
          <cell r="E233" t="str">
            <v>IBEWOUT</v>
          </cell>
          <cell r="F233" t="str">
            <v>611</v>
          </cell>
          <cell r="G233" t="str">
            <v>1</v>
          </cell>
          <cell r="H233">
            <v>0</v>
          </cell>
        </row>
        <row r="234">
          <cell r="B234">
            <v>2751</v>
          </cell>
          <cell r="C234" t="str">
            <v>Clark; Benjamin F</v>
          </cell>
          <cell r="D234" t="str">
            <v>1C</v>
          </cell>
          <cell r="E234" t="str">
            <v>IBEWOUT</v>
          </cell>
          <cell r="F234" t="str">
            <v>1245</v>
          </cell>
          <cell r="G234" t="str">
            <v>8</v>
          </cell>
          <cell r="H234">
            <v>0</v>
          </cell>
        </row>
        <row r="235">
          <cell r="B235">
            <v>2753</v>
          </cell>
          <cell r="C235" t="str">
            <v>Clardy; Ryan R</v>
          </cell>
          <cell r="D235" t="str">
            <v>1C</v>
          </cell>
          <cell r="E235" t="str">
            <v>IBEWOUT</v>
          </cell>
          <cell r="F235" t="str">
            <v>602R</v>
          </cell>
          <cell r="G235" t="str">
            <v>8</v>
          </cell>
          <cell r="H235">
            <v>0</v>
          </cell>
        </row>
        <row r="236">
          <cell r="B236">
            <v>2757</v>
          </cell>
          <cell r="C236" t="str">
            <v>Clark; Milton Jay</v>
          </cell>
          <cell r="D236" t="str">
            <v>1</v>
          </cell>
          <cell r="E236" t="str">
            <v>IBEWOUT</v>
          </cell>
          <cell r="F236" t="str">
            <v>47</v>
          </cell>
          <cell r="G236" t="str">
            <v>1</v>
          </cell>
          <cell r="H236">
            <v>0</v>
          </cell>
        </row>
        <row r="237">
          <cell r="B237">
            <v>2761</v>
          </cell>
          <cell r="C237" t="str">
            <v>Cline; Luke Gordon</v>
          </cell>
          <cell r="D237" t="str">
            <v>1</v>
          </cell>
          <cell r="E237" t="str">
            <v>IBEWOUT</v>
          </cell>
          <cell r="F237" t="str">
            <v>47</v>
          </cell>
          <cell r="G237" t="str">
            <v>7</v>
          </cell>
          <cell r="H237">
            <v>0</v>
          </cell>
        </row>
        <row r="238">
          <cell r="B238">
            <v>2790</v>
          </cell>
          <cell r="C238" t="str">
            <v>Clawson; Robert R.</v>
          </cell>
          <cell r="D238" t="str">
            <v>1C</v>
          </cell>
          <cell r="E238" t="str">
            <v>IBEWOUT</v>
          </cell>
          <cell r="F238" t="str">
            <v>1245</v>
          </cell>
          <cell r="G238" t="str">
            <v>8</v>
          </cell>
          <cell r="H238">
            <v>0</v>
          </cell>
        </row>
        <row r="239">
          <cell r="B239">
            <v>2796</v>
          </cell>
          <cell r="C239" t="str">
            <v>Clay Jr.; Michael R.</v>
          </cell>
          <cell r="D239" t="str">
            <v>1C</v>
          </cell>
          <cell r="E239" t="str">
            <v>IBEWOUT</v>
          </cell>
          <cell r="F239" t="str">
            <v>47</v>
          </cell>
          <cell r="G239" t="str">
            <v>8</v>
          </cell>
          <cell r="H239">
            <v>0</v>
          </cell>
        </row>
        <row r="240">
          <cell r="B240">
            <v>2798</v>
          </cell>
          <cell r="C240" t="str">
            <v>Chesser; Ronnie E</v>
          </cell>
          <cell r="D240" t="str">
            <v>1</v>
          </cell>
          <cell r="E240" t="str">
            <v>IBEWOUT</v>
          </cell>
          <cell r="F240" t="str">
            <v>70</v>
          </cell>
          <cell r="G240" t="str">
            <v>7</v>
          </cell>
          <cell r="H240">
            <v>0</v>
          </cell>
        </row>
        <row r="241">
          <cell r="B241">
            <v>2802</v>
          </cell>
          <cell r="C241" t="str">
            <v>Clements; Joshua J.</v>
          </cell>
          <cell r="D241" t="str">
            <v>1</v>
          </cell>
          <cell r="E241" t="str">
            <v>IBEWOUT</v>
          </cell>
          <cell r="F241" t="str">
            <v>77</v>
          </cell>
          <cell r="G241" t="str">
            <v>7</v>
          </cell>
          <cell r="H241">
            <v>0</v>
          </cell>
        </row>
        <row r="242">
          <cell r="B242">
            <v>2803</v>
          </cell>
          <cell r="C242" t="str">
            <v>Chandler; Allen L</v>
          </cell>
          <cell r="D242" t="str">
            <v>1C</v>
          </cell>
          <cell r="E242" t="str">
            <v>IBEWOUT</v>
          </cell>
          <cell r="F242" t="str">
            <v>77</v>
          </cell>
          <cell r="G242" t="str">
            <v>17</v>
          </cell>
          <cell r="H242">
            <v>0</v>
          </cell>
        </row>
        <row r="243">
          <cell r="B243">
            <v>2805</v>
          </cell>
          <cell r="C243" t="str">
            <v>Chavez; Eugene G</v>
          </cell>
          <cell r="D243" t="str">
            <v>1C</v>
          </cell>
          <cell r="E243" t="str">
            <v>IBEWOUT</v>
          </cell>
          <cell r="F243" t="str">
            <v>611</v>
          </cell>
          <cell r="G243" t="str">
            <v>17</v>
          </cell>
          <cell r="H243">
            <v>0</v>
          </cell>
        </row>
        <row r="244">
          <cell r="B244">
            <v>2807</v>
          </cell>
          <cell r="C244" t="str">
            <v>Chavez Herrara; Jared</v>
          </cell>
          <cell r="D244" t="str">
            <v>1C</v>
          </cell>
          <cell r="E244" t="str">
            <v/>
          </cell>
          <cell r="F244" t="str">
            <v/>
          </cell>
          <cell r="G244" t="str">
            <v/>
          </cell>
          <cell r="H244">
            <v>0</v>
          </cell>
        </row>
        <row r="245">
          <cell r="B245">
            <v>2811</v>
          </cell>
          <cell r="C245" t="str">
            <v>Chantry; Justin L</v>
          </cell>
          <cell r="D245" t="str">
            <v>1</v>
          </cell>
          <cell r="E245" t="str">
            <v>IBEWOUT</v>
          </cell>
          <cell r="F245" t="str">
            <v>77</v>
          </cell>
          <cell r="G245" t="str">
            <v>8</v>
          </cell>
          <cell r="H245">
            <v>0</v>
          </cell>
        </row>
        <row r="246">
          <cell r="B246">
            <v>2815</v>
          </cell>
          <cell r="C246" t="str">
            <v>Christopherson; Stephanie M</v>
          </cell>
          <cell r="D246" t="str">
            <v>1</v>
          </cell>
          <cell r="E246" t="str">
            <v/>
          </cell>
          <cell r="F246" t="str">
            <v/>
          </cell>
          <cell r="G246" t="str">
            <v/>
          </cell>
          <cell r="H246">
            <v>1</v>
          </cell>
        </row>
        <row r="247">
          <cell r="B247">
            <v>2816</v>
          </cell>
          <cell r="C247" t="str">
            <v>Christopherson; Isaac Jo</v>
          </cell>
          <cell r="D247" t="str">
            <v>1</v>
          </cell>
          <cell r="E247" t="str">
            <v>IBEWOUT</v>
          </cell>
          <cell r="F247" t="str">
            <v>125</v>
          </cell>
          <cell r="G247" t="str">
            <v>1</v>
          </cell>
          <cell r="H247">
            <v>0</v>
          </cell>
        </row>
        <row r="248">
          <cell r="B248">
            <v>2817</v>
          </cell>
          <cell r="C248" t="str">
            <v>Christie; John Vincent</v>
          </cell>
          <cell r="D248" t="str">
            <v>1C</v>
          </cell>
          <cell r="E248" t="str">
            <v>IBEWOUT</v>
          </cell>
          <cell r="F248" t="str">
            <v>769</v>
          </cell>
          <cell r="G248" t="str">
            <v>8</v>
          </cell>
          <cell r="H248">
            <v>0</v>
          </cell>
        </row>
        <row r="249">
          <cell r="B249">
            <v>2822</v>
          </cell>
          <cell r="C249" t="str">
            <v>Chaves Jr; Arthur R</v>
          </cell>
          <cell r="D249" t="str">
            <v>1C</v>
          </cell>
          <cell r="E249" t="str">
            <v>IBEWOUT</v>
          </cell>
          <cell r="F249" t="str">
            <v>47</v>
          </cell>
          <cell r="G249" t="str">
            <v>17</v>
          </cell>
          <cell r="H249">
            <v>0</v>
          </cell>
        </row>
        <row r="250">
          <cell r="B250">
            <v>2830</v>
          </cell>
          <cell r="C250" t="str">
            <v>Christensen; Shane M</v>
          </cell>
          <cell r="D250" t="str">
            <v>1</v>
          </cell>
          <cell r="E250" t="str">
            <v>IBEWOUT</v>
          </cell>
          <cell r="F250" t="str">
            <v>47</v>
          </cell>
          <cell r="G250" t="str">
            <v>1</v>
          </cell>
          <cell r="H250">
            <v>0</v>
          </cell>
        </row>
        <row r="251">
          <cell r="B251">
            <v>2834</v>
          </cell>
          <cell r="C251" t="str">
            <v>Clause; Jason James</v>
          </cell>
          <cell r="D251" t="str">
            <v>1C</v>
          </cell>
          <cell r="E251" t="str">
            <v>IBEWOUT</v>
          </cell>
          <cell r="F251" t="str">
            <v>1245</v>
          </cell>
          <cell r="G251" t="str">
            <v>8</v>
          </cell>
          <cell r="H251">
            <v>0</v>
          </cell>
        </row>
        <row r="252">
          <cell r="B252">
            <v>2856</v>
          </cell>
          <cell r="C252" t="str">
            <v>Collins; John C</v>
          </cell>
          <cell r="D252" t="str">
            <v>1C</v>
          </cell>
          <cell r="E252" t="str">
            <v/>
          </cell>
          <cell r="F252" t="str">
            <v/>
          </cell>
          <cell r="G252" t="str">
            <v/>
          </cell>
          <cell r="H252">
            <v>0</v>
          </cell>
        </row>
        <row r="253">
          <cell r="B253">
            <v>2881</v>
          </cell>
          <cell r="C253" t="str">
            <v>Conner; Michael Joseph</v>
          </cell>
          <cell r="D253" t="str">
            <v>1C</v>
          </cell>
          <cell r="E253" t="str">
            <v>IBEWOUT</v>
          </cell>
          <cell r="F253" t="str">
            <v>47</v>
          </cell>
          <cell r="G253" t="str">
            <v>16</v>
          </cell>
          <cell r="H253">
            <v>0</v>
          </cell>
        </row>
        <row r="254">
          <cell r="B254">
            <v>2884</v>
          </cell>
          <cell r="C254" t="str">
            <v>Cohen; Steven J</v>
          </cell>
          <cell r="D254" t="str">
            <v>1C</v>
          </cell>
          <cell r="E254" t="str">
            <v>OPERT ENG</v>
          </cell>
          <cell r="F254" t="str">
            <v>138</v>
          </cell>
          <cell r="G254" t="str">
            <v>34</v>
          </cell>
          <cell r="H254">
            <v>0</v>
          </cell>
        </row>
        <row r="255">
          <cell r="B255">
            <v>2885</v>
          </cell>
          <cell r="C255" t="str">
            <v>Coleman; David L</v>
          </cell>
          <cell r="D255" t="str">
            <v>1C</v>
          </cell>
          <cell r="E255" t="str">
            <v>IBEWOUT</v>
          </cell>
          <cell r="F255" t="str">
            <v>1245</v>
          </cell>
          <cell r="G255" t="str">
            <v>7</v>
          </cell>
          <cell r="H255">
            <v>0</v>
          </cell>
        </row>
        <row r="256">
          <cell r="B256">
            <v>2886</v>
          </cell>
          <cell r="C256" t="str">
            <v>Coleman; David Scott</v>
          </cell>
          <cell r="D256" t="str">
            <v>1C</v>
          </cell>
          <cell r="E256" t="str">
            <v>IBEWOUT</v>
          </cell>
          <cell r="F256" t="str">
            <v>769</v>
          </cell>
          <cell r="G256" t="str">
            <v>16</v>
          </cell>
          <cell r="H256">
            <v>0</v>
          </cell>
        </row>
        <row r="257">
          <cell r="B257">
            <v>2889</v>
          </cell>
          <cell r="C257" t="str">
            <v>Condoll; Brenton K.</v>
          </cell>
          <cell r="D257" t="str">
            <v>1C</v>
          </cell>
          <cell r="E257" t="str">
            <v>IBEWOUT</v>
          </cell>
          <cell r="F257" t="str">
            <v>769</v>
          </cell>
          <cell r="G257" t="str">
            <v>8</v>
          </cell>
          <cell r="H257">
            <v>0</v>
          </cell>
        </row>
        <row r="258">
          <cell r="B258">
            <v>2890</v>
          </cell>
          <cell r="C258" t="str">
            <v>Connor; Phillip A.</v>
          </cell>
          <cell r="D258" t="str">
            <v>1</v>
          </cell>
          <cell r="E258" t="str">
            <v/>
          </cell>
          <cell r="F258" t="str">
            <v/>
          </cell>
          <cell r="G258" t="str">
            <v/>
          </cell>
          <cell r="H258">
            <v>1</v>
          </cell>
        </row>
        <row r="259">
          <cell r="B259">
            <v>2893</v>
          </cell>
          <cell r="C259" t="str">
            <v>Churchman; Garyn M</v>
          </cell>
          <cell r="D259" t="str">
            <v>1C</v>
          </cell>
          <cell r="E259" t="str">
            <v>IBEWOUT</v>
          </cell>
          <cell r="F259" t="str">
            <v>77</v>
          </cell>
          <cell r="G259" t="str">
            <v>11</v>
          </cell>
          <cell r="H259">
            <v>0</v>
          </cell>
        </row>
        <row r="260">
          <cell r="B260">
            <v>2894</v>
          </cell>
          <cell r="C260" t="str">
            <v>Coffelt; Kenneth</v>
          </cell>
          <cell r="D260" t="str">
            <v>1C</v>
          </cell>
          <cell r="E260" t="str">
            <v/>
          </cell>
          <cell r="F260" t="str">
            <v/>
          </cell>
          <cell r="G260" t="str">
            <v/>
          </cell>
          <cell r="H260">
            <v>0</v>
          </cell>
        </row>
        <row r="261">
          <cell r="B261">
            <v>2897</v>
          </cell>
          <cell r="C261" t="str">
            <v>Conrad; Pamela A</v>
          </cell>
          <cell r="D261" t="str">
            <v>1C</v>
          </cell>
          <cell r="E261" t="str">
            <v>IBEWOUT</v>
          </cell>
          <cell r="F261" t="str">
            <v>769</v>
          </cell>
          <cell r="G261" t="str">
            <v>7</v>
          </cell>
          <cell r="H261">
            <v>0</v>
          </cell>
        </row>
        <row r="262">
          <cell r="B262">
            <v>2899</v>
          </cell>
          <cell r="C262" t="str">
            <v>Conrad; Thomas H</v>
          </cell>
          <cell r="D262" t="str">
            <v>1C</v>
          </cell>
          <cell r="E262" t="str">
            <v>IBEWOUT</v>
          </cell>
          <cell r="F262" t="str">
            <v>769</v>
          </cell>
          <cell r="G262" t="str">
            <v>7</v>
          </cell>
          <cell r="H262">
            <v>0</v>
          </cell>
        </row>
        <row r="263">
          <cell r="B263">
            <v>2902</v>
          </cell>
          <cell r="C263" t="str">
            <v>Colvin; Brian M</v>
          </cell>
          <cell r="D263" t="str">
            <v>1C</v>
          </cell>
          <cell r="E263" t="str">
            <v>IBEWOUT</v>
          </cell>
          <cell r="F263" t="str">
            <v>1245</v>
          </cell>
          <cell r="G263" t="str">
            <v>8</v>
          </cell>
          <cell r="H263">
            <v>0</v>
          </cell>
        </row>
        <row r="264">
          <cell r="B264">
            <v>2903</v>
          </cell>
          <cell r="C264" t="str">
            <v>Conde; Carleton John</v>
          </cell>
          <cell r="D264" t="str">
            <v>1C</v>
          </cell>
          <cell r="E264" t="str">
            <v>IBEWOUT</v>
          </cell>
          <cell r="F264" t="str">
            <v>769</v>
          </cell>
          <cell r="G264" t="str">
            <v>22</v>
          </cell>
          <cell r="H264">
            <v>0</v>
          </cell>
        </row>
        <row r="265">
          <cell r="B265">
            <v>2904</v>
          </cell>
          <cell r="C265" t="str">
            <v>Cole Jr.; William C.</v>
          </cell>
          <cell r="D265" t="str">
            <v>1C</v>
          </cell>
          <cell r="E265" t="str">
            <v/>
          </cell>
          <cell r="F265" t="str">
            <v/>
          </cell>
          <cell r="G265" t="str">
            <v/>
          </cell>
          <cell r="H265">
            <v>0</v>
          </cell>
        </row>
        <row r="266">
          <cell r="B266">
            <v>2905</v>
          </cell>
          <cell r="C266" t="str">
            <v>Cocotis; Shayne G.</v>
          </cell>
          <cell r="D266" t="str">
            <v>1C</v>
          </cell>
          <cell r="E266" t="str">
            <v>IBEWOUT</v>
          </cell>
          <cell r="F266" t="str">
            <v>1245</v>
          </cell>
          <cell r="G266" t="str">
            <v>14</v>
          </cell>
          <cell r="H266">
            <v>0</v>
          </cell>
        </row>
        <row r="267">
          <cell r="B267">
            <v>2909</v>
          </cell>
          <cell r="C267" t="str">
            <v>Comer; James S</v>
          </cell>
          <cell r="D267" t="str">
            <v>1C</v>
          </cell>
          <cell r="E267" t="str">
            <v>IBEWOUT</v>
          </cell>
          <cell r="F267" t="str">
            <v>1049</v>
          </cell>
          <cell r="G267" t="str">
            <v>8</v>
          </cell>
          <cell r="H267">
            <v>0</v>
          </cell>
        </row>
        <row r="268">
          <cell r="B268">
            <v>2975</v>
          </cell>
          <cell r="C268" t="str">
            <v>Coolbaugh; Brandon S.</v>
          </cell>
          <cell r="D268" t="str">
            <v>1C</v>
          </cell>
          <cell r="E268" t="str">
            <v>IBEWOUT</v>
          </cell>
          <cell r="F268" t="str">
            <v>1319</v>
          </cell>
          <cell r="G268" t="str">
            <v>12</v>
          </cell>
          <cell r="H268">
            <v>0</v>
          </cell>
        </row>
        <row r="269">
          <cell r="B269">
            <v>2978</v>
          </cell>
          <cell r="C269" t="str">
            <v>Coon; Kenneth W</v>
          </cell>
          <cell r="D269" t="str">
            <v>1</v>
          </cell>
          <cell r="E269" t="str">
            <v>IBEWOUT</v>
          </cell>
          <cell r="F269" t="str">
            <v>70</v>
          </cell>
          <cell r="G269" t="str">
            <v>60</v>
          </cell>
          <cell r="H269">
            <v>0</v>
          </cell>
        </row>
        <row r="270">
          <cell r="B270">
            <v>3002</v>
          </cell>
          <cell r="C270" t="str">
            <v>Cooper; Russell L</v>
          </cell>
          <cell r="D270" t="str">
            <v>1</v>
          </cell>
          <cell r="E270" t="str">
            <v/>
          </cell>
          <cell r="F270" t="str">
            <v/>
          </cell>
          <cell r="G270" t="str">
            <v/>
          </cell>
          <cell r="H270">
            <v>1</v>
          </cell>
        </row>
        <row r="271">
          <cell r="B271">
            <v>3004</v>
          </cell>
          <cell r="C271" t="str">
            <v>Cooper; Kelly D</v>
          </cell>
          <cell r="D271" t="str">
            <v>1C</v>
          </cell>
          <cell r="E271" t="str">
            <v>IBEWOUT</v>
          </cell>
          <cell r="F271" t="str">
            <v>1245</v>
          </cell>
          <cell r="G271" t="str">
            <v>17</v>
          </cell>
          <cell r="H271">
            <v>0</v>
          </cell>
        </row>
        <row r="272">
          <cell r="B272">
            <v>3010</v>
          </cell>
          <cell r="C272" t="str">
            <v>Copen; James R</v>
          </cell>
          <cell r="D272" t="str">
            <v>1C</v>
          </cell>
          <cell r="E272" t="str">
            <v>IBEWOUT</v>
          </cell>
          <cell r="F272" t="str">
            <v>1245</v>
          </cell>
          <cell r="G272" t="str">
            <v>8</v>
          </cell>
          <cell r="H272">
            <v>0</v>
          </cell>
        </row>
        <row r="273">
          <cell r="B273">
            <v>3020</v>
          </cell>
          <cell r="C273" t="str">
            <v>Corbin; Aaron</v>
          </cell>
          <cell r="D273" t="str">
            <v>1C</v>
          </cell>
          <cell r="E273" t="str">
            <v>IBEWOUT</v>
          </cell>
          <cell r="F273" t="str">
            <v>1245</v>
          </cell>
          <cell r="G273" t="str">
            <v>8</v>
          </cell>
          <cell r="H273">
            <v>0</v>
          </cell>
        </row>
        <row r="274">
          <cell r="B274">
            <v>3028</v>
          </cell>
          <cell r="C274" t="str">
            <v>Cornett; Michael J</v>
          </cell>
          <cell r="D274" t="str">
            <v>1C</v>
          </cell>
          <cell r="E274" t="str">
            <v>IBEWOUT</v>
          </cell>
          <cell r="F274" t="str">
            <v>47</v>
          </cell>
          <cell r="G274" t="str">
            <v>17</v>
          </cell>
          <cell r="H274">
            <v>0</v>
          </cell>
        </row>
        <row r="275">
          <cell r="B275">
            <v>3029</v>
          </cell>
          <cell r="C275" t="str">
            <v>Cordova; Stephen R</v>
          </cell>
          <cell r="D275" t="str">
            <v>1C</v>
          </cell>
          <cell r="E275" t="str">
            <v>IBEWOUT</v>
          </cell>
          <cell r="F275" t="str">
            <v>1245</v>
          </cell>
          <cell r="G275" t="str">
            <v>8</v>
          </cell>
          <cell r="H275">
            <v>0</v>
          </cell>
        </row>
        <row r="276">
          <cell r="B276">
            <v>3030</v>
          </cell>
          <cell r="C276" t="str">
            <v>Cordova; John J</v>
          </cell>
          <cell r="D276" t="str">
            <v>1C</v>
          </cell>
          <cell r="E276" t="str">
            <v>IBEWOUT</v>
          </cell>
          <cell r="F276" t="str">
            <v>602R</v>
          </cell>
          <cell r="G276" t="str">
            <v>8</v>
          </cell>
          <cell r="H276">
            <v>0</v>
          </cell>
        </row>
        <row r="277">
          <cell r="B277">
            <v>3034</v>
          </cell>
          <cell r="C277" t="str">
            <v>Corsetti; Michael A</v>
          </cell>
          <cell r="D277" t="str">
            <v>1C</v>
          </cell>
          <cell r="E277" t="str">
            <v>IBEWOUT</v>
          </cell>
          <cell r="F277" t="str">
            <v>126</v>
          </cell>
          <cell r="G277" t="str">
            <v>33</v>
          </cell>
          <cell r="H277">
            <v>0</v>
          </cell>
        </row>
        <row r="278">
          <cell r="B278">
            <v>3045</v>
          </cell>
          <cell r="C278" t="str">
            <v>Covey; Lawrence Peter</v>
          </cell>
          <cell r="D278" t="str">
            <v>1C</v>
          </cell>
          <cell r="E278" t="str">
            <v>IBEWOUT</v>
          </cell>
          <cell r="F278" t="str">
            <v>1245</v>
          </cell>
          <cell r="G278" t="str">
            <v>1</v>
          </cell>
          <cell r="H278">
            <v>0</v>
          </cell>
        </row>
        <row r="279">
          <cell r="B279">
            <v>3046</v>
          </cell>
          <cell r="C279" t="str">
            <v>Cozad; Joshua L</v>
          </cell>
          <cell r="D279" t="str">
            <v>1C</v>
          </cell>
          <cell r="E279" t="str">
            <v>IBEWOUT</v>
          </cell>
          <cell r="F279" t="str">
            <v>1245</v>
          </cell>
          <cell r="G279" t="str">
            <v>8</v>
          </cell>
          <cell r="H279">
            <v>0</v>
          </cell>
        </row>
        <row r="280">
          <cell r="B280">
            <v>3047</v>
          </cell>
          <cell r="C280" t="str">
            <v>Coulson; Christopher D</v>
          </cell>
          <cell r="D280" t="str">
            <v>1</v>
          </cell>
          <cell r="E280" t="str">
            <v/>
          </cell>
          <cell r="F280" t="str">
            <v/>
          </cell>
          <cell r="G280" t="str">
            <v/>
          </cell>
          <cell r="H280">
            <v>0</v>
          </cell>
        </row>
        <row r="281">
          <cell r="B281">
            <v>3048</v>
          </cell>
          <cell r="C281" t="str">
            <v>Cousland; Peter D.</v>
          </cell>
          <cell r="D281" t="str">
            <v>1C</v>
          </cell>
          <cell r="E281" t="str">
            <v>IBEWOUT</v>
          </cell>
          <cell r="F281" t="str">
            <v>77</v>
          </cell>
          <cell r="G281" t="str">
            <v>8</v>
          </cell>
          <cell r="H281">
            <v>0</v>
          </cell>
        </row>
        <row r="282">
          <cell r="B282">
            <v>3049</v>
          </cell>
          <cell r="C282" t="str">
            <v>Coury; Andrew A</v>
          </cell>
          <cell r="D282" t="str">
            <v>1C</v>
          </cell>
          <cell r="E282" t="str">
            <v>IBEWOUT</v>
          </cell>
          <cell r="F282" t="str">
            <v>1245</v>
          </cell>
          <cell r="G282" t="str">
            <v>8</v>
          </cell>
          <cell r="H282">
            <v>0</v>
          </cell>
        </row>
        <row r="283">
          <cell r="B283">
            <v>3050</v>
          </cell>
          <cell r="C283" t="str">
            <v>Cortez; Daniel R</v>
          </cell>
          <cell r="D283" t="str">
            <v>1</v>
          </cell>
          <cell r="E283" t="str">
            <v>IBEWOUT</v>
          </cell>
          <cell r="F283" t="str">
            <v>47</v>
          </cell>
          <cell r="G283" t="str">
            <v>8</v>
          </cell>
          <cell r="H283">
            <v>0</v>
          </cell>
        </row>
        <row r="284">
          <cell r="B284">
            <v>3051</v>
          </cell>
          <cell r="C284" t="str">
            <v>Cortez; David Esteban</v>
          </cell>
          <cell r="D284" t="str">
            <v>1</v>
          </cell>
          <cell r="E284" t="str">
            <v>IBEWOUT</v>
          </cell>
          <cell r="F284" t="str">
            <v>47</v>
          </cell>
          <cell r="G284" t="str">
            <v>7</v>
          </cell>
          <cell r="H284">
            <v>0</v>
          </cell>
        </row>
        <row r="285">
          <cell r="B285">
            <v>3052</v>
          </cell>
          <cell r="C285" t="str">
            <v>Coscarart; Juan</v>
          </cell>
          <cell r="D285" t="str">
            <v>1C</v>
          </cell>
          <cell r="E285" t="str">
            <v>IBEWOUT</v>
          </cell>
          <cell r="F285" t="str">
            <v>47</v>
          </cell>
          <cell r="G285" t="str">
            <v>8</v>
          </cell>
          <cell r="H285">
            <v>0</v>
          </cell>
        </row>
        <row r="286">
          <cell r="B286">
            <v>3062</v>
          </cell>
          <cell r="C286" t="str">
            <v>Cox; Jody F.</v>
          </cell>
          <cell r="D286" t="str">
            <v>1C</v>
          </cell>
          <cell r="E286" t="str">
            <v>IBEWOUT</v>
          </cell>
          <cell r="F286" t="str">
            <v>47</v>
          </cell>
          <cell r="G286" t="str">
            <v>7</v>
          </cell>
          <cell r="H286">
            <v>0</v>
          </cell>
        </row>
        <row r="287">
          <cell r="B287">
            <v>3068</v>
          </cell>
          <cell r="C287" t="str">
            <v>Crabtree; Leroy J</v>
          </cell>
          <cell r="D287" t="str">
            <v>1C</v>
          </cell>
          <cell r="E287" t="str">
            <v/>
          </cell>
          <cell r="F287" t="str">
            <v/>
          </cell>
          <cell r="G287" t="str">
            <v/>
          </cell>
          <cell r="H287">
            <v>0</v>
          </cell>
        </row>
        <row r="288">
          <cell r="B288">
            <v>3072</v>
          </cell>
          <cell r="C288" t="str">
            <v>Crabtree; Cassandra R.</v>
          </cell>
          <cell r="D288" t="str">
            <v>1</v>
          </cell>
          <cell r="E288" t="str">
            <v>IBEWOUT</v>
          </cell>
          <cell r="F288" t="str">
            <v>77</v>
          </cell>
          <cell r="G288" t="str">
            <v>8</v>
          </cell>
          <cell r="H288">
            <v>0</v>
          </cell>
        </row>
        <row r="289">
          <cell r="B289">
            <v>3075</v>
          </cell>
          <cell r="C289" t="str">
            <v>Craver; Adam S</v>
          </cell>
          <cell r="D289" t="str">
            <v>1C</v>
          </cell>
          <cell r="E289" t="str">
            <v>IBEWOUT</v>
          </cell>
          <cell r="F289" t="str">
            <v>77</v>
          </cell>
          <cell r="G289" t="str">
            <v>8</v>
          </cell>
          <cell r="H289">
            <v>0</v>
          </cell>
        </row>
        <row r="290">
          <cell r="B290">
            <v>3079</v>
          </cell>
          <cell r="C290" t="str">
            <v>Creighton; Mark Jeffrey</v>
          </cell>
          <cell r="D290" t="str">
            <v>1C</v>
          </cell>
          <cell r="E290" t="str">
            <v>IBEWOUT</v>
          </cell>
          <cell r="F290" t="str">
            <v>125</v>
          </cell>
          <cell r="G290" t="str">
            <v>33</v>
          </cell>
          <cell r="H290">
            <v>0</v>
          </cell>
        </row>
        <row r="291">
          <cell r="B291">
            <v>3082</v>
          </cell>
          <cell r="C291" t="str">
            <v>Cross; Mitchel Dee</v>
          </cell>
          <cell r="D291" t="str">
            <v>1C</v>
          </cell>
          <cell r="E291" t="str">
            <v>IBEWOUT</v>
          </cell>
          <cell r="F291" t="str">
            <v>769</v>
          </cell>
          <cell r="G291" t="str">
            <v>7</v>
          </cell>
          <cell r="H291">
            <v>0</v>
          </cell>
        </row>
        <row r="292">
          <cell r="B292">
            <v>3084</v>
          </cell>
          <cell r="C292" t="str">
            <v>Crowder; Joseph Dennis</v>
          </cell>
          <cell r="D292" t="str">
            <v>1C</v>
          </cell>
          <cell r="E292" t="str">
            <v>IBEWOUT</v>
          </cell>
          <cell r="F292" t="str">
            <v>47</v>
          </cell>
          <cell r="G292" t="str">
            <v>16</v>
          </cell>
          <cell r="H292">
            <v>0</v>
          </cell>
        </row>
        <row r="293">
          <cell r="B293">
            <v>3085</v>
          </cell>
          <cell r="C293" t="str">
            <v>Crowder; Travis M</v>
          </cell>
          <cell r="D293" t="str">
            <v>1C</v>
          </cell>
          <cell r="E293" t="str">
            <v>IBEWOUT</v>
          </cell>
          <cell r="F293" t="str">
            <v>77</v>
          </cell>
          <cell r="G293" t="str">
            <v>8</v>
          </cell>
          <cell r="H293">
            <v>0</v>
          </cell>
        </row>
        <row r="294">
          <cell r="B294">
            <v>3090</v>
          </cell>
          <cell r="C294" t="str">
            <v>Cressell; David A</v>
          </cell>
          <cell r="D294" t="str">
            <v>1C</v>
          </cell>
          <cell r="E294" t="str">
            <v>IBEWOUT</v>
          </cell>
          <cell r="F294" t="str">
            <v>70</v>
          </cell>
          <cell r="G294" t="str">
            <v>15</v>
          </cell>
          <cell r="H294">
            <v>0</v>
          </cell>
        </row>
        <row r="295">
          <cell r="B295">
            <v>3095</v>
          </cell>
          <cell r="C295" t="str">
            <v>Crites; Eric J</v>
          </cell>
          <cell r="D295" t="str">
            <v>1C</v>
          </cell>
          <cell r="E295" t="str">
            <v>IBEWOUT</v>
          </cell>
          <cell r="F295" t="str">
            <v>1245</v>
          </cell>
          <cell r="G295" t="str">
            <v>60</v>
          </cell>
          <cell r="H295">
            <v>0</v>
          </cell>
        </row>
        <row r="296">
          <cell r="B296">
            <v>3113</v>
          </cell>
          <cell r="C296" t="str">
            <v>Curry; Patrick Michael</v>
          </cell>
          <cell r="D296" t="str">
            <v>1C</v>
          </cell>
          <cell r="E296" t="str">
            <v>IBEWOUT</v>
          </cell>
          <cell r="F296" t="str">
            <v>77</v>
          </cell>
          <cell r="G296" t="str">
            <v>8</v>
          </cell>
          <cell r="H296">
            <v>0</v>
          </cell>
        </row>
        <row r="297">
          <cell r="B297">
            <v>3118</v>
          </cell>
          <cell r="C297" t="str">
            <v>Crupper; David Daniel</v>
          </cell>
          <cell r="D297" t="str">
            <v>1C</v>
          </cell>
          <cell r="E297" t="str">
            <v/>
          </cell>
          <cell r="F297" t="str">
            <v/>
          </cell>
          <cell r="G297" t="str">
            <v/>
          </cell>
          <cell r="H297">
            <v>0</v>
          </cell>
        </row>
        <row r="298">
          <cell r="B298">
            <v>3124</v>
          </cell>
          <cell r="C298" t="str">
            <v>Currie; Dean Anthony</v>
          </cell>
          <cell r="D298" t="str">
            <v>1C</v>
          </cell>
          <cell r="E298" t="str">
            <v>IBEWOUT</v>
          </cell>
          <cell r="F298" t="str">
            <v>77</v>
          </cell>
          <cell r="G298" t="str">
            <v>8</v>
          </cell>
          <cell r="H298">
            <v>0</v>
          </cell>
        </row>
        <row r="299">
          <cell r="B299">
            <v>3125</v>
          </cell>
          <cell r="C299" t="str">
            <v>Crouch; Daniel Jennings</v>
          </cell>
          <cell r="D299" t="str">
            <v>1C</v>
          </cell>
          <cell r="E299" t="str">
            <v>IBEWOUT</v>
          </cell>
          <cell r="F299" t="str">
            <v>47</v>
          </cell>
          <cell r="G299" t="str">
            <v>8</v>
          </cell>
          <cell r="H299">
            <v>0</v>
          </cell>
        </row>
        <row r="300">
          <cell r="B300">
            <v>3127</v>
          </cell>
          <cell r="C300" t="str">
            <v>Cummings; Mark R</v>
          </cell>
          <cell r="D300" t="str">
            <v>1C</v>
          </cell>
          <cell r="E300" t="str">
            <v/>
          </cell>
          <cell r="F300" t="str">
            <v/>
          </cell>
          <cell r="G300" t="str">
            <v/>
          </cell>
          <cell r="H300">
            <v>0</v>
          </cell>
        </row>
        <row r="301">
          <cell r="B301">
            <v>3128</v>
          </cell>
          <cell r="C301" t="str">
            <v>Crouch; Steven J</v>
          </cell>
          <cell r="D301" t="str">
            <v>1C</v>
          </cell>
          <cell r="E301" t="str">
            <v/>
          </cell>
          <cell r="F301" t="str">
            <v/>
          </cell>
          <cell r="G301" t="str">
            <v/>
          </cell>
          <cell r="H301">
            <v>1</v>
          </cell>
        </row>
        <row r="302">
          <cell r="B302">
            <v>3140</v>
          </cell>
          <cell r="C302" t="str">
            <v>Crosby; Paul S.</v>
          </cell>
          <cell r="D302" t="str">
            <v>1C</v>
          </cell>
          <cell r="E302" t="str">
            <v>IBEWOUT</v>
          </cell>
          <cell r="F302" t="str">
            <v>769</v>
          </cell>
          <cell r="G302" t="str">
            <v>16</v>
          </cell>
          <cell r="H302">
            <v>0</v>
          </cell>
        </row>
        <row r="303">
          <cell r="B303">
            <v>3301</v>
          </cell>
          <cell r="C303" t="str">
            <v>Daggett; Travis S.</v>
          </cell>
          <cell r="D303" t="str">
            <v>1C</v>
          </cell>
          <cell r="E303" t="str">
            <v/>
          </cell>
          <cell r="F303" t="str">
            <v/>
          </cell>
          <cell r="G303" t="str">
            <v/>
          </cell>
          <cell r="H303">
            <v>1</v>
          </cell>
        </row>
        <row r="304">
          <cell r="B304">
            <v>3310</v>
          </cell>
          <cell r="C304" t="str">
            <v>Dalman; Jerrod W</v>
          </cell>
          <cell r="D304" t="str">
            <v>1C</v>
          </cell>
          <cell r="E304" t="str">
            <v>IBEWOUT</v>
          </cell>
          <cell r="F304" t="str">
            <v>602R</v>
          </cell>
          <cell r="G304" t="str">
            <v>8</v>
          </cell>
          <cell r="H304">
            <v>0</v>
          </cell>
        </row>
        <row r="305">
          <cell r="B305">
            <v>3311</v>
          </cell>
          <cell r="C305" t="str">
            <v>Damery; William J.</v>
          </cell>
          <cell r="D305" t="str">
            <v>1C</v>
          </cell>
          <cell r="E305" t="str">
            <v>IBEWOUT</v>
          </cell>
          <cell r="F305" t="str">
            <v>47</v>
          </cell>
          <cell r="G305" t="str">
            <v>16</v>
          </cell>
          <cell r="H305">
            <v>0</v>
          </cell>
        </row>
        <row r="306">
          <cell r="B306">
            <v>3317</v>
          </cell>
          <cell r="C306" t="str">
            <v>Daniels; Dustin J.</v>
          </cell>
          <cell r="D306" t="str">
            <v>1C</v>
          </cell>
          <cell r="E306" t="str">
            <v>IBEWOUT</v>
          </cell>
          <cell r="F306" t="str">
            <v>77</v>
          </cell>
          <cell r="G306" t="str">
            <v>8</v>
          </cell>
          <cell r="H306">
            <v>0</v>
          </cell>
        </row>
        <row r="307">
          <cell r="B307">
            <v>3318</v>
          </cell>
          <cell r="C307" t="str">
            <v>Danielson; Ryan G.</v>
          </cell>
          <cell r="D307" t="str">
            <v>1C</v>
          </cell>
          <cell r="E307" t="str">
            <v>IBEWOUT</v>
          </cell>
          <cell r="F307" t="str">
            <v>769</v>
          </cell>
          <cell r="G307" t="str">
            <v>8</v>
          </cell>
          <cell r="H307">
            <v>0</v>
          </cell>
        </row>
        <row r="308">
          <cell r="B308">
            <v>3320</v>
          </cell>
          <cell r="C308" t="str">
            <v>Danner; Joshua S</v>
          </cell>
          <cell r="D308" t="str">
            <v>1C</v>
          </cell>
          <cell r="E308" t="str">
            <v>IBEWOUT</v>
          </cell>
          <cell r="F308" t="str">
            <v>126</v>
          </cell>
          <cell r="G308" t="str">
            <v>16</v>
          </cell>
          <cell r="H308">
            <v>0</v>
          </cell>
        </row>
        <row r="309">
          <cell r="B309">
            <v>3321</v>
          </cell>
          <cell r="C309" t="str">
            <v>Darr; Taylor W</v>
          </cell>
          <cell r="D309" t="str">
            <v>1C</v>
          </cell>
          <cell r="E309" t="str">
            <v>IBEWOUT</v>
          </cell>
          <cell r="F309" t="str">
            <v>1245</v>
          </cell>
          <cell r="G309" t="str">
            <v>8</v>
          </cell>
          <cell r="H309">
            <v>0</v>
          </cell>
        </row>
        <row r="310">
          <cell r="B310">
            <v>3322</v>
          </cell>
          <cell r="C310" t="str">
            <v>Daugs; Matthew J</v>
          </cell>
          <cell r="D310" t="str">
            <v>1C</v>
          </cell>
          <cell r="E310" t="str">
            <v>IBEWOUT</v>
          </cell>
          <cell r="F310" t="str">
            <v>1245</v>
          </cell>
          <cell r="G310" t="str">
            <v>8</v>
          </cell>
          <cell r="H310">
            <v>0</v>
          </cell>
        </row>
        <row r="311">
          <cell r="B311">
            <v>3324</v>
          </cell>
          <cell r="C311" t="str">
            <v>Daugherty; Jerry Lee</v>
          </cell>
          <cell r="D311" t="str">
            <v>1C</v>
          </cell>
          <cell r="E311" t="str">
            <v>IBEWOUT</v>
          </cell>
          <cell r="F311" t="str">
            <v>1245</v>
          </cell>
          <cell r="G311" t="str">
            <v>8</v>
          </cell>
          <cell r="H311">
            <v>0</v>
          </cell>
        </row>
        <row r="312">
          <cell r="B312">
            <v>3342</v>
          </cell>
          <cell r="C312" t="str">
            <v>Davis; Jayson A</v>
          </cell>
          <cell r="D312" t="str">
            <v>1C</v>
          </cell>
          <cell r="E312" t="str">
            <v>IBEWOUT</v>
          </cell>
          <cell r="F312" t="str">
            <v>126</v>
          </cell>
          <cell r="G312" t="str">
            <v>8</v>
          </cell>
          <cell r="H312">
            <v>0</v>
          </cell>
        </row>
        <row r="313">
          <cell r="B313">
            <v>3349</v>
          </cell>
          <cell r="C313" t="str">
            <v>Davis; Daniel J</v>
          </cell>
          <cell r="D313" t="str">
            <v>1C</v>
          </cell>
          <cell r="E313" t="str">
            <v>IBEWOUT</v>
          </cell>
          <cell r="F313" t="str">
            <v>160</v>
          </cell>
          <cell r="G313" t="str">
            <v>15</v>
          </cell>
          <cell r="H313">
            <v>0</v>
          </cell>
        </row>
        <row r="314">
          <cell r="B314">
            <v>3356</v>
          </cell>
          <cell r="C314" t="str">
            <v>Davis; Keane A</v>
          </cell>
          <cell r="D314" t="str">
            <v>1C</v>
          </cell>
          <cell r="E314" t="str">
            <v>IBEWOUT</v>
          </cell>
          <cell r="F314" t="str">
            <v>1245</v>
          </cell>
          <cell r="G314" t="str">
            <v>8</v>
          </cell>
          <cell r="H314">
            <v>0</v>
          </cell>
        </row>
        <row r="315">
          <cell r="B315">
            <v>3360</v>
          </cell>
          <cell r="C315" t="str">
            <v>Dayton; Cameron L</v>
          </cell>
          <cell r="D315" t="str">
            <v>1</v>
          </cell>
          <cell r="E315" t="str">
            <v>IBEWOUT</v>
          </cell>
          <cell r="F315" t="str">
            <v>77</v>
          </cell>
          <cell r="G315" t="str">
            <v>15</v>
          </cell>
          <cell r="H315">
            <v>0</v>
          </cell>
        </row>
        <row r="316">
          <cell r="B316">
            <v>3367</v>
          </cell>
          <cell r="C316" t="str">
            <v>De La Torre; Filimon V</v>
          </cell>
          <cell r="D316" t="str">
            <v>1C</v>
          </cell>
          <cell r="E316" t="str">
            <v>IBEWOUT</v>
          </cell>
          <cell r="F316" t="str">
            <v>47</v>
          </cell>
          <cell r="G316" t="str">
            <v>17</v>
          </cell>
          <cell r="H316">
            <v>0</v>
          </cell>
        </row>
        <row r="317">
          <cell r="B317">
            <v>3368</v>
          </cell>
          <cell r="C317" t="str">
            <v>Dees; Bradley A</v>
          </cell>
          <cell r="D317" t="str">
            <v>1C</v>
          </cell>
          <cell r="E317" t="str">
            <v>IBEWOUT</v>
          </cell>
          <cell r="F317" t="str">
            <v>1245</v>
          </cell>
          <cell r="G317" t="str">
            <v>8</v>
          </cell>
          <cell r="H317">
            <v>0</v>
          </cell>
        </row>
        <row r="318">
          <cell r="B318">
            <v>3371</v>
          </cell>
          <cell r="C318" t="str">
            <v>DeBon; Mitchell C</v>
          </cell>
          <cell r="D318" t="str">
            <v>1C</v>
          </cell>
          <cell r="E318" t="str">
            <v>IBEWOUT</v>
          </cell>
          <cell r="F318" t="str">
            <v>1245</v>
          </cell>
          <cell r="G318" t="str">
            <v>17</v>
          </cell>
          <cell r="H318">
            <v>0</v>
          </cell>
        </row>
        <row r="319">
          <cell r="B319">
            <v>3372</v>
          </cell>
          <cell r="C319" t="str">
            <v>DeBruler; Daniel</v>
          </cell>
          <cell r="D319" t="str">
            <v>1</v>
          </cell>
          <cell r="E319" t="str">
            <v/>
          </cell>
          <cell r="F319" t="str">
            <v/>
          </cell>
          <cell r="G319" t="str">
            <v/>
          </cell>
          <cell r="H319">
            <v>1</v>
          </cell>
        </row>
        <row r="320">
          <cell r="B320">
            <v>3373</v>
          </cell>
          <cell r="C320" t="str">
            <v>Dearing; Randy E</v>
          </cell>
          <cell r="D320" t="str">
            <v>1C</v>
          </cell>
          <cell r="E320" t="str">
            <v>IBEWOUT</v>
          </cell>
          <cell r="F320" t="str">
            <v>1245</v>
          </cell>
          <cell r="G320" t="str">
            <v>1</v>
          </cell>
          <cell r="H320">
            <v>0</v>
          </cell>
        </row>
        <row r="321">
          <cell r="B321">
            <v>3377</v>
          </cell>
          <cell r="C321" t="str">
            <v>Deal; Nathan W.</v>
          </cell>
          <cell r="D321" t="str">
            <v>1C</v>
          </cell>
          <cell r="E321" t="str">
            <v>IBEWOUT</v>
          </cell>
          <cell r="F321" t="str">
            <v>125</v>
          </cell>
          <cell r="G321" t="str">
            <v>12</v>
          </cell>
          <cell r="H321">
            <v>0</v>
          </cell>
        </row>
        <row r="322">
          <cell r="B322">
            <v>3382</v>
          </cell>
          <cell r="C322" t="str">
            <v>Deitz; Steve Andrew</v>
          </cell>
          <cell r="D322" t="str">
            <v>1C</v>
          </cell>
          <cell r="E322" t="str">
            <v>IBEWOUT</v>
          </cell>
          <cell r="F322" t="str">
            <v>77</v>
          </cell>
          <cell r="G322" t="str">
            <v>16</v>
          </cell>
          <cell r="H322">
            <v>0</v>
          </cell>
        </row>
        <row r="323">
          <cell r="B323">
            <v>3383</v>
          </cell>
          <cell r="C323" t="str">
            <v>Delong; Joseph Henry</v>
          </cell>
          <cell r="D323" t="str">
            <v>1C</v>
          </cell>
          <cell r="E323" t="str">
            <v/>
          </cell>
          <cell r="F323" t="str">
            <v/>
          </cell>
          <cell r="G323" t="str">
            <v/>
          </cell>
          <cell r="H323">
            <v>0</v>
          </cell>
        </row>
        <row r="324">
          <cell r="B324">
            <v>3386</v>
          </cell>
          <cell r="C324" t="str">
            <v>Denestan; Hector</v>
          </cell>
          <cell r="D324" t="str">
            <v>1C</v>
          </cell>
          <cell r="E324" t="str">
            <v>IBEWOUT</v>
          </cell>
          <cell r="F324" t="str">
            <v>602R</v>
          </cell>
          <cell r="G324" t="str">
            <v>8</v>
          </cell>
          <cell r="H324">
            <v>0</v>
          </cell>
        </row>
        <row r="325">
          <cell r="B325">
            <v>3387</v>
          </cell>
          <cell r="C325" t="str">
            <v>DeWitt; Craig R</v>
          </cell>
          <cell r="D325" t="str">
            <v>1</v>
          </cell>
          <cell r="E325" t="str">
            <v/>
          </cell>
          <cell r="F325" t="str">
            <v/>
          </cell>
          <cell r="G325" t="str">
            <v/>
          </cell>
          <cell r="H325">
            <v>1</v>
          </cell>
        </row>
        <row r="326">
          <cell r="B326">
            <v>3388</v>
          </cell>
          <cell r="C326" t="str">
            <v>Del Pizzo; Scott</v>
          </cell>
          <cell r="D326" t="str">
            <v>1</v>
          </cell>
          <cell r="E326" t="str">
            <v>IBEWOUT</v>
          </cell>
          <cell r="F326" t="str">
            <v>125</v>
          </cell>
          <cell r="G326" t="str">
            <v>7</v>
          </cell>
          <cell r="H326">
            <v>0</v>
          </cell>
        </row>
        <row r="327">
          <cell r="B327">
            <v>3389</v>
          </cell>
          <cell r="C327" t="str">
            <v>Deluna; Ricardo</v>
          </cell>
          <cell r="D327" t="str">
            <v>1</v>
          </cell>
          <cell r="E327" t="str">
            <v/>
          </cell>
          <cell r="F327" t="str">
            <v/>
          </cell>
          <cell r="G327" t="str">
            <v/>
          </cell>
          <cell r="H327">
            <v>0</v>
          </cell>
        </row>
        <row r="328">
          <cell r="B328">
            <v>3392</v>
          </cell>
          <cell r="C328" t="str">
            <v>Demond; Kyle D</v>
          </cell>
          <cell r="D328" t="str">
            <v>1</v>
          </cell>
          <cell r="E328" t="str">
            <v>IBEWOUT</v>
          </cell>
          <cell r="F328" t="str">
            <v>1245</v>
          </cell>
          <cell r="G328" t="str">
            <v>7</v>
          </cell>
          <cell r="H328">
            <v>0</v>
          </cell>
        </row>
        <row r="329">
          <cell r="B329">
            <v>3395</v>
          </cell>
          <cell r="C329" t="str">
            <v>Delawder; Dakota M</v>
          </cell>
          <cell r="D329" t="str">
            <v>1C</v>
          </cell>
          <cell r="E329" t="str">
            <v>IBEWOUT</v>
          </cell>
          <cell r="F329" t="str">
            <v>70</v>
          </cell>
          <cell r="G329" t="str">
            <v>18</v>
          </cell>
          <cell r="H329">
            <v>0</v>
          </cell>
        </row>
        <row r="330">
          <cell r="B330">
            <v>3407</v>
          </cell>
          <cell r="C330" t="str">
            <v>Devine; Chad Emery</v>
          </cell>
          <cell r="D330" t="str">
            <v>1</v>
          </cell>
          <cell r="E330" t="str">
            <v>IBEWOUT</v>
          </cell>
          <cell r="F330" t="str">
            <v>77</v>
          </cell>
          <cell r="G330" t="str">
            <v>1</v>
          </cell>
          <cell r="H330">
            <v>1</v>
          </cell>
        </row>
        <row r="331">
          <cell r="B331">
            <v>3408</v>
          </cell>
          <cell r="C331" t="str">
            <v>Desz; Daniel R</v>
          </cell>
          <cell r="D331" t="str">
            <v>1C</v>
          </cell>
          <cell r="E331" t="str">
            <v>IBEWOUT</v>
          </cell>
          <cell r="F331" t="str">
            <v>1049</v>
          </cell>
          <cell r="G331" t="str">
            <v>15</v>
          </cell>
          <cell r="H331">
            <v>0</v>
          </cell>
        </row>
        <row r="332">
          <cell r="B332">
            <v>3413</v>
          </cell>
          <cell r="C332" t="str">
            <v>Denk; Dean L.</v>
          </cell>
          <cell r="D332" t="str">
            <v>1C</v>
          </cell>
          <cell r="E332" t="str">
            <v>IBEWOUT</v>
          </cell>
          <cell r="F332" t="str">
            <v>769</v>
          </cell>
          <cell r="G332" t="str">
            <v>8</v>
          </cell>
          <cell r="H332">
            <v>0</v>
          </cell>
        </row>
        <row r="333">
          <cell r="B333">
            <v>3417</v>
          </cell>
          <cell r="C333" t="str">
            <v>Domenick; James A</v>
          </cell>
          <cell r="D333" t="str">
            <v>1C</v>
          </cell>
          <cell r="E333" t="str">
            <v>IBEWOUT</v>
          </cell>
          <cell r="F333" t="str">
            <v>396</v>
          </cell>
          <cell r="G333" t="str">
            <v>18</v>
          </cell>
          <cell r="H333">
            <v>0</v>
          </cell>
        </row>
        <row r="334">
          <cell r="B334">
            <v>3435</v>
          </cell>
          <cell r="C334" t="str">
            <v>Diaz; Robert H.</v>
          </cell>
          <cell r="D334" t="str">
            <v>1C</v>
          </cell>
          <cell r="E334" t="str">
            <v>IBEWOUT</v>
          </cell>
          <cell r="F334" t="str">
            <v>47</v>
          </cell>
          <cell r="G334" t="str">
            <v>16</v>
          </cell>
          <cell r="H334">
            <v>0</v>
          </cell>
        </row>
        <row r="335">
          <cell r="B335">
            <v>3438</v>
          </cell>
          <cell r="C335" t="str">
            <v>Andrade Diaz; Jose Rolando</v>
          </cell>
          <cell r="D335" t="str">
            <v>1C</v>
          </cell>
          <cell r="E335" t="str">
            <v>IBEWOUT</v>
          </cell>
          <cell r="F335" t="str">
            <v>1245</v>
          </cell>
          <cell r="G335" t="str">
            <v>70</v>
          </cell>
          <cell r="H335">
            <v>0</v>
          </cell>
        </row>
        <row r="336">
          <cell r="B336">
            <v>3443</v>
          </cell>
          <cell r="C336" t="str">
            <v>Dimaano; Joseph R</v>
          </cell>
          <cell r="D336" t="str">
            <v>1</v>
          </cell>
          <cell r="E336" t="str">
            <v>IBEWOUT</v>
          </cell>
          <cell r="F336" t="str">
            <v>47</v>
          </cell>
          <cell r="G336" t="str">
            <v>8</v>
          </cell>
          <cell r="H336">
            <v>0</v>
          </cell>
        </row>
        <row r="337">
          <cell r="B337">
            <v>3465</v>
          </cell>
          <cell r="C337" t="str">
            <v>Dineen; Timothy J.</v>
          </cell>
          <cell r="D337" t="str">
            <v>1C</v>
          </cell>
          <cell r="E337" t="str">
            <v>IBEWOUT</v>
          </cell>
          <cell r="F337" t="str">
            <v>1319</v>
          </cell>
          <cell r="G337" t="str">
            <v>8</v>
          </cell>
          <cell r="H337">
            <v>0</v>
          </cell>
        </row>
        <row r="338">
          <cell r="B338">
            <v>3470</v>
          </cell>
          <cell r="C338" t="str">
            <v>Dixon; Dustin M.</v>
          </cell>
          <cell r="D338" t="str">
            <v>1C</v>
          </cell>
          <cell r="E338" t="str">
            <v>IBEWOUT</v>
          </cell>
          <cell r="F338" t="str">
            <v>1245</v>
          </cell>
          <cell r="G338" t="str">
            <v>8</v>
          </cell>
          <cell r="H338">
            <v>0</v>
          </cell>
        </row>
        <row r="339">
          <cell r="B339">
            <v>3472</v>
          </cell>
          <cell r="C339" t="str">
            <v>Dixon; Daniel A</v>
          </cell>
          <cell r="D339" t="str">
            <v>1C</v>
          </cell>
          <cell r="E339" t="str">
            <v>IBEWOUT</v>
          </cell>
          <cell r="F339" t="str">
            <v>1245</v>
          </cell>
          <cell r="G339" t="str">
            <v>8</v>
          </cell>
          <cell r="H339">
            <v>0</v>
          </cell>
        </row>
        <row r="340">
          <cell r="B340">
            <v>3532</v>
          </cell>
          <cell r="C340" t="str">
            <v>Dodd; Richard L</v>
          </cell>
          <cell r="D340" t="str">
            <v>1C</v>
          </cell>
          <cell r="E340" t="str">
            <v>IBEWOUT</v>
          </cell>
          <cell r="F340" t="str">
            <v>77</v>
          </cell>
          <cell r="G340" t="str">
            <v>60</v>
          </cell>
          <cell r="H340">
            <v>0</v>
          </cell>
        </row>
        <row r="341">
          <cell r="B341">
            <v>3537</v>
          </cell>
          <cell r="C341" t="str">
            <v>Dotson; David Lee</v>
          </cell>
          <cell r="D341" t="str">
            <v>1C</v>
          </cell>
          <cell r="E341" t="str">
            <v/>
          </cell>
          <cell r="F341" t="str">
            <v/>
          </cell>
          <cell r="G341" t="str">
            <v/>
          </cell>
          <cell r="H341">
            <v>0</v>
          </cell>
        </row>
        <row r="342">
          <cell r="B342">
            <v>3548</v>
          </cell>
          <cell r="C342" t="str">
            <v>Douglas; Wyatt J</v>
          </cell>
          <cell r="D342" t="str">
            <v>1</v>
          </cell>
          <cell r="E342" t="str">
            <v>IBEWOUT</v>
          </cell>
          <cell r="F342" t="str">
            <v>47LOU</v>
          </cell>
          <cell r="G342" t="str">
            <v>21</v>
          </cell>
          <cell r="H342">
            <v>0</v>
          </cell>
        </row>
        <row r="343">
          <cell r="B343">
            <v>3549</v>
          </cell>
          <cell r="C343" t="str">
            <v>Early; Darren M</v>
          </cell>
          <cell r="D343" t="str">
            <v>1C</v>
          </cell>
          <cell r="E343" t="str">
            <v/>
          </cell>
          <cell r="F343" t="str">
            <v/>
          </cell>
          <cell r="G343" t="str">
            <v/>
          </cell>
          <cell r="H343">
            <v>0</v>
          </cell>
        </row>
        <row r="344">
          <cell r="B344">
            <v>3550</v>
          </cell>
          <cell r="C344" t="str">
            <v>Giles; Martinez A.</v>
          </cell>
          <cell r="D344" t="str">
            <v>1C</v>
          </cell>
          <cell r="E344" t="str">
            <v>IBEWOUT</v>
          </cell>
          <cell r="F344" t="str">
            <v>1245</v>
          </cell>
          <cell r="G344" t="str">
            <v>8</v>
          </cell>
          <cell r="H344">
            <v>0</v>
          </cell>
        </row>
        <row r="345">
          <cell r="B345">
            <v>3583</v>
          </cell>
          <cell r="C345" t="str">
            <v>Duckett; Ryan W</v>
          </cell>
          <cell r="D345" t="str">
            <v>1</v>
          </cell>
          <cell r="E345" t="str">
            <v>IBEWOUT</v>
          </cell>
          <cell r="F345" t="str">
            <v>70</v>
          </cell>
          <cell r="G345" t="str">
            <v>17</v>
          </cell>
          <cell r="H345">
            <v>0</v>
          </cell>
        </row>
        <row r="346">
          <cell r="B346">
            <v>3585</v>
          </cell>
          <cell r="C346" t="str">
            <v>Dudley; Eric L</v>
          </cell>
          <cell r="D346" t="str">
            <v>1C</v>
          </cell>
          <cell r="E346" t="str">
            <v>IBEWOUT</v>
          </cell>
          <cell r="F346" t="str">
            <v>125</v>
          </cell>
          <cell r="G346" t="str">
            <v>16</v>
          </cell>
          <cell r="H346">
            <v>0</v>
          </cell>
        </row>
        <row r="347">
          <cell r="B347">
            <v>3588</v>
          </cell>
          <cell r="C347" t="str">
            <v>Duffer; Taylor L</v>
          </cell>
          <cell r="D347" t="str">
            <v>1C</v>
          </cell>
          <cell r="E347" t="str">
            <v>IBEWOUT</v>
          </cell>
          <cell r="F347" t="str">
            <v>769</v>
          </cell>
          <cell r="G347" t="str">
            <v>8</v>
          </cell>
          <cell r="H347">
            <v>0</v>
          </cell>
        </row>
        <row r="348">
          <cell r="B348">
            <v>3594</v>
          </cell>
          <cell r="C348" t="str">
            <v>Duncan; Jerry</v>
          </cell>
          <cell r="D348" t="str">
            <v>1C</v>
          </cell>
          <cell r="E348" t="str">
            <v>IBEWOUT</v>
          </cell>
          <cell r="F348" t="str">
            <v>126</v>
          </cell>
          <cell r="G348" t="str">
            <v>8</v>
          </cell>
          <cell r="H348">
            <v>0</v>
          </cell>
        </row>
        <row r="349">
          <cell r="B349">
            <v>3595</v>
          </cell>
          <cell r="C349" t="str">
            <v>Dungan; Joshua</v>
          </cell>
          <cell r="D349" t="str">
            <v>1C</v>
          </cell>
          <cell r="E349" t="str">
            <v>IBEWOUT</v>
          </cell>
          <cell r="F349" t="str">
            <v>1245</v>
          </cell>
          <cell r="G349" t="str">
            <v>8</v>
          </cell>
          <cell r="H349">
            <v>0</v>
          </cell>
        </row>
        <row r="350">
          <cell r="B350">
            <v>3596</v>
          </cell>
          <cell r="C350" t="str">
            <v>Dunn; Bradley C</v>
          </cell>
          <cell r="D350" t="str">
            <v>1C</v>
          </cell>
          <cell r="E350" t="str">
            <v>IBEWOUT</v>
          </cell>
          <cell r="F350" t="str">
            <v>611</v>
          </cell>
          <cell r="G350" t="str">
            <v>15</v>
          </cell>
          <cell r="H350">
            <v>0</v>
          </cell>
        </row>
        <row r="351">
          <cell r="B351">
            <v>3597</v>
          </cell>
          <cell r="C351" t="str">
            <v>Duncan Jr.; Ronald B</v>
          </cell>
          <cell r="D351" t="str">
            <v>1C</v>
          </cell>
          <cell r="E351" t="str">
            <v>IBEWOUT</v>
          </cell>
          <cell r="F351" t="str">
            <v>77</v>
          </cell>
          <cell r="G351" t="str">
            <v>8</v>
          </cell>
          <cell r="H351">
            <v>0</v>
          </cell>
        </row>
        <row r="352">
          <cell r="B352">
            <v>3600</v>
          </cell>
          <cell r="C352" t="str">
            <v>Dunlap; Chad J</v>
          </cell>
          <cell r="D352" t="str">
            <v>1C</v>
          </cell>
          <cell r="E352" t="str">
            <v/>
          </cell>
          <cell r="F352" t="str">
            <v/>
          </cell>
          <cell r="G352" t="str">
            <v/>
          </cell>
          <cell r="H352">
            <v>0</v>
          </cell>
        </row>
        <row r="353">
          <cell r="B353">
            <v>3604</v>
          </cell>
          <cell r="C353" t="str">
            <v>Dove; Noah C.</v>
          </cell>
          <cell r="D353" t="str">
            <v>1</v>
          </cell>
          <cell r="E353" t="str">
            <v>IBEWOUT</v>
          </cell>
          <cell r="F353" t="str">
            <v>77</v>
          </cell>
          <cell r="G353" t="str">
            <v>7</v>
          </cell>
          <cell r="H353">
            <v>0</v>
          </cell>
        </row>
        <row r="354">
          <cell r="B354">
            <v>3608</v>
          </cell>
          <cell r="C354" t="str">
            <v>Dovichi; Gregory D</v>
          </cell>
          <cell r="D354" t="str">
            <v>1C</v>
          </cell>
          <cell r="E354" t="str">
            <v>IBEWOUT</v>
          </cell>
          <cell r="F354" t="str">
            <v>1245</v>
          </cell>
          <cell r="G354" t="str">
            <v>8</v>
          </cell>
          <cell r="H354">
            <v>0</v>
          </cell>
        </row>
        <row r="355">
          <cell r="B355">
            <v>3609</v>
          </cell>
          <cell r="C355" t="str">
            <v>Downey; Jessica E</v>
          </cell>
          <cell r="D355" t="str">
            <v>1</v>
          </cell>
          <cell r="E355" t="str">
            <v>IBEWOUT</v>
          </cell>
          <cell r="F355" t="str">
            <v>77</v>
          </cell>
          <cell r="G355" t="str">
            <v>8</v>
          </cell>
          <cell r="H355">
            <v>0</v>
          </cell>
        </row>
        <row r="356">
          <cell r="B356">
            <v>3610</v>
          </cell>
          <cell r="C356" t="str">
            <v>Driver; Kenneth R</v>
          </cell>
          <cell r="D356" t="str">
            <v>1C</v>
          </cell>
          <cell r="E356" t="str">
            <v>IBEWOUT</v>
          </cell>
          <cell r="F356" t="str">
            <v>1245</v>
          </cell>
          <cell r="G356" t="str">
            <v>17</v>
          </cell>
          <cell r="H356">
            <v>0</v>
          </cell>
        </row>
        <row r="357">
          <cell r="B357">
            <v>3612</v>
          </cell>
          <cell r="C357" t="str">
            <v>Drauschak; Joseph D</v>
          </cell>
          <cell r="D357" t="str">
            <v>1C</v>
          </cell>
          <cell r="E357" t="str">
            <v>IBEWOUT</v>
          </cell>
          <cell r="F357" t="str">
            <v>1319</v>
          </cell>
          <cell r="G357" t="str">
            <v>21</v>
          </cell>
          <cell r="H357">
            <v>0</v>
          </cell>
        </row>
        <row r="358">
          <cell r="B358">
            <v>3614</v>
          </cell>
          <cell r="C358" t="str">
            <v>Duncan; Thomas K</v>
          </cell>
          <cell r="D358" t="str">
            <v>1C</v>
          </cell>
          <cell r="E358" t="str">
            <v>IBEWOUT</v>
          </cell>
          <cell r="F358" t="str">
            <v>77</v>
          </cell>
          <cell r="G358" t="str">
            <v>8</v>
          </cell>
          <cell r="H358">
            <v>0</v>
          </cell>
        </row>
        <row r="359">
          <cell r="B359">
            <v>3615</v>
          </cell>
          <cell r="C359" t="str">
            <v>Durkin; Patrick J</v>
          </cell>
          <cell r="D359" t="str">
            <v>1C</v>
          </cell>
          <cell r="E359" t="str">
            <v>IBEWOUT</v>
          </cell>
          <cell r="F359" t="str">
            <v>104</v>
          </cell>
          <cell r="G359" t="str">
            <v>15</v>
          </cell>
          <cell r="H359">
            <v>0</v>
          </cell>
        </row>
        <row r="360">
          <cell r="B360">
            <v>3616</v>
          </cell>
          <cell r="C360" t="str">
            <v>Dobry; Casey A</v>
          </cell>
          <cell r="D360" t="str">
            <v>1C</v>
          </cell>
          <cell r="E360" t="str">
            <v>IBEWOUT</v>
          </cell>
          <cell r="F360" t="str">
            <v>1245</v>
          </cell>
          <cell r="G360" t="str">
            <v>7</v>
          </cell>
          <cell r="H360">
            <v>0</v>
          </cell>
        </row>
        <row r="361">
          <cell r="B361">
            <v>3618</v>
          </cell>
          <cell r="C361" t="str">
            <v>Doan; Christopher P</v>
          </cell>
          <cell r="D361" t="str">
            <v>1C</v>
          </cell>
          <cell r="E361" t="str">
            <v>IBEWOUT</v>
          </cell>
          <cell r="F361" t="str">
            <v>126</v>
          </cell>
          <cell r="G361" t="str">
            <v>33</v>
          </cell>
          <cell r="H361">
            <v>0</v>
          </cell>
        </row>
        <row r="362">
          <cell r="B362">
            <v>3622</v>
          </cell>
          <cell r="C362" t="str">
            <v>Eberhart; Bradley D</v>
          </cell>
          <cell r="D362" t="str">
            <v>1C</v>
          </cell>
          <cell r="E362" t="str">
            <v>IBEWOUT</v>
          </cell>
          <cell r="F362" t="str">
            <v>77</v>
          </cell>
          <cell r="G362" t="str">
            <v>16</v>
          </cell>
          <cell r="H362">
            <v>0</v>
          </cell>
        </row>
        <row r="363">
          <cell r="B363">
            <v>3623</v>
          </cell>
          <cell r="C363" t="str">
            <v>Eckstein; Blake Robert</v>
          </cell>
          <cell r="D363" t="str">
            <v>1C</v>
          </cell>
          <cell r="E363" t="str">
            <v>IBEWOUT</v>
          </cell>
          <cell r="F363" t="str">
            <v>1245</v>
          </cell>
          <cell r="G363" t="str">
            <v>7</v>
          </cell>
          <cell r="H363">
            <v>0</v>
          </cell>
        </row>
        <row r="364">
          <cell r="B364">
            <v>3625</v>
          </cell>
          <cell r="C364" t="str">
            <v>Edwards; Cole</v>
          </cell>
          <cell r="D364" t="str">
            <v>1C</v>
          </cell>
          <cell r="E364" t="str">
            <v>IBEWOUT</v>
          </cell>
          <cell r="F364" t="str">
            <v>1245</v>
          </cell>
          <cell r="G364" t="str">
            <v>12</v>
          </cell>
          <cell r="H364">
            <v>0</v>
          </cell>
        </row>
        <row r="365">
          <cell r="B365">
            <v>3626</v>
          </cell>
          <cell r="C365" t="str">
            <v>Eckhardt; Kenneth R</v>
          </cell>
          <cell r="D365" t="str">
            <v>1</v>
          </cell>
          <cell r="E365" t="str">
            <v>IBEWOUT</v>
          </cell>
          <cell r="F365" t="str">
            <v>47</v>
          </cell>
          <cell r="G365" t="str">
            <v>16</v>
          </cell>
          <cell r="H365">
            <v>0</v>
          </cell>
        </row>
        <row r="366">
          <cell r="B366">
            <v>3629</v>
          </cell>
          <cell r="C366" t="str">
            <v>Durbin; Logan B</v>
          </cell>
          <cell r="D366" t="str">
            <v>1C</v>
          </cell>
          <cell r="E366" t="str">
            <v>IBEWOUT</v>
          </cell>
          <cell r="F366" t="str">
            <v>1245</v>
          </cell>
          <cell r="G366" t="str">
            <v>16</v>
          </cell>
          <cell r="H366">
            <v>0</v>
          </cell>
        </row>
        <row r="367">
          <cell r="B367">
            <v>3630</v>
          </cell>
          <cell r="C367" t="str">
            <v>Egress Jr; Frank</v>
          </cell>
          <cell r="D367" t="str">
            <v>1C</v>
          </cell>
          <cell r="E367" t="str">
            <v>IBEWOUT</v>
          </cell>
          <cell r="F367" t="str">
            <v>1245</v>
          </cell>
          <cell r="G367" t="str">
            <v>8</v>
          </cell>
          <cell r="H367">
            <v>0</v>
          </cell>
        </row>
        <row r="368">
          <cell r="B368">
            <v>3645</v>
          </cell>
          <cell r="C368" t="str">
            <v>Elam; John C</v>
          </cell>
          <cell r="D368" t="str">
            <v>1</v>
          </cell>
          <cell r="E368" t="str">
            <v>IBEWOUT</v>
          </cell>
          <cell r="F368" t="str">
            <v>769</v>
          </cell>
          <cell r="G368" t="str">
            <v>7</v>
          </cell>
          <cell r="H368">
            <v>0</v>
          </cell>
        </row>
        <row r="369">
          <cell r="B369">
            <v>3658</v>
          </cell>
          <cell r="C369" t="str">
            <v>Elwess; Shawn Daniel</v>
          </cell>
          <cell r="D369" t="str">
            <v>1C</v>
          </cell>
          <cell r="E369" t="str">
            <v>IBEWOUT</v>
          </cell>
          <cell r="F369" t="str">
            <v>77</v>
          </cell>
          <cell r="G369" t="str">
            <v>8</v>
          </cell>
          <cell r="H369">
            <v>0</v>
          </cell>
        </row>
        <row r="370">
          <cell r="B370">
            <v>3662</v>
          </cell>
          <cell r="C370" t="str">
            <v>Elder; John J</v>
          </cell>
          <cell r="D370" t="str">
            <v>1C</v>
          </cell>
          <cell r="E370" t="str">
            <v>IBEWOUT</v>
          </cell>
          <cell r="F370" t="str">
            <v>47</v>
          </cell>
          <cell r="G370" t="str">
            <v>8</v>
          </cell>
          <cell r="H370">
            <v>0</v>
          </cell>
        </row>
        <row r="371">
          <cell r="B371">
            <v>3767</v>
          </cell>
          <cell r="C371" t="str">
            <v>Ellis; Shawn P</v>
          </cell>
          <cell r="D371" t="str">
            <v>1C</v>
          </cell>
          <cell r="E371" t="str">
            <v>IBEWOUT</v>
          </cell>
          <cell r="F371" t="str">
            <v>47</v>
          </cell>
          <cell r="G371" t="str">
            <v>8</v>
          </cell>
          <cell r="H371">
            <v>0</v>
          </cell>
        </row>
        <row r="372">
          <cell r="B372">
            <v>3780</v>
          </cell>
          <cell r="C372" t="str">
            <v>Enders; Rodney J.</v>
          </cell>
          <cell r="D372" t="str">
            <v>1</v>
          </cell>
          <cell r="E372" t="str">
            <v/>
          </cell>
          <cell r="F372" t="str">
            <v/>
          </cell>
          <cell r="G372" t="str">
            <v/>
          </cell>
          <cell r="H372">
            <v>0</v>
          </cell>
        </row>
        <row r="373">
          <cell r="B373">
            <v>3785</v>
          </cell>
          <cell r="C373" t="str">
            <v>English; Richard R</v>
          </cell>
          <cell r="D373" t="str">
            <v>1C</v>
          </cell>
          <cell r="E373" t="str">
            <v>IBEWOUT</v>
          </cell>
          <cell r="F373" t="str">
            <v>77</v>
          </cell>
          <cell r="G373" t="str">
            <v>15</v>
          </cell>
          <cell r="H373">
            <v>0</v>
          </cell>
        </row>
        <row r="374">
          <cell r="B374">
            <v>3920</v>
          </cell>
          <cell r="C374" t="str">
            <v>Edgar; Donald G</v>
          </cell>
          <cell r="D374" t="str">
            <v>1C</v>
          </cell>
          <cell r="E374" t="str">
            <v>IBEWOUT</v>
          </cell>
          <cell r="F374" t="str">
            <v>47</v>
          </cell>
          <cell r="G374" t="str">
            <v>8</v>
          </cell>
          <cell r="H374">
            <v>0</v>
          </cell>
        </row>
        <row r="375">
          <cell r="B375">
            <v>3942</v>
          </cell>
          <cell r="C375" t="str">
            <v>Erickson; Clancy W</v>
          </cell>
          <cell r="D375" t="str">
            <v>1C</v>
          </cell>
          <cell r="E375" t="str">
            <v>IBEWOUT</v>
          </cell>
          <cell r="F375" t="str">
            <v>1245</v>
          </cell>
          <cell r="G375" t="str">
            <v>8</v>
          </cell>
          <cell r="H375">
            <v>0</v>
          </cell>
        </row>
        <row r="376">
          <cell r="B376">
            <v>3944</v>
          </cell>
          <cell r="C376" t="str">
            <v>Erickson; Mitchell</v>
          </cell>
          <cell r="D376" t="str">
            <v>1C</v>
          </cell>
          <cell r="E376" t="str">
            <v>IBEWOUT</v>
          </cell>
          <cell r="F376" t="str">
            <v>77</v>
          </cell>
          <cell r="G376" t="str">
            <v>17</v>
          </cell>
          <cell r="H376">
            <v>0</v>
          </cell>
        </row>
        <row r="377">
          <cell r="B377">
            <v>3990</v>
          </cell>
          <cell r="C377" t="str">
            <v>Esparza; Joel S.</v>
          </cell>
          <cell r="D377" t="str">
            <v>1C</v>
          </cell>
          <cell r="E377" t="str">
            <v>IBEWOUT</v>
          </cell>
          <cell r="F377" t="str">
            <v>396</v>
          </cell>
          <cell r="G377" t="str">
            <v>8</v>
          </cell>
          <cell r="H377">
            <v>0</v>
          </cell>
        </row>
        <row r="378">
          <cell r="B378">
            <v>3999</v>
          </cell>
          <cell r="C378" t="str">
            <v>Franks; Billy J</v>
          </cell>
          <cell r="D378" t="str">
            <v>1C</v>
          </cell>
          <cell r="E378" t="str">
            <v>IBEWOUT</v>
          </cell>
          <cell r="F378" t="str">
            <v>1245</v>
          </cell>
          <cell r="G378" t="str">
            <v>8</v>
          </cell>
          <cell r="H378">
            <v>0</v>
          </cell>
        </row>
        <row r="379">
          <cell r="B379">
            <v>4005</v>
          </cell>
          <cell r="C379" t="str">
            <v>Espinoza; Joseph A.</v>
          </cell>
          <cell r="D379" t="str">
            <v>1C</v>
          </cell>
          <cell r="E379" t="str">
            <v>IBEWOUT</v>
          </cell>
          <cell r="F379" t="str">
            <v>47</v>
          </cell>
          <cell r="G379" t="str">
            <v>8</v>
          </cell>
          <cell r="H379">
            <v>0</v>
          </cell>
        </row>
        <row r="380">
          <cell r="B380">
            <v>4016</v>
          </cell>
          <cell r="C380" t="str">
            <v>Everitt; Devin R</v>
          </cell>
          <cell r="D380" t="str">
            <v>1C</v>
          </cell>
          <cell r="E380" t="str">
            <v>IBEWOUT</v>
          </cell>
          <cell r="F380" t="str">
            <v>1245</v>
          </cell>
          <cell r="G380" t="str">
            <v>12</v>
          </cell>
          <cell r="H380">
            <v>0</v>
          </cell>
        </row>
        <row r="381">
          <cell r="B381">
            <v>4032</v>
          </cell>
          <cell r="C381" t="str">
            <v>Fahlund; Adam S</v>
          </cell>
          <cell r="D381" t="str">
            <v>1C</v>
          </cell>
          <cell r="E381" t="str">
            <v>IBEWOUT</v>
          </cell>
          <cell r="F381" t="str">
            <v>1049</v>
          </cell>
          <cell r="G381" t="str">
            <v>17</v>
          </cell>
          <cell r="H381">
            <v>0</v>
          </cell>
        </row>
        <row r="382">
          <cell r="B382">
            <v>4051</v>
          </cell>
          <cell r="C382" t="str">
            <v>Farmer; Keith A</v>
          </cell>
          <cell r="D382" t="str">
            <v>1C</v>
          </cell>
          <cell r="E382" t="str">
            <v>IBEWOUT</v>
          </cell>
          <cell r="F382" t="str">
            <v>47</v>
          </cell>
          <cell r="G382" t="str">
            <v>16</v>
          </cell>
          <cell r="H382">
            <v>0</v>
          </cell>
        </row>
        <row r="383">
          <cell r="B383">
            <v>4061</v>
          </cell>
          <cell r="C383" t="str">
            <v>Farris; Christopher J</v>
          </cell>
          <cell r="D383" t="str">
            <v>1C</v>
          </cell>
          <cell r="E383" t="str">
            <v>IBEWOUT</v>
          </cell>
          <cell r="F383" t="str">
            <v>1245</v>
          </cell>
          <cell r="G383" t="str">
            <v>7</v>
          </cell>
          <cell r="H383">
            <v>0</v>
          </cell>
        </row>
        <row r="384">
          <cell r="B384">
            <v>4066</v>
          </cell>
          <cell r="C384" t="str">
            <v>Farias; Jose M</v>
          </cell>
          <cell r="D384" t="str">
            <v>1</v>
          </cell>
          <cell r="E384" t="str">
            <v>IBEWOUT</v>
          </cell>
          <cell r="F384" t="str">
            <v>1245</v>
          </cell>
          <cell r="G384" t="str">
            <v>8</v>
          </cell>
          <cell r="H384">
            <v>0</v>
          </cell>
        </row>
        <row r="385">
          <cell r="B385">
            <v>4067</v>
          </cell>
          <cell r="C385" t="str">
            <v>Fazio; Joseph A.</v>
          </cell>
          <cell r="D385" t="str">
            <v>1C</v>
          </cell>
          <cell r="E385" t="str">
            <v/>
          </cell>
          <cell r="F385" t="str">
            <v/>
          </cell>
          <cell r="G385" t="str">
            <v/>
          </cell>
          <cell r="H385">
            <v>0</v>
          </cell>
        </row>
        <row r="386">
          <cell r="B386">
            <v>4068</v>
          </cell>
          <cell r="C386" t="str">
            <v>Farias; Ramon A</v>
          </cell>
          <cell r="D386" t="str">
            <v>1</v>
          </cell>
          <cell r="E386" t="str">
            <v>IBEWOUT</v>
          </cell>
          <cell r="F386" t="str">
            <v>1245</v>
          </cell>
          <cell r="G386" t="str">
            <v>8</v>
          </cell>
          <cell r="H386">
            <v>0</v>
          </cell>
        </row>
        <row r="387">
          <cell r="B387">
            <v>4071</v>
          </cell>
          <cell r="C387" t="str">
            <v>Fell; Jeffrey C</v>
          </cell>
          <cell r="D387" t="str">
            <v>1C</v>
          </cell>
          <cell r="E387" t="str">
            <v>IBEWOUT</v>
          </cell>
          <cell r="F387" t="str">
            <v>77</v>
          </cell>
          <cell r="G387" t="str">
            <v>7</v>
          </cell>
          <cell r="H387">
            <v>0</v>
          </cell>
        </row>
        <row r="388">
          <cell r="B388">
            <v>4072</v>
          </cell>
          <cell r="C388" t="str">
            <v>Felts; Dallas Z.</v>
          </cell>
          <cell r="D388" t="str">
            <v>1C</v>
          </cell>
          <cell r="E388" t="str">
            <v>IBEWOUT</v>
          </cell>
          <cell r="F388" t="str">
            <v>47</v>
          </cell>
          <cell r="G388" t="str">
            <v>8</v>
          </cell>
          <cell r="H388">
            <v>0</v>
          </cell>
        </row>
        <row r="389">
          <cell r="B389">
            <v>4075</v>
          </cell>
          <cell r="C389" t="str">
            <v>Ferrara; Jeffrey C.</v>
          </cell>
          <cell r="D389" t="str">
            <v>1C</v>
          </cell>
          <cell r="E389" t="str">
            <v>IBEWOUT</v>
          </cell>
          <cell r="F389" t="str">
            <v>47</v>
          </cell>
          <cell r="G389" t="str">
            <v>17</v>
          </cell>
          <cell r="H389">
            <v>0</v>
          </cell>
        </row>
        <row r="390">
          <cell r="B390">
            <v>4076</v>
          </cell>
          <cell r="C390" t="str">
            <v>Ferrari; Michael T</v>
          </cell>
          <cell r="D390" t="str">
            <v>1C</v>
          </cell>
          <cell r="E390" t="str">
            <v>IBEWOUT</v>
          </cell>
          <cell r="F390" t="str">
            <v>769</v>
          </cell>
          <cell r="G390" t="str">
            <v>10</v>
          </cell>
          <cell r="H390">
            <v>0</v>
          </cell>
        </row>
        <row r="391">
          <cell r="B391">
            <v>4079</v>
          </cell>
          <cell r="C391" t="str">
            <v>Fergus; Jeffrey</v>
          </cell>
          <cell r="D391" t="str">
            <v>1C</v>
          </cell>
          <cell r="E391" t="str">
            <v>IBEWOUT</v>
          </cell>
          <cell r="F391" t="str">
            <v>47</v>
          </cell>
          <cell r="G391" t="str">
            <v>60</v>
          </cell>
          <cell r="H391">
            <v>0</v>
          </cell>
        </row>
        <row r="392">
          <cell r="B392">
            <v>4080</v>
          </cell>
          <cell r="C392" t="str">
            <v>Federline; Christopher M</v>
          </cell>
          <cell r="D392" t="str">
            <v>1</v>
          </cell>
          <cell r="E392" t="str">
            <v>IBEWOUT</v>
          </cell>
          <cell r="F392" t="str">
            <v>47</v>
          </cell>
          <cell r="G392" t="str">
            <v>7</v>
          </cell>
          <cell r="H392">
            <v>0</v>
          </cell>
        </row>
        <row r="393">
          <cell r="B393">
            <v>4081</v>
          </cell>
          <cell r="C393" t="str">
            <v>Fenstermaker; Marshall D</v>
          </cell>
          <cell r="D393" t="str">
            <v>1</v>
          </cell>
          <cell r="E393" t="str">
            <v>IBEWOUT</v>
          </cell>
          <cell r="F393" t="str">
            <v>47</v>
          </cell>
          <cell r="G393" t="str">
            <v>8</v>
          </cell>
          <cell r="H393">
            <v>0</v>
          </cell>
        </row>
        <row r="394">
          <cell r="B394">
            <v>4098</v>
          </cell>
          <cell r="C394" t="str">
            <v>Fitzgerald; Thomas L.</v>
          </cell>
          <cell r="D394" t="str">
            <v>1</v>
          </cell>
          <cell r="E394" t="str">
            <v>IBEWOUT</v>
          </cell>
          <cell r="F394" t="str">
            <v>77</v>
          </cell>
          <cell r="G394" t="str">
            <v>7</v>
          </cell>
          <cell r="H394">
            <v>0</v>
          </cell>
        </row>
        <row r="395">
          <cell r="B395">
            <v>4103</v>
          </cell>
          <cell r="C395" t="str">
            <v>Fitzpatrick; John Michael</v>
          </cell>
          <cell r="D395" t="str">
            <v>1C</v>
          </cell>
          <cell r="E395" t="str">
            <v>IBEWOUT</v>
          </cell>
          <cell r="F395" t="str">
            <v>1245</v>
          </cell>
          <cell r="G395" t="str">
            <v>7</v>
          </cell>
          <cell r="H395">
            <v>0</v>
          </cell>
        </row>
        <row r="396">
          <cell r="B396">
            <v>4107</v>
          </cell>
          <cell r="C396" t="str">
            <v>Fisher; Lucas M.</v>
          </cell>
          <cell r="D396" t="str">
            <v>1</v>
          </cell>
          <cell r="E396" t="str">
            <v>IBEWOUT</v>
          </cell>
          <cell r="F396" t="str">
            <v>77</v>
          </cell>
          <cell r="G396" t="str">
            <v>7</v>
          </cell>
          <cell r="H396">
            <v>0</v>
          </cell>
        </row>
        <row r="397">
          <cell r="B397">
            <v>4110</v>
          </cell>
          <cell r="C397" t="str">
            <v>Flanagan; Christopher M</v>
          </cell>
          <cell r="D397" t="str">
            <v>1C</v>
          </cell>
          <cell r="E397" t="str">
            <v>IBEWOUT</v>
          </cell>
          <cell r="F397" t="str">
            <v>47</v>
          </cell>
          <cell r="G397" t="str">
            <v>17</v>
          </cell>
          <cell r="H397">
            <v>0</v>
          </cell>
        </row>
        <row r="398">
          <cell r="B398">
            <v>4115</v>
          </cell>
          <cell r="C398" t="str">
            <v>Flores; Raul D</v>
          </cell>
          <cell r="D398" t="str">
            <v>1</v>
          </cell>
          <cell r="E398" t="str">
            <v>IBEWOUT</v>
          </cell>
          <cell r="F398" t="str">
            <v>1245</v>
          </cell>
          <cell r="G398" t="str">
            <v>8</v>
          </cell>
          <cell r="H398">
            <v>0</v>
          </cell>
        </row>
        <row r="399">
          <cell r="B399">
            <v>4119</v>
          </cell>
          <cell r="C399" t="str">
            <v>Flores; Jose M</v>
          </cell>
          <cell r="D399" t="str">
            <v>1</v>
          </cell>
          <cell r="E399" t="str">
            <v>IBEWOUT</v>
          </cell>
          <cell r="F399" t="str">
            <v>1245</v>
          </cell>
          <cell r="G399" t="str">
            <v>11</v>
          </cell>
          <cell r="H399">
            <v>0</v>
          </cell>
        </row>
        <row r="400">
          <cell r="B400">
            <v>4122</v>
          </cell>
          <cell r="C400" t="str">
            <v>Fierro; Anthony</v>
          </cell>
          <cell r="D400" t="str">
            <v>1C</v>
          </cell>
          <cell r="E400" t="str">
            <v>IBEWOUT</v>
          </cell>
          <cell r="F400" t="str">
            <v>1245</v>
          </cell>
          <cell r="G400" t="str">
            <v>8</v>
          </cell>
          <cell r="H400">
            <v>0</v>
          </cell>
        </row>
        <row r="401">
          <cell r="B401">
            <v>4123</v>
          </cell>
          <cell r="C401" t="str">
            <v>Fierro; Abraham M.</v>
          </cell>
          <cell r="D401" t="str">
            <v>1C</v>
          </cell>
          <cell r="E401" t="str">
            <v>IBEWOUT</v>
          </cell>
          <cell r="F401" t="str">
            <v>47</v>
          </cell>
          <cell r="G401" t="str">
            <v>8</v>
          </cell>
          <cell r="H401">
            <v>0</v>
          </cell>
        </row>
        <row r="402">
          <cell r="B402">
            <v>4127</v>
          </cell>
          <cell r="C402" t="str">
            <v>Filkins; Shane K</v>
          </cell>
          <cell r="D402" t="str">
            <v>1C</v>
          </cell>
          <cell r="E402" t="str">
            <v>IBEWOUT</v>
          </cell>
          <cell r="F402" t="str">
            <v>1245</v>
          </cell>
          <cell r="G402" t="str">
            <v>8</v>
          </cell>
          <cell r="H402">
            <v>0</v>
          </cell>
        </row>
        <row r="403">
          <cell r="B403">
            <v>4129</v>
          </cell>
          <cell r="C403" t="str">
            <v>Flynn; Daniel T.</v>
          </cell>
          <cell r="D403" t="str">
            <v>1C</v>
          </cell>
          <cell r="E403" t="str">
            <v>IBEWOUT</v>
          </cell>
          <cell r="F403" t="str">
            <v>47</v>
          </cell>
          <cell r="G403" t="str">
            <v>8</v>
          </cell>
          <cell r="H403">
            <v>0</v>
          </cell>
        </row>
        <row r="404">
          <cell r="B404">
            <v>4130</v>
          </cell>
          <cell r="C404" t="str">
            <v>Filippini; Lucas V</v>
          </cell>
          <cell r="D404" t="str">
            <v>1C</v>
          </cell>
          <cell r="E404" t="str">
            <v>IBEWOUT</v>
          </cell>
          <cell r="F404" t="str">
            <v>47</v>
          </cell>
          <cell r="G404" t="str">
            <v>15</v>
          </cell>
          <cell r="H404">
            <v>0</v>
          </cell>
        </row>
        <row r="405">
          <cell r="B405">
            <v>4135</v>
          </cell>
          <cell r="C405" t="str">
            <v>Fernandez; Jose A.</v>
          </cell>
          <cell r="D405" t="str">
            <v>1C</v>
          </cell>
          <cell r="E405" t="str">
            <v>IBEWOUT</v>
          </cell>
          <cell r="F405" t="str">
            <v>47</v>
          </cell>
          <cell r="G405" t="str">
            <v>8</v>
          </cell>
          <cell r="H405">
            <v>0</v>
          </cell>
        </row>
        <row r="406">
          <cell r="B406">
            <v>4141</v>
          </cell>
          <cell r="C406" t="str">
            <v>Fitzpatrick; Ryan C.</v>
          </cell>
          <cell r="D406" t="str">
            <v>1C</v>
          </cell>
          <cell r="E406" t="str">
            <v>IBEWOUT</v>
          </cell>
          <cell r="F406" t="str">
            <v>77</v>
          </cell>
          <cell r="G406" t="str">
            <v>10</v>
          </cell>
          <cell r="H406">
            <v>0</v>
          </cell>
        </row>
        <row r="407">
          <cell r="B407">
            <v>4142</v>
          </cell>
          <cell r="C407" t="str">
            <v>Finley; Jerry L</v>
          </cell>
          <cell r="D407" t="str">
            <v>1C</v>
          </cell>
          <cell r="E407" t="str">
            <v>IBEWOUT</v>
          </cell>
          <cell r="F407" t="str">
            <v>602R</v>
          </cell>
          <cell r="G407" t="str">
            <v>18</v>
          </cell>
          <cell r="H407">
            <v>0</v>
          </cell>
        </row>
        <row r="408">
          <cell r="B408">
            <v>4145</v>
          </cell>
          <cell r="C408" t="str">
            <v>Floyd; Jarrod M</v>
          </cell>
          <cell r="D408" t="str">
            <v>1</v>
          </cell>
          <cell r="E408" t="str">
            <v>IBEWOUT</v>
          </cell>
          <cell r="F408" t="str">
            <v>77</v>
          </cell>
          <cell r="G408" t="str">
            <v>15</v>
          </cell>
          <cell r="H408">
            <v>0</v>
          </cell>
        </row>
        <row r="409">
          <cell r="B409">
            <v>4146</v>
          </cell>
          <cell r="C409" t="str">
            <v>Filmore; Andrew R</v>
          </cell>
          <cell r="D409" t="str">
            <v>1C</v>
          </cell>
          <cell r="E409" t="str">
            <v>IBEWOUT</v>
          </cell>
          <cell r="F409" t="str">
            <v>77</v>
          </cell>
          <cell r="G409" t="str">
            <v>14</v>
          </cell>
          <cell r="H409">
            <v>0</v>
          </cell>
        </row>
        <row r="410">
          <cell r="B410">
            <v>4153</v>
          </cell>
          <cell r="C410" t="str">
            <v>Foreman; Shane M</v>
          </cell>
          <cell r="D410" t="str">
            <v>1C</v>
          </cell>
          <cell r="E410" t="str">
            <v>IBEWOUT</v>
          </cell>
          <cell r="F410" t="str">
            <v>769</v>
          </cell>
          <cell r="G410" t="str">
            <v>9</v>
          </cell>
          <cell r="H410">
            <v>0</v>
          </cell>
        </row>
        <row r="411">
          <cell r="B411">
            <v>4155</v>
          </cell>
          <cell r="C411" t="str">
            <v>Fondon; John W</v>
          </cell>
          <cell r="D411" t="str">
            <v>1C</v>
          </cell>
          <cell r="E411" t="str">
            <v>IBEWOUT</v>
          </cell>
          <cell r="F411" t="str">
            <v>1245</v>
          </cell>
          <cell r="G411" t="str">
            <v>8</v>
          </cell>
          <cell r="H411">
            <v>0</v>
          </cell>
        </row>
        <row r="412">
          <cell r="B412">
            <v>4158</v>
          </cell>
          <cell r="C412" t="str">
            <v>Forester; Gilbert R</v>
          </cell>
          <cell r="D412" t="str">
            <v>1C</v>
          </cell>
          <cell r="E412" t="str">
            <v>IBEWOUT</v>
          </cell>
          <cell r="F412" t="str">
            <v>602R</v>
          </cell>
          <cell r="G412" t="str">
            <v>33</v>
          </cell>
          <cell r="H412">
            <v>0</v>
          </cell>
        </row>
        <row r="413">
          <cell r="B413">
            <v>4179</v>
          </cell>
          <cell r="C413" t="str">
            <v>Foster; Kyle A.</v>
          </cell>
          <cell r="D413" t="str">
            <v>1C</v>
          </cell>
          <cell r="E413" t="str">
            <v>IBEWOUT</v>
          </cell>
          <cell r="F413" t="str">
            <v>1245</v>
          </cell>
          <cell r="G413" t="str">
            <v>17</v>
          </cell>
          <cell r="H413">
            <v>0</v>
          </cell>
        </row>
        <row r="414">
          <cell r="B414">
            <v>4194</v>
          </cell>
          <cell r="C414" t="str">
            <v>Francis; Adam J</v>
          </cell>
          <cell r="D414" t="str">
            <v>1C</v>
          </cell>
          <cell r="E414" t="str">
            <v>IBEWOUT</v>
          </cell>
          <cell r="F414" t="str">
            <v>47</v>
          </cell>
          <cell r="G414" t="str">
            <v>7</v>
          </cell>
          <cell r="H414">
            <v>0</v>
          </cell>
        </row>
        <row r="415">
          <cell r="B415">
            <v>4196</v>
          </cell>
          <cell r="C415" t="str">
            <v>Francis; Jonathan P</v>
          </cell>
          <cell r="D415" t="str">
            <v>1</v>
          </cell>
          <cell r="E415" t="str">
            <v/>
          </cell>
          <cell r="F415" t="str">
            <v/>
          </cell>
          <cell r="G415" t="str">
            <v/>
          </cell>
          <cell r="H415">
            <v>1</v>
          </cell>
        </row>
        <row r="416">
          <cell r="B416">
            <v>4200</v>
          </cell>
          <cell r="C416" t="str">
            <v>Franks; Curtis A.</v>
          </cell>
          <cell r="D416" t="str">
            <v>1</v>
          </cell>
          <cell r="E416" t="str">
            <v>IBEWOUT</v>
          </cell>
          <cell r="F416" t="str">
            <v>1245</v>
          </cell>
          <cell r="G416" t="str">
            <v>8</v>
          </cell>
          <cell r="H416">
            <v>0</v>
          </cell>
        </row>
        <row r="417">
          <cell r="B417">
            <v>4232</v>
          </cell>
          <cell r="C417" t="str">
            <v>Frederiksen; Shawn A.</v>
          </cell>
          <cell r="D417" t="str">
            <v>1C</v>
          </cell>
          <cell r="E417" t="str">
            <v>IBEWOUT</v>
          </cell>
          <cell r="F417" t="str">
            <v>396</v>
          </cell>
          <cell r="G417" t="str">
            <v>8</v>
          </cell>
          <cell r="H417">
            <v>0</v>
          </cell>
        </row>
        <row r="418">
          <cell r="B418">
            <v>4239</v>
          </cell>
          <cell r="C418" t="str">
            <v>Frazee; Darren R</v>
          </cell>
          <cell r="D418" t="str">
            <v>1C</v>
          </cell>
          <cell r="E418" t="str">
            <v>IBEWOUT</v>
          </cell>
          <cell r="F418" t="str">
            <v>602R</v>
          </cell>
          <cell r="G418" t="str">
            <v>33</v>
          </cell>
          <cell r="H418">
            <v>0</v>
          </cell>
        </row>
        <row r="419">
          <cell r="B419">
            <v>4240</v>
          </cell>
          <cell r="C419" t="str">
            <v>Frazier; Brad L.</v>
          </cell>
          <cell r="D419" t="str">
            <v>1</v>
          </cell>
          <cell r="E419" t="str">
            <v>IBEWOUT</v>
          </cell>
          <cell r="F419" t="str">
            <v>77</v>
          </cell>
          <cell r="G419" t="str">
            <v>1</v>
          </cell>
          <cell r="H419">
            <v>1</v>
          </cell>
        </row>
        <row r="420">
          <cell r="B420">
            <v>4241</v>
          </cell>
          <cell r="C420" t="str">
            <v>Freeman; Christopher Shane</v>
          </cell>
          <cell r="D420" t="str">
            <v>1C</v>
          </cell>
          <cell r="E420" t="str">
            <v>IBEWOUT</v>
          </cell>
          <cell r="F420" t="str">
            <v>769</v>
          </cell>
          <cell r="G420" t="str">
            <v>8</v>
          </cell>
          <cell r="H420">
            <v>0</v>
          </cell>
        </row>
        <row r="421">
          <cell r="B421">
            <v>4243</v>
          </cell>
          <cell r="C421" t="str">
            <v>Frazier; Forrest F</v>
          </cell>
          <cell r="D421" t="str">
            <v>1</v>
          </cell>
          <cell r="E421" t="str">
            <v/>
          </cell>
          <cell r="F421" t="str">
            <v/>
          </cell>
          <cell r="G421" t="str">
            <v/>
          </cell>
          <cell r="H421">
            <v>0</v>
          </cell>
        </row>
        <row r="422">
          <cell r="B422">
            <v>4249</v>
          </cell>
          <cell r="C422" t="str">
            <v>Hudson; Freeman L.</v>
          </cell>
          <cell r="D422" t="str">
            <v>1C</v>
          </cell>
          <cell r="E422" t="str">
            <v>IBEWOUT</v>
          </cell>
          <cell r="F422" t="str">
            <v>47</v>
          </cell>
          <cell r="G422" t="str">
            <v>8</v>
          </cell>
          <cell r="H422">
            <v>0</v>
          </cell>
        </row>
        <row r="423">
          <cell r="B423">
            <v>4250</v>
          </cell>
          <cell r="C423" t="str">
            <v>French; Steve K</v>
          </cell>
          <cell r="D423" t="str">
            <v>1</v>
          </cell>
          <cell r="E423" t="str">
            <v>IBEWOUT</v>
          </cell>
          <cell r="F423" t="str">
            <v>77</v>
          </cell>
          <cell r="G423" t="str">
            <v>1</v>
          </cell>
          <cell r="H423">
            <v>0</v>
          </cell>
        </row>
        <row r="424">
          <cell r="B424">
            <v>4251</v>
          </cell>
          <cell r="C424" t="str">
            <v>Freismuth; Edward J</v>
          </cell>
          <cell r="D424" t="str">
            <v>1C</v>
          </cell>
          <cell r="E424" t="str">
            <v>IBEWOUT</v>
          </cell>
          <cell r="F424" t="str">
            <v>769</v>
          </cell>
          <cell r="G424" t="str">
            <v>8</v>
          </cell>
          <cell r="H424">
            <v>0</v>
          </cell>
        </row>
        <row r="425">
          <cell r="B425">
            <v>4254</v>
          </cell>
          <cell r="C425" t="str">
            <v>French ll; Thomas E</v>
          </cell>
          <cell r="D425" t="str">
            <v>1C</v>
          </cell>
          <cell r="E425" t="str">
            <v>IBEWOUT</v>
          </cell>
          <cell r="F425" t="str">
            <v>1049</v>
          </cell>
          <cell r="G425" t="str">
            <v>15</v>
          </cell>
          <cell r="H425">
            <v>0</v>
          </cell>
        </row>
        <row r="426">
          <cell r="B426">
            <v>4259</v>
          </cell>
          <cell r="C426" t="str">
            <v>Frias; Ronald</v>
          </cell>
          <cell r="D426" t="str">
            <v>1C</v>
          </cell>
          <cell r="E426" t="str">
            <v>IBEWOUT</v>
          </cell>
          <cell r="F426" t="str">
            <v>47</v>
          </cell>
          <cell r="G426" t="str">
            <v>17</v>
          </cell>
          <cell r="H426">
            <v>0</v>
          </cell>
        </row>
        <row r="427">
          <cell r="B427">
            <v>4270</v>
          </cell>
          <cell r="C427" t="str">
            <v>Fuge; Daniel S</v>
          </cell>
          <cell r="D427" t="str">
            <v>1</v>
          </cell>
          <cell r="E427" t="str">
            <v/>
          </cell>
          <cell r="F427" t="str">
            <v/>
          </cell>
          <cell r="G427" t="str">
            <v/>
          </cell>
          <cell r="H427">
            <v>0</v>
          </cell>
        </row>
        <row r="428">
          <cell r="B428">
            <v>4284</v>
          </cell>
          <cell r="C428" t="str">
            <v>Fulton; Ross A</v>
          </cell>
          <cell r="D428" t="str">
            <v>1</v>
          </cell>
          <cell r="E428" t="str">
            <v>IBEWOUT</v>
          </cell>
          <cell r="F428" t="str">
            <v>769</v>
          </cell>
          <cell r="G428" t="str">
            <v>21</v>
          </cell>
          <cell r="H428">
            <v>0</v>
          </cell>
        </row>
        <row r="429">
          <cell r="B429">
            <v>4285</v>
          </cell>
          <cell r="C429" t="str">
            <v>Funez; Marcial</v>
          </cell>
          <cell r="D429" t="str">
            <v>1C</v>
          </cell>
          <cell r="E429" t="str">
            <v>IBEWOUT</v>
          </cell>
          <cell r="F429" t="str">
            <v>769</v>
          </cell>
          <cell r="G429" t="str">
            <v>22</v>
          </cell>
          <cell r="H429">
            <v>0</v>
          </cell>
        </row>
        <row r="430">
          <cell r="B430">
            <v>4286</v>
          </cell>
          <cell r="C430" t="str">
            <v>Garcia; Edith G</v>
          </cell>
          <cell r="D430" t="str">
            <v>1</v>
          </cell>
          <cell r="E430" t="str">
            <v/>
          </cell>
          <cell r="F430" t="str">
            <v/>
          </cell>
          <cell r="G430" t="str">
            <v/>
          </cell>
          <cell r="H430">
            <v>0</v>
          </cell>
        </row>
        <row r="431">
          <cell r="B431">
            <v>4330</v>
          </cell>
          <cell r="C431" t="str">
            <v>Gameng; Marlon G.</v>
          </cell>
          <cell r="D431" t="str">
            <v>1C</v>
          </cell>
          <cell r="E431" t="str">
            <v>IBEWOUT</v>
          </cell>
          <cell r="F431" t="str">
            <v>47</v>
          </cell>
          <cell r="G431" t="str">
            <v>60</v>
          </cell>
          <cell r="H431">
            <v>0</v>
          </cell>
        </row>
        <row r="432">
          <cell r="B432">
            <v>4336</v>
          </cell>
          <cell r="C432" t="str">
            <v>Gandy; Douglas John</v>
          </cell>
          <cell r="D432" t="str">
            <v>1C</v>
          </cell>
          <cell r="E432" t="str">
            <v>IBEWOUT</v>
          </cell>
          <cell r="F432" t="str">
            <v>47</v>
          </cell>
          <cell r="G432" t="str">
            <v>16</v>
          </cell>
          <cell r="H432">
            <v>0</v>
          </cell>
        </row>
        <row r="433">
          <cell r="B433">
            <v>4339</v>
          </cell>
          <cell r="C433" t="str">
            <v>Gabbert; Jarid D</v>
          </cell>
          <cell r="D433" t="str">
            <v>1</v>
          </cell>
          <cell r="E433" t="str">
            <v>IBEWOUT</v>
          </cell>
          <cell r="F433" t="str">
            <v>77</v>
          </cell>
          <cell r="G433" t="str">
            <v>8</v>
          </cell>
          <cell r="H433">
            <v>0</v>
          </cell>
        </row>
        <row r="434">
          <cell r="B434">
            <v>4340</v>
          </cell>
          <cell r="C434" t="str">
            <v>Garcia; John A</v>
          </cell>
          <cell r="D434" t="str">
            <v>1C</v>
          </cell>
          <cell r="E434" t="str">
            <v>IBEWOUT</v>
          </cell>
          <cell r="F434" t="str">
            <v>611</v>
          </cell>
          <cell r="G434" t="str">
            <v>18</v>
          </cell>
          <cell r="H434">
            <v>0</v>
          </cell>
        </row>
        <row r="435">
          <cell r="B435">
            <v>4341</v>
          </cell>
          <cell r="C435" t="str">
            <v>Fyfe; Dusty John</v>
          </cell>
          <cell r="D435" t="str">
            <v>1</v>
          </cell>
          <cell r="E435" t="str">
            <v>IBEWOUT</v>
          </cell>
          <cell r="F435" t="str">
            <v>77</v>
          </cell>
          <cell r="G435" t="str">
            <v>1</v>
          </cell>
          <cell r="H435">
            <v>0</v>
          </cell>
        </row>
        <row r="436">
          <cell r="B436">
            <v>4342</v>
          </cell>
          <cell r="C436" t="str">
            <v>Fye; Scott R</v>
          </cell>
          <cell r="D436" t="str">
            <v>1C</v>
          </cell>
          <cell r="E436" t="str">
            <v>IBEWOUT</v>
          </cell>
          <cell r="F436" t="str">
            <v>1245</v>
          </cell>
          <cell r="G436" t="str">
            <v>8</v>
          </cell>
          <cell r="H436">
            <v>0</v>
          </cell>
        </row>
        <row r="437">
          <cell r="B437">
            <v>4345</v>
          </cell>
          <cell r="C437" t="str">
            <v>Frolov; Gleb</v>
          </cell>
          <cell r="D437" t="str">
            <v>1C</v>
          </cell>
          <cell r="E437" t="str">
            <v>IBEWOUT</v>
          </cell>
          <cell r="F437" t="str">
            <v>47</v>
          </cell>
          <cell r="G437" t="str">
            <v>8</v>
          </cell>
          <cell r="H437">
            <v>0</v>
          </cell>
        </row>
        <row r="438">
          <cell r="B438">
            <v>4346</v>
          </cell>
          <cell r="C438" t="str">
            <v>Frost; Joston T</v>
          </cell>
          <cell r="D438" t="str">
            <v>1C</v>
          </cell>
          <cell r="E438" t="str">
            <v>IBEWOUT</v>
          </cell>
          <cell r="F438" t="str">
            <v>1245</v>
          </cell>
          <cell r="G438" t="str">
            <v>70</v>
          </cell>
          <cell r="H438">
            <v>0</v>
          </cell>
        </row>
        <row r="439">
          <cell r="B439">
            <v>4348</v>
          </cell>
          <cell r="C439" t="str">
            <v>Fuhs; Kirt R.</v>
          </cell>
          <cell r="D439" t="str">
            <v>1</v>
          </cell>
          <cell r="E439" t="str">
            <v/>
          </cell>
          <cell r="F439" t="str">
            <v/>
          </cell>
          <cell r="G439" t="str">
            <v/>
          </cell>
          <cell r="H439">
            <v>0</v>
          </cell>
        </row>
        <row r="440">
          <cell r="B440">
            <v>4350</v>
          </cell>
          <cell r="C440" t="str">
            <v>Full; Laramie M</v>
          </cell>
          <cell r="D440" t="str">
            <v>1C</v>
          </cell>
          <cell r="E440" t="str">
            <v>IBEWOUT</v>
          </cell>
          <cell r="F440" t="str">
            <v>47</v>
          </cell>
          <cell r="G440" t="str">
            <v>8</v>
          </cell>
          <cell r="H440">
            <v>0</v>
          </cell>
        </row>
        <row r="441">
          <cell r="B441">
            <v>4357</v>
          </cell>
          <cell r="C441" t="str">
            <v>Gage; Matthew Loren</v>
          </cell>
          <cell r="D441" t="str">
            <v>1C</v>
          </cell>
          <cell r="E441" t="str">
            <v>IBEWOUT</v>
          </cell>
          <cell r="F441" t="str">
            <v>125</v>
          </cell>
          <cell r="G441" t="str">
            <v>8</v>
          </cell>
          <cell r="H441">
            <v>0</v>
          </cell>
        </row>
        <row r="442">
          <cell r="B442">
            <v>4358</v>
          </cell>
          <cell r="C442" t="str">
            <v>Gadsby; Terrence P</v>
          </cell>
          <cell r="D442" t="str">
            <v>1C</v>
          </cell>
          <cell r="E442" t="str">
            <v>IBEWOUT</v>
          </cell>
          <cell r="F442" t="str">
            <v>126</v>
          </cell>
          <cell r="G442" t="str">
            <v>10</v>
          </cell>
          <cell r="H442">
            <v>0</v>
          </cell>
        </row>
        <row r="443">
          <cell r="B443">
            <v>4359</v>
          </cell>
          <cell r="C443" t="str">
            <v>Gannon; Jon B.</v>
          </cell>
          <cell r="D443" t="str">
            <v>1C</v>
          </cell>
          <cell r="E443" t="str">
            <v>IBEWOUT</v>
          </cell>
          <cell r="F443" t="str">
            <v>47</v>
          </cell>
          <cell r="G443" t="str">
            <v>1</v>
          </cell>
          <cell r="H443">
            <v>0</v>
          </cell>
        </row>
        <row r="444">
          <cell r="B444">
            <v>4370</v>
          </cell>
          <cell r="C444" t="str">
            <v>Gardner; Michael Lynn</v>
          </cell>
          <cell r="D444" t="str">
            <v>1C</v>
          </cell>
          <cell r="E444" t="str">
            <v>IBEWOUT</v>
          </cell>
          <cell r="F444" t="str">
            <v>125</v>
          </cell>
          <cell r="G444" t="str">
            <v>33</v>
          </cell>
          <cell r="H444">
            <v>0</v>
          </cell>
        </row>
        <row r="445">
          <cell r="B445">
            <v>4371</v>
          </cell>
          <cell r="C445" t="str">
            <v>Garcia; Nathan M.</v>
          </cell>
          <cell r="D445" t="str">
            <v>1C</v>
          </cell>
          <cell r="E445" t="str">
            <v>IBEWOUT</v>
          </cell>
          <cell r="F445" t="str">
            <v>611</v>
          </cell>
          <cell r="G445" t="str">
            <v>17</v>
          </cell>
          <cell r="H445">
            <v>0</v>
          </cell>
        </row>
        <row r="446">
          <cell r="B446">
            <v>4372</v>
          </cell>
          <cell r="C446" t="str">
            <v>Gardapee; Cory D</v>
          </cell>
          <cell r="D446" t="str">
            <v>1C</v>
          </cell>
          <cell r="E446" t="str">
            <v>IBEWOUT</v>
          </cell>
          <cell r="F446" t="str">
            <v>160</v>
          </cell>
          <cell r="G446" t="str">
            <v>8</v>
          </cell>
          <cell r="H446">
            <v>0</v>
          </cell>
        </row>
        <row r="447">
          <cell r="B447">
            <v>4373</v>
          </cell>
          <cell r="C447" t="str">
            <v>Gardner; Mitchell T.</v>
          </cell>
          <cell r="D447" t="str">
            <v>1C</v>
          </cell>
          <cell r="E447" t="str">
            <v>IBEWOUT</v>
          </cell>
          <cell r="F447" t="str">
            <v>1245</v>
          </cell>
          <cell r="G447" t="str">
            <v>8</v>
          </cell>
          <cell r="H447">
            <v>0</v>
          </cell>
        </row>
        <row r="448">
          <cell r="B448">
            <v>4375</v>
          </cell>
          <cell r="C448" t="str">
            <v>Gardner; Jacob W.</v>
          </cell>
          <cell r="D448" t="str">
            <v>1C</v>
          </cell>
          <cell r="E448" t="str">
            <v>IBEWOUT</v>
          </cell>
          <cell r="F448" t="str">
            <v>602R</v>
          </cell>
          <cell r="G448" t="str">
            <v>8</v>
          </cell>
          <cell r="H448">
            <v>0</v>
          </cell>
        </row>
        <row r="449">
          <cell r="B449">
            <v>4381</v>
          </cell>
          <cell r="C449" t="str">
            <v>Garcia; David D.</v>
          </cell>
          <cell r="D449" t="str">
            <v>1C</v>
          </cell>
          <cell r="E449" t="str">
            <v>IBEWOUT</v>
          </cell>
          <cell r="F449" t="str">
            <v>769</v>
          </cell>
          <cell r="G449" t="str">
            <v>8</v>
          </cell>
          <cell r="H449">
            <v>0</v>
          </cell>
        </row>
        <row r="450">
          <cell r="B450">
            <v>4382</v>
          </cell>
          <cell r="C450" t="str">
            <v>Garcia; Edmundo</v>
          </cell>
          <cell r="D450" t="str">
            <v>1C</v>
          </cell>
          <cell r="E450" t="str">
            <v>IBEWOUT</v>
          </cell>
          <cell r="F450" t="str">
            <v>160</v>
          </cell>
          <cell r="G450" t="str">
            <v>8</v>
          </cell>
          <cell r="H450">
            <v>0</v>
          </cell>
        </row>
        <row r="451">
          <cell r="B451">
            <v>4387</v>
          </cell>
          <cell r="C451" t="str">
            <v>Gallegos; Jose I</v>
          </cell>
          <cell r="D451" t="str">
            <v>1C</v>
          </cell>
          <cell r="E451" t="str">
            <v>IBEWOUT</v>
          </cell>
          <cell r="F451" t="str">
            <v>602R</v>
          </cell>
          <cell r="G451" t="str">
            <v>11T</v>
          </cell>
          <cell r="H451">
            <v>0</v>
          </cell>
        </row>
        <row r="452">
          <cell r="B452">
            <v>4388</v>
          </cell>
          <cell r="C452" t="str">
            <v>Gallegos; Patrick A</v>
          </cell>
          <cell r="D452" t="str">
            <v>1</v>
          </cell>
          <cell r="E452" t="str">
            <v>IBEWOUT</v>
          </cell>
          <cell r="F452" t="str">
            <v>611</v>
          </cell>
          <cell r="G452" t="str">
            <v>16</v>
          </cell>
          <cell r="H452">
            <v>0</v>
          </cell>
        </row>
        <row r="453">
          <cell r="B453">
            <v>4389</v>
          </cell>
          <cell r="C453" t="str">
            <v>Garceau; Tristan J</v>
          </cell>
          <cell r="D453" t="str">
            <v>1C</v>
          </cell>
          <cell r="E453" t="str">
            <v>IBEWOUT</v>
          </cell>
          <cell r="F453" t="str">
            <v>1245</v>
          </cell>
          <cell r="G453" t="str">
            <v>8</v>
          </cell>
          <cell r="H453">
            <v>0</v>
          </cell>
        </row>
        <row r="454">
          <cell r="B454">
            <v>4390</v>
          </cell>
          <cell r="C454" t="str">
            <v>Gallaher; Adam C</v>
          </cell>
          <cell r="D454" t="str">
            <v>1C</v>
          </cell>
          <cell r="E454" t="str">
            <v>IBEWOUT</v>
          </cell>
          <cell r="F454" t="str">
            <v>126</v>
          </cell>
          <cell r="G454" t="str">
            <v>8</v>
          </cell>
          <cell r="H454">
            <v>0</v>
          </cell>
        </row>
        <row r="455">
          <cell r="B455">
            <v>4392</v>
          </cell>
          <cell r="C455" t="str">
            <v>Garcia; Albert A</v>
          </cell>
          <cell r="D455" t="str">
            <v>1C</v>
          </cell>
          <cell r="E455" t="str">
            <v>IBEWOUT</v>
          </cell>
          <cell r="F455" t="str">
            <v>47</v>
          </cell>
          <cell r="G455" t="str">
            <v>12</v>
          </cell>
          <cell r="H455">
            <v>0</v>
          </cell>
        </row>
        <row r="456">
          <cell r="B456">
            <v>4394</v>
          </cell>
          <cell r="C456" t="str">
            <v>Garcia; Kris</v>
          </cell>
          <cell r="D456" t="str">
            <v>1C</v>
          </cell>
          <cell r="E456" t="str">
            <v>IBEWOUT</v>
          </cell>
          <cell r="F456" t="str">
            <v>611</v>
          </cell>
          <cell r="G456" t="str">
            <v>10</v>
          </cell>
          <cell r="H456">
            <v>0</v>
          </cell>
        </row>
        <row r="457">
          <cell r="B457">
            <v>4398</v>
          </cell>
          <cell r="C457" t="str">
            <v>Garcia; Hafid</v>
          </cell>
          <cell r="D457" t="str">
            <v>1C</v>
          </cell>
          <cell r="E457" t="str">
            <v>IBEWOUT</v>
          </cell>
          <cell r="F457" t="str">
            <v>1245</v>
          </cell>
          <cell r="G457" t="str">
            <v>8</v>
          </cell>
          <cell r="H457">
            <v>0</v>
          </cell>
        </row>
        <row r="458">
          <cell r="B458">
            <v>4402</v>
          </cell>
          <cell r="C458" t="str">
            <v>Garcia; Israel J</v>
          </cell>
          <cell r="D458" t="str">
            <v>1C</v>
          </cell>
          <cell r="E458" t="str">
            <v>IBEWOUT</v>
          </cell>
          <cell r="F458" t="str">
            <v>611</v>
          </cell>
          <cell r="G458" t="str">
            <v>13</v>
          </cell>
          <cell r="H458">
            <v>0</v>
          </cell>
        </row>
        <row r="459">
          <cell r="B459">
            <v>4420</v>
          </cell>
          <cell r="C459" t="str">
            <v>Garcia; Leonel V.</v>
          </cell>
          <cell r="D459" t="str">
            <v>1C</v>
          </cell>
          <cell r="E459" t="str">
            <v>IBEWOUT</v>
          </cell>
          <cell r="F459" t="str">
            <v>47</v>
          </cell>
          <cell r="G459" t="str">
            <v>8</v>
          </cell>
          <cell r="H459">
            <v>0</v>
          </cell>
        </row>
        <row r="460">
          <cell r="B460">
            <v>4423</v>
          </cell>
          <cell r="C460" t="str">
            <v>Garrett; Skyler A</v>
          </cell>
          <cell r="D460" t="str">
            <v>1</v>
          </cell>
          <cell r="E460" t="str">
            <v>IBEWOUT</v>
          </cell>
          <cell r="F460" t="str">
            <v>77</v>
          </cell>
          <cell r="G460" t="str">
            <v>15</v>
          </cell>
          <cell r="H460">
            <v>0</v>
          </cell>
        </row>
        <row r="461">
          <cell r="B461">
            <v>4424</v>
          </cell>
          <cell r="C461" t="str">
            <v>Garner; David C</v>
          </cell>
          <cell r="D461" t="str">
            <v>1C</v>
          </cell>
          <cell r="E461" t="str">
            <v>IBEWOUT</v>
          </cell>
          <cell r="F461" t="str">
            <v>396</v>
          </cell>
          <cell r="G461" t="str">
            <v>8</v>
          </cell>
          <cell r="H461">
            <v>0</v>
          </cell>
        </row>
        <row r="462">
          <cell r="B462">
            <v>4431</v>
          </cell>
          <cell r="C462" t="str">
            <v>Gebhart; Tanner A</v>
          </cell>
          <cell r="D462" t="str">
            <v>1C</v>
          </cell>
          <cell r="E462" t="str">
            <v>IBEWOUT</v>
          </cell>
          <cell r="F462" t="str">
            <v>602R</v>
          </cell>
          <cell r="G462" t="str">
            <v>8</v>
          </cell>
          <cell r="H462">
            <v>0</v>
          </cell>
        </row>
        <row r="463">
          <cell r="B463">
            <v>4432</v>
          </cell>
          <cell r="C463" t="str">
            <v>Ghering; Tadd P</v>
          </cell>
          <cell r="D463" t="str">
            <v>1C</v>
          </cell>
          <cell r="E463" t="str">
            <v>IBEWOUT</v>
          </cell>
          <cell r="F463" t="str">
            <v>1245</v>
          </cell>
          <cell r="G463" t="str">
            <v>8</v>
          </cell>
          <cell r="H463">
            <v>0</v>
          </cell>
        </row>
        <row r="464">
          <cell r="B464">
            <v>4433</v>
          </cell>
          <cell r="C464" t="str">
            <v>Gednalske; Colton R</v>
          </cell>
          <cell r="D464" t="str">
            <v>1</v>
          </cell>
          <cell r="E464" t="str">
            <v>IBEWOUT</v>
          </cell>
          <cell r="F464" t="str">
            <v>77</v>
          </cell>
          <cell r="G464" t="str">
            <v>9</v>
          </cell>
          <cell r="H464">
            <v>0</v>
          </cell>
        </row>
        <row r="465">
          <cell r="B465">
            <v>4440</v>
          </cell>
          <cell r="C465" t="str">
            <v>Gerber Jr; Christian</v>
          </cell>
          <cell r="D465" t="str">
            <v>1C</v>
          </cell>
          <cell r="E465" t="str">
            <v>IBEWOUT</v>
          </cell>
          <cell r="F465" t="str">
            <v>126</v>
          </cell>
          <cell r="G465" t="str">
            <v>14</v>
          </cell>
          <cell r="H465">
            <v>0</v>
          </cell>
        </row>
        <row r="466">
          <cell r="B466">
            <v>4441</v>
          </cell>
          <cell r="C466" t="str">
            <v>Germany; Micah K</v>
          </cell>
          <cell r="D466" t="str">
            <v>1C</v>
          </cell>
          <cell r="E466" t="str">
            <v>IBEWOUT</v>
          </cell>
          <cell r="F466" t="str">
            <v>1245</v>
          </cell>
          <cell r="G466" t="str">
            <v>16</v>
          </cell>
          <cell r="H466">
            <v>0</v>
          </cell>
        </row>
        <row r="467">
          <cell r="B467">
            <v>4442</v>
          </cell>
          <cell r="C467" t="str">
            <v>Germany; Sammy R</v>
          </cell>
          <cell r="D467" t="str">
            <v>1C</v>
          </cell>
          <cell r="E467" t="str">
            <v>IBEWOUT</v>
          </cell>
          <cell r="F467" t="str">
            <v>1245</v>
          </cell>
          <cell r="G467" t="str">
            <v>8</v>
          </cell>
          <cell r="H467">
            <v>0</v>
          </cell>
        </row>
        <row r="468">
          <cell r="B468">
            <v>4445</v>
          </cell>
          <cell r="C468" t="str">
            <v>Geronimo; Dionicio</v>
          </cell>
          <cell r="D468" t="str">
            <v>1C</v>
          </cell>
          <cell r="E468" t="str">
            <v>IBEWOUT</v>
          </cell>
          <cell r="F468" t="str">
            <v>1245</v>
          </cell>
          <cell r="G468" t="str">
            <v>8</v>
          </cell>
          <cell r="H468">
            <v>0</v>
          </cell>
        </row>
        <row r="469">
          <cell r="B469">
            <v>4446</v>
          </cell>
          <cell r="C469" t="str">
            <v>Gerhards; Emrick</v>
          </cell>
          <cell r="D469" t="str">
            <v>1</v>
          </cell>
          <cell r="E469" t="str">
            <v/>
          </cell>
          <cell r="F469" t="str">
            <v/>
          </cell>
          <cell r="G469" t="str">
            <v/>
          </cell>
          <cell r="H469">
            <v>0</v>
          </cell>
        </row>
        <row r="470">
          <cell r="B470">
            <v>4500</v>
          </cell>
          <cell r="C470" t="str">
            <v>Gesiriech; Gustin W</v>
          </cell>
          <cell r="D470" t="str">
            <v>1C</v>
          </cell>
          <cell r="E470" t="str">
            <v>IBEWOUT</v>
          </cell>
          <cell r="F470" t="str">
            <v>1245</v>
          </cell>
          <cell r="G470" t="str">
            <v>8</v>
          </cell>
          <cell r="H470">
            <v>0</v>
          </cell>
        </row>
        <row r="471">
          <cell r="B471">
            <v>4521</v>
          </cell>
          <cell r="C471" t="str">
            <v>Goforth; Kaden R</v>
          </cell>
          <cell r="D471" t="str">
            <v>1</v>
          </cell>
          <cell r="E471" t="str">
            <v>IBEWOUT</v>
          </cell>
          <cell r="F471" t="str">
            <v>1245</v>
          </cell>
          <cell r="G471" t="str">
            <v>15</v>
          </cell>
          <cell r="H471">
            <v>0</v>
          </cell>
        </row>
        <row r="472">
          <cell r="B472">
            <v>4522</v>
          </cell>
          <cell r="C472" t="str">
            <v>Gochenouer; Jacob C</v>
          </cell>
          <cell r="D472" t="str">
            <v>1</v>
          </cell>
          <cell r="E472" t="str">
            <v>IBEWOUT</v>
          </cell>
          <cell r="F472" t="str">
            <v>47</v>
          </cell>
          <cell r="G472" t="str">
            <v>12</v>
          </cell>
          <cell r="H472">
            <v>0</v>
          </cell>
        </row>
        <row r="473">
          <cell r="B473">
            <v>4525</v>
          </cell>
          <cell r="C473" t="str">
            <v>Gnall Jr.; John A</v>
          </cell>
          <cell r="D473" t="str">
            <v>1C</v>
          </cell>
          <cell r="E473" t="str">
            <v>IBEWOUT</v>
          </cell>
          <cell r="F473" t="str">
            <v>1319</v>
          </cell>
          <cell r="G473" t="str">
            <v>8</v>
          </cell>
          <cell r="H473">
            <v>0</v>
          </cell>
        </row>
        <row r="474">
          <cell r="B474">
            <v>4526</v>
          </cell>
          <cell r="C474" t="str">
            <v>Godeke; Joel</v>
          </cell>
          <cell r="D474" t="str">
            <v>1C</v>
          </cell>
          <cell r="E474" t="str">
            <v>IBEWOUT</v>
          </cell>
          <cell r="F474" t="str">
            <v>47</v>
          </cell>
          <cell r="G474" t="str">
            <v>60</v>
          </cell>
          <cell r="H474">
            <v>0</v>
          </cell>
        </row>
        <row r="475">
          <cell r="B475">
            <v>4528</v>
          </cell>
          <cell r="C475" t="str">
            <v>Gollehon; Nolan B</v>
          </cell>
          <cell r="D475" t="str">
            <v>1C</v>
          </cell>
          <cell r="E475" t="str">
            <v>IBEWOUT</v>
          </cell>
          <cell r="F475" t="str">
            <v>47</v>
          </cell>
          <cell r="G475" t="str">
            <v>13</v>
          </cell>
          <cell r="H475">
            <v>0</v>
          </cell>
        </row>
        <row r="476">
          <cell r="B476">
            <v>4535</v>
          </cell>
          <cell r="C476" t="str">
            <v>Goodrich; Thadeus J.</v>
          </cell>
          <cell r="D476" t="str">
            <v>1C</v>
          </cell>
          <cell r="E476" t="str">
            <v>IBEWOUT</v>
          </cell>
          <cell r="F476" t="str">
            <v>77</v>
          </cell>
          <cell r="G476" t="str">
            <v>17</v>
          </cell>
          <cell r="H476">
            <v>0</v>
          </cell>
        </row>
        <row r="477">
          <cell r="B477">
            <v>4538</v>
          </cell>
          <cell r="C477" t="str">
            <v>Goodman; Timothy L</v>
          </cell>
          <cell r="D477" t="str">
            <v>1</v>
          </cell>
          <cell r="E477" t="str">
            <v>IBEWOUT</v>
          </cell>
          <cell r="F477" t="str">
            <v>611</v>
          </cell>
          <cell r="G477" t="str">
            <v>9</v>
          </cell>
          <cell r="H477">
            <v>0</v>
          </cell>
        </row>
        <row r="478">
          <cell r="B478">
            <v>4542</v>
          </cell>
          <cell r="C478" t="str">
            <v>Gordon; Robert S</v>
          </cell>
          <cell r="D478" t="str">
            <v>1C</v>
          </cell>
          <cell r="E478" t="str">
            <v>IBEWOUT</v>
          </cell>
          <cell r="F478" t="str">
            <v>1245</v>
          </cell>
          <cell r="G478" t="str">
            <v>17</v>
          </cell>
          <cell r="H478">
            <v>0</v>
          </cell>
        </row>
        <row r="479">
          <cell r="B479">
            <v>4556</v>
          </cell>
          <cell r="C479" t="str">
            <v>Gonzales; Isaiah C.</v>
          </cell>
          <cell r="D479" t="str">
            <v>1C</v>
          </cell>
          <cell r="E479" t="str">
            <v>IBEWOUT</v>
          </cell>
          <cell r="F479" t="str">
            <v>769</v>
          </cell>
          <cell r="G479" t="str">
            <v>14</v>
          </cell>
          <cell r="H479">
            <v>0</v>
          </cell>
        </row>
        <row r="480">
          <cell r="B480">
            <v>4557</v>
          </cell>
          <cell r="C480" t="str">
            <v>Gordon; Austin K</v>
          </cell>
          <cell r="D480" t="str">
            <v>1C</v>
          </cell>
          <cell r="E480" t="str">
            <v/>
          </cell>
          <cell r="F480" t="str">
            <v/>
          </cell>
          <cell r="G480" t="str">
            <v/>
          </cell>
          <cell r="H480">
            <v>0</v>
          </cell>
        </row>
        <row r="481">
          <cell r="B481">
            <v>4558</v>
          </cell>
          <cell r="C481" t="str">
            <v>Gordon; Cody Richard</v>
          </cell>
          <cell r="D481" t="str">
            <v>1C</v>
          </cell>
          <cell r="E481" t="str">
            <v>IBEWOUT</v>
          </cell>
          <cell r="F481" t="str">
            <v>1245</v>
          </cell>
          <cell r="G481" t="str">
            <v>8</v>
          </cell>
          <cell r="H481">
            <v>0</v>
          </cell>
        </row>
        <row r="482">
          <cell r="B482">
            <v>4563</v>
          </cell>
          <cell r="C482" t="str">
            <v>Gordon; Seth</v>
          </cell>
          <cell r="D482" t="str">
            <v>1C</v>
          </cell>
          <cell r="E482" t="str">
            <v/>
          </cell>
          <cell r="F482" t="str">
            <v/>
          </cell>
          <cell r="G482" t="str">
            <v/>
          </cell>
          <cell r="H482">
            <v>1</v>
          </cell>
        </row>
        <row r="483">
          <cell r="B483">
            <v>4564</v>
          </cell>
          <cell r="C483" t="str">
            <v>Gomez; Angel S.</v>
          </cell>
          <cell r="D483" t="str">
            <v>1C</v>
          </cell>
          <cell r="E483" t="str">
            <v>IBEWOUT</v>
          </cell>
          <cell r="F483" t="str">
            <v>1319</v>
          </cell>
          <cell r="G483" t="str">
            <v>20</v>
          </cell>
          <cell r="H483">
            <v>0</v>
          </cell>
        </row>
        <row r="484">
          <cell r="B484">
            <v>4565</v>
          </cell>
          <cell r="C484" t="str">
            <v>Gorst; Quinn R</v>
          </cell>
          <cell r="D484" t="str">
            <v>1C</v>
          </cell>
          <cell r="E484" t="str">
            <v>IBEWOUT</v>
          </cell>
          <cell r="F484" t="str">
            <v>1245</v>
          </cell>
          <cell r="G484" t="str">
            <v>8</v>
          </cell>
          <cell r="H484">
            <v>0</v>
          </cell>
        </row>
        <row r="485">
          <cell r="B485">
            <v>4566</v>
          </cell>
          <cell r="C485" t="str">
            <v>Gomez; Javier A</v>
          </cell>
          <cell r="D485" t="str">
            <v>1C</v>
          </cell>
          <cell r="E485" t="str">
            <v>IBEWOUT</v>
          </cell>
          <cell r="F485" t="str">
            <v>47</v>
          </cell>
          <cell r="G485" t="str">
            <v>14</v>
          </cell>
          <cell r="H485">
            <v>0</v>
          </cell>
        </row>
        <row r="486">
          <cell r="B486">
            <v>4567</v>
          </cell>
          <cell r="C486" t="str">
            <v>Gonzales; Francisco</v>
          </cell>
          <cell r="D486" t="str">
            <v>1C</v>
          </cell>
          <cell r="E486" t="str">
            <v>IBEWOUT</v>
          </cell>
          <cell r="F486" t="str">
            <v>769</v>
          </cell>
          <cell r="G486" t="str">
            <v>22</v>
          </cell>
          <cell r="H486">
            <v>0</v>
          </cell>
        </row>
        <row r="487">
          <cell r="B487">
            <v>4568</v>
          </cell>
          <cell r="C487" t="str">
            <v>Gonzales; Danny S</v>
          </cell>
          <cell r="D487" t="str">
            <v>1C</v>
          </cell>
          <cell r="E487" t="str">
            <v>IBEWOUT</v>
          </cell>
          <cell r="F487" t="str">
            <v>47</v>
          </cell>
          <cell r="G487" t="str">
            <v>17</v>
          </cell>
          <cell r="H487">
            <v>0</v>
          </cell>
        </row>
        <row r="488">
          <cell r="B488">
            <v>4571</v>
          </cell>
          <cell r="C488" t="str">
            <v>Gonzales; Mark A</v>
          </cell>
          <cell r="D488" t="str">
            <v>1</v>
          </cell>
          <cell r="E488" t="str">
            <v/>
          </cell>
          <cell r="F488" t="str">
            <v/>
          </cell>
          <cell r="G488" t="str">
            <v/>
          </cell>
          <cell r="H488">
            <v>0</v>
          </cell>
        </row>
        <row r="489">
          <cell r="B489">
            <v>4576</v>
          </cell>
          <cell r="C489" t="str">
            <v>Gonzalez; Joshua A.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8</v>
          </cell>
          <cell r="H489">
            <v>0</v>
          </cell>
        </row>
        <row r="490">
          <cell r="B490">
            <v>4590</v>
          </cell>
          <cell r="C490" t="str">
            <v>Gowdy; Arthur S.</v>
          </cell>
          <cell r="D490" t="str">
            <v>1C</v>
          </cell>
          <cell r="E490" t="str">
            <v>IBEWOUT</v>
          </cell>
          <cell r="F490" t="str">
            <v>77</v>
          </cell>
          <cell r="G490" t="str">
            <v>33</v>
          </cell>
          <cell r="H490">
            <v>0</v>
          </cell>
        </row>
        <row r="491">
          <cell r="B491">
            <v>4630</v>
          </cell>
          <cell r="C491" t="str">
            <v>Gibby; Geoffrey S.</v>
          </cell>
          <cell r="D491" t="str">
            <v>1C</v>
          </cell>
          <cell r="E491" t="str">
            <v>IBEWOUT</v>
          </cell>
          <cell r="F491" t="str">
            <v>47</v>
          </cell>
          <cell r="G491" t="str">
            <v>8</v>
          </cell>
          <cell r="H491">
            <v>0</v>
          </cell>
        </row>
        <row r="492">
          <cell r="B492">
            <v>4640</v>
          </cell>
          <cell r="C492" t="str">
            <v>Gilman Jr.; David G.</v>
          </cell>
          <cell r="D492" t="str">
            <v>1</v>
          </cell>
          <cell r="E492" t="str">
            <v>IBEWOUT</v>
          </cell>
          <cell r="F492" t="str">
            <v>611</v>
          </cell>
          <cell r="G492" t="str">
            <v>7</v>
          </cell>
          <cell r="H492">
            <v>0</v>
          </cell>
        </row>
        <row r="493">
          <cell r="B493">
            <v>4641</v>
          </cell>
          <cell r="C493" t="str">
            <v>Gillmore; Buck W</v>
          </cell>
          <cell r="D493" t="str">
            <v>1</v>
          </cell>
          <cell r="E493" t="str">
            <v>IBEWOUT</v>
          </cell>
          <cell r="F493" t="str">
            <v>77</v>
          </cell>
          <cell r="G493" t="str">
            <v>7</v>
          </cell>
          <cell r="H493">
            <v>0</v>
          </cell>
        </row>
        <row r="494">
          <cell r="B494">
            <v>4643</v>
          </cell>
          <cell r="C494" t="str">
            <v>Gillmore; Jesse E</v>
          </cell>
          <cell r="D494" t="str">
            <v>1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4645</v>
          </cell>
          <cell r="C495" t="str">
            <v>Gilkison; Glen W.</v>
          </cell>
          <cell r="D495" t="str">
            <v>1</v>
          </cell>
          <cell r="E495" t="str">
            <v/>
          </cell>
          <cell r="F495" t="str">
            <v/>
          </cell>
          <cell r="G495" t="str">
            <v/>
          </cell>
          <cell r="H495">
            <v>1</v>
          </cell>
        </row>
        <row r="496">
          <cell r="B496">
            <v>4646</v>
          </cell>
          <cell r="C496" t="str">
            <v>Gillmore; Thomas J</v>
          </cell>
          <cell r="D496" t="str">
            <v>1</v>
          </cell>
          <cell r="E496" t="str">
            <v>IBEWOUT</v>
          </cell>
          <cell r="F496" t="str">
            <v>125</v>
          </cell>
          <cell r="G496" t="str">
            <v>8</v>
          </cell>
          <cell r="H496">
            <v>0</v>
          </cell>
        </row>
        <row r="497">
          <cell r="B497">
            <v>4671</v>
          </cell>
          <cell r="C497" t="str">
            <v>Giancola; Jacob F</v>
          </cell>
          <cell r="D497" t="str">
            <v>1C</v>
          </cell>
          <cell r="E497" t="str">
            <v>IBEWOUT</v>
          </cell>
          <cell r="F497" t="str">
            <v>1319</v>
          </cell>
          <cell r="G497" t="str">
            <v>8</v>
          </cell>
          <cell r="H497">
            <v>0</v>
          </cell>
        </row>
        <row r="498">
          <cell r="B498">
            <v>4673</v>
          </cell>
          <cell r="C498" t="str">
            <v>Gibbs; Bruce Everett</v>
          </cell>
          <cell r="D498" t="str">
            <v>1C</v>
          </cell>
          <cell r="E498" t="str">
            <v>IBEWOUT</v>
          </cell>
          <cell r="F498" t="str">
            <v>396</v>
          </cell>
          <cell r="G498" t="str">
            <v>33</v>
          </cell>
          <cell r="H498">
            <v>0</v>
          </cell>
        </row>
        <row r="499">
          <cell r="B499">
            <v>4674</v>
          </cell>
          <cell r="C499" t="str">
            <v>George; Benjamin A</v>
          </cell>
          <cell r="D499" t="str">
            <v>1C</v>
          </cell>
          <cell r="E499" t="str">
            <v/>
          </cell>
          <cell r="F499" t="str">
            <v/>
          </cell>
          <cell r="G499" t="str">
            <v/>
          </cell>
          <cell r="H499">
            <v>0</v>
          </cell>
        </row>
        <row r="500">
          <cell r="B500">
            <v>4675</v>
          </cell>
          <cell r="C500" t="str">
            <v>George; Marcus</v>
          </cell>
          <cell r="D500" t="str">
            <v>1C</v>
          </cell>
          <cell r="E500" t="str">
            <v>IBEWOUT</v>
          </cell>
          <cell r="F500" t="str">
            <v>769</v>
          </cell>
          <cell r="G500" t="str">
            <v>22</v>
          </cell>
          <cell r="H500">
            <v>0</v>
          </cell>
        </row>
        <row r="501">
          <cell r="B501">
            <v>4680</v>
          </cell>
          <cell r="C501" t="str">
            <v>Gibson; Nicholas A</v>
          </cell>
          <cell r="D501" t="str">
            <v>1</v>
          </cell>
          <cell r="E501" t="str">
            <v/>
          </cell>
          <cell r="F501" t="str">
            <v/>
          </cell>
          <cell r="G501" t="str">
            <v/>
          </cell>
          <cell r="H501">
            <v>1</v>
          </cell>
        </row>
        <row r="502">
          <cell r="B502">
            <v>4682</v>
          </cell>
          <cell r="C502" t="str">
            <v>Gibson; Chase E</v>
          </cell>
          <cell r="D502" t="str">
            <v>1</v>
          </cell>
          <cell r="E502" t="str">
            <v>IBEWOUT</v>
          </cell>
          <cell r="F502" t="str">
            <v>47</v>
          </cell>
          <cell r="G502" t="str">
            <v>12</v>
          </cell>
          <cell r="H502">
            <v>0</v>
          </cell>
        </row>
        <row r="503">
          <cell r="B503">
            <v>4683</v>
          </cell>
          <cell r="C503" t="str">
            <v>Girtman; Zakary M</v>
          </cell>
          <cell r="D503" t="str">
            <v>1</v>
          </cell>
          <cell r="E503" t="str">
            <v/>
          </cell>
          <cell r="F503" t="str">
            <v/>
          </cell>
          <cell r="G503" t="str">
            <v/>
          </cell>
          <cell r="H503">
            <v>0</v>
          </cell>
        </row>
        <row r="504">
          <cell r="B504">
            <v>4694</v>
          </cell>
          <cell r="C504" t="str">
            <v>Gitts; Gary W</v>
          </cell>
          <cell r="D504" t="str">
            <v>1</v>
          </cell>
          <cell r="E504" t="str">
            <v/>
          </cell>
          <cell r="F504" t="str">
            <v/>
          </cell>
          <cell r="G504" t="str">
            <v/>
          </cell>
          <cell r="H504">
            <v>0</v>
          </cell>
        </row>
        <row r="505">
          <cell r="B505">
            <v>4695</v>
          </cell>
          <cell r="C505" t="str">
            <v>Givens; David N</v>
          </cell>
          <cell r="D505" t="str">
            <v>1C</v>
          </cell>
          <cell r="E505" t="str">
            <v>IBEWOUT</v>
          </cell>
          <cell r="F505" t="str">
            <v>1049</v>
          </cell>
          <cell r="G505" t="str">
            <v>11</v>
          </cell>
          <cell r="H505">
            <v>0</v>
          </cell>
        </row>
        <row r="506">
          <cell r="B506">
            <v>4698</v>
          </cell>
          <cell r="C506" t="str">
            <v>Giguere; Jacob Robert</v>
          </cell>
          <cell r="D506" t="str">
            <v>1</v>
          </cell>
          <cell r="E506" t="str">
            <v>IBEWOUT</v>
          </cell>
          <cell r="F506" t="str">
            <v>47</v>
          </cell>
          <cell r="G506" t="str">
            <v>7</v>
          </cell>
          <cell r="H506">
            <v>0</v>
          </cell>
        </row>
        <row r="507">
          <cell r="B507">
            <v>4709</v>
          </cell>
          <cell r="C507" t="str">
            <v>Glasser; James T</v>
          </cell>
          <cell r="D507" t="str">
            <v>1C</v>
          </cell>
          <cell r="E507" t="str">
            <v>IBEWOUT</v>
          </cell>
          <cell r="F507" t="str">
            <v>47</v>
          </cell>
          <cell r="G507" t="str">
            <v>16</v>
          </cell>
          <cell r="H507">
            <v>0</v>
          </cell>
        </row>
        <row r="508">
          <cell r="B508">
            <v>4718</v>
          </cell>
          <cell r="C508" t="str">
            <v>Gravos; Jason D.</v>
          </cell>
          <cell r="D508" t="str">
            <v>1C</v>
          </cell>
          <cell r="E508" t="str">
            <v>IBEWOUT</v>
          </cell>
          <cell r="F508" t="str">
            <v>77</v>
          </cell>
          <cell r="G508" t="str">
            <v>8</v>
          </cell>
          <cell r="H508">
            <v>0</v>
          </cell>
        </row>
        <row r="509">
          <cell r="B509">
            <v>4719</v>
          </cell>
          <cell r="C509" t="str">
            <v>Grams; Rodney R.</v>
          </cell>
          <cell r="D509" t="str">
            <v>1</v>
          </cell>
          <cell r="E509" t="str">
            <v>IBEWOUT</v>
          </cell>
          <cell r="F509" t="str">
            <v>125</v>
          </cell>
          <cell r="G509" t="str">
            <v>8</v>
          </cell>
          <cell r="H509">
            <v>0</v>
          </cell>
        </row>
        <row r="510">
          <cell r="B510">
            <v>4721</v>
          </cell>
          <cell r="C510" t="str">
            <v>Graham; Zachary T</v>
          </cell>
          <cell r="D510" t="str">
            <v>1C</v>
          </cell>
          <cell r="E510" t="str">
            <v>IBEWOUT</v>
          </cell>
          <cell r="F510" t="str">
            <v>47</v>
          </cell>
          <cell r="G510" t="str">
            <v>8</v>
          </cell>
          <cell r="H510">
            <v>0</v>
          </cell>
        </row>
        <row r="511">
          <cell r="B511">
            <v>4722</v>
          </cell>
          <cell r="C511" t="str">
            <v>Graham; Wesley D</v>
          </cell>
          <cell r="D511" t="str">
            <v>1C</v>
          </cell>
          <cell r="E511" t="str">
            <v>IBEWOUT</v>
          </cell>
          <cell r="F511" t="str">
            <v>1245</v>
          </cell>
          <cell r="G511" t="str">
            <v>1</v>
          </cell>
          <cell r="H511">
            <v>0</v>
          </cell>
        </row>
        <row r="512">
          <cell r="B512">
            <v>4723</v>
          </cell>
          <cell r="C512" t="str">
            <v>Graebel; Pascal Ferling</v>
          </cell>
          <cell r="D512" t="str">
            <v>1C</v>
          </cell>
          <cell r="E512" t="str">
            <v>IBEWOUT</v>
          </cell>
          <cell r="F512" t="str">
            <v>1245</v>
          </cell>
          <cell r="G512" t="str">
            <v>8</v>
          </cell>
          <cell r="H512">
            <v>0</v>
          </cell>
        </row>
        <row r="513">
          <cell r="B513">
            <v>4724</v>
          </cell>
          <cell r="C513" t="str">
            <v>Grantham; Joshua O</v>
          </cell>
          <cell r="D513" t="str">
            <v>1C</v>
          </cell>
          <cell r="E513" t="str">
            <v>IBEWOUT</v>
          </cell>
          <cell r="F513" t="str">
            <v>1245</v>
          </cell>
          <cell r="G513" t="str">
            <v>8</v>
          </cell>
          <cell r="H513">
            <v>0</v>
          </cell>
        </row>
        <row r="514">
          <cell r="B514">
            <v>4725</v>
          </cell>
          <cell r="C514" t="str">
            <v>Grantham; Benjamin</v>
          </cell>
          <cell r="D514" t="str">
            <v>1C</v>
          </cell>
          <cell r="E514" t="str">
            <v>IBEWOUT</v>
          </cell>
          <cell r="F514" t="str">
            <v>1245</v>
          </cell>
          <cell r="G514" t="str">
            <v>8</v>
          </cell>
          <cell r="H514">
            <v>0</v>
          </cell>
        </row>
        <row r="515">
          <cell r="B515">
            <v>4727</v>
          </cell>
          <cell r="C515" t="str">
            <v>Graff; Scott A</v>
          </cell>
          <cell r="D515" t="str">
            <v>1</v>
          </cell>
          <cell r="E515" t="str">
            <v>IBEWOUT</v>
          </cell>
          <cell r="F515" t="str">
            <v>125</v>
          </cell>
          <cell r="G515" t="str">
            <v>7</v>
          </cell>
          <cell r="H515">
            <v>0</v>
          </cell>
        </row>
        <row r="516">
          <cell r="B516">
            <v>4729</v>
          </cell>
          <cell r="C516" t="str">
            <v>Grant; Jacob A</v>
          </cell>
          <cell r="D516" t="str">
            <v>1C</v>
          </cell>
          <cell r="E516" t="str">
            <v>IBEWOUT</v>
          </cell>
          <cell r="F516" t="str">
            <v>1245</v>
          </cell>
          <cell r="G516" t="str">
            <v>17</v>
          </cell>
          <cell r="H516">
            <v>0</v>
          </cell>
        </row>
        <row r="517">
          <cell r="B517">
            <v>4733</v>
          </cell>
          <cell r="C517" t="str">
            <v>Gray; Michael W</v>
          </cell>
          <cell r="D517" t="str">
            <v>1C</v>
          </cell>
          <cell r="E517" t="str">
            <v>IBEWOUT</v>
          </cell>
          <cell r="F517" t="str">
            <v>1245</v>
          </cell>
          <cell r="G517" t="str">
            <v>7</v>
          </cell>
          <cell r="H517">
            <v>0</v>
          </cell>
        </row>
        <row r="518">
          <cell r="B518">
            <v>4735</v>
          </cell>
          <cell r="C518" t="str">
            <v>Gray; Christopher N</v>
          </cell>
          <cell r="D518" t="str">
            <v>1C</v>
          </cell>
          <cell r="E518" t="str">
            <v>IBEWOUT</v>
          </cell>
          <cell r="F518" t="str">
            <v>1245</v>
          </cell>
          <cell r="G518" t="str">
            <v>8</v>
          </cell>
          <cell r="H518">
            <v>0</v>
          </cell>
        </row>
        <row r="519">
          <cell r="B519">
            <v>4736</v>
          </cell>
          <cell r="C519" t="str">
            <v>Gravelle; Joshua A</v>
          </cell>
          <cell r="D519" t="str">
            <v>1C</v>
          </cell>
          <cell r="E519" t="str">
            <v>IBEWOUT</v>
          </cell>
          <cell r="F519" t="str">
            <v>160</v>
          </cell>
          <cell r="G519" t="str">
            <v>8</v>
          </cell>
          <cell r="H519">
            <v>0</v>
          </cell>
        </row>
        <row r="520">
          <cell r="B520">
            <v>4737</v>
          </cell>
          <cell r="C520" t="str">
            <v>Gravil II; James F</v>
          </cell>
          <cell r="D520" t="str">
            <v>1C</v>
          </cell>
          <cell r="E520" t="str">
            <v>IBEWOUT</v>
          </cell>
          <cell r="F520" t="str">
            <v>1245</v>
          </cell>
          <cell r="G520" t="str">
            <v>8</v>
          </cell>
          <cell r="H520">
            <v>0</v>
          </cell>
        </row>
        <row r="521">
          <cell r="B521">
            <v>4739</v>
          </cell>
          <cell r="C521" t="str">
            <v>Green; David R</v>
          </cell>
          <cell r="D521" t="str">
            <v>1C</v>
          </cell>
          <cell r="E521" t="str">
            <v>IBEWOUT</v>
          </cell>
          <cell r="F521" t="str">
            <v>1245</v>
          </cell>
          <cell r="G521" t="str">
            <v>8</v>
          </cell>
          <cell r="H521">
            <v>0</v>
          </cell>
        </row>
        <row r="522">
          <cell r="B522">
            <v>4745</v>
          </cell>
          <cell r="C522" t="str">
            <v>Green; Christopher A</v>
          </cell>
          <cell r="D522" t="str">
            <v>1C</v>
          </cell>
          <cell r="E522" t="str">
            <v>IBEWOUT</v>
          </cell>
          <cell r="F522" t="str">
            <v>47</v>
          </cell>
          <cell r="G522" t="str">
            <v>14</v>
          </cell>
          <cell r="H522">
            <v>0</v>
          </cell>
        </row>
        <row r="523">
          <cell r="B523">
            <v>4746</v>
          </cell>
          <cell r="C523" t="str">
            <v>Green; Michael R</v>
          </cell>
          <cell r="D523" t="str">
            <v>1C</v>
          </cell>
          <cell r="E523" t="str">
            <v>IBEWOUT</v>
          </cell>
          <cell r="F523" t="str">
            <v>77</v>
          </cell>
          <cell r="G523" t="str">
            <v>9</v>
          </cell>
          <cell r="H523">
            <v>0</v>
          </cell>
        </row>
        <row r="524">
          <cell r="B524">
            <v>4749</v>
          </cell>
          <cell r="C524" t="str">
            <v>Green; Jacob E.</v>
          </cell>
          <cell r="D524" t="str">
            <v>1C</v>
          </cell>
          <cell r="E524" t="str">
            <v>IBEWOUT</v>
          </cell>
          <cell r="F524" t="str">
            <v>1245</v>
          </cell>
          <cell r="G524" t="str">
            <v>8</v>
          </cell>
          <cell r="H524">
            <v>0</v>
          </cell>
        </row>
        <row r="525">
          <cell r="B525">
            <v>4752</v>
          </cell>
          <cell r="C525" t="str">
            <v>Gutierrez; Fernando N</v>
          </cell>
          <cell r="D525" t="str">
            <v>1C</v>
          </cell>
          <cell r="E525" t="str">
            <v>IBEWOUT</v>
          </cell>
          <cell r="F525" t="str">
            <v>1245</v>
          </cell>
          <cell r="G525" t="str">
            <v>8</v>
          </cell>
          <cell r="H525">
            <v>0</v>
          </cell>
        </row>
        <row r="526">
          <cell r="B526">
            <v>4753</v>
          </cell>
          <cell r="C526" t="str">
            <v>Green; Douglas V</v>
          </cell>
          <cell r="D526" t="str">
            <v>1C</v>
          </cell>
          <cell r="E526" t="str">
            <v>IBEWOUT</v>
          </cell>
          <cell r="F526" t="str">
            <v>1245</v>
          </cell>
          <cell r="G526" t="str">
            <v>8</v>
          </cell>
          <cell r="H526">
            <v>0</v>
          </cell>
        </row>
        <row r="527">
          <cell r="B527">
            <v>4754</v>
          </cell>
          <cell r="C527" t="str">
            <v>Greer; Rebecca J.</v>
          </cell>
          <cell r="D527" t="str">
            <v>1C</v>
          </cell>
          <cell r="E527" t="str">
            <v/>
          </cell>
          <cell r="F527" t="str">
            <v/>
          </cell>
          <cell r="G527" t="str">
            <v/>
          </cell>
          <cell r="H527">
            <v>1</v>
          </cell>
        </row>
        <row r="528">
          <cell r="B528">
            <v>4755</v>
          </cell>
          <cell r="C528" t="str">
            <v>Gutierrez; Luis G</v>
          </cell>
          <cell r="D528" t="str">
            <v>1C</v>
          </cell>
          <cell r="E528" t="str">
            <v>IBEWOUT</v>
          </cell>
          <cell r="F528" t="str">
            <v>47</v>
          </cell>
          <cell r="G528" t="str">
            <v>17</v>
          </cell>
          <cell r="H528">
            <v>0</v>
          </cell>
        </row>
        <row r="529">
          <cell r="B529">
            <v>4759</v>
          </cell>
          <cell r="C529" t="str">
            <v>Green; Jesse D</v>
          </cell>
          <cell r="D529" t="str">
            <v>1</v>
          </cell>
          <cell r="E529" t="str">
            <v>IBEWOUT</v>
          </cell>
          <cell r="F529" t="str">
            <v>1245</v>
          </cell>
          <cell r="G529" t="str">
            <v>8</v>
          </cell>
          <cell r="H529">
            <v>0</v>
          </cell>
        </row>
        <row r="530">
          <cell r="B530">
            <v>4764</v>
          </cell>
          <cell r="C530" t="str">
            <v>Greer; Arnold Joseph Jay</v>
          </cell>
          <cell r="D530" t="str">
            <v>1C</v>
          </cell>
          <cell r="E530" t="str">
            <v>IBEWOUT</v>
          </cell>
          <cell r="F530" t="str">
            <v>1245</v>
          </cell>
          <cell r="G530" t="str">
            <v>8</v>
          </cell>
          <cell r="H530">
            <v>0</v>
          </cell>
        </row>
        <row r="531">
          <cell r="B531">
            <v>4765</v>
          </cell>
          <cell r="C531" t="str">
            <v>Gregory; Corey J</v>
          </cell>
          <cell r="D531" t="str">
            <v>1C</v>
          </cell>
          <cell r="E531" t="str">
            <v>IBEWOUT</v>
          </cell>
          <cell r="F531" t="str">
            <v>125</v>
          </cell>
          <cell r="G531" t="str">
            <v>12</v>
          </cell>
          <cell r="H531">
            <v>0</v>
          </cell>
        </row>
        <row r="532">
          <cell r="B532">
            <v>4780</v>
          </cell>
          <cell r="C532" t="str">
            <v>Grobe; Blake A</v>
          </cell>
          <cell r="D532" t="str">
            <v>1</v>
          </cell>
          <cell r="E532" t="str">
            <v>IBEWOUT</v>
          </cell>
          <cell r="F532" t="str">
            <v>1245</v>
          </cell>
          <cell r="G532" t="str">
            <v>8</v>
          </cell>
          <cell r="H532">
            <v>0</v>
          </cell>
        </row>
        <row r="533">
          <cell r="B533">
            <v>4782</v>
          </cell>
          <cell r="C533" t="str">
            <v>Grose; Robert Douglas</v>
          </cell>
          <cell r="D533" t="str">
            <v>1C</v>
          </cell>
          <cell r="E533" t="str">
            <v>IBEWOUT</v>
          </cell>
          <cell r="F533" t="str">
            <v>125</v>
          </cell>
          <cell r="G533" t="str">
            <v>16</v>
          </cell>
          <cell r="H533">
            <v>0</v>
          </cell>
        </row>
        <row r="534">
          <cell r="B534">
            <v>4784</v>
          </cell>
          <cell r="C534" t="str">
            <v>Grossman; Jeremy A</v>
          </cell>
          <cell r="D534" t="str">
            <v>1C</v>
          </cell>
          <cell r="E534" t="str">
            <v>IBEWOUT</v>
          </cell>
          <cell r="F534" t="str">
            <v>77</v>
          </cell>
          <cell r="G534" t="str">
            <v>8</v>
          </cell>
          <cell r="H534">
            <v>0</v>
          </cell>
        </row>
        <row r="535">
          <cell r="B535">
            <v>4785</v>
          </cell>
          <cell r="C535" t="str">
            <v>Gross; Michael B</v>
          </cell>
          <cell r="D535" t="str">
            <v>1C</v>
          </cell>
          <cell r="E535" t="str">
            <v>IBEWOUT</v>
          </cell>
          <cell r="F535" t="str">
            <v>602R</v>
          </cell>
          <cell r="G535" t="str">
            <v>8</v>
          </cell>
          <cell r="H535">
            <v>0</v>
          </cell>
        </row>
        <row r="536">
          <cell r="B536">
            <v>4787</v>
          </cell>
          <cell r="C536" t="str">
            <v>Gross; Kacy E</v>
          </cell>
          <cell r="D536" t="str">
            <v>1</v>
          </cell>
          <cell r="E536" t="str">
            <v>IBEWOUT</v>
          </cell>
          <cell r="F536" t="str">
            <v>77</v>
          </cell>
          <cell r="G536" t="str">
            <v>10</v>
          </cell>
          <cell r="H536">
            <v>0</v>
          </cell>
        </row>
        <row r="537">
          <cell r="B537">
            <v>4807</v>
          </cell>
          <cell r="C537" t="str">
            <v>Gummig; Zechariah A</v>
          </cell>
          <cell r="D537" t="str">
            <v>1C</v>
          </cell>
          <cell r="E537" t="str">
            <v>IBEWOUT</v>
          </cell>
          <cell r="F537" t="str">
            <v>47</v>
          </cell>
          <cell r="G537" t="str">
            <v>8</v>
          </cell>
          <cell r="H537">
            <v>0</v>
          </cell>
        </row>
        <row r="538">
          <cell r="B538">
            <v>4813</v>
          </cell>
          <cell r="C538" t="str">
            <v>Guizar; Axel M</v>
          </cell>
          <cell r="D538" t="str">
            <v>1</v>
          </cell>
          <cell r="E538" t="str">
            <v>IBEWOUT</v>
          </cell>
          <cell r="F538" t="str">
            <v>769</v>
          </cell>
          <cell r="G538" t="str">
            <v>7</v>
          </cell>
          <cell r="H538">
            <v>0</v>
          </cell>
        </row>
        <row r="539">
          <cell r="B539">
            <v>4815</v>
          </cell>
          <cell r="C539" t="str">
            <v>Gunderson; Eric C</v>
          </cell>
          <cell r="D539" t="str">
            <v>1C</v>
          </cell>
          <cell r="E539" t="str">
            <v>IBEWOUT</v>
          </cell>
          <cell r="F539" t="str">
            <v>77</v>
          </cell>
          <cell r="G539" t="str">
            <v>16</v>
          </cell>
          <cell r="H539">
            <v>0</v>
          </cell>
        </row>
        <row r="540">
          <cell r="B540">
            <v>4817</v>
          </cell>
          <cell r="C540" t="str">
            <v>Grunst; Gary C.</v>
          </cell>
          <cell r="D540" t="str">
            <v>1</v>
          </cell>
          <cell r="E540" t="str">
            <v/>
          </cell>
          <cell r="F540" t="str">
            <v/>
          </cell>
          <cell r="G540" t="str">
            <v/>
          </cell>
          <cell r="H540">
            <v>1</v>
          </cell>
        </row>
        <row r="541">
          <cell r="B541">
            <v>4821</v>
          </cell>
          <cell r="C541" t="str">
            <v>Gunn; Larry O</v>
          </cell>
          <cell r="D541" t="str">
            <v>1</v>
          </cell>
          <cell r="E541" t="str">
            <v/>
          </cell>
          <cell r="F541" t="str">
            <v/>
          </cell>
          <cell r="G541" t="str">
            <v/>
          </cell>
          <cell r="H541">
            <v>1</v>
          </cell>
        </row>
        <row r="542">
          <cell r="B542">
            <v>4829</v>
          </cell>
          <cell r="C542" t="str">
            <v>Haase; Eric N</v>
          </cell>
          <cell r="D542" t="str">
            <v>1C</v>
          </cell>
          <cell r="E542" t="str">
            <v>IBEWOUT</v>
          </cell>
          <cell r="F542" t="str">
            <v>125</v>
          </cell>
          <cell r="G542" t="str">
            <v>16</v>
          </cell>
          <cell r="H542">
            <v>0</v>
          </cell>
        </row>
        <row r="543">
          <cell r="B543">
            <v>4830</v>
          </cell>
          <cell r="C543" t="str">
            <v>Guevara; Ruben</v>
          </cell>
          <cell r="D543" t="str">
            <v>1</v>
          </cell>
          <cell r="E543" t="str">
            <v>IBEWOUT</v>
          </cell>
          <cell r="F543" t="str">
            <v>1245</v>
          </cell>
          <cell r="G543" t="str">
            <v>7</v>
          </cell>
          <cell r="H543">
            <v>0</v>
          </cell>
        </row>
        <row r="544">
          <cell r="B544">
            <v>4832</v>
          </cell>
          <cell r="C544" t="str">
            <v>Guffey; Jess B</v>
          </cell>
          <cell r="D544" t="str">
            <v>1C</v>
          </cell>
          <cell r="E544" t="str">
            <v>IBEWOUT</v>
          </cell>
          <cell r="F544" t="str">
            <v>47</v>
          </cell>
          <cell r="G544" t="str">
            <v>15</v>
          </cell>
          <cell r="H544">
            <v>0</v>
          </cell>
        </row>
        <row r="545">
          <cell r="B545">
            <v>4833</v>
          </cell>
          <cell r="C545" t="str">
            <v>Gunia; Michael D</v>
          </cell>
          <cell r="D545" t="str">
            <v>1C</v>
          </cell>
          <cell r="E545" t="str">
            <v>IBEWOUT</v>
          </cell>
          <cell r="F545" t="str">
            <v>47</v>
          </cell>
          <cell r="G545" t="str">
            <v>8</v>
          </cell>
          <cell r="H545">
            <v>0</v>
          </cell>
        </row>
        <row r="546">
          <cell r="B546">
            <v>4834</v>
          </cell>
          <cell r="C546" t="str">
            <v>Hacker; Travis K</v>
          </cell>
          <cell r="D546" t="str">
            <v>1C</v>
          </cell>
          <cell r="E546" t="str">
            <v>IBEWOUT</v>
          </cell>
          <cell r="F546" t="str">
            <v>47</v>
          </cell>
          <cell r="G546" t="str">
            <v>8</v>
          </cell>
          <cell r="H546">
            <v>0</v>
          </cell>
        </row>
        <row r="547">
          <cell r="B547">
            <v>4836</v>
          </cell>
          <cell r="C547" t="str">
            <v>Guerrero; Rene J</v>
          </cell>
          <cell r="D547" t="str">
            <v>1C</v>
          </cell>
          <cell r="E547" t="str">
            <v>IBEWOUT</v>
          </cell>
          <cell r="F547" t="str">
            <v>47</v>
          </cell>
          <cell r="G547" t="str">
            <v>17</v>
          </cell>
          <cell r="H547">
            <v>0</v>
          </cell>
        </row>
        <row r="548">
          <cell r="B548">
            <v>4837</v>
          </cell>
          <cell r="C548" t="str">
            <v>Guy; Nicholas M</v>
          </cell>
          <cell r="D548" t="str">
            <v>1C</v>
          </cell>
          <cell r="E548" t="str">
            <v>IBEWOUT</v>
          </cell>
          <cell r="F548" t="str">
            <v>77</v>
          </cell>
          <cell r="G548" t="str">
            <v>10</v>
          </cell>
          <cell r="H548">
            <v>0</v>
          </cell>
        </row>
        <row r="549">
          <cell r="B549">
            <v>4846</v>
          </cell>
          <cell r="C549" t="str">
            <v>Haldiman; Zachary J</v>
          </cell>
          <cell r="D549" t="str">
            <v>1</v>
          </cell>
          <cell r="E549" t="str">
            <v>IBEWOUT</v>
          </cell>
          <cell r="F549" t="str">
            <v>769</v>
          </cell>
          <cell r="G549" t="str">
            <v>8</v>
          </cell>
          <cell r="H549">
            <v>0</v>
          </cell>
        </row>
        <row r="550">
          <cell r="B550">
            <v>4876</v>
          </cell>
          <cell r="C550" t="str">
            <v>Hall; Peter Joe</v>
          </cell>
          <cell r="D550" t="str">
            <v>1</v>
          </cell>
          <cell r="E550" t="str">
            <v/>
          </cell>
          <cell r="F550" t="str">
            <v/>
          </cell>
          <cell r="G550" t="str">
            <v/>
          </cell>
          <cell r="H550">
            <v>1</v>
          </cell>
        </row>
        <row r="551">
          <cell r="B551">
            <v>4882</v>
          </cell>
          <cell r="C551" t="str">
            <v>Hankins; Austin Allan</v>
          </cell>
          <cell r="D551" t="str">
            <v>1C</v>
          </cell>
          <cell r="E551" t="str">
            <v>IBEWOUT</v>
          </cell>
          <cell r="F551" t="str">
            <v>769</v>
          </cell>
          <cell r="G551" t="str">
            <v>22</v>
          </cell>
          <cell r="H551">
            <v>0</v>
          </cell>
        </row>
        <row r="552">
          <cell r="B552">
            <v>4891</v>
          </cell>
          <cell r="C552" t="str">
            <v>Hall; Cody R</v>
          </cell>
          <cell r="D552" t="str">
            <v>1C</v>
          </cell>
          <cell r="E552" t="str">
            <v>IBEWOUT</v>
          </cell>
          <cell r="F552" t="str">
            <v>77</v>
          </cell>
          <cell r="G552" t="str">
            <v>9</v>
          </cell>
          <cell r="H552">
            <v>0</v>
          </cell>
        </row>
        <row r="553">
          <cell r="B553">
            <v>4892</v>
          </cell>
          <cell r="C553" t="str">
            <v>Hall; Adam J</v>
          </cell>
          <cell r="D553" t="str">
            <v>1C</v>
          </cell>
          <cell r="E553" t="str">
            <v>IBEWOUT</v>
          </cell>
          <cell r="F553" t="str">
            <v>160</v>
          </cell>
          <cell r="G553" t="str">
            <v>8</v>
          </cell>
          <cell r="H553">
            <v>0</v>
          </cell>
        </row>
        <row r="554">
          <cell r="B554">
            <v>4895</v>
          </cell>
          <cell r="C554" t="str">
            <v>Harding; Grant l</v>
          </cell>
          <cell r="D554" t="str">
            <v>1C</v>
          </cell>
          <cell r="E554" t="str">
            <v>IBEWOUT</v>
          </cell>
          <cell r="F554" t="str">
            <v>47</v>
          </cell>
          <cell r="G554" t="str">
            <v>8</v>
          </cell>
          <cell r="H554">
            <v>0</v>
          </cell>
        </row>
        <row r="555">
          <cell r="B555">
            <v>4898</v>
          </cell>
          <cell r="C555" t="str">
            <v>Hall; Levi R</v>
          </cell>
          <cell r="D555" t="str">
            <v>1C</v>
          </cell>
          <cell r="E555" t="str">
            <v>IBEWOUT</v>
          </cell>
          <cell r="F555" t="str">
            <v>125</v>
          </cell>
          <cell r="G555" t="str">
            <v>10</v>
          </cell>
          <cell r="H555">
            <v>0</v>
          </cell>
        </row>
        <row r="556">
          <cell r="B556">
            <v>4899</v>
          </cell>
          <cell r="C556" t="str">
            <v>Hamelin; Kenneth L</v>
          </cell>
          <cell r="D556" t="str">
            <v>1C</v>
          </cell>
          <cell r="E556" t="str">
            <v>IBEWOUT</v>
          </cell>
          <cell r="F556" t="str">
            <v>77</v>
          </cell>
          <cell r="G556" t="str">
            <v>7</v>
          </cell>
          <cell r="H556">
            <v>0</v>
          </cell>
        </row>
        <row r="557">
          <cell r="B557">
            <v>4901</v>
          </cell>
          <cell r="C557" t="str">
            <v>Hall; Erik S</v>
          </cell>
          <cell r="D557" t="str">
            <v>1C</v>
          </cell>
          <cell r="E557" t="str">
            <v>IBEWOUT</v>
          </cell>
          <cell r="F557" t="str">
            <v>1245</v>
          </cell>
          <cell r="G557" t="str">
            <v>8</v>
          </cell>
          <cell r="H557">
            <v>0</v>
          </cell>
        </row>
        <row r="558">
          <cell r="B558">
            <v>4902</v>
          </cell>
          <cell r="C558" t="str">
            <v>Hamner; Brant S</v>
          </cell>
          <cell r="D558" t="str">
            <v>1C</v>
          </cell>
          <cell r="E558" t="str">
            <v>IBEWOUT</v>
          </cell>
          <cell r="F558" t="str">
            <v>1245</v>
          </cell>
          <cell r="G558" t="str">
            <v>15</v>
          </cell>
          <cell r="H558">
            <v>0</v>
          </cell>
        </row>
        <row r="559">
          <cell r="B559">
            <v>4904</v>
          </cell>
          <cell r="C559" t="str">
            <v>Hammon; Jake B</v>
          </cell>
          <cell r="D559" t="str">
            <v>1</v>
          </cell>
          <cell r="E559" t="str">
            <v>IBEWOUT</v>
          </cell>
          <cell r="F559" t="str">
            <v>47</v>
          </cell>
          <cell r="G559" t="str">
            <v>16</v>
          </cell>
          <cell r="H559">
            <v>0</v>
          </cell>
        </row>
        <row r="560">
          <cell r="B560">
            <v>4905</v>
          </cell>
          <cell r="C560" t="str">
            <v>Hancock; James A</v>
          </cell>
          <cell r="D560" t="str">
            <v>1C</v>
          </cell>
          <cell r="E560" t="str">
            <v>IBEWOUT</v>
          </cell>
          <cell r="F560" t="str">
            <v>125</v>
          </cell>
          <cell r="G560" t="str">
            <v>8</v>
          </cell>
          <cell r="H560">
            <v>0</v>
          </cell>
        </row>
        <row r="561">
          <cell r="B561">
            <v>4930</v>
          </cell>
          <cell r="C561" t="str">
            <v>Hathaway; Phillip J</v>
          </cell>
          <cell r="D561" t="str">
            <v>1C</v>
          </cell>
          <cell r="E561" t="str">
            <v>IBEWOUT</v>
          </cell>
          <cell r="F561" t="str">
            <v>769</v>
          </cell>
          <cell r="G561" t="str">
            <v>8</v>
          </cell>
          <cell r="H561">
            <v>0</v>
          </cell>
        </row>
        <row r="562">
          <cell r="B562">
            <v>4946</v>
          </cell>
          <cell r="C562" t="str">
            <v>Hawkins; Christopher D.</v>
          </cell>
          <cell r="D562" t="str">
            <v>1C</v>
          </cell>
          <cell r="E562" t="str">
            <v>IBEWOUT</v>
          </cell>
          <cell r="F562" t="str">
            <v>1245</v>
          </cell>
          <cell r="G562" t="str">
            <v>8</v>
          </cell>
          <cell r="H562">
            <v>0</v>
          </cell>
        </row>
        <row r="563">
          <cell r="B563">
            <v>4950</v>
          </cell>
          <cell r="C563" t="str">
            <v>Hawkins; Shawn C.</v>
          </cell>
          <cell r="D563" t="str">
            <v>1C</v>
          </cell>
          <cell r="E563" t="str">
            <v>IBEWOUT</v>
          </cell>
          <cell r="F563" t="str">
            <v>47</v>
          </cell>
          <cell r="G563" t="str">
            <v>8</v>
          </cell>
          <cell r="H563">
            <v>0</v>
          </cell>
        </row>
        <row r="564">
          <cell r="B564">
            <v>4963</v>
          </cell>
          <cell r="C564" t="str">
            <v>Hairell; Ronald W</v>
          </cell>
          <cell r="D564" t="str">
            <v>1C</v>
          </cell>
          <cell r="E564" t="str">
            <v>IBEWOUT</v>
          </cell>
          <cell r="F564" t="str">
            <v>1245</v>
          </cell>
          <cell r="G564" t="str">
            <v>17</v>
          </cell>
          <cell r="H564">
            <v>0</v>
          </cell>
        </row>
        <row r="565">
          <cell r="B565">
            <v>4967</v>
          </cell>
          <cell r="C565" t="str">
            <v>Hansen; David L</v>
          </cell>
          <cell r="D565" t="str">
            <v>1C</v>
          </cell>
          <cell r="E565" t="str">
            <v>IBEWOUT</v>
          </cell>
          <cell r="F565" t="str">
            <v>47</v>
          </cell>
          <cell r="G565" t="str">
            <v>17</v>
          </cell>
          <cell r="H565">
            <v>0</v>
          </cell>
        </row>
        <row r="566">
          <cell r="B566">
            <v>4969</v>
          </cell>
          <cell r="C566" t="str">
            <v>Hartman; Matthew J.</v>
          </cell>
          <cell r="D566" t="str">
            <v>1C</v>
          </cell>
          <cell r="E566" t="str">
            <v>IBEWOUT</v>
          </cell>
          <cell r="F566" t="str">
            <v>125</v>
          </cell>
          <cell r="G566" t="str">
            <v>13</v>
          </cell>
          <cell r="H566">
            <v>0</v>
          </cell>
        </row>
        <row r="567">
          <cell r="B567">
            <v>4972</v>
          </cell>
          <cell r="C567" t="str">
            <v>Hayman; Cody A</v>
          </cell>
          <cell r="D567" t="str">
            <v>1C</v>
          </cell>
          <cell r="E567" t="str">
            <v>IBEWOUT</v>
          </cell>
          <cell r="F567" t="str">
            <v>1319</v>
          </cell>
          <cell r="G567" t="str">
            <v>17</v>
          </cell>
          <cell r="H567">
            <v>0</v>
          </cell>
        </row>
        <row r="568">
          <cell r="B568">
            <v>4973</v>
          </cell>
          <cell r="C568" t="str">
            <v>Harroun; Steven C</v>
          </cell>
          <cell r="D568" t="str">
            <v>1C</v>
          </cell>
          <cell r="E568" t="str">
            <v>IBEWOUT</v>
          </cell>
          <cell r="F568" t="str">
            <v>611</v>
          </cell>
          <cell r="G568" t="str">
            <v>13</v>
          </cell>
          <cell r="H568">
            <v>0</v>
          </cell>
        </row>
        <row r="569">
          <cell r="B569">
            <v>4974</v>
          </cell>
          <cell r="C569" t="str">
            <v>Hartley; Walter M</v>
          </cell>
          <cell r="D569" t="str">
            <v>1C</v>
          </cell>
          <cell r="E569" t="str">
            <v>IBEWOUT</v>
          </cell>
          <cell r="F569" t="str">
            <v>1245</v>
          </cell>
          <cell r="G569" t="str">
            <v>7</v>
          </cell>
          <cell r="H569">
            <v>0</v>
          </cell>
        </row>
        <row r="570">
          <cell r="B570">
            <v>4979</v>
          </cell>
          <cell r="C570" t="str">
            <v>Hathcock; Steven Heath</v>
          </cell>
          <cell r="D570" t="str">
            <v>1C</v>
          </cell>
          <cell r="E570" t="str">
            <v>IBEWOUT</v>
          </cell>
          <cell r="F570" t="str">
            <v>769</v>
          </cell>
          <cell r="G570" t="str">
            <v>7</v>
          </cell>
          <cell r="H570">
            <v>0</v>
          </cell>
        </row>
        <row r="571">
          <cell r="B571">
            <v>4981</v>
          </cell>
          <cell r="C571" t="str">
            <v>Hivner; Nicholas S</v>
          </cell>
          <cell r="D571" t="str">
            <v>1C</v>
          </cell>
          <cell r="E571" t="str">
            <v>IBEWOUT</v>
          </cell>
          <cell r="F571" t="str">
            <v>126</v>
          </cell>
          <cell r="G571" t="str">
            <v>15</v>
          </cell>
          <cell r="H571">
            <v>0</v>
          </cell>
        </row>
        <row r="572">
          <cell r="B572">
            <v>4983</v>
          </cell>
          <cell r="C572" t="str">
            <v>Harmon; Darren L</v>
          </cell>
          <cell r="D572" t="str">
            <v>1C</v>
          </cell>
          <cell r="E572" t="str">
            <v>IBEWOUT</v>
          </cell>
          <cell r="F572" t="str">
            <v>396</v>
          </cell>
          <cell r="G572" t="str">
            <v>7</v>
          </cell>
          <cell r="H572">
            <v>0</v>
          </cell>
        </row>
        <row r="573">
          <cell r="B573">
            <v>4989</v>
          </cell>
          <cell r="C573" t="str">
            <v>Hankins; Clifford Lee</v>
          </cell>
          <cell r="D573" t="str">
            <v>1C</v>
          </cell>
          <cell r="E573" t="str">
            <v>IBEWOUT</v>
          </cell>
          <cell r="F573" t="str">
            <v>769</v>
          </cell>
          <cell r="G573" t="str">
            <v>8</v>
          </cell>
          <cell r="H573">
            <v>0</v>
          </cell>
        </row>
        <row r="574">
          <cell r="B574">
            <v>4993</v>
          </cell>
          <cell r="C574" t="str">
            <v>Harkins; Michael J</v>
          </cell>
          <cell r="D574" t="str">
            <v>1C</v>
          </cell>
          <cell r="E574" t="str">
            <v>IBEWOUT</v>
          </cell>
          <cell r="F574" t="str">
            <v>1319</v>
          </cell>
          <cell r="G574" t="str">
            <v>16</v>
          </cell>
          <cell r="H574">
            <v>0</v>
          </cell>
        </row>
        <row r="575">
          <cell r="B575">
            <v>4995</v>
          </cell>
          <cell r="C575" t="str">
            <v>Hinch; Anthony T.</v>
          </cell>
          <cell r="D575" t="str">
            <v>1C</v>
          </cell>
          <cell r="E575" t="str">
            <v>IBEWOUT</v>
          </cell>
          <cell r="F575" t="str">
            <v>1245</v>
          </cell>
          <cell r="G575" t="str">
            <v>8</v>
          </cell>
          <cell r="H575">
            <v>0</v>
          </cell>
        </row>
        <row r="576">
          <cell r="B576">
            <v>4998</v>
          </cell>
          <cell r="C576" t="str">
            <v>Geiser; Robert A</v>
          </cell>
          <cell r="D576" t="str">
            <v>1C</v>
          </cell>
          <cell r="E576" t="str">
            <v>IBEWOUT</v>
          </cell>
          <cell r="F576" t="str">
            <v>602R</v>
          </cell>
          <cell r="G576" t="str">
            <v>8</v>
          </cell>
          <cell r="H576">
            <v>0</v>
          </cell>
        </row>
        <row r="577">
          <cell r="B577">
            <v>4999</v>
          </cell>
          <cell r="C577" t="str">
            <v>Geyer; Tyler W</v>
          </cell>
          <cell r="D577" t="str">
            <v>1</v>
          </cell>
          <cell r="E577" t="str">
            <v>IBEWOUT</v>
          </cell>
          <cell r="F577" t="str">
            <v>77</v>
          </cell>
          <cell r="G577" t="str">
            <v>7</v>
          </cell>
          <cell r="H577">
            <v>0</v>
          </cell>
        </row>
        <row r="578">
          <cell r="B578">
            <v>5011</v>
          </cell>
          <cell r="C578" t="str">
            <v>Harris; Guy A</v>
          </cell>
          <cell r="D578" t="str">
            <v>1C</v>
          </cell>
          <cell r="E578" t="str">
            <v>IBEWOUT</v>
          </cell>
          <cell r="F578" t="str">
            <v>47</v>
          </cell>
          <cell r="G578" t="str">
            <v>8</v>
          </cell>
          <cell r="H578">
            <v>0</v>
          </cell>
        </row>
        <row r="579">
          <cell r="B579">
            <v>5012</v>
          </cell>
          <cell r="C579" t="str">
            <v>Haagen; Adam E</v>
          </cell>
          <cell r="D579" t="str">
            <v>1C</v>
          </cell>
          <cell r="E579" t="str">
            <v>IBEWOUT</v>
          </cell>
          <cell r="F579" t="str">
            <v>77</v>
          </cell>
          <cell r="G579" t="str">
            <v>11</v>
          </cell>
          <cell r="H579">
            <v>0</v>
          </cell>
        </row>
        <row r="580">
          <cell r="B580">
            <v>5013</v>
          </cell>
          <cell r="C580" t="str">
            <v>Harrah; Robert Fred</v>
          </cell>
          <cell r="D580" t="str">
            <v>1C</v>
          </cell>
          <cell r="E580" t="str">
            <v/>
          </cell>
          <cell r="F580" t="str">
            <v/>
          </cell>
          <cell r="G580" t="str">
            <v/>
          </cell>
          <cell r="H580">
            <v>1</v>
          </cell>
        </row>
        <row r="581">
          <cell r="B581">
            <v>5016</v>
          </cell>
          <cell r="C581" t="str">
            <v>Harris; Jason B</v>
          </cell>
          <cell r="D581" t="str">
            <v>1C</v>
          </cell>
          <cell r="E581" t="str">
            <v>IBEWOUT</v>
          </cell>
          <cell r="F581" t="str">
            <v>126</v>
          </cell>
          <cell r="G581" t="str">
            <v>8</v>
          </cell>
          <cell r="H581">
            <v>0</v>
          </cell>
        </row>
        <row r="582">
          <cell r="B582">
            <v>5017</v>
          </cell>
          <cell r="C582" t="str">
            <v>Harrison; John Wesley</v>
          </cell>
          <cell r="D582" t="str">
            <v>1C</v>
          </cell>
          <cell r="E582" t="str">
            <v>IBEWOUT</v>
          </cell>
          <cell r="F582" t="str">
            <v>1245</v>
          </cell>
          <cell r="G582" t="str">
            <v>8</v>
          </cell>
          <cell r="H582">
            <v>0</v>
          </cell>
        </row>
        <row r="583">
          <cell r="B583">
            <v>5023</v>
          </cell>
          <cell r="C583" t="str">
            <v>Harrison; Chase L</v>
          </cell>
          <cell r="D583" t="str">
            <v>1</v>
          </cell>
          <cell r="E583" t="str">
            <v>IBEWOUT</v>
          </cell>
          <cell r="F583" t="str">
            <v>77</v>
          </cell>
          <cell r="G583" t="str">
            <v>8</v>
          </cell>
          <cell r="H583">
            <v>0</v>
          </cell>
        </row>
        <row r="584">
          <cell r="B584">
            <v>5040</v>
          </cell>
          <cell r="C584" t="str">
            <v>Hauff; James FL</v>
          </cell>
          <cell r="D584" t="str">
            <v>1C</v>
          </cell>
          <cell r="E584" t="str">
            <v>IBEWOUT</v>
          </cell>
          <cell r="F584" t="str">
            <v>77</v>
          </cell>
          <cell r="G584" t="str">
            <v>8</v>
          </cell>
          <cell r="H584">
            <v>0</v>
          </cell>
        </row>
        <row r="585">
          <cell r="B585">
            <v>5056</v>
          </cell>
          <cell r="C585" t="str">
            <v>Hatchett; Terry V</v>
          </cell>
          <cell r="D585" t="str">
            <v>1C</v>
          </cell>
          <cell r="E585" t="str">
            <v>IBEWOUT</v>
          </cell>
          <cell r="F585" t="str">
            <v>769</v>
          </cell>
          <cell r="G585" t="str">
            <v>8</v>
          </cell>
          <cell r="H585">
            <v>0</v>
          </cell>
        </row>
        <row r="586">
          <cell r="B586">
            <v>5067</v>
          </cell>
          <cell r="C586" t="str">
            <v>Heller; Erik C</v>
          </cell>
          <cell r="D586" t="str">
            <v>1C</v>
          </cell>
          <cell r="E586" t="str">
            <v>IBEWOUT</v>
          </cell>
          <cell r="F586" t="str">
            <v>47</v>
          </cell>
          <cell r="G586" t="str">
            <v>8</v>
          </cell>
          <cell r="H586">
            <v>0</v>
          </cell>
        </row>
        <row r="587">
          <cell r="B587">
            <v>5070</v>
          </cell>
          <cell r="C587" t="str">
            <v>Henderson; James R</v>
          </cell>
          <cell r="D587" t="str">
            <v>1</v>
          </cell>
          <cell r="E587" t="str">
            <v>IBEWOUT</v>
          </cell>
          <cell r="F587" t="str">
            <v>77</v>
          </cell>
          <cell r="G587" t="str">
            <v>7</v>
          </cell>
          <cell r="H587">
            <v>0</v>
          </cell>
        </row>
        <row r="588">
          <cell r="B588">
            <v>5071</v>
          </cell>
          <cell r="C588" t="str">
            <v>Henderson; Steven M.</v>
          </cell>
          <cell r="D588" t="str">
            <v>1C</v>
          </cell>
          <cell r="E588" t="str">
            <v>IBEWOUT</v>
          </cell>
          <cell r="F588" t="str">
            <v>1245</v>
          </cell>
          <cell r="G588" t="str">
            <v>8</v>
          </cell>
          <cell r="H588">
            <v>0</v>
          </cell>
        </row>
        <row r="589">
          <cell r="B589">
            <v>5073</v>
          </cell>
          <cell r="C589" t="str">
            <v>Henderson; Evann L</v>
          </cell>
          <cell r="D589" t="str">
            <v>1C</v>
          </cell>
          <cell r="E589" t="str">
            <v>IBEWOUT</v>
          </cell>
          <cell r="F589" t="str">
            <v>47</v>
          </cell>
          <cell r="G589" t="str">
            <v>8</v>
          </cell>
          <cell r="H589">
            <v>0</v>
          </cell>
        </row>
        <row r="590">
          <cell r="B590">
            <v>5076</v>
          </cell>
          <cell r="C590" t="str">
            <v>Henderson; Levi A</v>
          </cell>
          <cell r="D590" t="str">
            <v>1C</v>
          </cell>
          <cell r="E590" t="str">
            <v>IBEWOUT</v>
          </cell>
          <cell r="F590" t="str">
            <v>47</v>
          </cell>
          <cell r="G590" t="str">
            <v>8</v>
          </cell>
          <cell r="H590">
            <v>0</v>
          </cell>
        </row>
        <row r="591">
          <cell r="B591">
            <v>5088</v>
          </cell>
          <cell r="C591" t="str">
            <v>Hendry; Jerrod R</v>
          </cell>
          <cell r="D591" t="str">
            <v>1</v>
          </cell>
          <cell r="E591" t="str">
            <v>IBEWOUT</v>
          </cell>
          <cell r="F591" t="str">
            <v>1245</v>
          </cell>
          <cell r="G591" t="str">
            <v>7</v>
          </cell>
          <cell r="H591">
            <v>0</v>
          </cell>
        </row>
        <row r="592">
          <cell r="B592">
            <v>5089</v>
          </cell>
          <cell r="C592" t="str">
            <v>Haught; James E</v>
          </cell>
          <cell r="D592" t="str">
            <v>1C</v>
          </cell>
          <cell r="E592" t="str">
            <v>IBEWOUT</v>
          </cell>
          <cell r="F592" t="str">
            <v>611</v>
          </cell>
          <cell r="G592" t="str">
            <v>15</v>
          </cell>
          <cell r="H592">
            <v>0</v>
          </cell>
        </row>
        <row r="593">
          <cell r="B593">
            <v>5091</v>
          </cell>
          <cell r="C593" t="str">
            <v>Hendrickson; Scott D</v>
          </cell>
          <cell r="D593" t="str">
            <v>1C</v>
          </cell>
          <cell r="E593" t="str">
            <v>IBEWOUT</v>
          </cell>
          <cell r="F593" t="str">
            <v>77</v>
          </cell>
          <cell r="G593" t="str">
            <v>7</v>
          </cell>
          <cell r="H593">
            <v>0</v>
          </cell>
        </row>
        <row r="594">
          <cell r="B594">
            <v>5100</v>
          </cell>
          <cell r="C594" t="str">
            <v>Hegdahl; Andres J</v>
          </cell>
          <cell r="D594" t="str">
            <v>1C</v>
          </cell>
          <cell r="E594" t="str">
            <v>IBEWOUT</v>
          </cell>
          <cell r="F594" t="str">
            <v>125</v>
          </cell>
          <cell r="G594" t="str">
            <v>16</v>
          </cell>
          <cell r="H594">
            <v>0</v>
          </cell>
        </row>
        <row r="595">
          <cell r="B595">
            <v>5102</v>
          </cell>
          <cell r="C595" t="str">
            <v>Heil; Allen A.</v>
          </cell>
          <cell r="D595" t="str">
            <v>1C</v>
          </cell>
          <cell r="E595" t="str">
            <v>IBEWOUT</v>
          </cell>
          <cell r="F595" t="str">
            <v>1245</v>
          </cell>
          <cell r="G595" t="str">
            <v>8</v>
          </cell>
          <cell r="H595">
            <v>0</v>
          </cell>
        </row>
        <row r="596">
          <cell r="B596">
            <v>5105</v>
          </cell>
          <cell r="C596" t="str">
            <v>Healy; Justin M.</v>
          </cell>
          <cell r="D596" t="str">
            <v>1C</v>
          </cell>
          <cell r="E596" t="str">
            <v>IBEWOUT</v>
          </cell>
          <cell r="F596" t="str">
            <v>125</v>
          </cell>
          <cell r="G596" t="str">
            <v>8</v>
          </cell>
          <cell r="H596">
            <v>0</v>
          </cell>
        </row>
        <row r="597">
          <cell r="B597">
            <v>5107</v>
          </cell>
          <cell r="C597" t="str">
            <v>Hedburg; Arthur J</v>
          </cell>
          <cell r="D597" t="str">
            <v>1C</v>
          </cell>
          <cell r="E597" t="str">
            <v>IBEWOUT</v>
          </cell>
          <cell r="F597" t="str">
            <v>47</v>
          </cell>
          <cell r="G597" t="str">
            <v>8</v>
          </cell>
          <cell r="H597">
            <v>0</v>
          </cell>
        </row>
        <row r="598">
          <cell r="B598">
            <v>5115</v>
          </cell>
          <cell r="C598" t="str">
            <v>Heredia; Marco A</v>
          </cell>
          <cell r="D598" t="str">
            <v>1C</v>
          </cell>
          <cell r="E598" t="str">
            <v>IBEWOUT</v>
          </cell>
          <cell r="F598" t="str">
            <v>47</v>
          </cell>
          <cell r="G598" t="str">
            <v>17</v>
          </cell>
          <cell r="H598">
            <v>0</v>
          </cell>
        </row>
        <row r="599">
          <cell r="B599">
            <v>5116</v>
          </cell>
          <cell r="C599" t="str">
            <v>Heuer; Jordan P</v>
          </cell>
          <cell r="D599" t="str">
            <v>1C</v>
          </cell>
          <cell r="E599" t="str">
            <v>IBEWOUT</v>
          </cell>
          <cell r="F599" t="str">
            <v>126</v>
          </cell>
          <cell r="G599" t="str">
            <v>16</v>
          </cell>
          <cell r="H599">
            <v>0</v>
          </cell>
        </row>
        <row r="600">
          <cell r="B600">
            <v>5119</v>
          </cell>
          <cell r="C600" t="str">
            <v>Herron; Gregory W.</v>
          </cell>
          <cell r="D600" t="str">
            <v>1C</v>
          </cell>
          <cell r="E600" t="str">
            <v>IBEWOUT</v>
          </cell>
          <cell r="F600" t="str">
            <v>1319</v>
          </cell>
          <cell r="G600" t="str">
            <v>33</v>
          </cell>
          <cell r="H600">
            <v>0</v>
          </cell>
        </row>
        <row r="601">
          <cell r="B601">
            <v>5124</v>
          </cell>
          <cell r="C601" t="str">
            <v>Hernandez Orozco; David</v>
          </cell>
          <cell r="D601" t="str">
            <v>1</v>
          </cell>
          <cell r="E601" t="str">
            <v/>
          </cell>
          <cell r="F601" t="str">
            <v/>
          </cell>
          <cell r="G601" t="str">
            <v/>
          </cell>
          <cell r="H601">
            <v>0</v>
          </cell>
        </row>
        <row r="602">
          <cell r="B602">
            <v>5125</v>
          </cell>
          <cell r="C602" t="str">
            <v>Hernandez; Ramiro</v>
          </cell>
          <cell r="D602" t="str">
            <v>1C</v>
          </cell>
          <cell r="E602" t="str">
            <v/>
          </cell>
          <cell r="F602" t="str">
            <v/>
          </cell>
          <cell r="G602" t="str">
            <v/>
          </cell>
          <cell r="H602">
            <v>0</v>
          </cell>
        </row>
        <row r="603">
          <cell r="B603">
            <v>5127</v>
          </cell>
          <cell r="C603" t="str">
            <v>Hester; John Calvin</v>
          </cell>
          <cell r="D603" t="str">
            <v>1C</v>
          </cell>
          <cell r="E603" t="str">
            <v>IBEWOUT</v>
          </cell>
          <cell r="F603" t="str">
            <v>396</v>
          </cell>
          <cell r="G603" t="str">
            <v>8</v>
          </cell>
          <cell r="H603">
            <v>0</v>
          </cell>
        </row>
        <row r="604">
          <cell r="B604">
            <v>5128</v>
          </cell>
          <cell r="C604" t="str">
            <v>Hernandez; Ignacio L</v>
          </cell>
          <cell r="D604" t="str">
            <v>1</v>
          </cell>
          <cell r="E604" t="str">
            <v>IBEWOUT</v>
          </cell>
          <cell r="F604" t="str">
            <v>1245</v>
          </cell>
          <cell r="G604" t="str">
            <v>8</v>
          </cell>
          <cell r="H604">
            <v>0</v>
          </cell>
        </row>
        <row r="605">
          <cell r="B605">
            <v>5129</v>
          </cell>
          <cell r="C605" t="str">
            <v>Hickman; Ira Q</v>
          </cell>
          <cell r="D605" t="str">
            <v>1C</v>
          </cell>
          <cell r="E605" t="str">
            <v>IBEWOUT</v>
          </cell>
          <cell r="F605" t="str">
            <v>611</v>
          </cell>
          <cell r="G605" t="str">
            <v>8</v>
          </cell>
          <cell r="H605">
            <v>0</v>
          </cell>
        </row>
        <row r="606">
          <cell r="B606">
            <v>5131</v>
          </cell>
          <cell r="C606" t="str">
            <v>Hernandez; Alejandro</v>
          </cell>
          <cell r="D606" t="str">
            <v>1C</v>
          </cell>
          <cell r="E606" t="str">
            <v/>
          </cell>
          <cell r="F606" t="str">
            <v/>
          </cell>
          <cell r="G606" t="str">
            <v/>
          </cell>
          <cell r="H606">
            <v>1</v>
          </cell>
        </row>
        <row r="607">
          <cell r="B607">
            <v>5139</v>
          </cell>
          <cell r="C607" t="str">
            <v>Hidalgo; Cody B.</v>
          </cell>
          <cell r="D607" t="str">
            <v>1</v>
          </cell>
          <cell r="E607" t="str">
            <v>IBEWOUT</v>
          </cell>
          <cell r="F607" t="str">
            <v>611</v>
          </cell>
          <cell r="G607" t="str">
            <v>8</v>
          </cell>
          <cell r="H607">
            <v>0</v>
          </cell>
        </row>
        <row r="608">
          <cell r="B608">
            <v>5140</v>
          </cell>
          <cell r="C608" t="str">
            <v>Hidalgo; Francisco R.</v>
          </cell>
          <cell r="D608" t="str">
            <v>1C</v>
          </cell>
          <cell r="E608" t="str">
            <v>IBEWOUT</v>
          </cell>
          <cell r="F608" t="str">
            <v>47</v>
          </cell>
          <cell r="G608" t="str">
            <v>8</v>
          </cell>
          <cell r="H608">
            <v>0</v>
          </cell>
        </row>
        <row r="609">
          <cell r="B609">
            <v>5165</v>
          </cell>
          <cell r="C609" t="str">
            <v>Hippensteel; Thomas A</v>
          </cell>
          <cell r="D609" t="str">
            <v>1C</v>
          </cell>
          <cell r="E609" t="str">
            <v>IBEWOUT</v>
          </cell>
          <cell r="F609" t="str">
            <v>125</v>
          </cell>
          <cell r="G609" t="str">
            <v>8</v>
          </cell>
          <cell r="H609">
            <v>0</v>
          </cell>
        </row>
        <row r="610">
          <cell r="B610">
            <v>5166</v>
          </cell>
          <cell r="C610" t="str">
            <v>Hildebrand; Scott Alan</v>
          </cell>
          <cell r="D610" t="str">
            <v>1C</v>
          </cell>
          <cell r="E610" t="str">
            <v>IBEWOUT</v>
          </cell>
          <cell r="F610" t="str">
            <v>77</v>
          </cell>
          <cell r="G610" t="str">
            <v>7</v>
          </cell>
          <cell r="H610">
            <v>0</v>
          </cell>
        </row>
        <row r="611">
          <cell r="B611">
            <v>5168</v>
          </cell>
          <cell r="C611" t="str">
            <v>Hills; Jeremy S.</v>
          </cell>
          <cell r="D611" t="str">
            <v>1C</v>
          </cell>
          <cell r="E611" t="str">
            <v>IBEWOUT</v>
          </cell>
          <cell r="F611" t="str">
            <v>77</v>
          </cell>
          <cell r="G611" t="str">
            <v>8</v>
          </cell>
          <cell r="H611">
            <v>0</v>
          </cell>
        </row>
        <row r="612">
          <cell r="B612">
            <v>5175</v>
          </cell>
          <cell r="C612" t="str">
            <v>Hess; Jared A.</v>
          </cell>
          <cell r="D612" t="str">
            <v>1C</v>
          </cell>
          <cell r="E612" t="str">
            <v>IBEWOUT</v>
          </cell>
          <cell r="F612" t="str">
            <v>1245</v>
          </cell>
          <cell r="G612" t="str">
            <v>8</v>
          </cell>
          <cell r="H612">
            <v>0</v>
          </cell>
        </row>
        <row r="613">
          <cell r="B613">
            <v>5176</v>
          </cell>
          <cell r="C613" t="str">
            <v>Hicks; Andrew D</v>
          </cell>
          <cell r="D613" t="str">
            <v>1C</v>
          </cell>
          <cell r="E613" t="str">
            <v>IBEWOUT</v>
          </cell>
          <cell r="F613" t="str">
            <v>77</v>
          </cell>
          <cell r="G613" t="str">
            <v>8</v>
          </cell>
          <cell r="H613">
            <v>0</v>
          </cell>
        </row>
        <row r="614">
          <cell r="B614">
            <v>5179</v>
          </cell>
          <cell r="C614" t="str">
            <v>Hicks; Rush N</v>
          </cell>
          <cell r="D614" t="str">
            <v>1C</v>
          </cell>
          <cell r="E614" t="str">
            <v>IBEWOUT</v>
          </cell>
          <cell r="F614" t="str">
            <v>125</v>
          </cell>
          <cell r="G614" t="str">
            <v>16</v>
          </cell>
          <cell r="H614">
            <v>0</v>
          </cell>
        </row>
        <row r="615">
          <cell r="B615">
            <v>5181</v>
          </cell>
          <cell r="C615" t="str">
            <v>Hoy; Turner A</v>
          </cell>
          <cell r="D615" t="str">
            <v>1C</v>
          </cell>
          <cell r="E615" t="str">
            <v>IBEWOUT</v>
          </cell>
          <cell r="F615" t="str">
            <v>769</v>
          </cell>
          <cell r="G615" t="str">
            <v>8</v>
          </cell>
          <cell r="H615">
            <v>0</v>
          </cell>
        </row>
        <row r="616">
          <cell r="B616">
            <v>5182</v>
          </cell>
          <cell r="C616" t="str">
            <v>Hill; Joshua K</v>
          </cell>
          <cell r="D616" t="str">
            <v>1C</v>
          </cell>
          <cell r="E616" t="str">
            <v>IBEWOUT</v>
          </cell>
          <cell r="F616" t="str">
            <v>1245</v>
          </cell>
          <cell r="G616" t="str">
            <v>8</v>
          </cell>
          <cell r="H616">
            <v>0</v>
          </cell>
        </row>
        <row r="617">
          <cell r="B617">
            <v>5183</v>
          </cell>
          <cell r="C617" t="str">
            <v>Hill; Anthony D</v>
          </cell>
          <cell r="D617" t="str">
            <v>1C</v>
          </cell>
          <cell r="E617" t="str">
            <v>IBEWOUT</v>
          </cell>
          <cell r="F617" t="str">
            <v>1245</v>
          </cell>
          <cell r="G617" t="str">
            <v>8</v>
          </cell>
          <cell r="H617">
            <v>0</v>
          </cell>
        </row>
        <row r="618">
          <cell r="B618">
            <v>5186</v>
          </cell>
          <cell r="C618" t="str">
            <v>Hill; Jared M</v>
          </cell>
          <cell r="D618" t="str">
            <v>1C</v>
          </cell>
          <cell r="E618" t="str">
            <v>IBEWOUT</v>
          </cell>
          <cell r="F618" t="str">
            <v>104</v>
          </cell>
          <cell r="G618" t="str">
            <v>7</v>
          </cell>
          <cell r="H618">
            <v>0</v>
          </cell>
        </row>
        <row r="619">
          <cell r="B619">
            <v>5187</v>
          </cell>
          <cell r="C619" t="str">
            <v>Hill; Daniel A</v>
          </cell>
          <cell r="D619" t="str">
            <v>1</v>
          </cell>
          <cell r="E619" t="str">
            <v>IBEWOUT</v>
          </cell>
          <cell r="F619" t="str">
            <v>77</v>
          </cell>
          <cell r="G619" t="str">
            <v>7</v>
          </cell>
          <cell r="H619">
            <v>0</v>
          </cell>
        </row>
        <row r="620">
          <cell r="B620">
            <v>5194</v>
          </cell>
          <cell r="C620" t="str">
            <v>Hill; Clinton S</v>
          </cell>
          <cell r="D620" t="str">
            <v>1</v>
          </cell>
          <cell r="E620" t="str">
            <v>IBEWOUT</v>
          </cell>
          <cell r="F620" t="str">
            <v>1245</v>
          </cell>
          <cell r="G620" t="str">
            <v>7</v>
          </cell>
          <cell r="H620">
            <v>0</v>
          </cell>
        </row>
        <row r="621">
          <cell r="B621">
            <v>5197</v>
          </cell>
          <cell r="C621" t="str">
            <v>Hill; Brian M</v>
          </cell>
          <cell r="D621" t="str">
            <v>1C</v>
          </cell>
          <cell r="E621" t="str">
            <v>IBEWOUT</v>
          </cell>
          <cell r="F621" t="str">
            <v>70</v>
          </cell>
          <cell r="G621" t="str">
            <v>18</v>
          </cell>
          <cell r="H621">
            <v>0</v>
          </cell>
        </row>
        <row r="622">
          <cell r="B622">
            <v>5301</v>
          </cell>
          <cell r="C622" t="str">
            <v>Hopkins; Joseph E</v>
          </cell>
          <cell r="D622" t="str">
            <v>1C</v>
          </cell>
          <cell r="E622" t="str">
            <v>IBEWOUT</v>
          </cell>
          <cell r="F622" t="str">
            <v>125</v>
          </cell>
          <cell r="G622" t="str">
            <v>8</v>
          </cell>
          <cell r="H622">
            <v>0</v>
          </cell>
        </row>
        <row r="623">
          <cell r="B623">
            <v>5302</v>
          </cell>
          <cell r="C623" t="str">
            <v>Hopson; Jesse B</v>
          </cell>
          <cell r="D623" t="str">
            <v>1</v>
          </cell>
          <cell r="E623" t="str">
            <v>IBEWOUT</v>
          </cell>
          <cell r="F623" t="str">
            <v>47</v>
          </cell>
          <cell r="G623" t="str">
            <v>8</v>
          </cell>
          <cell r="H623">
            <v>0</v>
          </cell>
        </row>
        <row r="624">
          <cell r="B624">
            <v>5319</v>
          </cell>
          <cell r="C624" t="str">
            <v>Holbrook; Jeremiah M</v>
          </cell>
          <cell r="D624" t="str">
            <v>1C</v>
          </cell>
          <cell r="E624" t="str">
            <v>IBEWOUT</v>
          </cell>
          <cell r="F624" t="str">
            <v>1245</v>
          </cell>
          <cell r="G624" t="str">
            <v>8</v>
          </cell>
          <cell r="H624">
            <v>0</v>
          </cell>
        </row>
        <row r="625">
          <cell r="B625">
            <v>5329</v>
          </cell>
          <cell r="C625" t="str">
            <v>Hodge; Tyler D</v>
          </cell>
          <cell r="D625" t="str">
            <v>1</v>
          </cell>
          <cell r="E625" t="str">
            <v>IBEWOUT</v>
          </cell>
          <cell r="F625" t="str">
            <v>77</v>
          </cell>
          <cell r="G625" t="str">
            <v>15</v>
          </cell>
          <cell r="H625">
            <v>0</v>
          </cell>
        </row>
        <row r="626">
          <cell r="B626">
            <v>5331</v>
          </cell>
          <cell r="C626" t="str">
            <v>Hoefler; Trevor B</v>
          </cell>
          <cell r="D626" t="str">
            <v>1C</v>
          </cell>
          <cell r="E626" t="str">
            <v>IBEWOUT</v>
          </cell>
          <cell r="F626" t="str">
            <v>77</v>
          </cell>
          <cell r="G626" t="str">
            <v>10</v>
          </cell>
          <cell r="H626">
            <v>0</v>
          </cell>
        </row>
        <row r="627">
          <cell r="B627">
            <v>5332</v>
          </cell>
          <cell r="C627" t="str">
            <v>Hogue III; Johnny K</v>
          </cell>
          <cell r="D627" t="str">
            <v>1C</v>
          </cell>
          <cell r="E627" t="str">
            <v>IBEWOUT</v>
          </cell>
          <cell r="F627" t="str">
            <v>126</v>
          </cell>
          <cell r="G627" t="str">
            <v>15</v>
          </cell>
          <cell r="H627">
            <v>0</v>
          </cell>
        </row>
        <row r="628">
          <cell r="B628">
            <v>5337</v>
          </cell>
          <cell r="C628" t="str">
            <v>Hoffman; Ryan S</v>
          </cell>
          <cell r="D628" t="str">
            <v>1</v>
          </cell>
          <cell r="E628" t="str">
            <v>IBEWOUT</v>
          </cell>
          <cell r="F628" t="str">
            <v>47</v>
          </cell>
          <cell r="G628" t="str">
            <v>17</v>
          </cell>
          <cell r="H628">
            <v>0</v>
          </cell>
        </row>
        <row r="629">
          <cell r="B629">
            <v>5340</v>
          </cell>
          <cell r="C629" t="str">
            <v>Holt; Derek H</v>
          </cell>
          <cell r="D629" t="str">
            <v>1C</v>
          </cell>
          <cell r="E629" t="str">
            <v>IBEWOUT</v>
          </cell>
          <cell r="F629" t="str">
            <v>1245</v>
          </cell>
          <cell r="G629" t="str">
            <v>8</v>
          </cell>
          <cell r="H629">
            <v>0</v>
          </cell>
        </row>
        <row r="630">
          <cell r="B630">
            <v>5345</v>
          </cell>
          <cell r="C630" t="str">
            <v>Holland Jr; Terrell S</v>
          </cell>
          <cell r="D630" t="str">
            <v>1C</v>
          </cell>
          <cell r="E630" t="str">
            <v>IBEWOUT</v>
          </cell>
          <cell r="F630" t="str">
            <v>1245</v>
          </cell>
          <cell r="G630" t="str">
            <v>8</v>
          </cell>
          <cell r="H630">
            <v>0</v>
          </cell>
        </row>
        <row r="631">
          <cell r="B631">
            <v>5349</v>
          </cell>
          <cell r="C631" t="str">
            <v>Holland; Kyle J</v>
          </cell>
          <cell r="D631" t="str">
            <v>1</v>
          </cell>
          <cell r="E631" t="str">
            <v>IBEWOUT</v>
          </cell>
          <cell r="F631" t="str">
            <v>77</v>
          </cell>
          <cell r="G631" t="str">
            <v>8</v>
          </cell>
          <cell r="H631">
            <v>0</v>
          </cell>
        </row>
        <row r="632">
          <cell r="B632">
            <v>5357</v>
          </cell>
          <cell r="C632" t="str">
            <v>Honorato; Armando</v>
          </cell>
          <cell r="D632" t="str">
            <v>1C</v>
          </cell>
          <cell r="E632" t="str">
            <v>IBEWOUT</v>
          </cell>
          <cell r="F632" t="str">
            <v>47</v>
          </cell>
          <cell r="G632" t="str">
            <v>17</v>
          </cell>
          <cell r="H632">
            <v>0</v>
          </cell>
        </row>
        <row r="633">
          <cell r="B633">
            <v>5372</v>
          </cell>
          <cell r="C633" t="str">
            <v>Hook; Alan P</v>
          </cell>
          <cell r="D633" t="str">
            <v>1C</v>
          </cell>
          <cell r="E633" t="str">
            <v>IBEWOUT</v>
          </cell>
          <cell r="F633" t="str">
            <v>1245</v>
          </cell>
          <cell r="G633" t="str">
            <v>15</v>
          </cell>
          <cell r="H633">
            <v>0</v>
          </cell>
        </row>
        <row r="634">
          <cell r="B634">
            <v>5380</v>
          </cell>
          <cell r="C634" t="str">
            <v>Horlacher; Jared Lee</v>
          </cell>
          <cell r="D634" t="str">
            <v>1C</v>
          </cell>
          <cell r="E634" t="str">
            <v>IBEWOUT</v>
          </cell>
          <cell r="F634" t="str">
            <v>77</v>
          </cell>
          <cell r="G634" t="str">
            <v>8</v>
          </cell>
          <cell r="H634">
            <v>0</v>
          </cell>
        </row>
        <row r="635">
          <cell r="B635">
            <v>5401</v>
          </cell>
          <cell r="C635" t="str">
            <v>Horton; Johnny L</v>
          </cell>
          <cell r="D635" t="str">
            <v>1C</v>
          </cell>
          <cell r="E635" t="str">
            <v>IBEWOUT</v>
          </cell>
          <cell r="F635" t="str">
            <v>47</v>
          </cell>
          <cell r="G635" t="str">
            <v>17</v>
          </cell>
          <cell r="H635">
            <v>0</v>
          </cell>
        </row>
        <row r="636">
          <cell r="B636">
            <v>5445</v>
          </cell>
          <cell r="C636" t="str">
            <v>Horn III; Ellis I</v>
          </cell>
          <cell r="D636" t="str">
            <v>1</v>
          </cell>
          <cell r="E636" t="str">
            <v>IBEWOUT</v>
          </cell>
          <cell r="F636" t="str">
            <v>769</v>
          </cell>
          <cell r="G636" t="str">
            <v>9</v>
          </cell>
          <cell r="H636">
            <v>0</v>
          </cell>
        </row>
        <row r="637">
          <cell r="B637">
            <v>5446</v>
          </cell>
          <cell r="C637" t="str">
            <v>Hornbeck; Dennis Andrew</v>
          </cell>
          <cell r="D637" t="str">
            <v>1C</v>
          </cell>
          <cell r="E637" t="str">
            <v>IBEWOUT</v>
          </cell>
          <cell r="F637" t="str">
            <v>1245</v>
          </cell>
          <cell r="G637" t="str">
            <v>7</v>
          </cell>
          <cell r="H637">
            <v>0</v>
          </cell>
        </row>
        <row r="638">
          <cell r="B638">
            <v>5449</v>
          </cell>
          <cell r="C638" t="str">
            <v>Hostetler; Travis L</v>
          </cell>
          <cell r="D638" t="str">
            <v>1C</v>
          </cell>
          <cell r="E638" t="str">
            <v>IBEWOUT</v>
          </cell>
          <cell r="F638" t="str">
            <v>126</v>
          </cell>
          <cell r="G638" t="str">
            <v>33</v>
          </cell>
          <cell r="H638">
            <v>0</v>
          </cell>
        </row>
        <row r="639">
          <cell r="B639">
            <v>5456</v>
          </cell>
          <cell r="C639" t="str">
            <v>Houser; Jacob J</v>
          </cell>
          <cell r="D639" t="str">
            <v>1</v>
          </cell>
          <cell r="E639" t="str">
            <v/>
          </cell>
          <cell r="F639" t="str">
            <v/>
          </cell>
          <cell r="G639" t="str">
            <v/>
          </cell>
          <cell r="H639">
            <v>0</v>
          </cell>
        </row>
        <row r="640">
          <cell r="B640">
            <v>5458</v>
          </cell>
          <cell r="C640" t="str">
            <v>House; Christopher M</v>
          </cell>
          <cell r="D640" t="str">
            <v>1C</v>
          </cell>
          <cell r="E640" t="str">
            <v>IBEWOUT</v>
          </cell>
          <cell r="F640" t="str">
            <v>1245</v>
          </cell>
          <cell r="G640" t="str">
            <v>8</v>
          </cell>
          <cell r="H640">
            <v>0</v>
          </cell>
        </row>
        <row r="641">
          <cell r="B641">
            <v>5571</v>
          </cell>
          <cell r="C641" t="str">
            <v>Howard; Edward D</v>
          </cell>
          <cell r="D641" t="str">
            <v>1C</v>
          </cell>
          <cell r="E641" t="str">
            <v>IBEWOUT</v>
          </cell>
          <cell r="F641" t="str">
            <v>126</v>
          </cell>
          <cell r="G641" t="str">
            <v>8</v>
          </cell>
          <cell r="H641">
            <v>0</v>
          </cell>
        </row>
        <row r="642">
          <cell r="B642">
            <v>5574</v>
          </cell>
          <cell r="C642" t="str">
            <v>Howard; Eli P</v>
          </cell>
          <cell r="D642" t="str">
            <v>1</v>
          </cell>
          <cell r="E642" t="str">
            <v/>
          </cell>
          <cell r="F642" t="str">
            <v/>
          </cell>
          <cell r="G642" t="str">
            <v/>
          </cell>
          <cell r="H642">
            <v>0</v>
          </cell>
        </row>
        <row r="643">
          <cell r="B643">
            <v>5580</v>
          </cell>
          <cell r="C643" t="str">
            <v>Howell Jr.; Thomas W.</v>
          </cell>
          <cell r="D643" t="str">
            <v>1</v>
          </cell>
          <cell r="E643" t="str">
            <v>IBEWOUT</v>
          </cell>
          <cell r="F643" t="str">
            <v>769</v>
          </cell>
          <cell r="G643" t="str">
            <v>1</v>
          </cell>
          <cell r="H643">
            <v>0</v>
          </cell>
        </row>
        <row r="644">
          <cell r="B644">
            <v>5620</v>
          </cell>
          <cell r="C644" t="str">
            <v>Hubbard; Jason C.</v>
          </cell>
          <cell r="D644" t="str">
            <v>1C</v>
          </cell>
          <cell r="E644" t="str">
            <v>IBEWOUT</v>
          </cell>
          <cell r="F644" t="str">
            <v>1245</v>
          </cell>
          <cell r="G644" t="str">
            <v>8</v>
          </cell>
          <cell r="H644">
            <v>0</v>
          </cell>
        </row>
        <row r="645">
          <cell r="B645">
            <v>5621</v>
          </cell>
          <cell r="C645" t="str">
            <v>Hubbard; Marcus W</v>
          </cell>
          <cell r="D645" t="str">
            <v>1C</v>
          </cell>
          <cell r="E645" t="str">
            <v>IBEWOUT</v>
          </cell>
          <cell r="F645" t="str">
            <v>47</v>
          </cell>
          <cell r="G645" t="str">
            <v>17</v>
          </cell>
          <cell r="H645">
            <v>0</v>
          </cell>
        </row>
        <row r="646">
          <cell r="B646">
            <v>5625</v>
          </cell>
          <cell r="C646" t="str">
            <v>Hunt; Terry L.</v>
          </cell>
          <cell r="D646" t="str">
            <v>1C</v>
          </cell>
          <cell r="E646" t="str">
            <v>IBEWOUT</v>
          </cell>
          <cell r="F646" t="str">
            <v>47</v>
          </cell>
          <cell r="G646" t="str">
            <v>8</v>
          </cell>
          <cell r="H646">
            <v>0</v>
          </cell>
        </row>
        <row r="647">
          <cell r="B647">
            <v>5626</v>
          </cell>
          <cell r="C647" t="str">
            <v>Hunt; Everett L</v>
          </cell>
          <cell r="D647" t="str">
            <v>1C</v>
          </cell>
          <cell r="E647" t="str">
            <v>IBEWOUT</v>
          </cell>
          <cell r="F647" t="str">
            <v>1245</v>
          </cell>
          <cell r="G647" t="str">
            <v>8</v>
          </cell>
          <cell r="H647">
            <v>0</v>
          </cell>
        </row>
        <row r="648">
          <cell r="B648">
            <v>5630</v>
          </cell>
          <cell r="C648" t="str">
            <v>Huravitch; Duane L.</v>
          </cell>
          <cell r="D648" t="str">
            <v>1C</v>
          </cell>
          <cell r="E648" t="str">
            <v>IBEWOUT</v>
          </cell>
          <cell r="F648" t="str">
            <v>47</v>
          </cell>
          <cell r="G648" t="str">
            <v>8</v>
          </cell>
          <cell r="H648">
            <v>0</v>
          </cell>
        </row>
        <row r="649">
          <cell r="B649">
            <v>5631</v>
          </cell>
          <cell r="C649" t="str">
            <v>Hurst; Christopher T</v>
          </cell>
          <cell r="D649" t="str">
            <v>1C</v>
          </cell>
          <cell r="E649" t="str">
            <v>IBEWOUT</v>
          </cell>
          <cell r="F649" t="str">
            <v>125</v>
          </cell>
          <cell r="G649" t="str">
            <v>9</v>
          </cell>
          <cell r="H649">
            <v>0</v>
          </cell>
        </row>
        <row r="650">
          <cell r="B650">
            <v>5643</v>
          </cell>
          <cell r="C650" t="str">
            <v>Humlick; Adam J</v>
          </cell>
          <cell r="D650" t="str">
            <v>1C</v>
          </cell>
          <cell r="E650" t="str">
            <v>IBEWOUT</v>
          </cell>
          <cell r="F650" t="str">
            <v>1245</v>
          </cell>
          <cell r="G650" t="str">
            <v>16</v>
          </cell>
          <cell r="H650">
            <v>0</v>
          </cell>
        </row>
        <row r="651">
          <cell r="B651">
            <v>5644</v>
          </cell>
          <cell r="C651" t="str">
            <v>Huck; Anthony</v>
          </cell>
          <cell r="D651" t="str">
            <v>1C</v>
          </cell>
          <cell r="E651" t="str">
            <v>IBEWOUT</v>
          </cell>
          <cell r="F651" t="str">
            <v>1245</v>
          </cell>
          <cell r="G651" t="str">
            <v>8</v>
          </cell>
          <cell r="H651">
            <v>0</v>
          </cell>
        </row>
        <row r="652">
          <cell r="B652">
            <v>5647</v>
          </cell>
          <cell r="C652" t="str">
            <v>Hubbard; Bryce Keaton</v>
          </cell>
          <cell r="D652" t="str">
            <v>1C</v>
          </cell>
          <cell r="E652" t="str">
            <v>IBEWOUT</v>
          </cell>
          <cell r="F652" t="str">
            <v>769</v>
          </cell>
          <cell r="G652" t="str">
            <v>8</v>
          </cell>
          <cell r="H652">
            <v>0</v>
          </cell>
        </row>
        <row r="653">
          <cell r="B653">
            <v>5655</v>
          </cell>
          <cell r="C653" t="str">
            <v>Hughes; Christopher John</v>
          </cell>
          <cell r="D653" t="str">
            <v>1</v>
          </cell>
          <cell r="E653" t="str">
            <v>IBEWOUT</v>
          </cell>
          <cell r="F653" t="str">
            <v>77</v>
          </cell>
          <cell r="G653" t="str">
            <v>1</v>
          </cell>
          <cell r="H653">
            <v>0</v>
          </cell>
        </row>
        <row r="654">
          <cell r="B654">
            <v>5667</v>
          </cell>
          <cell r="C654" t="str">
            <v>Hudson; Terry Wayne</v>
          </cell>
          <cell r="D654" t="str">
            <v>1C</v>
          </cell>
          <cell r="E654" t="str">
            <v>IBEWOUT</v>
          </cell>
          <cell r="F654" t="str">
            <v>125</v>
          </cell>
          <cell r="G654" t="str">
            <v>16</v>
          </cell>
          <cell r="H654">
            <v>0</v>
          </cell>
        </row>
        <row r="655">
          <cell r="B655">
            <v>5668</v>
          </cell>
          <cell r="C655" t="str">
            <v>Huling; James Everett</v>
          </cell>
          <cell r="D655" t="str">
            <v>1C</v>
          </cell>
          <cell r="E655" t="str">
            <v>IBEWOUT</v>
          </cell>
          <cell r="F655" t="str">
            <v>77</v>
          </cell>
          <cell r="G655" t="str">
            <v>8</v>
          </cell>
          <cell r="H655">
            <v>0</v>
          </cell>
        </row>
        <row r="656">
          <cell r="B656">
            <v>5669</v>
          </cell>
          <cell r="C656" t="str">
            <v>Collette; Hannah E</v>
          </cell>
          <cell r="D656" t="str">
            <v>1</v>
          </cell>
          <cell r="E656" t="str">
            <v/>
          </cell>
          <cell r="F656" t="str">
            <v/>
          </cell>
          <cell r="G656" t="str">
            <v/>
          </cell>
          <cell r="H656">
            <v>0</v>
          </cell>
        </row>
        <row r="657">
          <cell r="B657">
            <v>5670</v>
          </cell>
          <cell r="C657" t="str">
            <v>Collette; Joseph D</v>
          </cell>
          <cell r="D657" t="str">
            <v>1</v>
          </cell>
          <cell r="E657" t="str">
            <v>IBEWOUT</v>
          </cell>
          <cell r="F657" t="str">
            <v>47</v>
          </cell>
          <cell r="G657" t="str">
            <v>7</v>
          </cell>
          <cell r="H657">
            <v>0</v>
          </cell>
        </row>
        <row r="658">
          <cell r="B658">
            <v>5673</v>
          </cell>
          <cell r="C658" t="str">
            <v>Hutson; David J</v>
          </cell>
          <cell r="D658" t="str">
            <v>1C</v>
          </cell>
          <cell r="E658" t="str">
            <v>IBEWOUT</v>
          </cell>
          <cell r="F658" t="str">
            <v>77</v>
          </cell>
          <cell r="G658" t="str">
            <v>8</v>
          </cell>
          <cell r="H658">
            <v>0</v>
          </cell>
        </row>
        <row r="659">
          <cell r="B659">
            <v>5674</v>
          </cell>
          <cell r="C659" t="str">
            <v>Hutter; Peter E</v>
          </cell>
          <cell r="D659" t="str">
            <v>1</v>
          </cell>
          <cell r="E659" t="str">
            <v>IBEWOUT</v>
          </cell>
          <cell r="F659" t="str">
            <v>77</v>
          </cell>
          <cell r="G659" t="str">
            <v>8</v>
          </cell>
          <cell r="H659">
            <v>0</v>
          </cell>
        </row>
        <row r="660">
          <cell r="B660">
            <v>5677</v>
          </cell>
          <cell r="C660" t="str">
            <v>Hutchens; Joseph Scott</v>
          </cell>
          <cell r="D660" t="str">
            <v>1</v>
          </cell>
          <cell r="E660" t="str">
            <v/>
          </cell>
          <cell r="F660" t="str">
            <v/>
          </cell>
          <cell r="G660" t="str">
            <v/>
          </cell>
          <cell r="H660">
            <v>0</v>
          </cell>
        </row>
        <row r="661">
          <cell r="B661">
            <v>5680</v>
          </cell>
          <cell r="C661" t="str">
            <v>Hughes; Ryan W</v>
          </cell>
          <cell r="D661" t="str">
            <v>1C</v>
          </cell>
          <cell r="E661" t="str">
            <v>IBEWOUT</v>
          </cell>
          <cell r="F661" t="str">
            <v>1245</v>
          </cell>
          <cell r="G661" t="str">
            <v>8</v>
          </cell>
          <cell r="H661">
            <v>0</v>
          </cell>
        </row>
        <row r="662">
          <cell r="B662">
            <v>5688</v>
          </cell>
          <cell r="C662" t="str">
            <v>Iloilo; Adam M</v>
          </cell>
          <cell r="D662" t="str">
            <v>1C</v>
          </cell>
          <cell r="E662" t="str">
            <v>IBEWOUT</v>
          </cell>
          <cell r="F662" t="str">
            <v>1245</v>
          </cell>
          <cell r="G662" t="str">
            <v>12</v>
          </cell>
          <cell r="H662">
            <v>0</v>
          </cell>
        </row>
        <row r="663">
          <cell r="B663">
            <v>5689</v>
          </cell>
          <cell r="C663" t="str">
            <v>Iannone; Emil P</v>
          </cell>
          <cell r="D663" t="str">
            <v>1C</v>
          </cell>
          <cell r="E663" t="str">
            <v>IBEWOUT</v>
          </cell>
          <cell r="F663" t="str">
            <v>1049</v>
          </cell>
          <cell r="G663" t="str">
            <v>15</v>
          </cell>
          <cell r="H663">
            <v>0</v>
          </cell>
        </row>
        <row r="664">
          <cell r="B664">
            <v>5690</v>
          </cell>
          <cell r="C664" t="str">
            <v>Icenhour; Clayton O</v>
          </cell>
          <cell r="D664" t="str">
            <v>1C</v>
          </cell>
          <cell r="E664" t="str">
            <v>IBEWOUT</v>
          </cell>
          <cell r="F664" t="str">
            <v>769</v>
          </cell>
          <cell r="G664" t="str">
            <v>8</v>
          </cell>
          <cell r="H664">
            <v>0</v>
          </cell>
        </row>
        <row r="665">
          <cell r="B665">
            <v>5700</v>
          </cell>
          <cell r="C665" t="str">
            <v>Ibarra; Carlos</v>
          </cell>
          <cell r="D665" t="str">
            <v>1</v>
          </cell>
          <cell r="E665" t="str">
            <v>IBEWOUT</v>
          </cell>
          <cell r="F665" t="str">
            <v>611</v>
          </cell>
          <cell r="G665" t="str">
            <v>8</v>
          </cell>
          <cell r="H665">
            <v>0</v>
          </cell>
        </row>
        <row r="666">
          <cell r="B666">
            <v>5706</v>
          </cell>
          <cell r="C666" t="str">
            <v>Impastato; Clark D</v>
          </cell>
          <cell r="D666" t="str">
            <v>1</v>
          </cell>
          <cell r="E666" t="str">
            <v/>
          </cell>
          <cell r="F666" t="str">
            <v/>
          </cell>
          <cell r="G666" t="str">
            <v/>
          </cell>
          <cell r="H666">
            <v>1</v>
          </cell>
        </row>
        <row r="667">
          <cell r="B667">
            <v>5710</v>
          </cell>
          <cell r="C667" t="str">
            <v>Irzyk; Austin J</v>
          </cell>
          <cell r="D667" t="str">
            <v>1C</v>
          </cell>
          <cell r="E667" t="str">
            <v>IBEWOUT</v>
          </cell>
          <cell r="F667" t="str">
            <v>1245</v>
          </cell>
          <cell r="G667" t="str">
            <v>8</v>
          </cell>
          <cell r="H667">
            <v>0</v>
          </cell>
        </row>
        <row r="668">
          <cell r="B668">
            <v>5712</v>
          </cell>
          <cell r="C668" t="str">
            <v>Istanbouly; Edmond</v>
          </cell>
          <cell r="D668" t="str">
            <v>1C</v>
          </cell>
          <cell r="E668" t="str">
            <v>IBEWOUT</v>
          </cell>
          <cell r="F668" t="str">
            <v>47</v>
          </cell>
          <cell r="G668" t="str">
            <v>60</v>
          </cell>
          <cell r="H668">
            <v>0</v>
          </cell>
        </row>
        <row r="669">
          <cell r="B669">
            <v>5713</v>
          </cell>
          <cell r="C669" t="str">
            <v>Isitt; Kyle W</v>
          </cell>
          <cell r="D669" t="str">
            <v>1</v>
          </cell>
          <cell r="E669" t="str">
            <v>IBEWOUT</v>
          </cell>
          <cell r="F669" t="str">
            <v>77</v>
          </cell>
          <cell r="G669" t="str">
            <v>8</v>
          </cell>
          <cell r="H669">
            <v>0</v>
          </cell>
        </row>
        <row r="670">
          <cell r="B670">
            <v>5714</v>
          </cell>
          <cell r="C670" t="str">
            <v>Isley; Brennan M</v>
          </cell>
          <cell r="D670" t="str">
            <v>1C</v>
          </cell>
          <cell r="E670" t="str">
            <v>IBEWOUT</v>
          </cell>
          <cell r="F670" t="str">
            <v>77</v>
          </cell>
          <cell r="G670" t="str">
            <v>8</v>
          </cell>
          <cell r="H670">
            <v>0</v>
          </cell>
        </row>
        <row r="671">
          <cell r="B671">
            <v>5721</v>
          </cell>
          <cell r="C671" t="str">
            <v>Ingram; Ryan M</v>
          </cell>
          <cell r="D671" t="str">
            <v>1C</v>
          </cell>
          <cell r="E671" t="str">
            <v>IBEWOUT</v>
          </cell>
          <cell r="F671" t="str">
            <v>1245</v>
          </cell>
          <cell r="G671" t="str">
            <v>8</v>
          </cell>
          <cell r="H671">
            <v>0</v>
          </cell>
        </row>
        <row r="672">
          <cell r="B672">
            <v>5722</v>
          </cell>
          <cell r="C672" t="str">
            <v>Inskeep; Alexander K</v>
          </cell>
          <cell r="D672" t="str">
            <v>1C</v>
          </cell>
          <cell r="E672" t="str">
            <v>IBEWOUT</v>
          </cell>
          <cell r="F672" t="str">
            <v>1245</v>
          </cell>
          <cell r="G672" t="str">
            <v>17</v>
          </cell>
          <cell r="H672">
            <v>0</v>
          </cell>
        </row>
        <row r="673">
          <cell r="B673">
            <v>5724</v>
          </cell>
          <cell r="C673" t="str">
            <v>Jenkins; Terry R</v>
          </cell>
          <cell r="D673" t="str">
            <v>1C</v>
          </cell>
          <cell r="E673" t="str">
            <v>IBEWOUT</v>
          </cell>
          <cell r="F673" t="str">
            <v>47</v>
          </cell>
          <cell r="G673" t="str">
            <v>16</v>
          </cell>
          <cell r="H673">
            <v>0</v>
          </cell>
        </row>
        <row r="674">
          <cell r="B674">
            <v>5725</v>
          </cell>
          <cell r="C674" t="str">
            <v>Jenkins; Chase B</v>
          </cell>
          <cell r="D674" t="str">
            <v>1C</v>
          </cell>
          <cell r="E674" t="str">
            <v>IBEWOUT</v>
          </cell>
          <cell r="F674" t="str">
            <v>1245</v>
          </cell>
          <cell r="G674" t="str">
            <v>11</v>
          </cell>
          <cell r="H674">
            <v>0</v>
          </cell>
        </row>
        <row r="675">
          <cell r="B675">
            <v>5726</v>
          </cell>
          <cell r="C675" t="str">
            <v>Jenkins; Daytri</v>
          </cell>
          <cell r="D675" t="str">
            <v>1C</v>
          </cell>
          <cell r="E675" t="str">
            <v>IBEWOUT</v>
          </cell>
          <cell r="F675" t="str">
            <v>47</v>
          </cell>
          <cell r="G675" t="str">
            <v>8</v>
          </cell>
          <cell r="H675">
            <v>0</v>
          </cell>
        </row>
        <row r="676">
          <cell r="B676">
            <v>5727</v>
          </cell>
          <cell r="C676" t="str">
            <v>Jansen; Jon A.</v>
          </cell>
          <cell r="D676" t="str">
            <v>1C</v>
          </cell>
          <cell r="E676" t="str">
            <v>IBEWOUT</v>
          </cell>
          <cell r="F676" t="str">
            <v>47</v>
          </cell>
          <cell r="G676" t="str">
            <v>8</v>
          </cell>
          <cell r="H676">
            <v>0</v>
          </cell>
        </row>
        <row r="677">
          <cell r="B677">
            <v>5732</v>
          </cell>
          <cell r="C677" t="str">
            <v>Jante; Kevin D</v>
          </cell>
          <cell r="D677" t="str">
            <v>1C</v>
          </cell>
          <cell r="E677" t="str">
            <v>IBEWOUT</v>
          </cell>
          <cell r="F677" t="str">
            <v>160</v>
          </cell>
          <cell r="G677" t="str">
            <v>8</v>
          </cell>
          <cell r="H677">
            <v>0</v>
          </cell>
        </row>
        <row r="678">
          <cell r="B678">
            <v>5735</v>
          </cell>
          <cell r="C678" t="str">
            <v>James; Joseph Ryan</v>
          </cell>
          <cell r="D678" t="str">
            <v>1C</v>
          </cell>
          <cell r="E678" t="str">
            <v>IBEWOUT</v>
          </cell>
          <cell r="F678" t="str">
            <v>769</v>
          </cell>
          <cell r="G678" t="str">
            <v>16</v>
          </cell>
          <cell r="H678">
            <v>0</v>
          </cell>
        </row>
        <row r="679">
          <cell r="B679">
            <v>5740</v>
          </cell>
          <cell r="C679" t="str">
            <v>Jackson; Cody Wayne</v>
          </cell>
          <cell r="D679" t="str">
            <v>1</v>
          </cell>
          <cell r="E679" t="str">
            <v>IBEWOUT</v>
          </cell>
          <cell r="F679" t="str">
            <v>47</v>
          </cell>
          <cell r="G679" t="str">
            <v>1</v>
          </cell>
          <cell r="H679">
            <v>0</v>
          </cell>
        </row>
        <row r="680">
          <cell r="B680">
            <v>5742</v>
          </cell>
          <cell r="C680" t="str">
            <v>Jackson; Joseph W</v>
          </cell>
          <cell r="D680" t="str">
            <v>1C</v>
          </cell>
          <cell r="E680" t="str">
            <v>IBEWOUT</v>
          </cell>
          <cell r="F680" t="str">
            <v>1245</v>
          </cell>
          <cell r="G680" t="str">
            <v>8</v>
          </cell>
          <cell r="H680">
            <v>0</v>
          </cell>
        </row>
        <row r="681">
          <cell r="B681">
            <v>5743</v>
          </cell>
          <cell r="C681" t="str">
            <v>Jameson; Thomas A.</v>
          </cell>
          <cell r="D681" t="str">
            <v>1</v>
          </cell>
          <cell r="E681" t="str">
            <v>IBEWOUT</v>
          </cell>
          <cell r="F681" t="str">
            <v>611</v>
          </cell>
          <cell r="G681" t="str">
            <v>7</v>
          </cell>
          <cell r="H681">
            <v>0</v>
          </cell>
        </row>
        <row r="682">
          <cell r="B682">
            <v>5747</v>
          </cell>
          <cell r="C682" t="str">
            <v>Jardine; Kaleb</v>
          </cell>
          <cell r="D682" t="str">
            <v>1C</v>
          </cell>
          <cell r="E682" t="str">
            <v>IBEWOUT</v>
          </cell>
          <cell r="F682" t="str">
            <v>1186</v>
          </cell>
          <cell r="G682" t="str">
            <v>17</v>
          </cell>
          <cell r="H682">
            <v>0</v>
          </cell>
        </row>
        <row r="683">
          <cell r="B683">
            <v>5755</v>
          </cell>
          <cell r="C683" t="str">
            <v>Jedrzejewski; Benjamin</v>
          </cell>
          <cell r="D683" t="str">
            <v>1C</v>
          </cell>
          <cell r="E683" t="str">
            <v/>
          </cell>
          <cell r="F683" t="str">
            <v/>
          </cell>
          <cell r="G683" t="str">
            <v/>
          </cell>
          <cell r="H683">
            <v>0</v>
          </cell>
        </row>
        <row r="684">
          <cell r="B684">
            <v>5758</v>
          </cell>
          <cell r="C684" t="str">
            <v>Jackson; Dane W</v>
          </cell>
          <cell r="D684" t="str">
            <v>1</v>
          </cell>
          <cell r="E684" t="str">
            <v>IBEWOUT</v>
          </cell>
          <cell r="F684" t="str">
            <v>47</v>
          </cell>
          <cell r="G684" t="str">
            <v>8</v>
          </cell>
          <cell r="H684">
            <v>0</v>
          </cell>
        </row>
        <row r="685">
          <cell r="B685">
            <v>5760</v>
          </cell>
          <cell r="C685" t="str">
            <v>Jean; Cody B</v>
          </cell>
          <cell r="D685" t="str">
            <v>1</v>
          </cell>
          <cell r="E685" t="str">
            <v>IBEWOUT</v>
          </cell>
          <cell r="F685" t="str">
            <v>125</v>
          </cell>
          <cell r="G685" t="str">
            <v>8</v>
          </cell>
          <cell r="H685">
            <v>0</v>
          </cell>
        </row>
        <row r="686">
          <cell r="B686">
            <v>5770</v>
          </cell>
          <cell r="C686" t="str">
            <v>Jewell; Michael W.</v>
          </cell>
          <cell r="D686" t="str">
            <v>1C</v>
          </cell>
          <cell r="E686" t="str">
            <v>IBEWOUT</v>
          </cell>
          <cell r="F686" t="str">
            <v>1245</v>
          </cell>
          <cell r="G686" t="str">
            <v>60</v>
          </cell>
          <cell r="H686">
            <v>0</v>
          </cell>
        </row>
        <row r="687">
          <cell r="B687">
            <v>5772</v>
          </cell>
          <cell r="C687" t="str">
            <v>Jennings; Colton Z</v>
          </cell>
          <cell r="D687" t="str">
            <v>1</v>
          </cell>
          <cell r="E687" t="str">
            <v>IBEWOUT</v>
          </cell>
          <cell r="F687" t="str">
            <v>77</v>
          </cell>
          <cell r="G687" t="str">
            <v>15</v>
          </cell>
          <cell r="H687">
            <v>0</v>
          </cell>
        </row>
        <row r="688">
          <cell r="B688">
            <v>5773</v>
          </cell>
          <cell r="C688" t="str">
            <v>Jernigan; Raymond C</v>
          </cell>
          <cell r="D688" t="str">
            <v>1C</v>
          </cell>
          <cell r="E688" t="str">
            <v/>
          </cell>
          <cell r="F688" t="str">
            <v/>
          </cell>
          <cell r="G688" t="str">
            <v/>
          </cell>
          <cell r="H688">
            <v>0</v>
          </cell>
        </row>
        <row r="689">
          <cell r="B689">
            <v>5775</v>
          </cell>
          <cell r="C689" t="str">
            <v>Jinks;  Joseph D</v>
          </cell>
          <cell r="D689" t="str">
            <v>1</v>
          </cell>
          <cell r="E689" t="str">
            <v>IBEWOUT</v>
          </cell>
          <cell r="F689" t="str">
            <v>769</v>
          </cell>
          <cell r="G689" t="str">
            <v>16</v>
          </cell>
          <cell r="H689">
            <v>0</v>
          </cell>
        </row>
        <row r="690">
          <cell r="B690">
            <v>5813</v>
          </cell>
          <cell r="C690" t="str">
            <v>Johnson; Jay M</v>
          </cell>
          <cell r="D690" t="str">
            <v>1C</v>
          </cell>
          <cell r="E690" t="str">
            <v>IBEWOUT</v>
          </cell>
          <cell r="F690" t="str">
            <v>77</v>
          </cell>
          <cell r="G690" t="str">
            <v>17</v>
          </cell>
          <cell r="H690">
            <v>0</v>
          </cell>
        </row>
        <row r="691">
          <cell r="B691">
            <v>5814</v>
          </cell>
          <cell r="C691" t="str">
            <v>Johnson; Caleb T</v>
          </cell>
          <cell r="D691" t="str">
            <v>1C</v>
          </cell>
          <cell r="E691" t="str">
            <v>IBEWOUT</v>
          </cell>
          <cell r="F691" t="str">
            <v>47</v>
          </cell>
          <cell r="G691" t="str">
            <v>17</v>
          </cell>
          <cell r="H691">
            <v>0</v>
          </cell>
        </row>
        <row r="692">
          <cell r="B692">
            <v>5815</v>
          </cell>
          <cell r="C692" t="str">
            <v>Johnson; Robert V</v>
          </cell>
          <cell r="D692" t="str">
            <v>1C</v>
          </cell>
          <cell r="E692" t="str">
            <v>IBEWOUT</v>
          </cell>
          <cell r="F692" t="str">
            <v>769</v>
          </cell>
          <cell r="G692" t="str">
            <v>11</v>
          </cell>
          <cell r="H692">
            <v>0</v>
          </cell>
        </row>
        <row r="693">
          <cell r="B693">
            <v>5817</v>
          </cell>
          <cell r="C693" t="str">
            <v>Johnson; Jacob S</v>
          </cell>
          <cell r="D693" t="str">
            <v>1</v>
          </cell>
          <cell r="E693" t="str">
            <v>IBEWOUT</v>
          </cell>
          <cell r="F693" t="str">
            <v>125</v>
          </cell>
          <cell r="G693" t="str">
            <v>8</v>
          </cell>
          <cell r="H693">
            <v>0</v>
          </cell>
        </row>
        <row r="694">
          <cell r="B694">
            <v>5818</v>
          </cell>
          <cell r="C694" t="str">
            <v>Jones; Theodore Nicklas</v>
          </cell>
          <cell r="D694" t="str">
            <v>1C</v>
          </cell>
          <cell r="E694" t="str">
            <v>IBEWOUT</v>
          </cell>
          <cell r="F694" t="str">
            <v>611</v>
          </cell>
          <cell r="G694" t="str">
            <v>8</v>
          </cell>
          <cell r="H694">
            <v>0</v>
          </cell>
        </row>
        <row r="695">
          <cell r="B695">
            <v>5823</v>
          </cell>
          <cell r="C695" t="str">
            <v>Johnson; Cameron R</v>
          </cell>
          <cell r="D695" t="str">
            <v>1C</v>
          </cell>
          <cell r="E695" t="str">
            <v>IBEWOUT</v>
          </cell>
          <cell r="F695" t="str">
            <v>602R</v>
          </cell>
          <cell r="G695" t="str">
            <v>8</v>
          </cell>
          <cell r="H695">
            <v>0</v>
          </cell>
        </row>
        <row r="696">
          <cell r="B696">
            <v>5825</v>
          </cell>
          <cell r="C696" t="str">
            <v>Johnson; Dean R</v>
          </cell>
          <cell r="D696" t="str">
            <v>1C</v>
          </cell>
          <cell r="E696" t="str">
            <v>IBEWOUT</v>
          </cell>
          <cell r="F696" t="str">
            <v>47</v>
          </cell>
          <cell r="G696" t="str">
            <v>7</v>
          </cell>
          <cell r="H696">
            <v>0</v>
          </cell>
        </row>
        <row r="697">
          <cell r="B697">
            <v>5826</v>
          </cell>
          <cell r="C697" t="str">
            <v>Johnson; Brett A.</v>
          </cell>
          <cell r="D697" t="str">
            <v>1C</v>
          </cell>
          <cell r="E697" t="str">
            <v>IBEWOUT</v>
          </cell>
          <cell r="F697" t="str">
            <v>125</v>
          </cell>
          <cell r="G697" t="str">
            <v>8</v>
          </cell>
          <cell r="H697">
            <v>0</v>
          </cell>
        </row>
        <row r="698">
          <cell r="B698">
            <v>5827</v>
          </cell>
          <cell r="C698" t="str">
            <v>Johnson; Devon L</v>
          </cell>
          <cell r="D698" t="str">
            <v>1</v>
          </cell>
          <cell r="E698" t="str">
            <v/>
          </cell>
          <cell r="F698" t="str">
            <v/>
          </cell>
          <cell r="G698" t="str">
            <v/>
          </cell>
          <cell r="H698">
            <v>1</v>
          </cell>
        </row>
        <row r="699">
          <cell r="B699">
            <v>5833</v>
          </cell>
          <cell r="C699" t="str">
            <v>Johnson; Jon Wayne</v>
          </cell>
          <cell r="D699" t="str">
            <v>1C</v>
          </cell>
          <cell r="E699" t="str">
            <v>IBEWOUT</v>
          </cell>
          <cell r="F699" t="str">
            <v>125</v>
          </cell>
          <cell r="G699" t="str">
            <v>1</v>
          </cell>
          <cell r="H699">
            <v>1</v>
          </cell>
        </row>
        <row r="700">
          <cell r="B700">
            <v>5834</v>
          </cell>
          <cell r="C700" t="str">
            <v>Johnson; Justin R</v>
          </cell>
          <cell r="D700" t="str">
            <v>1C</v>
          </cell>
          <cell r="E700" t="str">
            <v>IBEWOUT</v>
          </cell>
          <cell r="F700" t="str">
            <v>47</v>
          </cell>
          <cell r="G700" t="str">
            <v>8</v>
          </cell>
          <cell r="H700">
            <v>0</v>
          </cell>
        </row>
        <row r="701">
          <cell r="B701">
            <v>5835</v>
          </cell>
          <cell r="C701" t="str">
            <v>Johnson; Joseph A</v>
          </cell>
          <cell r="D701" t="str">
            <v>1C</v>
          </cell>
          <cell r="E701" t="str">
            <v>IBEWOUT</v>
          </cell>
          <cell r="F701" t="str">
            <v>47</v>
          </cell>
          <cell r="G701" t="str">
            <v>7</v>
          </cell>
          <cell r="H701">
            <v>0</v>
          </cell>
        </row>
        <row r="702">
          <cell r="B702">
            <v>5840</v>
          </cell>
          <cell r="C702" t="str">
            <v>Johnson; Thomas D.</v>
          </cell>
          <cell r="D702" t="str">
            <v>1C</v>
          </cell>
          <cell r="E702" t="str">
            <v>IBEWOUT</v>
          </cell>
          <cell r="F702" t="str">
            <v>47</v>
          </cell>
          <cell r="G702" t="str">
            <v>8</v>
          </cell>
          <cell r="H702">
            <v>0</v>
          </cell>
        </row>
        <row r="703">
          <cell r="B703">
            <v>5843</v>
          </cell>
          <cell r="C703" t="str">
            <v>Jimenez; Dean R</v>
          </cell>
          <cell r="D703" t="str">
            <v>1C</v>
          </cell>
          <cell r="E703" t="str">
            <v>IBEWOUT</v>
          </cell>
          <cell r="F703" t="str">
            <v>769</v>
          </cell>
          <cell r="G703" t="str">
            <v>17</v>
          </cell>
          <cell r="H703">
            <v>0</v>
          </cell>
        </row>
        <row r="704">
          <cell r="B704">
            <v>5844</v>
          </cell>
          <cell r="C704" t="str">
            <v>Johnson; Cliff Daniel</v>
          </cell>
          <cell r="D704" t="str">
            <v>1C</v>
          </cell>
          <cell r="E704" t="str">
            <v>IBEWOUT</v>
          </cell>
          <cell r="F704" t="str">
            <v>77</v>
          </cell>
          <cell r="G704" t="str">
            <v>7</v>
          </cell>
          <cell r="H704">
            <v>0</v>
          </cell>
        </row>
        <row r="705">
          <cell r="B705">
            <v>5845</v>
          </cell>
          <cell r="C705" t="str">
            <v>Johns; Warren Patrick</v>
          </cell>
          <cell r="D705" t="str">
            <v>1</v>
          </cell>
          <cell r="E705" t="str">
            <v>IBEWOUT</v>
          </cell>
          <cell r="F705" t="str">
            <v>125</v>
          </cell>
          <cell r="G705" t="str">
            <v>8</v>
          </cell>
          <cell r="H705">
            <v>0</v>
          </cell>
        </row>
        <row r="706">
          <cell r="B706">
            <v>5846</v>
          </cell>
          <cell r="C706" t="str">
            <v>Jauregui; Jaime</v>
          </cell>
          <cell r="D706" t="str">
            <v>1</v>
          </cell>
          <cell r="E706" t="str">
            <v/>
          </cell>
          <cell r="F706" t="str">
            <v/>
          </cell>
          <cell r="G706" t="str">
            <v/>
          </cell>
          <cell r="H706">
            <v>1</v>
          </cell>
        </row>
        <row r="707">
          <cell r="B707">
            <v>5850</v>
          </cell>
          <cell r="C707" t="str">
            <v>Jones; Michael M</v>
          </cell>
          <cell r="D707" t="str">
            <v>1C</v>
          </cell>
          <cell r="E707" t="str">
            <v>IBEWOUT</v>
          </cell>
          <cell r="F707" t="str">
            <v>1245</v>
          </cell>
          <cell r="G707" t="str">
            <v>12</v>
          </cell>
          <cell r="H707">
            <v>0</v>
          </cell>
        </row>
        <row r="708">
          <cell r="B708">
            <v>5856</v>
          </cell>
          <cell r="C708" t="str">
            <v>Jones; Jered P</v>
          </cell>
          <cell r="D708" t="str">
            <v>1C</v>
          </cell>
          <cell r="E708" t="str">
            <v/>
          </cell>
          <cell r="F708" t="str">
            <v/>
          </cell>
          <cell r="G708" t="str">
            <v/>
          </cell>
          <cell r="H708">
            <v>1</v>
          </cell>
        </row>
        <row r="709">
          <cell r="B709">
            <v>5862</v>
          </cell>
          <cell r="C709" t="str">
            <v>Johnson; Taylor S.</v>
          </cell>
          <cell r="D709" t="str">
            <v>1C</v>
          </cell>
          <cell r="E709" t="str">
            <v>IBEWOUT</v>
          </cell>
          <cell r="F709" t="str">
            <v>77</v>
          </cell>
          <cell r="G709" t="str">
            <v>17</v>
          </cell>
          <cell r="H709">
            <v>0</v>
          </cell>
        </row>
        <row r="710">
          <cell r="B710">
            <v>5863</v>
          </cell>
          <cell r="C710" t="str">
            <v>Jimenez; Salvador</v>
          </cell>
          <cell r="D710" t="str">
            <v>1C</v>
          </cell>
          <cell r="E710" t="str">
            <v>IBEWOUT</v>
          </cell>
          <cell r="F710" t="str">
            <v>769</v>
          </cell>
          <cell r="G710" t="str">
            <v>13</v>
          </cell>
          <cell r="H710">
            <v>0</v>
          </cell>
        </row>
        <row r="711">
          <cell r="B711">
            <v>5864</v>
          </cell>
          <cell r="C711" t="str">
            <v>Johnson; Nicholas J</v>
          </cell>
          <cell r="D711" t="str">
            <v>1C</v>
          </cell>
          <cell r="E711" t="str">
            <v>IBEWOUT</v>
          </cell>
          <cell r="F711" t="str">
            <v>77</v>
          </cell>
          <cell r="G711" t="str">
            <v>8</v>
          </cell>
          <cell r="H711">
            <v>0</v>
          </cell>
        </row>
        <row r="712">
          <cell r="B712">
            <v>5865</v>
          </cell>
          <cell r="C712" t="str">
            <v>Johnson; Edward J</v>
          </cell>
          <cell r="D712" t="str">
            <v>1C</v>
          </cell>
          <cell r="E712" t="str">
            <v>IBEWOUT</v>
          </cell>
          <cell r="F712" t="str">
            <v>769</v>
          </cell>
          <cell r="G712" t="str">
            <v>16</v>
          </cell>
          <cell r="H712">
            <v>0</v>
          </cell>
        </row>
        <row r="713">
          <cell r="B713">
            <v>5866</v>
          </cell>
          <cell r="C713" t="str">
            <v>Johnson; Earl</v>
          </cell>
          <cell r="D713" t="str">
            <v>1C</v>
          </cell>
          <cell r="E713" t="str">
            <v>IBEWOUT</v>
          </cell>
          <cell r="F713" t="str">
            <v>769</v>
          </cell>
          <cell r="G713" t="str">
            <v>8</v>
          </cell>
          <cell r="H713">
            <v>0</v>
          </cell>
        </row>
        <row r="714">
          <cell r="B714">
            <v>5868</v>
          </cell>
          <cell r="C714" t="str">
            <v>Johnson; Hunter A</v>
          </cell>
          <cell r="D714" t="str">
            <v>1C</v>
          </cell>
          <cell r="E714" t="str">
            <v/>
          </cell>
          <cell r="F714" t="str">
            <v/>
          </cell>
          <cell r="G714" t="str">
            <v/>
          </cell>
          <cell r="H714">
            <v>0</v>
          </cell>
        </row>
        <row r="715">
          <cell r="B715">
            <v>5870</v>
          </cell>
          <cell r="C715" t="str">
            <v>Johnson; Heath E.</v>
          </cell>
          <cell r="D715" t="str">
            <v>1C</v>
          </cell>
          <cell r="E715" t="str">
            <v>IBEWOUT</v>
          </cell>
          <cell r="F715" t="str">
            <v>769</v>
          </cell>
          <cell r="G715" t="str">
            <v>12</v>
          </cell>
          <cell r="H715">
            <v>0</v>
          </cell>
        </row>
        <row r="716">
          <cell r="B716">
            <v>5874</v>
          </cell>
          <cell r="C716" t="str">
            <v>Jimenez; Israel P</v>
          </cell>
          <cell r="D716" t="str">
            <v>1C</v>
          </cell>
          <cell r="E716" t="str">
            <v>IBEWOUT</v>
          </cell>
          <cell r="F716" t="str">
            <v>47</v>
          </cell>
          <cell r="G716" t="str">
            <v>17</v>
          </cell>
          <cell r="H716">
            <v>0</v>
          </cell>
        </row>
        <row r="717">
          <cell r="B717">
            <v>5876</v>
          </cell>
          <cell r="C717" t="str">
            <v>Johnston; Bryan T.</v>
          </cell>
          <cell r="D717" t="str">
            <v>1C</v>
          </cell>
          <cell r="E717" t="str">
            <v>IBEWOUT</v>
          </cell>
          <cell r="F717" t="str">
            <v>602R</v>
          </cell>
          <cell r="G717" t="str">
            <v>8</v>
          </cell>
          <cell r="H717">
            <v>0</v>
          </cell>
        </row>
        <row r="718">
          <cell r="B718">
            <v>5878</v>
          </cell>
          <cell r="C718" t="str">
            <v>Johnson; Tyler</v>
          </cell>
          <cell r="D718" t="str">
            <v>1</v>
          </cell>
          <cell r="E718" t="str">
            <v>IBEWOUT</v>
          </cell>
          <cell r="F718" t="str">
            <v>77</v>
          </cell>
          <cell r="G718" t="str">
            <v>16</v>
          </cell>
          <cell r="H718">
            <v>0</v>
          </cell>
        </row>
        <row r="719">
          <cell r="B719">
            <v>5879</v>
          </cell>
          <cell r="C719" t="str">
            <v>Johnson; Sameka S</v>
          </cell>
          <cell r="D719" t="str">
            <v>1</v>
          </cell>
          <cell r="E719" t="str">
            <v/>
          </cell>
          <cell r="F719" t="str">
            <v/>
          </cell>
          <cell r="G719" t="str">
            <v/>
          </cell>
          <cell r="H719">
            <v>1</v>
          </cell>
        </row>
        <row r="720">
          <cell r="B720">
            <v>5905</v>
          </cell>
          <cell r="C720" t="str">
            <v>Jones; Kenneth A.</v>
          </cell>
          <cell r="D720" t="str">
            <v>1C</v>
          </cell>
          <cell r="E720" t="str">
            <v/>
          </cell>
          <cell r="F720" t="str">
            <v/>
          </cell>
          <cell r="G720" t="str">
            <v/>
          </cell>
          <cell r="H720">
            <v>1</v>
          </cell>
        </row>
        <row r="721">
          <cell r="B721">
            <v>5910</v>
          </cell>
          <cell r="C721" t="str">
            <v>Jones; James</v>
          </cell>
          <cell r="D721" t="str">
            <v>1C</v>
          </cell>
          <cell r="E721" t="str">
            <v>IBEWOUT</v>
          </cell>
          <cell r="F721" t="str">
            <v>396</v>
          </cell>
          <cell r="G721" t="str">
            <v>21</v>
          </cell>
          <cell r="H721">
            <v>0</v>
          </cell>
        </row>
        <row r="722">
          <cell r="B722">
            <v>5919</v>
          </cell>
          <cell r="C722" t="str">
            <v>Jusuf; James R</v>
          </cell>
          <cell r="D722" t="str">
            <v>1C</v>
          </cell>
          <cell r="E722" t="str">
            <v>IBEWOUT</v>
          </cell>
          <cell r="F722" t="str">
            <v>1245</v>
          </cell>
          <cell r="G722" t="str">
            <v>8</v>
          </cell>
          <cell r="H722">
            <v>0</v>
          </cell>
        </row>
        <row r="723">
          <cell r="B723">
            <v>5920</v>
          </cell>
          <cell r="C723" t="str">
            <v>Justice; Kaleb K.</v>
          </cell>
          <cell r="D723" t="str">
            <v>1C</v>
          </cell>
          <cell r="E723" t="str">
            <v>IBEWOUT</v>
          </cell>
          <cell r="F723" t="str">
            <v>1245</v>
          </cell>
          <cell r="G723" t="str">
            <v>8</v>
          </cell>
          <cell r="H723">
            <v>0</v>
          </cell>
        </row>
        <row r="724">
          <cell r="B724">
            <v>5921</v>
          </cell>
          <cell r="C724" t="str">
            <v>Johnson; Carpenter L</v>
          </cell>
          <cell r="D724" t="str">
            <v>1C</v>
          </cell>
          <cell r="E724" t="str">
            <v>IBEWOUT</v>
          </cell>
          <cell r="F724" t="str">
            <v>1245</v>
          </cell>
          <cell r="G724" t="str">
            <v>17</v>
          </cell>
          <cell r="H724">
            <v>0</v>
          </cell>
        </row>
        <row r="725">
          <cell r="B725">
            <v>5924</v>
          </cell>
          <cell r="C725" t="str">
            <v>Jonte; Kleet K</v>
          </cell>
          <cell r="D725" t="str">
            <v>1C</v>
          </cell>
          <cell r="E725" t="str">
            <v>IBEWOUT</v>
          </cell>
          <cell r="F725" t="str">
            <v>1245</v>
          </cell>
          <cell r="G725" t="str">
            <v>8</v>
          </cell>
          <cell r="H725">
            <v>0</v>
          </cell>
        </row>
        <row r="726">
          <cell r="B726">
            <v>5925</v>
          </cell>
          <cell r="C726" t="str">
            <v>Joy; Shane S</v>
          </cell>
          <cell r="D726" t="str">
            <v>1C</v>
          </cell>
          <cell r="E726" t="str">
            <v>IBEWOUT</v>
          </cell>
          <cell r="F726" t="str">
            <v>125</v>
          </cell>
          <cell r="G726" t="str">
            <v>17</v>
          </cell>
          <cell r="H726">
            <v>0</v>
          </cell>
        </row>
        <row r="727">
          <cell r="B727">
            <v>5928</v>
          </cell>
          <cell r="C727" t="str">
            <v>Jones; Acil B.</v>
          </cell>
          <cell r="D727" t="str">
            <v>1C</v>
          </cell>
          <cell r="E727" t="str">
            <v>IBEWOUT</v>
          </cell>
          <cell r="F727" t="str">
            <v>769</v>
          </cell>
          <cell r="G727" t="str">
            <v>8</v>
          </cell>
          <cell r="H727">
            <v>0</v>
          </cell>
        </row>
        <row r="728">
          <cell r="B728">
            <v>5929</v>
          </cell>
          <cell r="C728" t="str">
            <v>Judd; Brian R.</v>
          </cell>
          <cell r="D728" t="str">
            <v>1C</v>
          </cell>
          <cell r="E728" t="str">
            <v>IBEWOUT</v>
          </cell>
          <cell r="F728" t="str">
            <v>1245</v>
          </cell>
          <cell r="G728" t="str">
            <v>8</v>
          </cell>
          <cell r="H728">
            <v>0</v>
          </cell>
        </row>
        <row r="729">
          <cell r="B729">
            <v>5930</v>
          </cell>
          <cell r="C729" t="str">
            <v>Joshi; Ajay B</v>
          </cell>
          <cell r="D729" t="str">
            <v>1</v>
          </cell>
          <cell r="E729" t="str">
            <v/>
          </cell>
          <cell r="F729" t="str">
            <v/>
          </cell>
          <cell r="G729" t="str">
            <v/>
          </cell>
          <cell r="H729">
            <v>0</v>
          </cell>
        </row>
        <row r="730">
          <cell r="B730">
            <v>5931</v>
          </cell>
          <cell r="C730" t="str">
            <v>Juarez; Carlos G.</v>
          </cell>
          <cell r="D730" t="str">
            <v>1C</v>
          </cell>
          <cell r="E730" t="str">
            <v>IBEWOUT</v>
          </cell>
          <cell r="F730" t="str">
            <v>1245</v>
          </cell>
          <cell r="G730" t="str">
            <v>17</v>
          </cell>
          <cell r="H730">
            <v>0</v>
          </cell>
        </row>
        <row r="731">
          <cell r="B731">
            <v>5932</v>
          </cell>
          <cell r="C731" t="str">
            <v>Juarez Duran; Angelo De</v>
          </cell>
          <cell r="D731" t="str">
            <v>1</v>
          </cell>
          <cell r="E731" t="str">
            <v/>
          </cell>
          <cell r="F731" t="str">
            <v/>
          </cell>
          <cell r="G731" t="str">
            <v/>
          </cell>
          <cell r="H731">
            <v>0</v>
          </cell>
        </row>
        <row r="732">
          <cell r="B732">
            <v>5934</v>
          </cell>
          <cell r="C732" t="str">
            <v>Juenke; David P</v>
          </cell>
          <cell r="D732" t="str">
            <v>1C</v>
          </cell>
          <cell r="E732" t="str">
            <v>IBEWOUT</v>
          </cell>
          <cell r="F732" t="str">
            <v>1245</v>
          </cell>
          <cell r="G732" t="str">
            <v>8</v>
          </cell>
          <cell r="H732">
            <v>0</v>
          </cell>
        </row>
        <row r="733">
          <cell r="B733">
            <v>5935</v>
          </cell>
          <cell r="C733" t="str">
            <v>Jordan; Nicholas J</v>
          </cell>
          <cell r="D733" t="str">
            <v>1C</v>
          </cell>
          <cell r="E733" t="str">
            <v>IBEWOUT</v>
          </cell>
          <cell r="F733" t="str">
            <v>77</v>
          </cell>
          <cell r="G733" t="str">
            <v>8</v>
          </cell>
          <cell r="H733">
            <v>0</v>
          </cell>
        </row>
        <row r="734">
          <cell r="B734">
            <v>5937</v>
          </cell>
          <cell r="C734" t="str">
            <v>Justice; Luke</v>
          </cell>
          <cell r="D734" t="str">
            <v>1C</v>
          </cell>
          <cell r="E734" t="str">
            <v>IBEWOUT</v>
          </cell>
          <cell r="F734" t="str">
            <v>1245</v>
          </cell>
          <cell r="G734" t="str">
            <v>8</v>
          </cell>
          <cell r="H734">
            <v>0</v>
          </cell>
        </row>
        <row r="735">
          <cell r="B735">
            <v>5938</v>
          </cell>
          <cell r="C735" t="str">
            <v>Justus; Daniel J</v>
          </cell>
          <cell r="D735" t="str">
            <v>1C</v>
          </cell>
          <cell r="E735" t="str">
            <v>IBEWOUT</v>
          </cell>
          <cell r="F735" t="str">
            <v>1245</v>
          </cell>
          <cell r="G735" t="str">
            <v>8</v>
          </cell>
          <cell r="H735">
            <v>0</v>
          </cell>
        </row>
        <row r="736">
          <cell r="B736">
            <v>5942</v>
          </cell>
          <cell r="C736" t="str">
            <v>Johnson; Adam L.</v>
          </cell>
          <cell r="D736" t="str">
            <v>1C</v>
          </cell>
          <cell r="E736" t="str">
            <v>IBEWOUT</v>
          </cell>
          <cell r="F736" t="str">
            <v>1245</v>
          </cell>
          <cell r="G736" t="str">
            <v>8</v>
          </cell>
          <cell r="H736">
            <v>0</v>
          </cell>
        </row>
        <row r="737">
          <cell r="B737">
            <v>5943</v>
          </cell>
          <cell r="C737" t="str">
            <v>Johnston; Bryan A</v>
          </cell>
          <cell r="D737" t="str">
            <v>1C</v>
          </cell>
          <cell r="E737" t="str">
            <v>IBEWOUT</v>
          </cell>
          <cell r="F737" t="str">
            <v>602R</v>
          </cell>
          <cell r="G737" t="str">
            <v>16</v>
          </cell>
          <cell r="H737">
            <v>0</v>
          </cell>
        </row>
        <row r="738">
          <cell r="B738">
            <v>5945</v>
          </cell>
          <cell r="C738" t="str">
            <v>Johnson; Aaron R.</v>
          </cell>
          <cell r="D738" t="str">
            <v>1C</v>
          </cell>
          <cell r="E738" t="str">
            <v>IBEWOUT</v>
          </cell>
          <cell r="F738" t="str">
            <v>611</v>
          </cell>
          <cell r="G738" t="str">
            <v>8</v>
          </cell>
          <cell r="H738">
            <v>0</v>
          </cell>
        </row>
        <row r="739">
          <cell r="B739">
            <v>5948</v>
          </cell>
          <cell r="C739" t="str">
            <v>Kaestner; Cole R</v>
          </cell>
          <cell r="D739" t="str">
            <v>1</v>
          </cell>
          <cell r="E739" t="str">
            <v>IBEWOUT</v>
          </cell>
          <cell r="F739" t="str">
            <v>77</v>
          </cell>
          <cell r="G739" t="str">
            <v>8</v>
          </cell>
          <cell r="H739">
            <v>0</v>
          </cell>
        </row>
        <row r="740">
          <cell r="B740">
            <v>5951</v>
          </cell>
          <cell r="C740" t="str">
            <v>Kent; Adam J.</v>
          </cell>
          <cell r="D740" t="str">
            <v>1C</v>
          </cell>
          <cell r="E740" t="str">
            <v>IBEWOUT</v>
          </cell>
          <cell r="F740" t="str">
            <v>125</v>
          </cell>
          <cell r="G740" t="str">
            <v>8</v>
          </cell>
          <cell r="H740">
            <v>0</v>
          </cell>
        </row>
        <row r="741">
          <cell r="B741">
            <v>5954</v>
          </cell>
          <cell r="C741" t="str">
            <v>Kash; Korey C.</v>
          </cell>
          <cell r="D741" t="str">
            <v>1C</v>
          </cell>
          <cell r="E741" t="str">
            <v>IBEWOUT</v>
          </cell>
          <cell r="F741" t="str">
            <v>769</v>
          </cell>
          <cell r="G741" t="str">
            <v>20</v>
          </cell>
          <cell r="H741">
            <v>0</v>
          </cell>
        </row>
        <row r="742">
          <cell r="B742">
            <v>5955</v>
          </cell>
          <cell r="C742" t="str">
            <v>Katzer; Brandon P</v>
          </cell>
          <cell r="D742" t="str">
            <v>1C</v>
          </cell>
          <cell r="E742" t="str">
            <v>IBEWOUT</v>
          </cell>
          <cell r="F742" t="str">
            <v>77</v>
          </cell>
          <cell r="G742" t="str">
            <v>8</v>
          </cell>
          <cell r="H742">
            <v>0</v>
          </cell>
        </row>
        <row r="743">
          <cell r="B743">
            <v>5957</v>
          </cell>
          <cell r="C743" t="str">
            <v>Kane; Rick A</v>
          </cell>
          <cell r="D743" t="str">
            <v>1C</v>
          </cell>
          <cell r="E743" t="str">
            <v>IBEWOUT</v>
          </cell>
          <cell r="F743" t="str">
            <v>1245</v>
          </cell>
          <cell r="G743" t="str">
            <v>8</v>
          </cell>
          <cell r="H743">
            <v>0</v>
          </cell>
        </row>
        <row r="744">
          <cell r="B744">
            <v>5958</v>
          </cell>
          <cell r="C744" t="str">
            <v>Kamrar; William D</v>
          </cell>
          <cell r="D744" t="str">
            <v>1C</v>
          </cell>
          <cell r="E744" t="str">
            <v>IBEWOUT</v>
          </cell>
          <cell r="F744" t="str">
            <v>769</v>
          </cell>
          <cell r="G744" t="str">
            <v>7</v>
          </cell>
          <cell r="H744">
            <v>0</v>
          </cell>
        </row>
        <row r="745">
          <cell r="B745">
            <v>5959</v>
          </cell>
          <cell r="C745" t="str">
            <v>Kautzman; Eugene Joseph</v>
          </cell>
          <cell r="D745" t="str">
            <v>1C</v>
          </cell>
          <cell r="E745" t="str">
            <v/>
          </cell>
          <cell r="F745" t="str">
            <v/>
          </cell>
          <cell r="G745" t="str">
            <v/>
          </cell>
          <cell r="H745">
            <v>0</v>
          </cell>
        </row>
        <row r="746">
          <cell r="B746">
            <v>5960</v>
          </cell>
          <cell r="C746" t="str">
            <v>Kaufer; Chester</v>
          </cell>
          <cell r="D746" t="str">
            <v>1C</v>
          </cell>
          <cell r="E746" t="str">
            <v>IBEWOUT</v>
          </cell>
          <cell r="F746" t="str">
            <v>1319</v>
          </cell>
          <cell r="G746" t="str">
            <v>7S</v>
          </cell>
          <cell r="H746">
            <v>0</v>
          </cell>
        </row>
        <row r="747">
          <cell r="B747">
            <v>5963</v>
          </cell>
          <cell r="C747" t="str">
            <v>Kendall; Benjamin C</v>
          </cell>
          <cell r="D747" t="str">
            <v>1C</v>
          </cell>
          <cell r="E747" t="str">
            <v>IBEWOUT</v>
          </cell>
          <cell r="F747" t="str">
            <v>769</v>
          </cell>
          <cell r="G747" t="str">
            <v>8</v>
          </cell>
          <cell r="H747">
            <v>0</v>
          </cell>
        </row>
        <row r="748">
          <cell r="B748">
            <v>5965</v>
          </cell>
          <cell r="C748" t="str">
            <v>Keene; Brandon J</v>
          </cell>
          <cell r="D748" t="str">
            <v>1C</v>
          </cell>
          <cell r="E748" t="str">
            <v>IBEWOUT</v>
          </cell>
          <cell r="F748" t="str">
            <v>77</v>
          </cell>
          <cell r="G748" t="str">
            <v>8</v>
          </cell>
          <cell r="H748">
            <v>0</v>
          </cell>
        </row>
        <row r="749">
          <cell r="B749">
            <v>5967</v>
          </cell>
          <cell r="C749" t="str">
            <v>Kegley; Michael J</v>
          </cell>
          <cell r="D749" t="str">
            <v>1C</v>
          </cell>
          <cell r="E749" t="str">
            <v>IBEWOUT</v>
          </cell>
          <cell r="F749" t="str">
            <v>1245</v>
          </cell>
          <cell r="G749" t="str">
            <v>8</v>
          </cell>
          <cell r="H749">
            <v>0</v>
          </cell>
        </row>
        <row r="750">
          <cell r="B750">
            <v>5969</v>
          </cell>
          <cell r="C750" t="str">
            <v>Kelley; Weldon W</v>
          </cell>
          <cell r="D750" t="str">
            <v>1C</v>
          </cell>
          <cell r="E750" t="str">
            <v>IBEWOUT</v>
          </cell>
          <cell r="F750" t="str">
            <v>1245</v>
          </cell>
          <cell r="G750" t="str">
            <v>16</v>
          </cell>
          <cell r="H750">
            <v>0</v>
          </cell>
        </row>
        <row r="751">
          <cell r="B751">
            <v>5972</v>
          </cell>
          <cell r="C751" t="str">
            <v>Kair; Shane M</v>
          </cell>
          <cell r="D751" t="str">
            <v>1C</v>
          </cell>
          <cell r="E751" t="str">
            <v>IBEWOUT</v>
          </cell>
          <cell r="F751" t="str">
            <v>47</v>
          </cell>
          <cell r="G751" t="str">
            <v>8</v>
          </cell>
          <cell r="H751">
            <v>0</v>
          </cell>
        </row>
        <row r="752">
          <cell r="B752">
            <v>5974</v>
          </cell>
          <cell r="C752" t="str">
            <v>Kerber; Christopher R.</v>
          </cell>
          <cell r="D752" t="str">
            <v>1</v>
          </cell>
          <cell r="E752" t="str">
            <v>IBEWOUT</v>
          </cell>
          <cell r="F752" t="str">
            <v>769</v>
          </cell>
          <cell r="G752" t="str">
            <v>1</v>
          </cell>
          <cell r="H752">
            <v>1</v>
          </cell>
        </row>
        <row r="753">
          <cell r="B753">
            <v>5988</v>
          </cell>
          <cell r="C753" t="str">
            <v>Keough; Joel D</v>
          </cell>
          <cell r="D753" t="str">
            <v>1C</v>
          </cell>
          <cell r="E753" t="str">
            <v>IBEWOUT</v>
          </cell>
          <cell r="F753" t="str">
            <v>769</v>
          </cell>
          <cell r="G753" t="str">
            <v>14</v>
          </cell>
          <cell r="H753">
            <v>0</v>
          </cell>
        </row>
        <row r="754">
          <cell r="B754">
            <v>5989</v>
          </cell>
          <cell r="C754" t="str">
            <v>Keoshian; Derrick J</v>
          </cell>
          <cell r="D754" t="str">
            <v>1</v>
          </cell>
          <cell r="E754" t="str">
            <v>IBEWOUT</v>
          </cell>
          <cell r="F754" t="str">
            <v>769</v>
          </cell>
          <cell r="G754" t="str">
            <v>8</v>
          </cell>
          <cell r="H754">
            <v>0</v>
          </cell>
        </row>
        <row r="755">
          <cell r="B755">
            <v>5990</v>
          </cell>
          <cell r="C755" t="str">
            <v>Kennedy; Alexander X</v>
          </cell>
          <cell r="D755" t="str">
            <v>1</v>
          </cell>
          <cell r="E755" t="str">
            <v>IBEWOUT</v>
          </cell>
          <cell r="F755" t="str">
            <v>769</v>
          </cell>
          <cell r="G755" t="str">
            <v>11</v>
          </cell>
          <cell r="H755">
            <v>0</v>
          </cell>
        </row>
        <row r="756">
          <cell r="B756">
            <v>5996</v>
          </cell>
          <cell r="C756" t="str">
            <v>Keune; Trevor M.</v>
          </cell>
          <cell r="D756" t="str">
            <v>1C</v>
          </cell>
          <cell r="E756" t="str">
            <v>IBEWOUT</v>
          </cell>
          <cell r="F756" t="str">
            <v>47</v>
          </cell>
          <cell r="G756" t="str">
            <v>8</v>
          </cell>
          <cell r="H756">
            <v>0</v>
          </cell>
        </row>
        <row r="757">
          <cell r="B757">
            <v>5998</v>
          </cell>
          <cell r="C757" t="str">
            <v>Kagarise ll; Jack N</v>
          </cell>
          <cell r="D757" t="str">
            <v>1</v>
          </cell>
          <cell r="E757" t="str">
            <v>IBEWOUT</v>
          </cell>
          <cell r="F757" t="str">
            <v>47</v>
          </cell>
          <cell r="G757" t="str">
            <v>7</v>
          </cell>
          <cell r="H757">
            <v>0</v>
          </cell>
        </row>
        <row r="758">
          <cell r="B758">
            <v>5999</v>
          </cell>
          <cell r="C758" t="str">
            <v>Ketchum; Seth F</v>
          </cell>
          <cell r="D758" t="str">
            <v>1</v>
          </cell>
          <cell r="E758" t="str">
            <v>IBEWOUT</v>
          </cell>
          <cell r="F758" t="str">
            <v>77</v>
          </cell>
          <cell r="G758" t="str">
            <v>8</v>
          </cell>
          <cell r="H758">
            <v>0</v>
          </cell>
        </row>
        <row r="759">
          <cell r="B759">
            <v>6001</v>
          </cell>
          <cell r="C759" t="str">
            <v>Kelly; Justin J</v>
          </cell>
          <cell r="D759" t="str">
            <v>1C</v>
          </cell>
          <cell r="E759" t="str">
            <v>IBEWOUT</v>
          </cell>
          <cell r="F759" t="str">
            <v>1245</v>
          </cell>
          <cell r="G759" t="str">
            <v>8</v>
          </cell>
          <cell r="H759">
            <v>0</v>
          </cell>
        </row>
        <row r="760">
          <cell r="B760">
            <v>6002</v>
          </cell>
          <cell r="C760" t="str">
            <v>Kemper; Zachary T</v>
          </cell>
          <cell r="D760" t="str">
            <v>1C</v>
          </cell>
          <cell r="E760" t="str">
            <v>IBEWOUT</v>
          </cell>
          <cell r="F760" t="str">
            <v>1245</v>
          </cell>
          <cell r="G760" t="str">
            <v>8</v>
          </cell>
          <cell r="H760">
            <v>0</v>
          </cell>
        </row>
        <row r="761">
          <cell r="B761">
            <v>6005</v>
          </cell>
          <cell r="C761" t="str">
            <v>Kelly; Ezra N</v>
          </cell>
          <cell r="D761" t="str">
            <v>1C</v>
          </cell>
          <cell r="E761" t="str">
            <v>IBEWOUT</v>
          </cell>
          <cell r="F761" t="str">
            <v>47</v>
          </cell>
          <cell r="G761" t="str">
            <v>16</v>
          </cell>
          <cell r="H761">
            <v>0</v>
          </cell>
        </row>
        <row r="762">
          <cell r="B762">
            <v>6090</v>
          </cell>
          <cell r="C762" t="str">
            <v>King; Kyle M.</v>
          </cell>
          <cell r="D762" t="str">
            <v>1C</v>
          </cell>
          <cell r="E762" t="str">
            <v>IBEWOUT</v>
          </cell>
          <cell r="F762" t="str">
            <v>1319</v>
          </cell>
          <cell r="G762" t="str">
            <v>11</v>
          </cell>
          <cell r="H762">
            <v>0</v>
          </cell>
        </row>
        <row r="763">
          <cell r="B763">
            <v>6100</v>
          </cell>
          <cell r="C763" t="str">
            <v>Kintz; Kyle W</v>
          </cell>
          <cell r="D763" t="str">
            <v>1</v>
          </cell>
          <cell r="E763" t="str">
            <v/>
          </cell>
          <cell r="F763" t="str">
            <v/>
          </cell>
          <cell r="G763" t="str">
            <v/>
          </cell>
          <cell r="H763">
            <v>1</v>
          </cell>
        </row>
        <row r="764">
          <cell r="B764">
            <v>6101</v>
          </cell>
          <cell r="C764" t="str">
            <v>Kemp; Michael B.</v>
          </cell>
          <cell r="D764" t="str">
            <v>1C</v>
          </cell>
          <cell r="E764" t="str">
            <v>IBEWOUT</v>
          </cell>
          <cell r="F764" t="str">
            <v>47</v>
          </cell>
          <cell r="G764" t="str">
            <v>8</v>
          </cell>
          <cell r="H764">
            <v>0</v>
          </cell>
        </row>
        <row r="765">
          <cell r="B765">
            <v>6105</v>
          </cell>
          <cell r="C765" t="str">
            <v>Kilby; Kyle G</v>
          </cell>
          <cell r="D765" t="str">
            <v>1</v>
          </cell>
          <cell r="E765" t="str">
            <v/>
          </cell>
          <cell r="F765" t="str">
            <v/>
          </cell>
          <cell r="G765" t="str">
            <v/>
          </cell>
          <cell r="H765">
            <v>1</v>
          </cell>
        </row>
        <row r="766">
          <cell r="B766">
            <v>6108</v>
          </cell>
          <cell r="C766" t="str">
            <v>Kelsch; Nathan B.</v>
          </cell>
          <cell r="D766" t="str">
            <v>1C</v>
          </cell>
          <cell r="E766" t="str">
            <v>IBEWOUT</v>
          </cell>
          <cell r="F766" t="str">
            <v>47</v>
          </cell>
          <cell r="G766" t="str">
            <v>70</v>
          </cell>
          <cell r="H766">
            <v>0</v>
          </cell>
        </row>
        <row r="767">
          <cell r="B767">
            <v>6110</v>
          </cell>
          <cell r="C767" t="str">
            <v>King; Carl D</v>
          </cell>
          <cell r="D767" t="str">
            <v>1C</v>
          </cell>
          <cell r="E767" t="str">
            <v>IBEWOUT</v>
          </cell>
          <cell r="F767" t="str">
            <v>1319</v>
          </cell>
          <cell r="G767" t="str">
            <v>1</v>
          </cell>
          <cell r="H767">
            <v>0</v>
          </cell>
        </row>
        <row r="768">
          <cell r="B768">
            <v>6112</v>
          </cell>
          <cell r="C768" t="str">
            <v>Kirk; Robert E</v>
          </cell>
          <cell r="D768" t="str">
            <v>1C</v>
          </cell>
          <cell r="E768" t="str">
            <v>IBEWOUT</v>
          </cell>
          <cell r="F768" t="str">
            <v>1245</v>
          </cell>
          <cell r="G768" t="str">
            <v>8</v>
          </cell>
          <cell r="H768">
            <v>0</v>
          </cell>
        </row>
        <row r="769">
          <cell r="B769">
            <v>6114</v>
          </cell>
          <cell r="C769" t="str">
            <v>King; Gale L</v>
          </cell>
          <cell r="D769" t="str">
            <v>1C</v>
          </cell>
          <cell r="E769" t="str">
            <v>IBEWOUT</v>
          </cell>
          <cell r="F769" t="str">
            <v>602R</v>
          </cell>
          <cell r="G769" t="str">
            <v>33</v>
          </cell>
          <cell r="H769">
            <v>0</v>
          </cell>
        </row>
        <row r="770">
          <cell r="B770">
            <v>6117</v>
          </cell>
          <cell r="C770" t="str">
            <v>Kimmel; Daryl M.</v>
          </cell>
          <cell r="D770" t="str">
            <v>1C</v>
          </cell>
          <cell r="E770" t="str">
            <v>IBEWOUT</v>
          </cell>
          <cell r="F770" t="str">
            <v>77</v>
          </cell>
          <cell r="G770" t="str">
            <v>8</v>
          </cell>
          <cell r="H770">
            <v>0</v>
          </cell>
        </row>
        <row r="771">
          <cell r="B771">
            <v>6118</v>
          </cell>
          <cell r="C771" t="str">
            <v>Kimberly; Michael D</v>
          </cell>
          <cell r="D771" t="str">
            <v>1C</v>
          </cell>
          <cell r="E771" t="str">
            <v/>
          </cell>
          <cell r="F771" t="str">
            <v/>
          </cell>
          <cell r="G771" t="str">
            <v/>
          </cell>
          <cell r="H771">
            <v>0</v>
          </cell>
        </row>
        <row r="772">
          <cell r="B772">
            <v>6119</v>
          </cell>
          <cell r="C772" t="str">
            <v>Kiourkas; Cody G</v>
          </cell>
          <cell r="D772" t="str">
            <v>1C</v>
          </cell>
          <cell r="E772" t="str">
            <v>IBEWOUT</v>
          </cell>
          <cell r="F772" t="str">
            <v>1245</v>
          </cell>
          <cell r="G772" t="str">
            <v>15</v>
          </cell>
          <cell r="H772">
            <v>0</v>
          </cell>
        </row>
        <row r="773">
          <cell r="B773">
            <v>6121</v>
          </cell>
          <cell r="C773" t="str">
            <v>Kirkpatrick; Gary L</v>
          </cell>
          <cell r="D773" t="str">
            <v>1C</v>
          </cell>
          <cell r="E773" t="str">
            <v>IBEWOUT</v>
          </cell>
          <cell r="F773" t="str">
            <v>47</v>
          </cell>
          <cell r="G773" t="str">
            <v>8</v>
          </cell>
          <cell r="H773">
            <v>0</v>
          </cell>
        </row>
        <row r="774">
          <cell r="B774">
            <v>6122</v>
          </cell>
          <cell r="C774" t="str">
            <v>Kemmsies; Kenneth C</v>
          </cell>
          <cell r="D774" t="str">
            <v>1</v>
          </cell>
          <cell r="E774" t="str">
            <v>IBEWOUT</v>
          </cell>
          <cell r="F774" t="str">
            <v>47</v>
          </cell>
          <cell r="G774" t="str">
            <v>16</v>
          </cell>
          <cell r="H774">
            <v>0</v>
          </cell>
        </row>
        <row r="775">
          <cell r="B775">
            <v>6123</v>
          </cell>
          <cell r="C775" t="str">
            <v>Kilgore; Logan T</v>
          </cell>
          <cell r="D775" t="str">
            <v>1C</v>
          </cell>
          <cell r="E775" t="str">
            <v>IBEWOUT</v>
          </cell>
          <cell r="F775" t="str">
            <v>70</v>
          </cell>
          <cell r="G775" t="str">
            <v>17</v>
          </cell>
          <cell r="H775">
            <v>0</v>
          </cell>
        </row>
        <row r="776">
          <cell r="B776">
            <v>6125</v>
          </cell>
          <cell r="C776" t="str">
            <v>King; Tyler S</v>
          </cell>
          <cell r="D776" t="str">
            <v>1</v>
          </cell>
          <cell r="E776" t="str">
            <v>IBEWOUT</v>
          </cell>
          <cell r="F776" t="str">
            <v>77</v>
          </cell>
          <cell r="G776" t="str">
            <v>8</v>
          </cell>
          <cell r="H776">
            <v>0</v>
          </cell>
        </row>
        <row r="777">
          <cell r="B777">
            <v>6129</v>
          </cell>
          <cell r="C777" t="str">
            <v>King; Mathew Edward</v>
          </cell>
          <cell r="D777" t="str">
            <v>1C</v>
          </cell>
          <cell r="E777" t="str">
            <v>IBEWOUT</v>
          </cell>
          <cell r="F777" t="str">
            <v>1245</v>
          </cell>
          <cell r="G777" t="str">
            <v>11</v>
          </cell>
          <cell r="H777">
            <v>0</v>
          </cell>
        </row>
        <row r="778">
          <cell r="B778">
            <v>6132</v>
          </cell>
          <cell r="C778" t="str">
            <v>Kingdon; Colton R</v>
          </cell>
          <cell r="D778" t="str">
            <v>1C</v>
          </cell>
          <cell r="E778" t="str">
            <v>IBEWOUT</v>
          </cell>
          <cell r="F778" t="str">
            <v>1245</v>
          </cell>
          <cell r="G778" t="str">
            <v>11</v>
          </cell>
          <cell r="H778">
            <v>0</v>
          </cell>
        </row>
        <row r="779">
          <cell r="B779">
            <v>6134</v>
          </cell>
          <cell r="C779" t="str">
            <v>Klein III; Darrell D</v>
          </cell>
          <cell r="D779" t="str">
            <v>1</v>
          </cell>
          <cell r="E779" t="str">
            <v>IBEWIN</v>
          </cell>
          <cell r="F779" t="str">
            <v>73</v>
          </cell>
          <cell r="G779" t="str">
            <v>62D</v>
          </cell>
          <cell r="H779">
            <v>0</v>
          </cell>
        </row>
        <row r="780">
          <cell r="B780">
            <v>6151</v>
          </cell>
          <cell r="C780" t="str">
            <v>Knapp; Carl William</v>
          </cell>
          <cell r="D780" t="str">
            <v>1</v>
          </cell>
          <cell r="E780" t="str">
            <v>IBEWOUT</v>
          </cell>
          <cell r="F780" t="str">
            <v>1245</v>
          </cell>
          <cell r="G780" t="str">
            <v>16</v>
          </cell>
          <cell r="H780">
            <v>0</v>
          </cell>
        </row>
        <row r="781">
          <cell r="B781">
            <v>6152</v>
          </cell>
          <cell r="C781" t="str">
            <v>Knifong; Joseph A</v>
          </cell>
          <cell r="D781" t="str">
            <v>1C</v>
          </cell>
          <cell r="E781" t="str">
            <v>IBEWOUT</v>
          </cell>
          <cell r="F781" t="str">
            <v>77</v>
          </cell>
          <cell r="G781" t="str">
            <v>8</v>
          </cell>
          <cell r="H781">
            <v>0</v>
          </cell>
        </row>
        <row r="782">
          <cell r="B782">
            <v>6155</v>
          </cell>
          <cell r="C782" t="str">
            <v>Knoll; Thomas E</v>
          </cell>
          <cell r="D782" t="str">
            <v>1C</v>
          </cell>
          <cell r="E782" t="str">
            <v>IBEWOUT</v>
          </cell>
          <cell r="F782" t="str">
            <v>77</v>
          </cell>
          <cell r="G782" t="str">
            <v>8</v>
          </cell>
          <cell r="H782">
            <v>0</v>
          </cell>
        </row>
        <row r="783">
          <cell r="B783">
            <v>6157</v>
          </cell>
          <cell r="C783" t="str">
            <v>Knight; Garrett W</v>
          </cell>
          <cell r="D783" t="str">
            <v>1</v>
          </cell>
          <cell r="E783" t="str">
            <v>IBEWOUT</v>
          </cell>
          <cell r="F783" t="str">
            <v>125</v>
          </cell>
          <cell r="G783" t="str">
            <v>14</v>
          </cell>
          <cell r="H783">
            <v>0</v>
          </cell>
        </row>
        <row r="784">
          <cell r="B784">
            <v>6158</v>
          </cell>
          <cell r="C784" t="str">
            <v>Knowland; Brandon S</v>
          </cell>
          <cell r="D784" t="str">
            <v>1</v>
          </cell>
          <cell r="E784" t="str">
            <v>IBEWOUT</v>
          </cell>
          <cell r="F784" t="str">
            <v>125</v>
          </cell>
          <cell r="G784" t="str">
            <v>11</v>
          </cell>
          <cell r="H784">
            <v>0</v>
          </cell>
        </row>
        <row r="785">
          <cell r="B785">
            <v>6159</v>
          </cell>
          <cell r="C785" t="str">
            <v>Kohtz; Kyle G</v>
          </cell>
          <cell r="D785" t="str">
            <v>1C</v>
          </cell>
          <cell r="E785" t="str">
            <v>IBEWOUT</v>
          </cell>
          <cell r="F785" t="str">
            <v>47</v>
          </cell>
          <cell r="G785" t="str">
            <v>8</v>
          </cell>
          <cell r="H785">
            <v>0</v>
          </cell>
        </row>
        <row r="786">
          <cell r="B786">
            <v>6165</v>
          </cell>
          <cell r="C786" t="str">
            <v>Kolvek; Michael A</v>
          </cell>
          <cell r="D786" t="str">
            <v>1C</v>
          </cell>
          <cell r="E786" t="str">
            <v>IBEWOUT</v>
          </cell>
          <cell r="F786" t="str">
            <v>126</v>
          </cell>
          <cell r="G786" t="str">
            <v>8</v>
          </cell>
          <cell r="H786">
            <v>0</v>
          </cell>
        </row>
        <row r="787">
          <cell r="B787">
            <v>6170</v>
          </cell>
          <cell r="C787" t="str">
            <v>Koehn; Jacob A</v>
          </cell>
          <cell r="D787" t="str">
            <v>1C</v>
          </cell>
          <cell r="E787" t="str">
            <v>IBEWOUT</v>
          </cell>
          <cell r="F787" t="str">
            <v>47</v>
          </cell>
          <cell r="G787" t="str">
            <v>8</v>
          </cell>
          <cell r="H787">
            <v>0</v>
          </cell>
        </row>
        <row r="788">
          <cell r="B788">
            <v>6186</v>
          </cell>
          <cell r="C788" t="str">
            <v>Kuch; Daniel Christopher</v>
          </cell>
          <cell r="D788" t="str">
            <v>1</v>
          </cell>
          <cell r="E788" t="str">
            <v>IBEWOUT</v>
          </cell>
          <cell r="F788" t="str">
            <v>77</v>
          </cell>
          <cell r="G788" t="str">
            <v>8</v>
          </cell>
          <cell r="H788">
            <v>0</v>
          </cell>
        </row>
        <row r="789">
          <cell r="B789">
            <v>6192</v>
          </cell>
          <cell r="C789" t="str">
            <v>Kramer; David W</v>
          </cell>
          <cell r="D789" t="str">
            <v>1C</v>
          </cell>
          <cell r="E789" t="str">
            <v>IBEWOUT</v>
          </cell>
          <cell r="F789" t="str">
            <v>1245</v>
          </cell>
          <cell r="G789" t="str">
            <v>8</v>
          </cell>
          <cell r="H789">
            <v>0</v>
          </cell>
        </row>
        <row r="790">
          <cell r="B790">
            <v>6194</v>
          </cell>
          <cell r="C790" t="str">
            <v>Kruger; Matthew J</v>
          </cell>
          <cell r="D790" t="str">
            <v>1C</v>
          </cell>
          <cell r="E790" t="str">
            <v>IBEWOUT</v>
          </cell>
          <cell r="F790" t="str">
            <v>160</v>
          </cell>
          <cell r="G790" t="str">
            <v>8</v>
          </cell>
          <cell r="H790">
            <v>0</v>
          </cell>
        </row>
        <row r="791">
          <cell r="B791">
            <v>6196</v>
          </cell>
          <cell r="C791" t="str">
            <v>Kokel; Joel R</v>
          </cell>
          <cell r="D791" t="str">
            <v>1C</v>
          </cell>
          <cell r="E791" t="str">
            <v/>
          </cell>
          <cell r="F791" t="str">
            <v/>
          </cell>
          <cell r="G791" t="str">
            <v/>
          </cell>
          <cell r="H791">
            <v>0</v>
          </cell>
        </row>
        <row r="792">
          <cell r="B792">
            <v>6200</v>
          </cell>
          <cell r="C792" t="str">
            <v>Kumi; Richard A</v>
          </cell>
          <cell r="D792" t="str">
            <v>1C</v>
          </cell>
          <cell r="E792" t="str">
            <v>IBEWOUT</v>
          </cell>
          <cell r="F792" t="str">
            <v>1245</v>
          </cell>
          <cell r="G792" t="str">
            <v>8</v>
          </cell>
          <cell r="H792">
            <v>0</v>
          </cell>
        </row>
        <row r="793">
          <cell r="B793">
            <v>6202</v>
          </cell>
          <cell r="C793" t="str">
            <v>Kokrine; Sage D</v>
          </cell>
          <cell r="D793" t="str">
            <v>1C</v>
          </cell>
          <cell r="E793" t="str">
            <v>IBEWOUT</v>
          </cell>
          <cell r="F793" t="str">
            <v>125</v>
          </cell>
          <cell r="G793" t="str">
            <v>8</v>
          </cell>
          <cell r="H793">
            <v>0</v>
          </cell>
        </row>
        <row r="794">
          <cell r="B794">
            <v>6203</v>
          </cell>
          <cell r="C794" t="str">
            <v>Konchar; Nicholas A.</v>
          </cell>
          <cell r="D794" t="str">
            <v>1C</v>
          </cell>
          <cell r="E794" t="str">
            <v>IBEWOUT</v>
          </cell>
          <cell r="F794" t="str">
            <v>1245</v>
          </cell>
          <cell r="G794" t="str">
            <v>8</v>
          </cell>
          <cell r="H794">
            <v>0</v>
          </cell>
        </row>
        <row r="795">
          <cell r="B795">
            <v>6205</v>
          </cell>
          <cell r="C795" t="str">
            <v>Korpi; Matthew A.</v>
          </cell>
          <cell r="D795" t="str">
            <v>1C</v>
          </cell>
          <cell r="E795" t="str">
            <v>IBEWOUT</v>
          </cell>
          <cell r="F795" t="str">
            <v>1245</v>
          </cell>
          <cell r="G795" t="str">
            <v>8</v>
          </cell>
          <cell r="H795">
            <v>0</v>
          </cell>
        </row>
        <row r="796">
          <cell r="B796">
            <v>6206</v>
          </cell>
          <cell r="C796" t="str">
            <v>Konopaski; Kevin</v>
          </cell>
          <cell r="D796" t="str">
            <v>1C</v>
          </cell>
          <cell r="E796" t="str">
            <v>IBEWOUT</v>
          </cell>
          <cell r="F796" t="str">
            <v>77</v>
          </cell>
          <cell r="G796" t="str">
            <v>9</v>
          </cell>
          <cell r="H796">
            <v>0</v>
          </cell>
        </row>
        <row r="797">
          <cell r="B797">
            <v>6207</v>
          </cell>
          <cell r="C797" t="str">
            <v>Kraft; Jerry L.</v>
          </cell>
          <cell r="D797" t="str">
            <v>1C</v>
          </cell>
          <cell r="E797" t="str">
            <v/>
          </cell>
          <cell r="F797" t="str">
            <v/>
          </cell>
          <cell r="G797" t="str">
            <v/>
          </cell>
          <cell r="H797">
            <v>0</v>
          </cell>
        </row>
        <row r="798">
          <cell r="B798">
            <v>6209</v>
          </cell>
          <cell r="C798" t="str">
            <v>Krassa; Keith W.</v>
          </cell>
          <cell r="D798" t="str">
            <v>1</v>
          </cell>
          <cell r="E798" t="str">
            <v>IBEWOUT</v>
          </cell>
          <cell r="F798" t="str">
            <v>769</v>
          </cell>
          <cell r="G798" t="str">
            <v>16</v>
          </cell>
          <cell r="H798">
            <v>0</v>
          </cell>
        </row>
        <row r="799">
          <cell r="B799">
            <v>6210</v>
          </cell>
          <cell r="C799" t="str">
            <v>Kranzusch; Ray F</v>
          </cell>
          <cell r="D799" t="str">
            <v>1</v>
          </cell>
          <cell r="E799" t="str">
            <v>IBEWOUT</v>
          </cell>
          <cell r="F799" t="str">
            <v>1245</v>
          </cell>
          <cell r="G799" t="str">
            <v>7</v>
          </cell>
          <cell r="H799">
            <v>0</v>
          </cell>
        </row>
        <row r="800">
          <cell r="B800">
            <v>6211</v>
          </cell>
          <cell r="C800" t="str">
            <v>Konkright; Kyle E</v>
          </cell>
          <cell r="D800" t="str">
            <v>1C</v>
          </cell>
          <cell r="E800" t="str">
            <v>IBEWOUT</v>
          </cell>
          <cell r="F800" t="str">
            <v>77</v>
          </cell>
          <cell r="G800" t="str">
            <v>8</v>
          </cell>
          <cell r="H800">
            <v>0</v>
          </cell>
        </row>
        <row r="801">
          <cell r="B801">
            <v>6213</v>
          </cell>
          <cell r="C801" t="str">
            <v>Klinger; Timothy J.</v>
          </cell>
          <cell r="D801" t="str">
            <v>1C</v>
          </cell>
          <cell r="E801" t="str">
            <v>IBEWOUT</v>
          </cell>
          <cell r="F801" t="str">
            <v>396</v>
          </cell>
          <cell r="G801" t="str">
            <v>18</v>
          </cell>
          <cell r="H801">
            <v>0</v>
          </cell>
        </row>
        <row r="802">
          <cell r="B802">
            <v>6214</v>
          </cell>
          <cell r="C802" t="str">
            <v>Kingsbury; Andrew J.</v>
          </cell>
          <cell r="D802" t="str">
            <v>1C</v>
          </cell>
          <cell r="E802" t="str">
            <v>IBEWOUT</v>
          </cell>
          <cell r="F802" t="str">
            <v>1319</v>
          </cell>
          <cell r="G802" t="str">
            <v>8</v>
          </cell>
          <cell r="H802">
            <v>0</v>
          </cell>
        </row>
        <row r="803">
          <cell r="B803">
            <v>6215</v>
          </cell>
          <cell r="C803" t="str">
            <v>Kwake; Stanley J.</v>
          </cell>
          <cell r="D803" t="str">
            <v>1C</v>
          </cell>
          <cell r="E803" t="str">
            <v/>
          </cell>
          <cell r="F803" t="str">
            <v/>
          </cell>
          <cell r="G803" t="str">
            <v/>
          </cell>
          <cell r="H803">
            <v>0</v>
          </cell>
        </row>
        <row r="804">
          <cell r="B804">
            <v>6217</v>
          </cell>
          <cell r="C804" t="str">
            <v>Kravchenko; Illya</v>
          </cell>
          <cell r="D804" t="str">
            <v>1C</v>
          </cell>
          <cell r="E804" t="str">
            <v>IBEWOUT</v>
          </cell>
          <cell r="F804" t="str">
            <v>77</v>
          </cell>
          <cell r="G804" t="str">
            <v>13</v>
          </cell>
          <cell r="H804">
            <v>0</v>
          </cell>
        </row>
        <row r="805">
          <cell r="B805">
            <v>6218</v>
          </cell>
          <cell r="C805" t="str">
            <v>Koretz; Samuel J</v>
          </cell>
          <cell r="D805" t="str">
            <v>1C</v>
          </cell>
          <cell r="E805" t="str">
            <v>IBEWOUT</v>
          </cell>
          <cell r="F805" t="str">
            <v>396</v>
          </cell>
          <cell r="G805" t="str">
            <v>33</v>
          </cell>
          <cell r="H805">
            <v>0</v>
          </cell>
        </row>
        <row r="806">
          <cell r="B806">
            <v>6219</v>
          </cell>
          <cell r="C806" t="str">
            <v>Kwiatkowski; Patrick J</v>
          </cell>
          <cell r="D806" t="str">
            <v>1C</v>
          </cell>
          <cell r="E806" t="str">
            <v>IBEWOUT</v>
          </cell>
          <cell r="F806" t="str">
            <v>1319</v>
          </cell>
          <cell r="G806" t="str">
            <v>20</v>
          </cell>
          <cell r="H806">
            <v>0</v>
          </cell>
        </row>
        <row r="807">
          <cell r="B807">
            <v>6220</v>
          </cell>
          <cell r="C807" t="str">
            <v>Koutnik; Ryan L.</v>
          </cell>
          <cell r="D807" t="str">
            <v>1C</v>
          </cell>
          <cell r="E807" t="str">
            <v>IBEWOUT</v>
          </cell>
          <cell r="F807" t="str">
            <v>125</v>
          </cell>
          <cell r="G807" t="str">
            <v>8</v>
          </cell>
          <cell r="H807">
            <v>0</v>
          </cell>
        </row>
        <row r="808">
          <cell r="B808">
            <v>6221</v>
          </cell>
          <cell r="C808" t="str">
            <v>Kwaad; Kyle R</v>
          </cell>
          <cell r="D808" t="str">
            <v>1C</v>
          </cell>
          <cell r="E808" t="str">
            <v>IBEWOUT</v>
          </cell>
          <cell r="F808" t="str">
            <v>769</v>
          </cell>
          <cell r="G808" t="str">
            <v>13</v>
          </cell>
          <cell r="H808">
            <v>0</v>
          </cell>
        </row>
        <row r="809">
          <cell r="B809">
            <v>6222</v>
          </cell>
          <cell r="C809" t="str">
            <v>Kimball; Frank H.</v>
          </cell>
          <cell r="D809" t="str">
            <v>1C</v>
          </cell>
          <cell r="E809" t="str">
            <v>IBEWOUT</v>
          </cell>
          <cell r="F809" t="str">
            <v>396</v>
          </cell>
          <cell r="G809" t="str">
            <v>21</v>
          </cell>
          <cell r="H809">
            <v>0</v>
          </cell>
        </row>
        <row r="810">
          <cell r="B810">
            <v>6224</v>
          </cell>
          <cell r="C810" t="str">
            <v>Kress; Paul M</v>
          </cell>
          <cell r="D810" t="str">
            <v>1C</v>
          </cell>
          <cell r="E810" t="str">
            <v>IBEWOUT</v>
          </cell>
          <cell r="F810" t="str">
            <v>611</v>
          </cell>
          <cell r="G810" t="str">
            <v>20</v>
          </cell>
          <cell r="H810">
            <v>0</v>
          </cell>
        </row>
        <row r="811">
          <cell r="B811">
            <v>6225</v>
          </cell>
          <cell r="C811" t="str">
            <v>Kuniski; Roger L</v>
          </cell>
          <cell r="D811" t="str">
            <v>1C</v>
          </cell>
          <cell r="E811" t="str">
            <v>IBEWOUT</v>
          </cell>
          <cell r="F811" t="str">
            <v>1245</v>
          </cell>
          <cell r="G811" t="str">
            <v>8</v>
          </cell>
          <cell r="H811">
            <v>0</v>
          </cell>
        </row>
        <row r="812">
          <cell r="B812">
            <v>6227</v>
          </cell>
          <cell r="C812" t="str">
            <v>Kovacs; Zolton I</v>
          </cell>
          <cell r="D812" t="str">
            <v>1C</v>
          </cell>
          <cell r="E812" t="str">
            <v>IBEWOUT</v>
          </cell>
          <cell r="F812" t="str">
            <v>47</v>
          </cell>
          <cell r="G812" t="str">
            <v>17</v>
          </cell>
          <cell r="H812">
            <v>0</v>
          </cell>
        </row>
        <row r="813">
          <cell r="B813">
            <v>6229</v>
          </cell>
          <cell r="C813" t="str">
            <v>Labbe; Jaime H</v>
          </cell>
          <cell r="D813" t="str">
            <v>1</v>
          </cell>
          <cell r="E813" t="str">
            <v>IBEWOUT</v>
          </cell>
          <cell r="F813" t="str">
            <v>769</v>
          </cell>
          <cell r="G813" t="str">
            <v>8</v>
          </cell>
          <cell r="H813">
            <v>0</v>
          </cell>
        </row>
        <row r="814">
          <cell r="B814">
            <v>6230</v>
          </cell>
          <cell r="C814" t="str">
            <v>Kingsbury; Craig W</v>
          </cell>
          <cell r="D814" t="str">
            <v>1</v>
          </cell>
          <cell r="E814" t="str">
            <v>IBEWOUT</v>
          </cell>
          <cell r="F814" t="str">
            <v>77</v>
          </cell>
          <cell r="G814" t="str">
            <v>10</v>
          </cell>
          <cell r="H814">
            <v>0</v>
          </cell>
        </row>
        <row r="815">
          <cell r="B815">
            <v>6232</v>
          </cell>
          <cell r="C815" t="str">
            <v>Koleszar; Dakota R</v>
          </cell>
          <cell r="D815" t="str">
            <v>1</v>
          </cell>
          <cell r="E815" t="str">
            <v>IBEWOUT</v>
          </cell>
          <cell r="F815" t="str">
            <v>70</v>
          </cell>
          <cell r="G815" t="str">
            <v>17</v>
          </cell>
          <cell r="H815">
            <v>0</v>
          </cell>
        </row>
        <row r="816">
          <cell r="B816">
            <v>6234</v>
          </cell>
          <cell r="C816" t="str">
            <v>Kuykendall; Colton R</v>
          </cell>
          <cell r="D816" t="str">
            <v>1</v>
          </cell>
          <cell r="E816" t="str">
            <v>IBEWOUT</v>
          </cell>
          <cell r="F816" t="str">
            <v>77</v>
          </cell>
          <cell r="G816" t="str">
            <v>8</v>
          </cell>
          <cell r="H816">
            <v>0</v>
          </cell>
        </row>
        <row r="817">
          <cell r="B817">
            <v>6235</v>
          </cell>
          <cell r="C817" t="str">
            <v>Lachcik; Shaun M</v>
          </cell>
          <cell r="D817" t="str">
            <v>1C</v>
          </cell>
          <cell r="E817" t="str">
            <v>IBEWOUT</v>
          </cell>
          <cell r="F817" t="str">
            <v>769</v>
          </cell>
          <cell r="G817" t="str">
            <v>8</v>
          </cell>
          <cell r="H817">
            <v>0</v>
          </cell>
        </row>
        <row r="818">
          <cell r="B818">
            <v>6236</v>
          </cell>
          <cell r="C818" t="str">
            <v>Lay Jr; Richard D</v>
          </cell>
          <cell r="D818" t="str">
            <v>1C</v>
          </cell>
          <cell r="E818" t="str">
            <v>IBEWIN</v>
          </cell>
          <cell r="F818" t="str">
            <v>280</v>
          </cell>
          <cell r="G818" t="str">
            <v>61</v>
          </cell>
          <cell r="H818">
            <v>0</v>
          </cell>
        </row>
        <row r="819">
          <cell r="B819">
            <v>6238</v>
          </cell>
          <cell r="C819" t="str">
            <v>La Fuente; Timothy</v>
          </cell>
          <cell r="D819" t="str">
            <v>1C</v>
          </cell>
          <cell r="E819" t="str">
            <v>IBEWOUT</v>
          </cell>
          <cell r="F819" t="str">
            <v>1245</v>
          </cell>
          <cell r="G819" t="str">
            <v>8</v>
          </cell>
          <cell r="H819">
            <v>0</v>
          </cell>
        </row>
        <row r="820">
          <cell r="B820">
            <v>6239</v>
          </cell>
          <cell r="C820" t="str">
            <v>Lacy; Russell J.</v>
          </cell>
          <cell r="D820" t="str">
            <v>1</v>
          </cell>
          <cell r="E820" t="str">
            <v>IBEWOUT</v>
          </cell>
          <cell r="F820" t="str">
            <v>611</v>
          </cell>
          <cell r="G820" t="str">
            <v>1</v>
          </cell>
          <cell r="H820">
            <v>0</v>
          </cell>
        </row>
        <row r="821">
          <cell r="B821">
            <v>6240</v>
          </cell>
          <cell r="C821" t="str">
            <v>Lazaron; Kyle M</v>
          </cell>
          <cell r="D821" t="str">
            <v>1C</v>
          </cell>
          <cell r="E821" t="str">
            <v>IBEWOUT</v>
          </cell>
          <cell r="F821" t="str">
            <v>104</v>
          </cell>
          <cell r="G821" t="str">
            <v>8</v>
          </cell>
          <cell r="H821">
            <v>0</v>
          </cell>
        </row>
        <row r="822">
          <cell r="B822">
            <v>6241</v>
          </cell>
          <cell r="C822" t="str">
            <v>Ladd; Gordon R.</v>
          </cell>
          <cell r="D822" t="str">
            <v>1</v>
          </cell>
          <cell r="E822" t="str">
            <v/>
          </cell>
          <cell r="F822" t="str">
            <v/>
          </cell>
          <cell r="G822" t="str">
            <v/>
          </cell>
          <cell r="H822">
            <v>0</v>
          </cell>
        </row>
        <row r="823">
          <cell r="B823">
            <v>6242</v>
          </cell>
          <cell r="C823" t="str">
            <v>LaJocies; William C</v>
          </cell>
          <cell r="D823" t="str">
            <v>1</v>
          </cell>
          <cell r="E823" t="str">
            <v>IBEWOUT</v>
          </cell>
          <cell r="F823" t="str">
            <v>1245</v>
          </cell>
          <cell r="G823" t="str">
            <v>10</v>
          </cell>
          <cell r="H823">
            <v>0</v>
          </cell>
        </row>
        <row r="824">
          <cell r="B824">
            <v>6257</v>
          </cell>
          <cell r="C824" t="str">
            <v>Landers; Jacie A</v>
          </cell>
          <cell r="D824" t="str">
            <v>1C</v>
          </cell>
          <cell r="E824" t="str">
            <v/>
          </cell>
          <cell r="F824" t="str">
            <v/>
          </cell>
          <cell r="G824" t="str">
            <v/>
          </cell>
          <cell r="H824">
            <v>0</v>
          </cell>
        </row>
        <row r="825">
          <cell r="B825">
            <v>6270</v>
          </cell>
          <cell r="C825" t="str">
            <v>Landon; Lance A</v>
          </cell>
          <cell r="D825" t="str">
            <v>1C</v>
          </cell>
          <cell r="E825" t="str">
            <v>IBEWOUT</v>
          </cell>
          <cell r="F825" t="str">
            <v>1245</v>
          </cell>
          <cell r="G825" t="str">
            <v>8</v>
          </cell>
          <cell r="H825">
            <v>0</v>
          </cell>
        </row>
        <row r="826">
          <cell r="B826">
            <v>6273</v>
          </cell>
          <cell r="C826" t="str">
            <v>Langston Jr.; James Keith</v>
          </cell>
          <cell r="D826" t="str">
            <v>1</v>
          </cell>
          <cell r="E826" t="str">
            <v>IBEWOUT</v>
          </cell>
          <cell r="F826" t="str">
            <v>769</v>
          </cell>
          <cell r="G826" t="str">
            <v>21</v>
          </cell>
          <cell r="H826">
            <v>0</v>
          </cell>
        </row>
        <row r="827">
          <cell r="B827">
            <v>6274</v>
          </cell>
          <cell r="C827" t="str">
            <v>Lange; Anthony R.</v>
          </cell>
          <cell r="D827" t="str">
            <v>1C</v>
          </cell>
          <cell r="E827" t="str">
            <v>IBEWOUT</v>
          </cell>
          <cell r="F827" t="str">
            <v>160</v>
          </cell>
          <cell r="G827" t="str">
            <v>8</v>
          </cell>
          <cell r="H827">
            <v>0</v>
          </cell>
        </row>
        <row r="828">
          <cell r="B828">
            <v>6280</v>
          </cell>
          <cell r="C828" t="str">
            <v>Lappe; Cory J</v>
          </cell>
          <cell r="D828" t="str">
            <v>1</v>
          </cell>
          <cell r="E828" t="str">
            <v>IBEWOUT</v>
          </cell>
          <cell r="F828" t="str">
            <v>47</v>
          </cell>
          <cell r="G828" t="str">
            <v>16</v>
          </cell>
          <cell r="H828">
            <v>0</v>
          </cell>
        </row>
        <row r="829">
          <cell r="B829">
            <v>6281</v>
          </cell>
          <cell r="C829" t="str">
            <v>Lamb; Robert C</v>
          </cell>
          <cell r="D829" t="str">
            <v>1C</v>
          </cell>
          <cell r="E829" t="str">
            <v>IBEWOUT</v>
          </cell>
          <cell r="F829" t="str">
            <v>1245</v>
          </cell>
          <cell r="G829" t="str">
            <v>8</v>
          </cell>
          <cell r="H829">
            <v>0</v>
          </cell>
        </row>
        <row r="830">
          <cell r="B830">
            <v>6284</v>
          </cell>
          <cell r="C830" t="str">
            <v>Lantau; Kenneth A.</v>
          </cell>
          <cell r="D830" t="str">
            <v>1C</v>
          </cell>
          <cell r="E830" t="str">
            <v>IBEWOUT</v>
          </cell>
          <cell r="F830" t="str">
            <v>77</v>
          </cell>
          <cell r="G830" t="str">
            <v>7</v>
          </cell>
          <cell r="H830">
            <v>0</v>
          </cell>
        </row>
        <row r="831">
          <cell r="B831">
            <v>6294</v>
          </cell>
          <cell r="C831" t="str">
            <v>LaRock; Aaron M</v>
          </cell>
          <cell r="D831" t="str">
            <v>1C</v>
          </cell>
          <cell r="E831" t="str">
            <v>IBEWOUT</v>
          </cell>
          <cell r="F831" t="str">
            <v>1319</v>
          </cell>
          <cell r="G831" t="str">
            <v>8</v>
          </cell>
          <cell r="H831">
            <v>0</v>
          </cell>
        </row>
        <row r="832">
          <cell r="B832">
            <v>6295</v>
          </cell>
          <cell r="C832" t="str">
            <v>Larkin; William B.</v>
          </cell>
          <cell r="D832" t="str">
            <v>1</v>
          </cell>
          <cell r="E832" t="str">
            <v>IBEWOUT</v>
          </cell>
          <cell r="F832" t="str">
            <v>77</v>
          </cell>
          <cell r="G832" t="str">
            <v>7</v>
          </cell>
          <cell r="H832">
            <v>0</v>
          </cell>
        </row>
        <row r="833">
          <cell r="B833">
            <v>6296</v>
          </cell>
          <cell r="C833" t="str">
            <v>Larson; Blaze A</v>
          </cell>
          <cell r="D833" t="str">
            <v>1C</v>
          </cell>
          <cell r="E833" t="str">
            <v>IBEWOUT</v>
          </cell>
          <cell r="F833" t="str">
            <v>125</v>
          </cell>
          <cell r="G833" t="str">
            <v>12</v>
          </cell>
          <cell r="H833">
            <v>0</v>
          </cell>
        </row>
        <row r="834">
          <cell r="B834">
            <v>6297</v>
          </cell>
          <cell r="C834" t="str">
            <v>Larsen; Devin Brett</v>
          </cell>
          <cell r="D834" t="str">
            <v>1</v>
          </cell>
          <cell r="E834" t="str">
            <v>IBEWOUT</v>
          </cell>
          <cell r="F834" t="str">
            <v>125</v>
          </cell>
          <cell r="G834" t="str">
            <v>7</v>
          </cell>
          <cell r="H834">
            <v>0</v>
          </cell>
        </row>
        <row r="835">
          <cell r="B835">
            <v>6298</v>
          </cell>
          <cell r="C835" t="str">
            <v>Larsen; Jason P.</v>
          </cell>
          <cell r="D835" t="str">
            <v>1C</v>
          </cell>
          <cell r="E835" t="str">
            <v>IBEWOUT</v>
          </cell>
          <cell r="F835" t="str">
            <v>77</v>
          </cell>
          <cell r="G835" t="str">
            <v>8</v>
          </cell>
          <cell r="H835">
            <v>0</v>
          </cell>
        </row>
        <row r="836">
          <cell r="B836">
            <v>6300</v>
          </cell>
          <cell r="C836" t="str">
            <v>McCaul-Larson; Tyler L</v>
          </cell>
          <cell r="D836" t="str">
            <v>1C</v>
          </cell>
          <cell r="E836" t="str">
            <v>IBEWOUT</v>
          </cell>
          <cell r="F836" t="str">
            <v>1245</v>
          </cell>
          <cell r="G836" t="str">
            <v>8</v>
          </cell>
          <cell r="H836">
            <v>0</v>
          </cell>
        </row>
        <row r="837">
          <cell r="B837">
            <v>6314</v>
          </cell>
          <cell r="C837" t="str">
            <v>Laskowsky; Mark A</v>
          </cell>
          <cell r="D837" t="str">
            <v>1C</v>
          </cell>
          <cell r="E837" t="str">
            <v>IBEWOUT</v>
          </cell>
          <cell r="F837" t="str">
            <v>126</v>
          </cell>
          <cell r="G837" t="str">
            <v>8</v>
          </cell>
          <cell r="H837">
            <v>0</v>
          </cell>
        </row>
        <row r="838">
          <cell r="B838">
            <v>6317</v>
          </cell>
          <cell r="C838" t="str">
            <v>Lauer; Mason S</v>
          </cell>
          <cell r="D838" t="str">
            <v>1</v>
          </cell>
          <cell r="E838" t="str">
            <v/>
          </cell>
          <cell r="F838" t="str">
            <v/>
          </cell>
          <cell r="G838" t="str">
            <v/>
          </cell>
          <cell r="H838">
            <v>0</v>
          </cell>
        </row>
        <row r="839">
          <cell r="B839">
            <v>6321</v>
          </cell>
          <cell r="C839" t="str">
            <v>Lavin; Jared M</v>
          </cell>
          <cell r="D839" t="str">
            <v>1</v>
          </cell>
          <cell r="E839" t="str">
            <v>IBEWOUT</v>
          </cell>
          <cell r="F839" t="str">
            <v>77</v>
          </cell>
          <cell r="G839" t="str">
            <v>9</v>
          </cell>
          <cell r="H839">
            <v>0</v>
          </cell>
        </row>
        <row r="840">
          <cell r="B840">
            <v>6322</v>
          </cell>
          <cell r="C840" t="str">
            <v>Lecompte; Patrick M</v>
          </cell>
          <cell r="D840" t="str">
            <v>1C</v>
          </cell>
          <cell r="E840" t="str">
            <v>IBEWOUT</v>
          </cell>
          <cell r="F840" t="str">
            <v>1245</v>
          </cell>
          <cell r="G840" t="str">
            <v>8</v>
          </cell>
          <cell r="H840">
            <v>0</v>
          </cell>
        </row>
        <row r="841">
          <cell r="B841">
            <v>6323</v>
          </cell>
          <cell r="C841" t="str">
            <v>Lawson; Aaron M</v>
          </cell>
          <cell r="D841" t="str">
            <v>1</v>
          </cell>
          <cell r="E841" t="str">
            <v>IBEWOUT</v>
          </cell>
          <cell r="F841" t="str">
            <v>1245</v>
          </cell>
          <cell r="G841" t="str">
            <v>8</v>
          </cell>
          <cell r="H841">
            <v>0</v>
          </cell>
        </row>
        <row r="842">
          <cell r="B842">
            <v>6329</v>
          </cell>
          <cell r="C842" t="str">
            <v>Lee; Laurence Cooper</v>
          </cell>
          <cell r="D842" t="str">
            <v>1</v>
          </cell>
          <cell r="E842" t="str">
            <v>IBEWOUT</v>
          </cell>
          <cell r="F842" t="str">
            <v>77</v>
          </cell>
          <cell r="G842" t="str">
            <v>8</v>
          </cell>
          <cell r="H842">
            <v>0</v>
          </cell>
        </row>
        <row r="843">
          <cell r="B843">
            <v>6341</v>
          </cell>
          <cell r="C843" t="str">
            <v>Lee; David</v>
          </cell>
          <cell r="D843" t="str">
            <v>1C</v>
          </cell>
          <cell r="E843" t="str">
            <v>IBEWOUT</v>
          </cell>
          <cell r="F843" t="str">
            <v>1245</v>
          </cell>
          <cell r="G843" t="str">
            <v>60</v>
          </cell>
          <cell r="H843">
            <v>0</v>
          </cell>
        </row>
        <row r="844">
          <cell r="B844">
            <v>6471</v>
          </cell>
          <cell r="C844" t="str">
            <v>Leahy; Benjamin C</v>
          </cell>
          <cell r="D844" t="str">
            <v>1</v>
          </cell>
          <cell r="E844" t="str">
            <v>IBEWOUT</v>
          </cell>
          <cell r="F844" t="str">
            <v>77</v>
          </cell>
          <cell r="G844" t="str">
            <v>10</v>
          </cell>
          <cell r="H844">
            <v>0</v>
          </cell>
        </row>
        <row r="845">
          <cell r="B845">
            <v>6474</v>
          </cell>
          <cell r="C845" t="str">
            <v>LeCaire; Nicholas V.</v>
          </cell>
          <cell r="D845" t="str">
            <v>1</v>
          </cell>
          <cell r="E845" t="str">
            <v>IBEWOUT</v>
          </cell>
          <cell r="F845" t="str">
            <v>1245</v>
          </cell>
          <cell r="G845" t="str">
            <v>7</v>
          </cell>
          <cell r="H845">
            <v>0</v>
          </cell>
        </row>
        <row r="846">
          <cell r="B846">
            <v>6476</v>
          </cell>
          <cell r="C846" t="str">
            <v>Leon Ramirez; Jose</v>
          </cell>
          <cell r="D846" t="str">
            <v>1C</v>
          </cell>
          <cell r="E846" t="str">
            <v>IBEWOUT</v>
          </cell>
          <cell r="F846" t="str">
            <v>47</v>
          </cell>
          <cell r="G846" t="str">
            <v>7</v>
          </cell>
          <cell r="H846">
            <v>0</v>
          </cell>
        </row>
        <row r="847">
          <cell r="B847">
            <v>6479</v>
          </cell>
          <cell r="C847" t="str">
            <v>Leiv; Kendell Jonathan</v>
          </cell>
          <cell r="D847" t="str">
            <v>1C</v>
          </cell>
          <cell r="E847" t="str">
            <v/>
          </cell>
          <cell r="F847" t="str">
            <v/>
          </cell>
          <cell r="G847" t="str">
            <v/>
          </cell>
          <cell r="H847">
            <v>0</v>
          </cell>
        </row>
        <row r="848">
          <cell r="B848">
            <v>6480</v>
          </cell>
          <cell r="C848" t="str">
            <v>Leanos; Daniel G</v>
          </cell>
          <cell r="D848" t="str">
            <v>1C</v>
          </cell>
          <cell r="E848" t="str">
            <v>IBEWOUT</v>
          </cell>
          <cell r="F848" t="str">
            <v>47</v>
          </cell>
          <cell r="G848" t="str">
            <v>17</v>
          </cell>
          <cell r="H848">
            <v>0</v>
          </cell>
        </row>
        <row r="849">
          <cell r="B849">
            <v>6482</v>
          </cell>
          <cell r="C849" t="str">
            <v>Ledoux; Walter W</v>
          </cell>
          <cell r="D849" t="str">
            <v>1C</v>
          </cell>
          <cell r="E849" t="str">
            <v>IBEWOUT</v>
          </cell>
          <cell r="F849" t="str">
            <v>1245</v>
          </cell>
          <cell r="G849" t="str">
            <v>8</v>
          </cell>
          <cell r="H849">
            <v>0</v>
          </cell>
        </row>
        <row r="850">
          <cell r="B850">
            <v>6485</v>
          </cell>
          <cell r="C850" t="str">
            <v>Lege; Kevin J</v>
          </cell>
          <cell r="D850" t="str">
            <v>1C</v>
          </cell>
          <cell r="E850" t="str">
            <v>IBEWOUT</v>
          </cell>
          <cell r="F850" t="str">
            <v>1245</v>
          </cell>
          <cell r="G850" t="str">
            <v>8</v>
          </cell>
          <cell r="H850">
            <v>0</v>
          </cell>
        </row>
        <row r="851">
          <cell r="B851">
            <v>6487</v>
          </cell>
          <cell r="C851" t="str">
            <v>Lemus; Edward</v>
          </cell>
          <cell r="D851" t="str">
            <v>1C</v>
          </cell>
          <cell r="E851" t="str">
            <v>IBEWOUT</v>
          </cell>
          <cell r="F851" t="str">
            <v>47</v>
          </cell>
          <cell r="G851" t="str">
            <v>17</v>
          </cell>
          <cell r="H851">
            <v>0</v>
          </cell>
        </row>
        <row r="852">
          <cell r="B852">
            <v>6497</v>
          </cell>
          <cell r="C852" t="str">
            <v>Leineke; Theodore A.</v>
          </cell>
          <cell r="D852" t="str">
            <v>1</v>
          </cell>
          <cell r="E852" t="str">
            <v/>
          </cell>
          <cell r="F852" t="str">
            <v/>
          </cell>
          <cell r="G852" t="str">
            <v/>
          </cell>
          <cell r="H852">
            <v>0</v>
          </cell>
        </row>
        <row r="853">
          <cell r="B853">
            <v>6498</v>
          </cell>
          <cell r="C853" t="str">
            <v>Lenardo; Bradley J</v>
          </cell>
          <cell r="D853" t="str">
            <v>1C</v>
          </cell>
          <cell r="E853" t="str">
            <v>IBEWOUT</v>
          </cell>
          <cell r="F853" t="str">
            <v>1245</v>
          </cell>
          <cell r="G853" t="str">
            <v>8</v>
          </cell>
          <cell r="H853">
            <v>0</v>
          </cell>
        </row>
        <row r="854">
          <cell r="B854">
            <v>6499</v>
          </cell>
          <cell r="C854" t="str">
            <v>Lenoir Jr.; Leo M.</v>
          </cell>
          <cell r="D854" t="str">
            <v>1</v>
          </cell>
          <cell r="E854" t="str">
            <v>IBEWOUT</v>
          </cell>
          <cell r="F854" t="str">
            <v>47</v>
          </cell>
          <cell r="G854" t="str">
            <v>7</v>
          </cell>
          <cell r="H854">
            <v>0</v>
          </cell>
        </row>
        <row r="855">
          <cell r="B855">
            <v>6520</v>
          </cell>
          <cell r="C855" t="str">
            <v>Leuthner; Paul A</v>
          </cell>
          <cell r="D855" t="str">
            <v>1C</v>
          </cell>
          <cell r="E855" t="str">
            <v>IBEWOUT</v>
          </cell>
          <cell r="F855" t="str">
            <v>1319</v>
          </cell>
          <cell r="G855" t="str">
            <v>7</v>
          </cell>
          <cell r="H855">
            <v>0</v>
          </cell>
        </row>
        <row r="856">
          <cell r="B856">
            <v>6539</v>
          </cell>
          <cell r="C856" t="str">
            <v>Lewis; Slone E.</v>
          </cell>
          <cell r="D856" t="str">
            <v>1C</v>
          </cell>
          <cell r="E856" t="str">
            <v>IBEWOUT</v>
          </cell>
          <cell r="F856" t="str">
            <v>77</v>
          </cell>
          <cell r="G856" t="str">
            <v>12</v>
          </cell>
          <cell r="H856">
            <v>0</v>
          </cell>
        </row>
        <row r="857">
          <cell r="B857">
            <v>6541</v>
          </cell>
          <cell r="C857" t="str">
            <v>Lewis; Jacob L.</v>
          </cell>
          <cell r="D857" t="str">
            <v>1C</v>
          </cell>
          <cell r="E857" t="str">
            <v>IBEWOUT</v>
          </cell>
          <cell r="F857" t="str">
            <v>1245</v>
          </cell>
          <cell r="G857" t="str">
            <v>70T</v>
          </cell>
          <cell r="H857">
            <v>0</v>
          </cell>
        </row>
        <row r="858">
          <cell r="B858">
            <v>6559</v>
          </cell>
          <cell r="C858" t="str">
            <v>Liles; Jack V</v>
          </cell>
          <cell r="D858" t="str">
            <v>1C</v>
          </cell>
          <cell r="E858" t="str">
            <v/>
          </cell>
          <cell r="F858" t="str">
            <v/>
          </cell>
          <cell r="G858" t="str">
            <v/>
          </cell>
          <cell r="H858">
            <v>0</v>
          </cell>
        </row>
        <row r="859">
          <cell r="B859">
            <v>6560</v>
          </cell>
          <cell r="C859" t="str">
            <v>Lightfoot; Gregory W</v>
          </cell>
          <cell r="D859" t="str">
            <v>1C</v>
          </cell>
          <cell r="E859" t="str">
            <v>IBEWOUT</v>
          </cell>
          <cell r="F859" t="str">
            <v>77</v>
          </cell>
          <cell r="G859" t="str">
            <v>8</v>
          </cell>
          <cell r="H859">
            <v>0</v>
          </cell>
        </row>
        <row r="860">
          <cell r="B860">
            <v>6564</v>
          </cell>
          <cell r="C860" t="str">
            <v>Lieurance; Joshua T</v>
          </cell>
          <cell r="D860" t="str">
            <v>1C</v>
          </cell>
          <cell r="E860" t="str">
            <v/>
          </cell>
          <cell r="F860" t="str">
            <v/>
          </cell>
          <cell r="G860" t="str">
            <v/>
          </cell>
          <cell r="H860">
            <v>0</v>
          </cell>
        </row>
        <row r="861">
          <cell r="B861">
            <v>6576</v>
          </cell>
          <cell r="C861" t="str">
            <v>Lindsay; Cassidy L.</v>
          </cell>
          <cell r="D861" t="str">
            <v>1C</v>
          </cell>
          <cell r="E861" t="str">
            <v>IBEWOUT</v>
          </cell>
          <cell r="F861" t="str">
            <v>1245</v>
          </cell>
          <cell r="G861" t="str">
            <v>16</v>
          </cell>
          <cell r="H861">
            <v>0</v>
          </cell>
        </row>
        <row r="862">
          <cell r="B862">
            <v>6579</v>
          </cell>
          <cell r="C862" t="str">
            <v>Little; Jerry S</v>
          </cell>
          <cell r="D862" t="str">
            <v>1C</v>
          </cell>
          <cell r="E862" t="str">
            <v>IBEWOUT</v>
          </cell>
          <cell r="F862" t="str">
            <v>1245</v>
          </cell>
          <cell r="G862" t="str">
            <v>8</v>
          </cell>
          <cell r="H862">
            <v>0</v>
          </cell>
        </row>
        <row r="863">
          <cell r="B863">
            <v>6582</v>
          </cell>
          <cell r="C863" t="str">
            <v>Little; Richard K</v>
          </cell>
          <cell r="D863" t="str">
            <v>1C</v>
          </cell>
          <cell r="E863" t="str">
            <v>IBEWOUT</v>
          </cell>
          <cell r="F863" t="str">
            <v>47</v>
          </cell>
          <cell r="G863" t="str">
            <v>59</v>
          </cell>
          <cell r="H863">
            <v>0</v>
          </cell>
        </row>
        <row r="864">
          <cell r="B864">
            <v>6584</v>
          </cell>
          <cell r="C864" t="str">
            <v>Livingston; Christian D.</v>
          </cell>
          <cell r="D864" t="str">
            <v>1C</v>
          </cell>
          <cell r="E864" t="str">
            <v>IBEWOUT</v>
          </cell>
          <cell r="F864" t="str">
            <v>47</v>
          </cell>
          <cell r="G864" t="str">
            <v>17</v>
          </cell>
          <cell r="H864">
            <v>0</v>
          </cell>
        </row>
        <row r="865">
          <cell r="B865">
            <v>6585</v>
          </cell>
          <cell r="C865" t="str">
            <v>Lindley; Jeffrey S</v>
          </cell>
          <cell r="D865" t="str">
            <v>1C</v>
          </cell>
          <cell r="E865" t="str">
            <v>IBEWOUT</v>
          </cell>
          <cell r="F865" t="str">
            <v>47</v>
          </cell>
          <cell r="G865" t="str">
            <v>16</v>
          </cell>
          <cell r="H865">
            <v>0</v>
          </cell>
        </row>
        <row r="866">
          <cell r="B866">
            <v>6586</v>
          </cell>
          <cell r="C866" t="str">
            <v>Livengood; Justin N.</v>
          </cell>
          <cell r="D866" t="str">
            <v>1C</v>
          </cell>
          <cell r="E866" t="str">
            <v>IBEWOUT</v>
          </cell>
          <cell r="F866" t="str">
            <v>47</v>
          </cell>
          <cell r="G866" t="str">
            <v>60</v>
          </cell>
          <cell r="H866">
            <v>0</v>
          </cell>
        </row>
        <row r="867">
          <cell r="B867">
            <v>6591</v>
          </cell>
          <cell r="C867" t="str">
            <v>Lipka; Glen J</v>
          </cell>
          <cell r="D867" t="str">
            <v>1</v>
          </cell>
          <cell r="E867" t="str">
            <v>IBEWOUT</v>
          </cell>
          <cell r="F867" t="str">
            <v>125</v>
          </cell>
          <cell r="G867" t="str">
            <v>11</v>
          </cell>
          <cell r="H867">
            <v>0</v>
          </cell>
        </row>
        <row r="868">
          <cell r="B868">
            <v>6592</v>
          </cell>
          <cell r="C868" t="str">
            <v>Linton; Eric R</v>
          </cell>
          <cell r="D868" t="str">
            <v>1C</v>
          </cell>
          <cell r="E868" t="str">
            <v/>
          </cell>
          <cell r="F868" t="str">
            <v/>
          </cell>
          <cell r="G868" t="str">
            <v/>
          </cell>
          <cell r="H868">
            <v>0</v>
          </cell>
        </row>
        <row r="869">
          <cell r="B869">
            <v>6597</v>
          </cell>
          <cell r="C869" t="str">
            <v>LLamas; Oscar J.</v>
          </cell>
          <cell r="D869" t="str">
            <v>1C</v>
          </cell>
          <cell r="E869" t="str">
            <v>IBEWOUT</v>
          </cell>
          <cell r="F869" t="str">
            <v>47</v>
          </cell>
          <cell r="G869" t="str">
            <v>8</v>
          </cell>
          <cell r="H869">
            <v>0</v>
          </cell>
        </row>
        <row r="870">
          <cell r="B870">
            <v>6598</v>
          </cell>
          <cell r="C870" t="str">
            <v>Llamas; Michael L</v>
          </cell>
          <cell r="D870" t="str">
            <v>1</v>
          </cell>
          <cell r="E870" t="str">
            <v>IBEWOUT</v>
          </cell>
          <cell r="F870" t="str">
            <v>77</v>
          </cell>
          <cell r="G870" t="str">
            <v>15</v>
          </cell>
          <cell r="H870">
            <v>0</v>
          </cell>
        </row>
        <row r="871">
          <cell r="B871">
            <v>6605</v>
          </cell>
          <cell r="C871" t="str">
            <v>Llorca; John D</v>
          </cell>
          <cell r="D871" t="str">
            <v>1C</v>
          </cell>
          <cell r="E871" t="str">
            <v>IBEWOUT</v>
          </cell>
          <cell r="F871" t="str">
            <v>47</v>
          </cell>
          <cell r="G871" t="str">
            <v>8</v>
          </cell>
          <cell r="H871">
            <v>0</v>
          </cell>
        </row>
        <row r="872">
          <cell r="B872">
            <v>6609</v>
          </cell>
          <cell r="C872" t="str">
            <v>Lloyd; Mikel B</v>
          </cell>
          <cell r="D872" t="str">
            <v>1</v>
          </cell>
          <cell r="E872" t="str">
            <v>IBEWOUT</v>
          </cell>
          <cell r="F872" t="str">
            <v>1245</v>
          </cell>
          <cell r="G872" t="str">
            <v>15</v>
          </cell>
          <cell r="H872">
            <v>0</v>
          </cell>
        </row>
        <row r="873">
          <cell r="B873">
            <v>6611</v>
          </cell>
          <cell r="C873" t="str">
            <v>Lock; Shane R</v>
          </cell>
          <cell r="D873" t="str">
            <v>1C</v>
          </cell>
          <cell r="E873" t="str">
            <v>IBEWOUT</v>
          </cell>
          <cell r="F873" t="str">
            <v>1245</v>
          </cell>
          <cell r="G873" t="str">
            <v>7</v>
          </cell>
          <cell r="H873">
            <v>0</v>
          </cell>
        </row>
        <row r="874">
          <cell r="B874">
            <v>6613</v>
          </cell>
          <cell r="C874" t="str">
            <v>Lougee; Thomas G</v>
          </cell>
          <cell r="D874" t="str">
            <v>1C</v>
          </cell>
          <cell r="E874" t="str">
            <v>IBEWOUT</v>
          </cell>
          <cell r="F874" t="str">
            <v>1245</v>
          </cell>
          <cell r="G874" t="str">
            <v>8</v>
          </cell>
          <cell r="H874">
            <v>0</v>
          </cell>
        </row>
        <row r="875">
          <cell r="B875">
            <v>6614</v>
          </cell>
          <cell r="C875" t="str">
            <v>Loera; Francisco</v>
          </cell>
          <cell r="D875" t="str">
            <v>1C</v>
          </cell>
          <cell r="E875" t="str">
            <v>IBEWOUT</v>
          </cell>
          <cell r="F875" t="str">
            <v>1245</v>
          </cell>
          <cell r="G875" t="str">
            <v>60</v>
          </cell>
          <cell r="H875">
            <v>0</v>
          </cell>
        </row>
        <row r="876">
          <cell r="B876">
            <v>6617</v>
          </cell>
          <cell r="C876" t="str">
            <v>Lohman; James C</v>
          </cell>
          <cell r="D876" t="str">
            <v>1</v>
          </cell>
          <cell r="E876" t="str">
            <v>IBEWOUT</v>
          </cell>
          <cell r="F876" t="str">
            <v>70</v>
          </cell>
          <cell r="G876" t="str">
            <v>18</v>
          </cell>
          <cell r="H876">
            <v>0</v>
          </cell>
        </row>
        <row r="877">
          <cell r="B877">
            <v>6661</v>
          </cell>
          <cell r="C877" t="str">
            <v>Long; Scott A.</v>
          </cell>
          <cell r="D877" t="str">
            <v>1C</v>
          </cell>
          <cell r="E877" t="str">
            <v>IBEWOUT</v>
          </cell>
          <cell r="F877" t="str">
            <v>1245</v>
          </cell>
          <cell r="G877" t="str">
            <v>17</v>
          </cell>
          <cell r="H877">
            <v>0</v>
          </cell>
        </row>
        <row r="878">
          <cell r="B878">
            <v>6663</v>
          </cell>
          <cell r="C878" t="str">
            <v>Long; William K</v>
          </cell>
          <cell r="D878" t="str">
            <v>1C</v>
          </cell>
          <cell r="E878" t="str">
            <v>IBEWOUT</v>
          </cell>
          <cell r="F878" t="str">
            <v>47</v>
          </cell>
          <cell r="G878" t="str">
            <v>16</v>
          </cell>
          <cell r="H878">
            <v>0</v>
          </cell>
        </row>
        <row r="879">
          <cell r="B879">
            <v>6665</v>
          </cell>
          <cell r="C879" t="str">
            <v>Long; Gerald</v>
          </cell>
          <cell r="D879" t="str">
            <v>1C</v>
          </cell>
          <cell r="E879" t="str">
            <v>IBEWOUT</v>
          </cell>
          <cell r="F879" t="str">
            <v>611</v>
          </cell>
          <cell r="G879" t="str">
            <v>7</v>
          </cell>
          <cell r="H879">
            <v>0</v>
          </cell>
        </row>
        <row r="880">
          <cell r="B880">
            <v>6672</v>
          </cell>
          <cell r="C880" t="str">
            <v>Lopez; Hector M</v>
          </cell>
          <cell r="D880" t="str">
            <v>1C</v>
          </cell>
          <cell r="E880" t="str">
            <v>IBEWOUT</v>
          </cell>
          <cell r="F880" t="str">
            <v>1245</v>
          </cell>
          <cell r="G880" t="str">
            <v>13</v>
          </cell>
          <cell r="H880">
            <v>0</v>
          </cell>
        </row>
        <row r="881">
          <cell r="B881">
            <v>6674</v>
          </cell>
          <cell r="C881" t="str">
            <v>Longtin; Eric S</v>
          </cell>
          <cell r="D881" t="str">
            <v>1C</v>
          </cell>
          <cell r="E881" t="str">
            <v>IBEWOUT</v>
          </cell>
          <cell r="F881" t="str">
            <v>126</v>
          </cell>
          <cell r="G881" t="str">
            <v>8</v>
          </cell>
          <cell r="H881">
            <v>0</v>
          </cell>
        </row>
        <row r="882">
          <cell r="B882">
            <v>6675</v>
          </cell>
          <cell r="C882" t="str">
            <v>Longtin; Eric Z</v>
          </cell>
          <cell r="D882" t="str">
            <v>1C</v>
          </cell>
          <cell r="E882" t="str">
            <v>IBEWOUT</v>
          </cell>
          <cell r="F882" t="str">
            <v>126</v>
          </cell>
          <cell r="G882" t="str">
            <v>18</v>
          </cell>
          <cell r="H882">
            <v>0</v>
          </cell>
        </row>
        <row r="883">
          <cell r="B883">
            <v>6678</v>
          </cell>
          <cell r="C883" t="str">
            <v>Lopez; Joseph Kelly</v>
          </cell>
          <cell r="D883" t="str">
            <v>1C</v>
          </cell>
          <cell r="E883" t="str">
            <v>IBEWOUT</v>
          </cell>
          <cell r="F883" t="str">
            <v>769</v>
          </cell>
          <cell r="G883" t="str">
            <v>8</v>
          </cell>
          <cell r="H883">
            <v>0</v>
          </cell>
        </row>
        <row r="884">
          <cell r="B884">
            <v>6679</v>
          </cell>
          <cell r="C884" t="str">
            <v>Loomis; Jerald A</v>
          </cell>
          <cell r="D884" t="str">
            <v>1C</v>
          </cell>
          <cell r="E884" t="str">
            <v>IBEWOUT</v>
          </cell>
          <cell r="F884" t="str">
            <v>77</v>
          </cell>
          <cell r="G884" t="str">
            <v>8</v>
          </cell>
          <cell r="H884">
            <v>0</v>
          </cell>
        </row>
        <row r="885">
          <cell r="B885">
            <v>6702</v>
          </cell>
          <cell r="C885" t="str">
            <v>Love; David A</v>
          </cell>
          <cell r="D885" t="str">
            <v>1C</v>
          </cell>
          <cell r="E885" t="str">
            <v>IBEWOUT</v>
          </cell>
          <cell r="F885" t="str">
            <v>47</v>
          </cell>
          <cell r="G885" t="str">
            <v>8</v>
          </cell>
          <cell r="H885">
            <v>0</v>
          </cell>
        </row>
        <row r="886">
          <cell r="B886">
            <v>6703</v>
          </cell>
          <cell r="C886" t="str">
            <v>Lovelady; Brian B</v>
          </cell>
          <cell r="D886" t="str">
            <v>1C</v>
          </cell>
          <cell r="E886" t="str">
            <v>IBEWOUT</v>
          </cell>
          <cell r="F886" t="str">
            <v>1245</v>
          </cell>
          <cell r="G886" t="str">
            <v>60</v>
          </cell>
          <cell r="H886">
            <v>0</v>
          </cell>
        </row>
        <row r="887">
          <cell r="B887">
            <v>6706</v>
          </cell>
          <cell r="C887" t="str">
            <v>Loucks; Tammi Louise</v>
          </cell>
          <cell r="D887" t="str">
            <v>1C</v>
          </cell>
          <cell r="E887" t="str">
            <v/>
          </cell>
          <cell r="F887" t="str">
            <v/>
          </cell>
          <cell r="G887" t="str">
            <v/>
          </cell>
          <cell r="H887">
            <v>0</v>
          </cell>
        </row>
        <row r="888">
          <cell r="B888">
            <v>6711</v>
          </cell>
          <cell r="C888" t="str">
            <v>Lowerison; William David</v>
          </cell>
          <cell r="D888" t="str">
            <v>1</v>
          </cell>
          <cell r="E888" t="str">
            <v/>
          </cell>
          <cell r="F888" t="str">
            <v/>
          </cell>
          <cell r="G888" t="str">
            <v/>
          </cell>
          <cell r="H888">
            <v>0</v>
          </cell>
        </row>
        <row r="889">
          <cell r="B889">
            <v>6712</v>
          </cell>
          <cell r="C889" t="str">
            <v>Lucero; Dominic L</v>
          </cell>
          <cell r="D889" t="str">
            <v>1C</v>
          </cell>
          <cell r="E889" t="str">
            <v>IBEWOUT</v>
          </cell>
          <cell r="F889" t="str">
            <v>611</v>
          </cell>
          <cell r="G889" t="str">
            <v>12</v>
          </cell>
          <cell r="H889">
            <v>0</v>
          </cell>
        </row>
        <row r="890">
          <cell r="B890">
            <v>6725</v>
          </cell>
          <cell r="C890" t="str">
            <v>Loucks; Robert L.</v>
          </cell>
          <cell r="D890" t="str">
            <v>1C</v>
          </cell>
          <cell r="E890" t="str">
            <v/>
          </cell>
          <cell r="F890" t="str">
            <v/>
          </cell>
          <cell r="G890" t="str">
            <v/>
          </cell>
          <cell r="H890">
            <v>0</v>
          </cell>
        </row>
        <row r="891">
          <cell r="B891">
            <v>6729</v>
          </cell>
          <cell r="C891" t="str">
            <v>Lowen; Elijah S</v>
          </cell>
          <cell r="D891" t="str">
            <v>1C</v>
          </cell>
          <cell r="E891" t="str">
            <v>IBEWOUT</v>
          </cell>
          <cell r="F891" t="str">
            <v>160</v>
          </cell>
          <cell r="G891" t="str">
            <v>17</v>
          </cell>
          <cell r="H891">
            <v>0</v>
          </cell>
        </row>
        <row r="892">
          <cell r="B892">
            <v>6730</v>
          </cell>
          <cell r="C892" t="str">
            <v>Loya; James S.</v>
          </cell>
          <cell r="D892" t="str">
            <v>1C</v>
          </cell>
          <cell r="E892" t="str">
            <v>IBEWOUT</v>
          </cell>
          <cell r="F892" t="str">
            <v>47</v>
          </cell>
          <cell r="G892" t="str">
            <v>8</v>
          </cell>
          <cell r="H892">
            <v>0</v>
          </cell>
        </row>
        <row r="893">
          <cell r="B893">
            <v>6737</v>
          </cell>
          <cell r="C893" t="str">
            <v>Luna; Matthew P</v>
          </cell>
          <cell r="D893" t="str">
            <v>1</v>
          </cell>
          <cell r="E893" t="str">
            <v>IBEWOUT</v>
          </cell>
          <cell r="F893" t="str">
            <v>47</v>
          </cell>
          <cell r="G893" t="str">
            <v>8</v>
          </cell>
          <cell r="H893">
            <v>0</v>
          </cell>
        </row>
        <row r="894">
          <cell r="B894">
            <v>6745</v>
          </cell>
          <cell r="C894" t="str">
            <v>Lynch; Andrew J.</v>
          </cell>
          <cell r="D894" t="str">
            <v>1C</v>
          </cell>
          <cell r="E894" t="str">
            <v>IBEWOUT</v>
          </cell>
          <cell r="F894" t="str">
            <v>77</v>
          </cell>
          <cell r="G894" t="str">
            <v>8</v>
          </cell>
          <cell r="H894">
            <v>0</v>
          </cell>
        </row>
        <row r="895">
          <cell r="B895">
            <v>6755</v>
          </cell>
          <cell r="C895" t="str">
            <v>Lulay; Brent D</v>
          </cell>
          <cell r="D895" t="str">
            <v>1C</v>
          </cell>
          <cell r="E895" t="str">
            <v>IBEWOUT</v>
          </cell>
          <cell r="F895" t="str">
            <v>125</v>
          </cell>
          <cell r="G895" t="str">
            <v>8</v>
          </cell>
          <cell r="H895">
            <v>0</v>
          </cell>
        </row>
        <row r="896">
          <cell r="B896">
            <v>6915</v>
          </cell>
          <cell r="C896" t="str">
            <v>MacDonald; Lance GK</v>
          </cell>
          <cell r="D896" t="str">
            <v>1C</v>
          </cell>
          <cell r="E896" t="str">
            <v>IBEWOUT</v>
          </cell>
          <cell r="F896" t="str">
            <v>1245</v>
          </cell>
          <cell r="G896" t="str">
            <v>8</v>
          </cell>
          <cell r="H896">
            <v>0</v>
          </cell>
        </row>
        <row r="897">
          <cell r="B897">
            <v>6918</v>
          </cell>
          <cell r="C897" t="str">
            <v>MacKenzie; Amber</v>
          </cell>
          <cell r="D897" t="str">
            <v>1</v>
          </cell>
          <cell r="E897" t="str">
            <v/>
          </cell>
          <cell r="F897" t="str">
            <v/>
          </cell>
          <cell r="G897" t="str">
            <v/>
          </cell>
          <cell r="H897">
            <v>1</v>
          </cell>
        </row>
        <row r="898">
          <cell r="B898">
            <v>6919</v>
          </cell>
          <cell r="C898" t="str">
            <v>MacKenzie; Matt E.</v>
          </cell>
          <cell r="D898" t="str">
            <v>1</v>
          </cell>
          <cell r="E898" t="str">
            <v>IBEWOUT</v>
          </cell>
          <cell r="F898" t="str">
            <v>1245</v>
          </cell>
          <cell r="G898" t="str">
            <v>1</v>
          </cell>
          <cell r="H898">
            <v>1</v>
          </cell>
        </row>
        <row r="899">
          <cell r="B899">
            <v>6921</v>
          </cell>
          <cell r="C899" t="str">
            <v>Mackeprang; Jake R</v>
          </cell>
          <cell r="D899" t="str">
            <v>1C</v>
          </cell>
          <cell r="E899" t="str">
            <v>IBEWOUT</v>
          </cell>
          <cell r="F899" t="str">
            <v>160</v>
          </cell>
          <cell r="G899" t="str">
            <v>8</v>
          </cell>
          <cell r="H899">
            <v>0</v>
          </cell>
        </row>
        <row r="900">
          <cell r="B900">
            <v>6923</v>
          </cell>
          <cell r="C900" t="str">
            <v>MacLeod; Kyle Mark</v>
          </cell>
          <cell r="D900" t="str">
            <v>1</v>
          </cell>
          <cell r="E900" t="str">
            <v>IBEWOUT</v>
          </cell>
          <cell r="F900" t="str">
            <v>47</v>
          </cell>
          <cell r="G900" t="str">
            <v>7</v>
          </cell>
          <cell r="H900">
            <v>0</v>
          </cell>
        </row>
        <row r="901">
          <cell r="B901">
            <v>6926</v>
          </cell>
          <cell r="C901" t="str">
            <v>MacMillan; Kandus WS</v>
          </cell>
          <cell r="D901" t="str">
            <v>1C</v>
          </cell>
          <cell r="E901" t="str">
            <v>IBEWOUT</v>
          </cell>
          <cell r="F901" t="str">
            <v>1245</v>
          </cell>
          <cell r="G901" t="str">
            <v>8</v>
          </cell>
          <cell r="H901">
            <v>0</v>
          </cell>
        </row>
        <row r="902">
          <cell r="B902">
            <v>6928</v>
          </cell>
          <cell r="C902" t="str">
            <v>Madden; Thomas P</v>
          </cell>
          <cell r="D902" t="str">
            <v>1C</v>
          </cell>
          <cell r="E902" t="str">
            <v>IBEWOUT</v>
          </cell>
          <cell r="F902" t="str">
            <v>1245</v>
          </cell>
          <cell r="G902" t="str">
            <v>8</v>
          </cell>
          <cell r="H902">
            <v>0</v>
          </cell>
        </row>
        <row r="903">
          <cell r="B903">
            <v>6930</v>
          </cell>
          <cell r="C903" t="str">
            <v>Maes; Daniel T.</v>
          </cell>
          <cell r="D903" t="str">
            <v>1C</v>
          </cell>
          <cell r="E903" t="str">
            <v>IBEWOUT</v>
          </cell>
          <cell r="F903" t="str">
            <v>611</v>
          </cell>
          <cell r="G903" t="str">
            <v>14</v>
          </cell>
          <cell r="H903">
            <v>0</v>
          </cell>
        </row>
        <row r="904">
          <cell r="B904">
            <v>6931</v>
          </cell>
          <cell r="C904" t="str">
            <v>Madison; Nathaniel T</v>
          </cell>
          <cell r="D904" t="str">
            <v>1</v>
          </cell>
          <cell r="E904" t="str">
            <v>IBEWOUT</v>
          </cell>
          <cell r="F904" t="str">
            <v>125</v>
          </cell>
          <cell r="G904" t="str">
            <v>8</v>
          </cell>
          <cell r="H904">
            <v>0</v>
          </cell>
        </row>
        <row r="905">
          <cell r="B905">
            <v>6948</v>
          </cell>
          <cell r="C905" t="str">
            <v>Maier; Bailey M</v>
          </cell>
          <cell r="D905" t="str">
            <v>1C</v>
          </cell>
          <cell r="E905" t="str">
            <v/>
          </cell>
          <cell r="F905" t="str">
            <v/>
          </cell>
          <cell r="G905" t="str">
            <v/>
          </cell>
          <cell r="H905">
            <v>0</v>
          </cell>
        </row>
        <row r="906">
          <cell r="B906">
            <v>6981</v>
          </cell>
          <cell r="C906" t="str">
            <v>Malik; Zeeshan M</v>
          </cell>
          <cell r="D906" t="str">
            <v>1C</v>
          </cell>
          <cell r="E906" t="str">
            <v>IBEWOUT</v>
          </cell>
          <cell r="F906" t="str">
            <v>611</v>
          </cell>
          <cell r="G906" t="str">
            <v>16</v>
          </cell>
          <cell r="H906">
            <v>0</v>
          </cell>
        </row>
        <row r="907">
          <cell r="B907">
            <v>6982</v>
          </cell>
          <cell r="C907" t="str">
            <v>Mallory; Loren C</v>
          </cell>
          <cell r="D907" t="str">
            <v>1</v>
          </cell>
          <cell r="E907" t="str">
            <v>IBEWOUT</v>
          </cell>
          <cell r="F907" t="str">
            <v>1245</v>
          </cell>
          <cell r="G907" t="str">
            <v>16</v>
          </cell>
          <cell r="H907">
            <v>0</v>
          </cell>
        </row>
        <row r="908">
          <cell r="B908">
            <v>6983</v>
          </cell>
          <cell r="C908" t="str">
            <v>Mallory; Nick V.</v>
          </cell>
          <cell r="D908" t="str">
            <v>1C</v>
          </cell>
          <cell r="E908" t="str">
            <v>IBEWOUT</v>
          </cell>
          <cell r="F908" t="str">
            <v>769</v>
          </cell>
          <cell r="G908" t="str">
            <v>7</v>
          </cell>
          <cell r="H908">
            <v>0</v>
          </cell>
        </row>
        <row r="909">
          <cell r="B909">
            <v>6984</v>
          </cell>
          <cell r="C909" t="str">
            <v>Malloy; John M.</v>
          </cell>
          <cell r="D909" t="str">
            <v>1C</v>
          </cell>
          <cell r="E909" t="str">
            <v>IBEWOUT</v>
          </cell>
          <cell r="F909" t="str">
            <v>1049</v>
          </cell>
          <cell r="G909" t="str">
            <v>8</v>
          </cell>
          <cell r="H909">
            <v>0</v>
          </cell>
        </row>
        <row r="910">
          <cell r="B910">
            <v>6985</v>
          </cell>
          <cell r="C910" t="str">
            <v>Maloney; Thane C.</v>
          </cell>
          <cell r="D910" t="str">
            <v>1C</v>
          </cell>
          <cell r="E910" t="str">
            <v>IBEWOUT</v>
          </cell>
          <cell r="F910" t="str">
            <v>1245</v>
          </cell>
          <cell r="G910" t="str">
            <v>16</v>
          </cell>
          <cell r="H910">
            <v>0</v>
          </cell>
        </row>
        <row r="911">
          <cell r="B911">
            <v>6986</v>
          </cell>
          <cell r="C911" t="str">
            <v>Mann; Justin M</v>
          </cell>
          <cell r="D911" t="str">
            <v>1C</v>
          </cell>
          <cell r="E911" t="str">
            <v>IBEWOUT</v>
          </cell>
          <cell r="F911" t="str">
            <v>160</v>
          </cell>
          <cell r="G911" t="str">
            <v>8</v>
          </cell>
          <cell r="H911">
            <v>0</v>
          </cell>
        </row>
        <row r="912">
          <cell r="B912">
            <v>6994</v>
          </cell>
          <cell r="C912" t="str">
            <v>Mantei; Kody J</v>
          </cell>
          <cell r="D912" t="str">
            <v>1C</v>
          </cell>
          <cell r="E912" t="str">
            <v>IBEWOUT</v>
          </cell>
          <cell r="F912" t="str">
            <v>126</v>
          </cell>
          <cell r="G912" t="str">
            <v>33</v>
          </cell>
          <cell r="H912">
            <v>0</v>
          </cell>
        </row>
        <row r="913">
          <cell r="B913">
            <v>6998</v>
          </cell>
          <cell r="C913" t="str">
            <v>Mardis; Johnathan D</v>
          </cell>
          <cell r="D913" t="str">
            <v>1</v>
          </cell>
          <cell r="E913" t="str">
            <v/>
          </cell>
          <cell r="F913" t="str">
            <v/>
          </cell>
          <cell r="G913" t="str">
            <v/>
          </cell>
          <cell r="H913">
            <v>0</v>
          </cell>
        </row>
        <row r="914">
          <cell r="B914">
            <v>7000</v>
          </cell>
          <cell r="C914" t="str">
            <v>March; Patrick D</v>
          </cell>
          <cell r="D914" t="str">
            <v>1C</v>
          </cell>
          <cell r="E914" t="str">
            <v>IBEWOUT</v>
          </cell>
          <cell r="F914" t="str">
            <v>1245</v>
          </cell>
          <cell r="G914" t="str">
            <v>8</v>
          </cell>
          <cell r="H914">
            <v>0</v>
          </cell>
        </row>
        <row r="915">
          <cell r="B915">
            <v>7008</v>
          </cell>
          <cell r="C915" t="str">
            <v>Marley; Kyle C</v>
          </cell>
          <cell r="D915" t="str">
            <v>1C</v>
          </cell>
          <cell r="E915" t="str">
            <v>IBEWOUT</v>
          </cell>
          <cell r="F915" t="str">
            <v>611</v>
          </cell>
          <cell r="G915" t="str">
            <v>15</v>
          </cell>
          <cell r="H915">
            <v>0</v>
          </cell>
        </row>
        <row r="916">
          <cell r="B916">
            <v>7009</v>
          </cell>
          <cell r="C916" t="str">
            <v>Martinez; Hector R.</v>
          </cell>
          <cell r="D916" t="str">
            <v>1C</v>
          </cell>
          <cell r="E916" t="str">
            <v>IBEWOUT</v>
          </cell>
          <cell r="F916" t="str">
            <v>47</v>
          </cell>
          <cell r="G916" t="str">
            <v>60</v>
          </cell>
          <cell r="H916">
            <v>0</v>
          </cell>
        </row>
        <row r="917">
          <cell r="B917">
            <v>7010</v>
          </cell>
          <cell r="C917" t="str">
            <v>Marquis; Phillip E</v>
          </cell>
          <cell r="D917" t="str">
            <v>1C</v>
          </cell>
          <cell r="E917" t="str">
            <v>IBEWOUT</v>
          </cell>
          <cell r="F917" t="str">
            <v>611</v>
          </cell>
          <cell r="G917" t="str">
            <v>8</v>
          </cell>
          <cell r="H917">
            <v>0</v>
          </cell>
        </row>
        <row r="918">
          <cell r="B918">
            <v>7016</v>
          </cell>
          <cell r="C918" t="str">
            <v>Martin; Jason K.</v>
          </cell>
          <cell r="D918" t="str">
            <v>1C</v>
          </cell>
          <cell r="E918" t="str">
            <v>IBEWOUT</v>
          </cell>
          <cell r="F918" t="str">
            <v>1245</v>
          </cell>
          <cell r="G918" t="str">
            <v>8</v>
          </cell>
          <cell r="H918">
            <v>0</v>
          </cell>
        </row>
        <row r="919">
          <cell r="B919">
            <v>7017</v>
          </cell>
          <cell r="C919" t="str">
            <v>Martinez; Ruben Michael</v>
          </cell>
          <cell r="D919" t="str">
            <v>1C</v>
          </cell>
          <cell r="E919" t="str">
            <v/>
          </cell>
          <cell r="F919" t="str">
            <v/>
          </cell>
          <cell r="G919" t="str">
            <v/>
          </cell>
          <cell r="H919">
            <v>1</v>
          </cell>
        </row>
        <row r="920">
          <cell r="B920">
            <v>7019</v>
          </cell>
          <cell r="C920" t="str">
            <v>Martinez-Verela; Gerardo</v>
          </cell>
          <cell r="D920" t="str">
            <v>1C</v>
          </cell>
          <cell r="E920" t="str">
            <v>IBEWOUT</v>
          </cell>
          <cell r="F920" t="str">
            <v>1245</v>
          </cell>
          <cell r="G920" t="str">
            <v>13</v>
          </cell>
          <cell r="H920">
            <v>0</v>
          </cell>
        </row>
        <row r="921">
          <cell r="B921">
            <v>7021</v>
          </cell>
          <cell r="C921" t="str">
            <v>Marquez; Vincent A</v>
          </cell>
          <cell r="D921" t="str">
            <v>1C</v>
          </cell>
          <cell r="E921" t="str">
            <v>IBEWOUT</v>
          </cell>
          <cell r="F921" t="str">
            <v>611</v>
          </cell>
          <cell r="G921" t="str">
            <v>18</v>
          </cell>
          <cell r="H921">
            <v>0</v>
          </cell>
        </row>
        <row r="922">
          <cell r="B922">
            <v>7023</v>
          </cell>
          <cell r="C922" t="str">
            <v>Marvin; Kelly J</v>
          </cell>
          <cell r="D922" t="str">
            <v>1C</v>
          </cell>
          <cell r="E922" t="str">
            <v>IBEWOUT</v>
          </cell>
          <cell r="F922" t="str">
            <v>1245</v>
          </cell>
          <cell r="G922" t="str">
            <v>7</v>
          </cell>
          <cell r="H922">
            <v>0</v>
          </cell>
        </row>
        <row r="923">
          <cell r="B923">
            <v>7024</v>
          </cell>
          <cell r="C923" t="str">
            <v>Massiatte; Joseph B</v>
          </cell>
          <cell r="D923" t="str">
            <v>1C</v>
          </cell>
          <cell r="E923" t="str">
            <v>IBEWOUT</v>
          </cell>
          <cell r="F923" t="str">
            <v>769</v>
          </cell>
          <cell r="G923" t="str">
            <v>8</v>
          </cell>
          <cell r="H923">
            <v>0</v>
          </cell>
        </row>
        <row r="924">
          <cell r="B924">
            <v>7026</v>
          </cell>
          <cell r="C924" t="str">
            <v>Massei; Anthony Joseph</v>
          </cell>
          <cell r="D924" t="str">
            <v>1C</v>
          </cell>
          <cell r="E924" t="str">
            <v/>
          </cell>
          <cell r="F924" t="str">
            <v/>
          </cell>
          <cell r="G924" t="str">
            <v/>
          </cell>
          <cell r="H924">
            <v>1</v>
          </cell>
        </row>
        <row r="925">
          <cell r="B925">
            <v>7027</v>
          </cell>
          <cell r="C925" t="str">
            <v>Marquez; Jorge</v>
          </cell>
          <cell r="D925" t="str">
            <v>1C</v>
          </cell>
          <cell r="E925" t="str">
            <v>IBEWOUT</v>
          </cell>
          <cell r="F925" t="str">
            <v>47</v>
          </cell>
          <cell r="G925" t="str">
            <v>15</v>
          </cell>
          <cell r="H925">
            <v>0</v>
          </cell>
        </row>
        <row r="926">
          <cell r="B926">
            <v>7031</v>
          </cell>
          <cell r="C926" t="str">
            <v>Martinez; Richard D.</v>
          </cell>
          <cell r="D926" t="str">
            <v>1C</v>
          </cell>
          <cell r="E926" t="str">
            <v>IBEWOUT</v>
          </cell>
          <cell r="F926" t="str">
            <v>611</v>
          </cell>
          <cell r="G926" t="str">
            <v>8</v>
          </cell>
          <cell r="H926">
            <v>0</v>
          </cell>
        </row>
        <row r="927">
          <cell r="B927">
            <v>7034</v>
          </cell>
          <cell r="C927" t="str">
            <v>Martinez; Adam L</v>
          </cell>
          <cell r="D927" t="str">
            <v>1</v>
          </cell>
          <cell r="E927" t="str">
            <v>IBEWOUT</v>
          </cell>
          <cell r="F927" t="str">
            <v>611</v>
          </cell>
          <cell r="G927" t="str">
            <v>9</v>
          </cell>
          <cell r="H927">
            <v>0</v>
          </cell>
        </row>
        <row r="928">
          <cell r="B928">
            <v>7035</v>
          </cell>
          <cell r="C928" t="str">
            <v>Martinez; Christian</v>
          </cell>
          <cell r="D928" t="str">
            <v>1C</v>
          </cell>
          <cell r="E928" t="str">
            <v>IBEWOUT</v>
          </cell>
          <cell r="F928" t="str">
            <v>611</v>
          </cell>
          <cell r="G928" t="str">
            <v>13</v>
          </cell>
          <cell r="H928">
            <v>0</v>
          </cell>
        </row>
        <row r="929">
          <cell r="B929">
            <v>7042</v>
          </cell>
          <cell r="C929" t="str">
            <v>Marshall III; Robert R</v>
          </cell>
          <cell r="D929" t="str">
            <v>1C</v>
          </cell>
          <cell r="E929" t="str">
            <v>IBEWOUT</v>
          </cell>
          <cell r="F929" t="str">
            <v>1245</v>
          </cell>
          <cell r="G929" t="str">
            <v>8</v>
          </cell>
          <cell r="H929">
            <v>0</v>
          </cell>
        </row>
        <row r="930">
          <cell r="B930">
            <v>7063</v>
          </cell>
          <cell r="C930" t="str">
            <v>Mata; Adam N.</v>
          </cell>
          <cell r="D930" t="str">
            <v>1</v>
          </cell>
          <cell r="E930" t="str">
            <v>IBEWOUT</v>
          </cell>
          <cell r="F930" t="str">
            <v>70</v>
          </cell>
          <cell r="G930" t="str">
            <v>16</v>
          </cell>
          <cell r="H930">
            <v>1</v>
          </cell>
        </row>
        <row r="931">
          <cell r="B931">
            <v>7074</v>
          </cell>
          <cell r="C931" t="str">
            <v>Mayer; Donald Patrick</v>
          </cell>
          <cell r="D931" t="str">
            <v>1C</v>
          </cell>
          <cell r="E931" t="str">
            <v>IBEWOUT</v>
          </cell>
          <cell r="F931" t="str">
            <v>769</v>
          </cell>
          <cell r="G931" t="str">
            <v>8</v>
          </cell>
          <cell r="H931">
            <v>0</v>
          </cell>
        </row>
        <row r="932">
          <cell r="B932">
            <v>7081</v>
          </cell>
          <cell r="C932" t="str">
            <v>Martin; Ryan P</v>
          </cell>
          <cell r="D932" t="str">
            <v>1</v>
          </cell>
          <cell r="E932" t="str">
            <v>IBEWOUT</v>
          </cell>
          <cell r="F932" t="str">
            <v>70</v>
          </cell>
          <cell r="G932" t="str">
            <v>16</v>
          </cell>
          <cell r="H932">
            <v>0</v>
          </cell>
        </row>
        <row r="933">
          <cell r="B933">
            <v>7082</v>
          </cell>
          <cell r="C933" t="str">
            <v>Maryboy; Leo Harvey</v>
          </cell>
          <cell r="D933" t="str">
            <v>1C</v>
          </cell>
          <cell r="E933" t="str">
            <v>IBEWOUT</v>
          </cell>
          <cell r="F933" t="str">
            <v>47</v>
          </cell>
          <cell r="G933" t="str">
            <v>8</v>
          </cell>
          <cell r="H933">
            <v>0</v>
          </cell>
        </row>
        <row r="934">
          <cell r="B934">
            <v>7084</v>
          </cell>
          <cell r="C934" t="str">
            <v>Mathias; Shawn Bryan</v>
          </cell>
          <cell r="D934" t="str">
            <v>1C</v>
          </cell>
          <cell r="E934" t="str">
            <v>IBEWOUT</v>
          </cell>
          <cell r="F934" t="str">
            <v>77</v>
          </cell>
          <cell r="G934" t="str">
            <v>8</v>
          </cell>
          <cell r="H934">
            <v>0</v>
          </cell>
        </row>
        <row r="935">
          <cell r="B935">
            <v>7086</v>
          </cell>
          <cell r="C935" t="str">
            <v>Martinez; Edward</v>
          </cell>
          <cell r="D935" t="str">
            <v>1C</v>
          </cell>
          <cell r="E935" t="str">
            <v>IBEWOUT</v>
          </cell>
          <cell r="F935" t="str">
            <v>1245</v>
          </cell>
          <cell r="G935" t="str">
            <v>18</v>
          </cell>
          <cell r="H935">
            <v>0</v>
          </cell>
        </row>
        <row r="936">
          <cell r="B936">
            <v>7087</v>
          </cell>
          <cell r="C936" t="str">
            <v>Marsh; Jeffrey A</v>
          </cell>
          <cell r="D936" t="str">
            <v>1C</v>
          </cell>
          <cell r="E936" t="str">
            <v>IBEWOUT</v>
          </cell>
          <cell r="F936" t="str">
            <v>160</v>
          </cell>
          <cell r="G936" t="str">
            <v>8</v>
          </cell>
          <cell r="H936">
            <v>0</v>
          </cell>
        </row>
        <row r="937">
          <cell r="B937">
            <v>7088</v>
          </cell>
          <cell r="C937" t="str">
            <v>Dean; Marvin</v>
          </cell>
          <cell r="D937" t="str">
            <v>1C</v>
          </cell>
          <cell r="E937" t="str">
            <v>IBEWOUT</v>
          </cell>
          <cell r="F937" t="str">
            <v>47</v>
          </cell>
          <cell r="G937" t="str">
            <v>8</v>
          </cell>
          <cell r="H937">
            <v>0</v>
          </cell>
        </row>
        <row r="938">
          <cell r="B938">
            <v>7090</v>
          </cell>
          <cell r="C938" t="str">
            <v>Martinez; Eddie</v>
          </cell>
          <cell r="D938" t="str">
            <v>1C</v>
          </cell>
          <cell r="E938" t="str">
            <v>IBEWOUT</v>
          </cell>
          <cell r="F938" t="str">
            <v>47</v>
          </cell>
          <cell r="G938" t="str">
            <v>17</v>
          </cell>
          <cell r="H938">
            <v>0</v>
          </cell>
        </row>
        <row r="939">
          <cell r="B939">
            <v>7091</v>
          </cell>
          <cell r="C939" t="str">
            <v>Mawhinney; Matthew Perin</v>
          </cell>
          <cell r="D939" t="str">
            <v>1C</v>
          </cell>
          <cell r="E939" t="str">
            <v>IBEWOUT</v>
          </cell>
          <cell r="F939" t="str">
            <v>769</v>
          </cell>
          <cell r="G939" t="str">
            <v>8</v>
          </cell>
          <cell r="H939">
            <v>0</v>
          </cell>
        </row>
        <row r="940">
          <cell r="B940">
            <v>7097</v>
          </cell>
          <cell r="C940" t="str">
            <v>Martin; Patrick W</v>
          </cell>
          <cell r="D940" t="str">
            <v>1C</v>
          </cell>
          <cell r="E940" t="str">
            <v>IBEWOUT</v>
          </cell>
          <cell r="F940" t="str">
            <v>1245</v>
          </cell>
          <cell r="G940" t="str">
            <v>14</v>
          </cell>
          <cell r="H940">
            <v>0</v>
          </cell>
        </row>
        <row r="941">
          <cell r="B941">
            <v>7098</v>
          </cell>
          <cell r="C941" t="str">
            <v>Mazza; Bryan P</v>
          </cell>
          <cell r="D941" t="str">
            <v>1C</v>
          </cell>
          <cell r="E941" t="str">
            <v>IBEWOUT</v>
          </cell>
          <cell r="F941" t="str">
            <v>1245</v>
          </cell>
          <cell r="G941" t="str">
            <v>8</v>
          </cell>
          <cell r="H941">
            <v>0</v>
          </cell>
        </row>
        <row r="942">
          <cell r="B942">
            <v>7099</v>
          </cell>
          <cell r="C942" t="str">
            <v>Martin; Lucas D</v>
          </cell>
          <cell r="D942" t="str">
            <v>1C</v>
          </cell>
          <cell r="E942" t="str">
            <v>IBEWOUT</v>
          </cell>
          <cell r="F942" t="str">
            <v>47</v>
          </cell>
          <cell r="G942" t="str">
            <v>8</v>
          </cell>
          <cell r="H942">
            <v>0</v>
          </cell>
        </row>
        <row r="943">
          <cell r="B943">
            <v>7256</v>
          </cell>
          <cell r="C943" t="str">
            <v>McBride; Joshua L.</v>
          </cell>
          <cell r="D943" t="str">
            <v>1</v>
          </cell>
          <cell r="E943" t="str">
            <v/>
          </cell>
          <cell r="F943" t="str">
            <v/>
          </cell>
          <cell r="G943" t="str">
            <v/>
          </cell>
          <cell r="H943">
            <v>1</v>
          </cell>
        </row>
        <row r="944">
          <cell r="B944">
            <v>7257</v>
          </cell>
          <cell r="C944" t="str">
            <v>McBride; Michael J.</v>
          </cell>
          <cell r="D944" t="str">
            <v>1</v>
          </cell>
          <cell r="E944" t="str">
            <v>IBEWOUT</v>
          </cell>
          <cell r="F944" t="str">
            <v>77</v>
          </cell>
          <cell r="G944" t="str">
            <v>7</v>
          </cell>
          <cell r="H944">
            <v>0</v>
          </cell>
        </row>
        <row r="945">
          <cell r="B945">
            <v>7268</v>
          </cell>
          <cell r="C945" t="str">
            <v>McClain; Peter R</v>
          </cell>
          <cell r="D945" t="str">
            <v>1C</v>
          </cell>
          <cell r="E945" t="str">
            <v>IBEWOUT</v>
          </cell>
          <cell r="F945" t="str">
            <v>1245</v>
          </cell>
          <cell r="G945" t="str">
            <v>8</v>
          </cell>
          <cell r="H945">
            <v>0</v>
          </cell>
        </row>
        <row r="946">
          <cell r="B946">
            <v>7269</v>
          </cell>
          <cell r="C946" t="str">
            <v>McClaflin; Barrett M</v>
          </cell>
          <cell r="D946" t="str">
            <v>1C</v>
          </cell>
          <cell r="E946" t="str">
            <v>IBEWOUT</v>
          </cell>
          <cell r="F946" t="str">
            <v>1245</v>
          </cell>
          <cell r="G946" t="str">
            <v>8</v>
          </cell>
          <cell r="H946">
            <v>0</v>
          </cell>
        </row>
        <row r="947">
          <cell r="B947">
            <v>7270</v>
          </cell>
          <cell r="C947" t="str">
            <v>McCarver; Shawn M.</v>
          </cell>
          <cell r="D947" t="str">
            <v>1C</v>
          </cell>
          <cell r="E947" t="str">
            <v>IBEWOUT</v>
          </cell>
          <cell r="F947" t="str">
            <v>611</v>
          </cell>
          <cell r="G947" t="str">
            <v>8</v>
          </cell>
          <cell r="H947">
            <v>0</v>
          </cell>
        </row>
        <row r="948">
          <cell r="B948">
            <v>7273</v>
          </cell>
          <cell r="C948" t="str">
            <v>McCarty; Christopher M</v>
          </cell>
          <cell r="D948" t="str">
            <v>1C</v>
          </cell>
          <cell r="E948" t="str">
            <v/>
          </cell>
          <cell r="F948" t="str">
            <v/>
          </cell>
          <cell r="G948" t="str">
            <v/>
          </cell>
          <cell r="H948">
            <v>1</v>
          </cell>
        </row>
        <row r="949">
          <cell r="B949">
            <v>7278</v>
          </cell>
          <cell r="C949" t="str">
            <v>McCool; Trent W</v>
          </cell>
          <cell r="D949" t="str">
            <v>1C</v>
          </cell>
          <cell r="E949" t="str">
            <v>IBEWOUT</v>
          </cell>
          <cell r="F949" t="str">
            <v>769</v>
          </cell>
          <cell r="G949" t="str">
            <v>8</v>
          </cell>
          <cell r="H949">
            <v>0</v>
          </cell>
        </row>
        <row r="950">
          <cell r="B950">
            <v>7284</v>
          </cell>
          <cell r="C950" t="str">
            <v>McCall; Daveion M</v>
          </cell>
          <cell r="D950" t="str">
            <v>1C</v>
          </cell>
          <cell r="E950" t="str">
            <v>IBEWOUT</v>
          </cell>
          <cell r="F950" t="str">
            <v>47</v>
          </cell>
          <cell r="G950" t="str">
            <v>14</v>
          </cell>
          <cell r="H950">
            <v>0</v>
          </cell>
        </row>
        <row r="951">
          <cell r="B951">
            <v>7285</v>
          </cell>
          <cell r="C951" t="str">
            <v>McCallum; Pyper L</v>
          </cell>
          <cell r="D951" t="str">
            <v>1</v>
          </cell>
          <cell r="E951" t="str">
            <v>IBEWOUT</v>
          </cell>
          <cell r="F951" t="str">
            <v>125</v>
          </cell>
          <cell r="G951" t="str">
            <v>8</v>
          </cell>
          <cell r="H951">
            <v>0</v>
          </cell>
        </row>
        <row r="952">
          <cell r="B952">
            <v>7292</v>
          </cell>
          <cell r="C952" t="str">
            <v>McClellan; John Clark</v>
          </cell>
          <cell r="D952" t="str">
            <v>1C</v>
          </cell>
          <cell r="E952" t="str">
            <v/>
          </cell>
          <cell r="F952" t="str">
            <v/>
          </cell>
          <cell r="G952" t="str">
            <v/>
          </cell>
          <cell r="H952">
            <v>1</v>
          </cell>
        </row>
        <row r="953">
          <cell r="B953">
            <v>7294</v>
          </cell>
          <cell r="C953" t="str">
            <v>McCloskey; Robert J</v>
          </cell>
          <cell r="D953" t="str">
            <v>1C</v>
          </cell>
          <cell r="E953" t="str">
            <v/>
          </cell>
          <cell r="F953" t="str">
            <v/>
          </cell>
          <cell r="G953" t="str">
            <v/>
          </cell>
          <cell r="H953">
            <v>0</v>
          </cell>
        </row>
        <row r="954">
          <cell r="B954">
            <v>7324</v>
          </cell>
          <cell r="C954" t="str">
            <v>McElwain; Devin S</v>
          </cell>
          <cell r="D954" t="str">
            <v>1C</v>
          </cell>
          <cell r="E954" t="str">
            <v>IBEWOUT</v>
          </cell>
          <cell r="F954" t="str">
            <v>47</v>
          </cell>
          <cell r="G954" t="str">
            <v>16</v>
          </cell>
          <cell r="H954">
            <v>0</v>
          </cell>
        </row>
        <row r="955">
          <cell r="B955">
            <v>7340</v>
          </cell>
          <cell r="C955" t="str">
            <v>McGahan; Brandt M</v>
          </cell>
          <cell r="D955" t="str">
            <v>1</v>
          </cell>
          <cell r="E955" t="str">
            <v>IBEWOUT</v>
          </cell>
          <cell r="F955" t="str">
            <v>1245</v>
          </cell>
          <cell r="G955" t="str">
            <v>8</v>
          </cell>
          <cell r="H955">
            <v>0</v>
          </cell>
        </row>
        <row r="956">
          <cell r="B956">
            <v>7346</v>
          </cell>
          <cell r="C956" t="str">
            <v>McKee; James J.</v>
          </cell>
          <cell r="D956" t="str">
            <v>1C</v>
          </cell>
          <cell r="E956" t="str">
            <v>IBEWOUT</v>
          </cell>
          <cell r="F956" t="str">
            <v>47</v>
          </cell>
          <cell r="G956" t="str">
            <v>7</v>
          </cell>
          <cell r="H956">
            <v>0</v>
          </cell>
        </row>
        <row r="957">
          <cell r="B957">
            <v>7347</v>
          </cell>
          <cell r="C957" t="str">
            <v>McKernan; Shane C</v>
          </cell>
          <cell r="D957" t="str">
            <v>1C</v>
          </cell>
          <cell r="E957" t="str">
            <v>IBEWOUT</v>
          </cell>
          <cell r="F957" t="str">
            <v>1319</v>
          </cell>
          <cell r="G957" t="str">
            <v>13</v>
          </cell>
          <cell r="H957">
            <v>0</v>
          </cell>
        </row>
        <row r="958">
          <cell r="B958">
            <v>7348</v>
          </cell>
          <cell r="C958" t="str">
            <v>McKenna; Thomas</v>
          </cell>
          <cell r="D958" t="str">
            <v>1C</v>
          </cell>
          <cell r="E958" t="str">
            <v>IBEWIN</v>
          </cell>
          <cell r="F958" t="str">
            <v>280</v>
          </cell>
          <cell r="G958" t="str">
            <v>62</v>
          </cell>
          <cell r="H958">
            <v>0</v>
          </cell>
        </row>
        <row r="959">
          <cell r="B959">
            <v>7349</v>
          </cell>
          <cell r="C959" t="str">
            <v>McKenna; James E</v>
          </cell>
          <cell r="D959" t="str">
            <v>1C</v>
          </cell>
          <cell r="E959" t="str">
            <v>IBEWOUT</v>
          </cell>
          <cell r="F959" t="str">
            <v>1245</v>
          </cell>
          <cell r="G959" t="str">
            <v>17</v>
          </cell>
          <cell r="H959">
            <v>0</v>
          </cell>
        </row>
        <row r="960">
          <cell r="B960">
            <v>7351</v>
          </cell>
          <cell r="C960" t="str">
            <v>McIlwain; Stanley</v>
          </cell>
          <cell r="D960" t="str">
            <v>1C</v>
          </cell>
          <cell r="E960" t="str">
            <v>IBEWOUT</v>
          </cell>
          <cell r="F960" t="str">
            <v>769</v>
          </cell>
          <cell r="G960" t="str">
            <v>8</v>
          </cell>
          <cell r="H960">
            <v>0</v>
          </cell>
        </row>
        <row r="961">
          <cell r="B961">
            <v>7360</v>
          </cell>
          <cell r="C961" t="str">
            <v>McGinnis; Michael J.</v>
          </cell>
          <cell r="D961" t="str">
            <v>1</v>
          </cell>
          <cell r="E961" t="str">
            <v/>
          </cell>
          <cell r="F961" t="str">
            <v/>
          </cell>
          <cell r="G961" t="str">
            <v/>
          </cell>
          <cell r="H961">
            <v>1</v>
          </cell>
        </row>
        <row r="962">
          <cell r="B962">
            <v>7361</v>
          </cell>
          <cell r="C962" t="str">
            <v>McHuen; Richard C</v>
          </cell>
          <cell r="D962" t="str">
            <v>1C</v>
          </cell>
          <cell r="E962" t="str">
            <v>IBEWOUT</v>
          </cell>
          <cell r="F962" t="str">
            <v>1245</v>
          </cell>
          <cell r="G962" t="str">
            <v>8</v>
          </cell>
          <cell r="H962">
            <v>0</v>
          </cell>
        </row>
        <row r="963">
          <cell r="B963">
            <v>7362</v>
          </cell>
          <cell r="C963" t="str">
            <v>McGinnis; Terry Scott</v>
          </cell>
          <cell r="D963" t="str">
            <v>1C</v>
          </cell>
          <cell r="E963" t="str">
            <v>IBEWOUT</v>
          </cell>
          <cell r="F963" t="str">
            <v>769</v>
          </cell>
          <cell r="G963" t="str">
            <v>20</v>
          </cell>
          <cell r="H963">
            <v>0</v>
          </cell>
        </row>
        <row r="964">
          <cell r="B964">
            <v>7364</v>
          </cell>
          <cell r="C964" t="str">
            <v>McIntire; Robert Joe</v>
          </cell>
          <cell r="D964" t="str">
            <v>1</v>
          </cell>
          <cell r="E964" t="str">
            <v>IBEWOUT</v>
          </cell>
          <cell r="F964" t="str">
            <v>47</v>
          </cell>
          <cell r="G964" t="str">
            <v>1</v>
          </cell>
          <cell r="H964">
            <v>1</v>
          </cell>
        </row>
        <row r="965">
          <cell r="B965">
            <v>7367</v>
          </cell>
          <cell r="C965" t="str">
            <v>McInnes; Charles B</v>
          </cell>
          <cell r="D965" t="str">
            <v>1</v>
          </cell>
          <cell r="E965" t="str">
            <v/>
          </cell>
          <cell r="F965" t="str">
            <v/>
          </cell>
          <cell r="G965" t="str">
            <v/>
          </cell>
          <cell r="H965">
            <v>0</v>
          </cell>
        </row>
        <row r="966">
          <cell r="B966">
            <v>7385</v>
          </cell>
          <cell r="C966" t="str">
            <v>McNally; Sean T</v>
          </cell>
          <cell r="D966" t="str">
            <v>1C</v>
          </cell>
          <cell r="E966" t="str">
            <v>IBEWOUT</v>
          </cell>
          <cell r="F966" t="str">
            <v>47</v>
          </cell>
          <cell r="G966" t="str">
            <v>8</v>
          </cell>
          <cell r="H966">
            <v>0</v>
          </cell>
        </row>
        <row r="967">
          <cell r="B967">
            <v>7388</v>
          </cell>
          <cell r="C967" t="str">
            <v>McNiven; Kirk F</v>
          </cell>
          <cell r="D967" t="str">
            <v>1C</v>
          </cell>
          <cell r="E967" t="str">
            <v>IBEWOUT</v>
          </cell>
          <cell r="F967" t="str">
            <v>1245</v>
          </cell>
          <cell r="G967" t="str">
            <v>8</v>
          </cell>
          <cell r="H967">
            <v>0</v>
          </cell>
        </row>
        <row r="968">
          <cell r="B968">
            <v>7390</v>
          </cell>
          <cell r="C968" t="str">
            <v>McManus; Jessie E</v>
          </cell>
          <cell r="D968" t="str">
            <v>1C</v>
          </cell>
          <cell r="E968" t="str">
            <v>IBEWOUT</v>
          </cell>
          <cell r="F968" t="str">
            <v>1245</v>
          </cell>
          <cell r="G968" t="str">
            <v>9</v>
          </cell>
          <cell r="H968">
            <v>0</v>
          </cell>
        </row>
        <row r="969">
          <cell r="B969">
            <v>7391</v>
          </cell>
          <cell r="C969" t="str">
            <v>McPhail; Matthew P</v>
          </cell>
          <cell r="D969" t="str">
            <v>1C</v>
          </cell>
          <cell r="E969" t="str">
            <v>IBEWOUT</v>
          </cell>
          <cell r="F969" t="str">
            <v>1245</v>
          </cell>
          <cell r="G969" t="str">
            <v>8</v>
          </cell>
          <cell r="H969">
            <v>0</v>
          </cell>
        </row>
        <row r="970">
          <cell r="B970">
            <v>7392</v>
          </cell>
          <cell r="C970" t="str">
            <v>McKinley; Don R</v>
          </cell>
          <cell r="D970" t="str">
            <v>1</v>
          </cell>
          <cell r="E970" t="str">
            <v>IBEWOUT</v>
          </cell>
          <cell r="F970" t="str">
            <v>1245</v>
          </cell>
          <cell r="G970" t="str">
            <v>7</v>
          </cell>
          <cell r="H970">
            <v>0</v>
          </cell>
        </row>
        <row r="971">
          <cell r="B971">
            <v>7394</v>
          </cell>
          <cell r="C971" t="str">
            <v>McPherson; Martin L</v>
          </cell>
          <cell r="D971" t="str">
            <v>1C</v>
          </cell>
          <cell r="E971" t="str">
            <v/>
          </cell>
          <cell r="F971" t="str">
            <v/>
          </cell>
          <cell r="G971" t="str">
            <v/>
          </cell>
          <cell r="H971">
            <v>0</v>
          </cell>
        </row>
        <row r="972">
          <cell r="B972">
            <v>7397</v>
          </cell>
          <cell r="C972" t="str">
            <v>McLaughlin; Craig E</v>
          </cell>
          <cell r="D972" t="str">
            <v>1</v>
          </cell>
          <cell r="E972" t="str">
            <v>IBEWOUT</v>
          </cell>
          <cell r="F972" t="str">
            <v>47</v>
          </cell>
          <cell r="G972" t="str">
            <v>8</v>
          </cell>
          <cell r="H972">
            <v>0</v>
          </cell>
        </row>
        <row r="973">
          <cell r="B973">
            <v>7450</v>
          </cell>
          <cell r="C973" t="str">
            <v>McWhorter II; Gary R</v>
          </cell>
          <cell r="D973" t="str">
            <v>1C</v>
          </cell>
          <cell r="E973" t="str">
            <v>IBEWOUT</v>
          </cell>
          <cell r="F973" t="str">
            <v>769</v>
          </cell>
          <cell r="G973" t="str">
            <v>8</v>
          </cell>
          <cell r="H973">
            <v>0</v>
          </cell>
        </row>
        <row r="974">
          <cell r="B974">
            <v>7451</v>
          </cell>
          <cell r="C974" t="str">
            <v>McMillan; Tracy</v>
          </cell>
          <cell r="D974" t="str">
            <v>1</v>
          </cell>
          <cell r="E974" t="str">
            <v>IBEWOUT</v>
          </cell>
          <cell r="F974" t="str">
            <v>47</v>
          </cell>
          <cell r="G974" t="str">
            <v>8</v>
          </cell>
          <cell r="H974">
            <v>0</v>
          </cell>
        </row>
        <row r="975">
          <cell r="B975">
            <v>7452</v>
          </cell>
          <cell r="C975" t="str">
            <v>McRae; Corey J</v>
          </cell>
          <cell r="D975" t="str">
            <v>1</v>
          </cell>
          <cell r="E975" t="str">
            <v>IBEWOUT</v>
          </cell>
          <cell r="F975" t="str">
            <v>77</v>
          </cell>
          <cell r="G975" t="str">
            <v>8</v>
          </cell>
          <cell r="H975">
            <v>0</v>
          </cell>
        </row>
        <row r="976">
          <cell r="B976">
            <v>7474</v>
          </cell>
          <cell r="C976" t="str">
            <v>Del Medico; Trevor L</v>
          </cell>
          <cell r="D976" t="str">
            <v>1</v>
          </cell>
          <cell r="E976" t="str">
            <v>IBEWOUT</v>
          </cell>
          <cell r="F976" t="str">
            <v>77</v>
          </cell>
          <cell r="G976" t="str">
            <v>8</v>
          </cell>
          <cell r="H976">
            <v>0</v>
          </cell>
        </row>
        <row r="977">
          <cell r="B977">
            <v>7475</v>
          </cell>
          <cell r="C977" t="str">
            <v>Medina; Juan M</v>
          </cell>
          <cell r="D977" t="str">
            <v>1</v>
          </cell>
          <cell r="E977" t="str">
            <v/>
          </cell>
          <cell r="F977" t="str">
            <v/>
          </cell>
          <cell r="G977" t="str">
            <v/>
          </cell>
          <cell r="H977">
            <v>0</v>
          </cell>
        </row>
        <row r="978">
          <cell r="B978">
            <v>7477</v>
          </cell>
          <cell r="C978" t="str">
            <v>Medrano; Uriel A</v>
          </cell>
          <cell r="D978" t="str">
            <v>1C</v>
          </cell>
          <cell r="E978" t="str">
            <v>IBEWOUT</v>
          </cell>
          <cell r="F978" t="str">
            <v>77</v>
          </cell>
          <cell r="G978" t="str">
            <v>8</v>
          </cell>
          <cell r="H978">
            <v>0</v>
          </cell>
        </row>
        <row r="979">
          <cell r="B979">
            <v>7481</v>
          </cell>
          <cell r="C979" t="str">
            <v>Meeks; Terry N</v>
          </cell>
          <cell r="D979" t="str">
            <v>1C</v>
          </cell>
          <cell r="E979" t="str">
            <v>IBEWOUT</v>
          </cell>
          <cell r="F979" t="str">
            <v>602R</v>
          </cell>
          <cell r="G979" t="str">
            <v>8</v>
          </cell>
          <cell r="H979">
            <v>0</v>
          </cell>
        </row>
        <row r="980">
          <cell r="B980">
            <v>7488</v>
          </cell>
          <cell r="C980" t="str">
            <v>Merritt; Bryan Thomas</v>
          </cell>
          <cell r="D980" t="str">
            <v>1C</v>
          </cell>
          <cell r="E980" t="str">
            <v>IBEWOUT</v>
          </cell>
          <cell r="F980" t="str">
            <v>769</v>
          </cell>
          <cell r="G980" t="str">
            <v>22</v>
          </cell>
          <cell r="H980">
            <v>0</v>
          </cell>
        </row>
        <row r="981">
          <cell r="B981">
            <v>7489</v>
          </cell>
          <cell r="C981" t="str">
            <v>Melanson; Peter E</v>
          </cell>
          <cell r="D981" t="str">
            <v>1C</v>
          </cell>
          <cell r="E981" t="str">
            <v>IBEWOUT</v>
          </cell>
          <cell r="F981" t="str">
            <v>1049</v>
          </cell>
          <cell r="G981" t="str">
            <v>7</v>
          </cell>
          <cell r="H981">
            <v>0</v>
          </cell>
        </row>
        <row r="982">
          <cell r="B982">
            <v>7490</v>
          </cell>
          <cell r="C982" t="str">
            <v>Meyer; Kristopher A</v>
          </cell>
          <cell r="D982" t="str">
            <v>1C</v>
          </cell>
          <cell r="E982" t="str">
            <v>IBEWOUT</v>
          </cell>
          <cell r="F982" t="str">
            <v>611</v>
          </cell>
          <cell r="G982" t="str">
            <v>18</v>
          </cell>
          <cell r="H982">
            <v>0</v>
          </cell>
        </row>
        <row r="983">
          <cell r="B983">
            <v>7492</v>
          </cell>
          <cell r="C983" t="str">
            <v>Mejia; Armando T</v>
          </cell>
          <cell r="D983" t="str">
            <v>1C</v>
          </cell>
          <cell r="E983" t="str">
            <v>IBEWOUT</v>
          </cell>
          <cell r="F983" t="str">
            <v>47</v>
          </cell>
          <cell r="G983" t="str">
            <v>17</v>
          </cell>
          <cell r="H983">
            <v>0</v>
          </cell>
        </row>
        <row r="984">
          <cell r="B984">
            <v>7497</v>
          </cell>
          <cell r="C984" t="str">
            <v>Mendez; Richard M</v>
          </cell>
          <cell r="D984" t="str">
            <v>1C</v>
          </cell>
          <cell r="E984" t="str">
            <v>IBEWOUT</v>
          </cell>
          <cell r="F984" t="str">
            <v>611</v>
          </cell>
          <cell r="G984" t="str">
            <v>14</v>
          </cell>
          <cell r="H984">
            <v>0</v>
          </cell>
        </row>
        <row r="985">
          <cell r="B985">
            <v>7498</v>
          </cell>
          <cell r="C985" t="str">
            <v>Mendoza; Felipe A</v>
          </cell>
          <cell r="D985" t="str">
            <v>1C</v>
          </cell>
          <cell r="E985" t="str">
            <v>IBEWOUT</v>
          </cell>
          <cell r="F985" t="str">
            <v>1245</v>
          </cell>
          <cell r="G985" t="str">
            <v>7</v>
          </cell>
          <cell r="H985">
            <v>0</v>
          </cell>
        </row>
        <row r="986">
          <cell r="B986">
            <v>7508</v>
          </cell>
          <cell r="C986" t="str">
            <v>Meek; Robert F.</v>
          </cell>
          <cell r="D986" t="str">
            <v>1</v>
          </cell>
          <cell r="E986" t="str">
            <v/>
          </cell>
          <cell r="F986" t="str">
            <v/>
          </cell>
          <cell r="G986" t="str">
            <v/>
          </cell>
          <cell r="H986">
            <v>1</v>
          </cell>
        </row>
        <row r="987">
          <cell r="B987">
            <v>7509</v>
          </cell>
          <cell r="C987" t="str">
            <v>Merlino; Philip M</v>
          </cell>
          <cell r="D987" t="str">
            <v>1C</v>
          </cell>
          <cell r="E987" t="str">
            <v>IBEWOUT</v>
          </cell>
          <cell r="F987" t="str">
            <v>47</v>
          </cell>
          <cell r="G987" t="str">
            <v>8</v>
          </cell>
          <cell r="H987">
            <v>0</v>
          </cell>
        </row>
        <row r="988">
          <cell r="B988">
            <v>7511</v>
          </cell>
          <cell r="C988" t="str">
            <v>Rojas Merino; Reynier</v>
          </cell>
          <cell r="D988" t="str">
            <v>1C</v>
          </cell>
          <cell r="E988" t="str">
            <v>IBEWOUT</v>
          </cell>
          <cell r="F988" t="str">
            <v>1245</v>
          </cell>
          <cell r="G988" t="str">
            <v>8</v>
          </cell>
          <cell r="H988">
            <v>0</v>
          </cell>
        </row>
        <row r="989">
          <cell r="B989">
            <v>7530</v>
          </cell>
          <cell r="C989" t="str">
            <v>Mendoza; Christopher G</v>
          </cell>
          <cell r="D989" t="str">
            <v>1C</v>
          </cell>
          <cell r="E989" t="str">
            <v>IBEWOUT</v>
          </cell>
          <cell r="F989" t="str">
            <v>769</v>
          </cell>
          <cell r="G989" t="str">
            <v>9</v>
          </cell>
          <cell r="H989">
            <v>0</v>
          </cell>
        </row>
        <row r="990">
          <cell r="B990">
            <v>7536</v>
          </cell>
          <cell r="C990" t="str">
            <v>Myklejord; Vance D</v>
          </cell>
          <cell r="D990" t="str">
            <v>1C</v>
          </cell>
          <cell r="E990" t="str">
            <v>IBEWOUT</v>
          </cell>
          <cell r="F990" t="str">
            <v>160</v>
          </cell>
          <cell r="G990" t="str">
            <v>22</v>
          </cell>
          <cell r="H990">
            <v>0</v>
          </cell>
        </row>
        <row r="991">
          <cell r="B991">
            <v>7537</v>
          </cell>
          <cell r="C991" t="str">
            <v>Mickelsen; Matthew R</v>
          </cell>
          <cell r="D991" t="str">
            <v>1C</v>
          </cell>
          <cell r="E991" t="str">
            <v>IBEWOUT</v>
          </cell>
          <cell r="F991" t="str">
            <v>1245</v>
          </cell>
          <cell r="G991" t="str">
            <v>14</v>
          </cell>
          <cell r="H991">
            <v>0</v>
          </cell>
        </row>
        <row r="992">
          <cell r="B992">
            <v>7539</v>
          </cell>
          <cell r="C992" t="str">
            <v>Mendoza; Mathew B</v>
          </cell>
          <cell r="D992" t="str">
            <v>1</v>
          </cell>
          <cell r="E992" t="str">
            <v>IBEWOUT</v>
          </cell>
          <cell r="F992" t="str">
            <v>47</v>
          </cell>
          <cell r="G992" t="str">
            <v>17</v>
          </cell>
          <cell r="H992">
            <v>0</v>
          </cell>
        </row>
        <row r="993">
          <cell r="B993">
            <v>7548</v>
          </cell>
          <cell r="C993" t="str">
            <v>Miller; Adam L</v>
          </cell>
          <cell r="D993" t="str">
            <v>1C</v>
          </cell>
          <cell r="E993" t="str">
            <v>IBEWOUT</v>
          </cell>
          <cell r="F993" t="str">
            <v>1245</v>
          </cell>
          <cell r="G993" t="str">
            <v>8</v>
          </cell>
          <cell r="H993">
            <v>0</v>
          </cell>
        </row>
        <row r="994">
          <cell r="B994">
            <v>7549</v>
          </cell>
          <cell r="C994" t="str">
            <v>Miller; Dustin W</v>
          </cell>
          <cell r="D994" t="str">
            <v>1C</v>
          </cell>
          <cell r="E994" t="str">
            <v>IBEWOUT</v>
          </cell>
          <cell r="F994" t="str">
            <v>769</v>
          </cell>
          <cell r="G994" t="str">
            <v>22</v>
          </cell>
          <cell r="H994">
            <v>0</v>
          </cell>
        </row>
        <row r="995">
          <cell r="B995">
            <v>7551</v>
          </cell>
          <cell r="C995" t="str">
            <v>Miller; Jeremiah David</v>
          </cell>
          <cell r="D995" t="str">
            <v>1C</v>
          </cell>
          <cell r="E995" t="str">
            <v>IBEWOUT</v>
          </cell>
          <cell r="F995" t="str">
            <v>1245</v>
          </cell>
          <cell r="G995" t="str">
            <v>8</v>
          </cell>
          <cell r="H995">
            <v>0</v>
          </cell>
        </row>
        <row r="996">
          <cell r="B996">
            <v>7552</v>
          </cell>
          <cell r="C996" t="str">
            <v>Miller; Casey S</v>
          </cell>
          <cell r="D996" t="str">
            <v>1</v>
          </cell>
          <cell r="E996" t="str">
            <v/>
          </cell>
          <cell r="F996" t="str">
            <v/>
          </cell>
          <cell r="G996" t="str">
            <v/>
          </cell>
          <cell r="H996">
            <v>0</v>
          </cell>
        </row>
        <row r="997">
          <cell r="B997">
            <v>7554</v>
          </cell>
          <cell r="C997" t="str">
            <v>Miller; Kyle A</v>
          </cell>
          <cell r="D997" t="str">
            <v>1</v>
          </cell>
          <cell r="E997" t="str">
            <v/>
          </cell>
          <cell r="F997" t="str">
            <v/>
          </cell>
          <cell r="G997" t="str">
            <v/>
          </cell>
          <cell r="H997">
            <v>0</v>
          </cell>
        </row>
        <row r="998">
          <cell r="B998">
            <v>7564</v>
          </cell>
          <cell r="C998" t="str">
            <v>Mitcham; Kenneth Christopher</v>
          </cell>
          <cell r="D998" t="str">
            <v>1</v>
          </cell>
          <cell r="E998" t="str">
            <v>IBEWOUT</v>
          </cell>
          <cell r="F998" t="str">
            <v>769</v>
          </cell>
          <cell r="G998" t="str">
            <v>7</v>
          </cell>
          <cell r="H998">
            <v>0</v>
          </cell>
        </row>
        <row r="999">
          <cell r="B999">
            <v>7568</v>
          </cell>
          <cell r="C999" t="str">
            <v>Miller; Justin</v>
          </cell>
          <cell r="D999" t="str">
            <v>1C</v>
          </cell>
          <cell r="E999" t="str">
            <v>IBEWOUT</v>
          </cell>
          <cell r="F999" t="str">
            <v>769</v>
          </cell>
          <cell r="G999" t="str">
            <v>8</v>
          </cell>
          <cell r="H999">
            <v>0</v>
          </cell>
        </row>
        <row r="1000">
          <cell r="B1000">
            <v>7573</v>
          </cell>
          <cell r="C1000" t="str">
            <v>Mirick; Quinn J</v>
          </cell>
          <cell r="D1000" t="str">
            <v>1C</v>
          </cell>
          <cell r="E1000" t="str">
            <v>IBEWOUT</v>
          </cell>
          <cell r="F1000" t="str">
            <v>125</v>
          </cell>
          <cell r="G1000" t="str">
            <v>13</v>
          </cell>
          <cell r="H1000">
            <v>0</v>
          </cell>
        </row>
        <row r="1001">
          <cell r="B1001">
            <v>7579</v>
          </cell>
          <cell r="C1001" t="str">
            <v>Mijal; Maxwell L</v>
          </cell>
          <cell r="D1001" t="str">
            <v>1C</v>
          </cell>
          <cell r="E1001" t="str">
            <v>IBEWOUT</v>
          </cell>
          <cell r="F1001" t="str">
            <v>1319</v>
          </cell>
          <cell r="G1001" t="str">
            <v>12</v>
          </cell>
          <cell r="H1001">
            <v>0</v>
          </cell>
        </row>
        <row r="1002">
          <cell r="B1002">
            <v>7580</v>
          </cell>
          <cell r="C1002" t="str">
            <v>Milovich; Elliot P</v>
          </cell>
          <cell r="D1002" t="str">
            <v>1</v>
          </cell>
          <cell r="E1002" t="str">
            <v>IBEWOUT</v>
          </cell>
          <cell r="F1002" t="str">
            <v>70</v>
          </cell>
          <cell r="G1002" t="str">
            <v>16</v>
          </cell>
          <cell r="H1002">
            <v>0</v>
          </cell>
        </row>
        <row r="1003">
          <cell r="B1003">
            <v>7583</v>
          </cell>
          <cell r="C1003" t="str">
            <v>Minor; Laurence Tipton</v>
          </cell>
          <cell r="D1003" t="str">
            <v>1C</v>
          </cell>
          <cell r="E1003" t="str">
            <v>IBEWOUT</v>
          </cell>
          <cell r="F1003" t="str">
            <v>769</v>
          </cell>
          <cell r="G1003" t="str">
            <v>20</v>
          </cell>
          <cell r="H1003">
            <v>0</v>
          </cell>
        </row>
        <row r="1004">
          <cell r="B1004">
            <v>7588</v>
          </cell>
          <cell r="C1004" t="str">
            <v>Miller; Ronald I</v>
          </cell>
          <cell r="D1004" t="str">
            <v>1C</v>
          </cell>
          <cell r="E1004" t="str">
            <v>IBEWOUT</v>
          </cell>
          <cell r="F1004" t="str">
            <v>126</v>
          </cell>
          <cell r="G1004" t="str">
            <v>16</v>
          </cell>
          <cell r="H1004">
            <v>0</v>
          </cell>
        </row>
        <row r="1005">
          <cell r="B1005">
            <v>7590</v>
          </cell>
          <cell r="C1005" t="str">
            <v>Mills; Daniel K</v>
          </cell>
          <cell r="D1005" t="str">
            <v>1C</v>
          </cell>
          <cell r="E1005" t="str">
            <v>IBEWOUT</v>
          </cell>
          <cell r="F1005" t="str">
            <v>1245</v>
          </cell>
          <cell r="G1005" t="str">
            <v>8</v>
          </cell>
          <cell r="H1005">
            <v>0</v>
          </cell>
        </row>
        <row r="1006">
          <cell r="B1006">
            <v>7593</v>
          </cell>
          <cell r="C1006" t="str">
            <v>Mkrtchyan; Joseph J</v>
          </cell>
          <cell r="D1006" t="str">
            <v>1C</v>
          </cell>
          <cell r="E1006" t="str">
            <v>IBEWOUT</v>
          </cell>
          <cell r="F1006" t="str">
            <v>1245</v>
          </cell>
          <cell r="G1006" t="str">
            <v>12</v>
          </cell>
          <cell r="H1006">
            <v>0</v>
          </cell>
        </row>
        <row r="1007">
          <cell r="B1007">
            <v>7678</v>
          </cell>
          <cell r="C1007" t="str">
            <v>Mogensen; Royce M</v>
          </cell>
          <cell r="D1007" t="str">
            <v>1C</v>
          </cell>
          <cell r="E1007" t="str">
            <v>IBEWOUT</v>
          </cell>
          <cell r="F1007" t="str">
            <v>47</v>
          </cell>
          <cell r="G1007" t="str">
            <v>8</v>
          </cell>
          <cell r="H1007">
            <v>0</v>
          </cell>
        </row>
        <row r="1008">
          <cell r="B1008">
            <v>7679</v>
          </cell>
          <cell r="C1008" t="str">
            <v>Mohr; Shawn L</v>
          </cell>
          <cell r="D1008" t="str">
            <v>1C</v>
          </cell>
          <cell r="E1008" t="str">
            <v>IBEWOUT</v>
          </cell>
          <cell r="F1008" t="str">
            <v>1245</v>
          </cell>
          <cell r="G1008" t="str">
            <v>12</v>
          </cell>
          <cell r="H1008">
            <v>0</v>
          </cell>
        </row>
        <row r="1009">
          <cell r="B1009">
            <v>7680</v>
          </cell>
          <cell r="C1009" t="str">
            <v>Mohamed; Jamil F.</v>
          </cell>
          <cell r="D1009" t="str">
            <v>1C</v>
          </cell>
          <cell r="E1009" t="str">
            <v>IBEWOUT</v>
          </cell>
          <cell r="F1009" t="str">
            <v>1245</v>
          </cell>
          <cell r="G1009" t="str">
            <v>60</v>
          </cell>
          <cell r="H1009">
            <v>0</v>
          </cell>
        </row>
        <row r="1010">
          <cell r="B1010">
            <v>7685</v>
          </cell>
          <cell r="C1010" t="str">
            <v>Molina; Manuel B</v>
          </cell>
          <cell r="D1010" t="str">
            <v>1C</v>
          </cell>
          <cell r="E1010" t="str">
            <v>IBEWOUT</v>
          </cell>
          <cell r="F1010" t="str">
            <v>47</v>
          </cell>
          <cell r="G1010" t="str">
            <v>16</v>
          </cell>
          <cell r="H1010">
            <v>0</v>
          </cell>
        </row>
        <row r="1011">
          <cell r="B1011">
            <v>7697</v>
          </cell>
          <cell r="C1011" t="str">
            <v>Montanelli; Ryan D</v>
          </cell>
          <cell r="D1011" t="str">
            <v>1C</v>
          </cell>
          <cell r="E1011" t="str">
            <v>IBEWOUT</v>
          </cell>
          <cell r="F1011" t="str">
            <v>602R</v>
          </cell>
          <cell r="G1011" t="str">
            <v>14T</v>
          </cell>
          <cell r="H1011">
            <v>0</v>
          </cell>
        </row>
        <row r="1012">
          <cell r="B1012">
            <v>7699</v>
          </cell>
          <cell r="C1012" t="str">
            <v>Monti; Kevin E.</v>
          </cell>
          <cell r="D1012" t="str">
            <v>1C</v>
          </cell>
          <cell r="E1012" t="str">
            <v>IBEWOUT</v>
          </cell>
          <cell r="F1012" t="str">
            <v>47</v>
          </cell>
          <cell r="G1012" t="str">
            <v>8</v>
          </cell>
          <cell r="H1012">
            <v>0</v>
          </cell>
        </row>
        <row r="1013">
          <cell r="B1013">
            <v>7700</v>
          </cell>
          <cell r="C1013" t="str">
            <v>Montgomery; Tenny</v>
          </cell>
          <cell r="D1013" t="str">
            <v>1C</v>
          </cell>
          <cell r="E1013" t="str">
            <v/>
          </cell>
          <cell r="F1013" t="str">
            <v/>
          </cell>
          <cell r="G1013" t="str">
            <v/>
          </cell>
          <cell r="H1013">
            <v>0</v>
          </cell>
        </row>
        <row r="1014">
          <cell r="B1014">
            <v>7734</v>
          </cell>
          <cell r="C1014" t="str">
            <v>Moody; Collin J</v>
          </cell>
          <cell r="D1014" t="str">
            <v>1</v>
          </cell>
          <cell r="E1014" t="str">
            <v>IBEWOUT</v>
          </cell>
          <cell r="F1014" t="str">
            <v>77</v>
          </cell>
          <cell r="G1014" t="str">
            <v>8</v>
          </cell>
          <cell r="H1014">
            <v>0</v>
          </cell>
        </row>
        <row r="1015">
          <cell r="B1015">
            <v>7736</v>
          </cell>
          <cell r="C1015" t="str">
            <v>Moody; Garrett E.</v>
          </cell>
          <cell r="D1015" t="str">
            <v>1</v>
          </cell>
          <cell r="E1015" t="str">
            <v>IBEWOUT</v>
          </cell>
          <cell r="F1015" t="str">
            <v>77</v>
          </cell>
          <cell r="G1015" t="str">
            <v>8</v>
          </cell>
          <cell r="H1015">
            <v>0</v>
          </cell>
        </row>
        <row r="1016">
          <cell r="B1016">
            <v>7738</v>
          </cell>
          <cell r="C1016" t="str">
            <v>Moody; Bryan Edward</v>
          </cell>
          <cell r="D1016" t="str">
            <v>1</v>
          </cell>
          <cell r="E1016" t="str">
            <v>IBEWOUT</v>
          </cell>
          <cell r="F1016" t="str">
            <v>77</v>
          </cell>
          <cell r="G1016" t="str">
            <v>1</v>
          </cell>
          <cell r="H1016">
            <v>1</v>
          </cell>
        </row>
        <row r="1017">
          <cell r="B1017">
            <v>7740</v>
          </cell>
          <cell r="C1017" t="str">
            <v>Moore; Elmer L.</v>
          </cell>
          <cell r="D1017" t="str">
            <v>1C</v>
          </cell>
          <cell r="E1017" t="str">
            <v>IBEWOUT</v>
          </cell>
          <cell r="F1017" t="str">
            <v>47</v>
          </cell>
          <cell r="G1017" t="str">
            <v>8</v>
          </cell>
          <cell r="H1017">
            <v>0</v>
          </cell>
        </row>
        <row r="1018">
          <cell r="B1018">
            <v>7741</v>
          </cell>
          <cell r="C1018" t="str">
            <v>Moore; George E</v>
          </cell>
          <cell r="D1018" t="str">
            <v>1C</v>
          </cell>
          <cell r="E1018" t="str">
            <v>IBEWOUT</v>
          </cell>
          <cell r="F1018" t="str">
            <v>1245</v>
          </cell>
          <cell r="G1018" t="str">
            <v>14</v>
          </cell>
          <cell r="H1018">
            <v>0</v>
          </cell>
        </row>
        <row r="1019">
          <cell r="B1019">
            <v>7753</v>
          </cell>
          <cell r="C1019" t="str">
            <v>Moore; John Edward</v>
          </cell>
          <cell r="D1019" t="str">
            <v>1C</v>
          </cell>
          <cell r="E1019" t="str">
            <v>IBEWOUT</v>
          </cell>
          <cell r="F1019" t="str">
            <v>77</v>
          </cell>
          <cell r="G1019" t="str">
            <v>16</v>
          </cell>
          <cell r="H1019">
            <v>0</v>
          </cell>
        </row>
        <row r="1020">
          <cell r="B1020">
            <v>7754</v>
          </cell>
          <cell r="C1020" t="str">
            <v>Moore; Corey S</v>
          </cell>
          <cell r="D1020" t="str">
            <v>1C</v>
          </cell>
          <cell r="E1020" t="str">
            <v/>
          </cell>
          <cell r="F1020" t="str">
            <v/>
          </cell>
          <cell r="G1020" t="str">
            <v/>
          </cell>
          <cell r="H1020">
            <v>1</v>
          </cell>
        </row>
        <row r="1021">
          <cell r="B1021">
            <v>7757</v>
          </cell>
          <cell r="C1021" t="str">
            <v>Moore; Stephen W.</v>
          </cell>
          <cell r="D1021" t="str">
            <v>1C</v>
          </cell>
          <cell r="E1021" t="str">
            <v>IBEWOUT</v>
          </cell>
          <cell r="F1021" t="str">
            <v>1245</v>
          </cell>
          <cell r="G1021" t="str">
            <v>8</v>
          </cell>
          <cell r="H1021">
            <v>0</v>
          </cell>
        </row>
        <row r="1022">
          <cell r="B1022">
            <v>7759</v>
          </cell>
          <cell r="C1022" t="str">
            <v>Moore; Timothy B</v>
          </cell>
          <cell r="D1022" t="str">
            <v>1C</v>
          </cell>
          <cell r="E1022" t="str">
            <v>IBEWOUT</v>
          </cell>
          <cell r="F1022" t="str">
            <v>126</v>
          </cell>
          <cell r="G1022" t="str">
            <v>33</v>
          </cell>
          <cell r="H1022">
            <v>0</v>
          </cell>
        </row>
        <row r="1023">
          <cell r="B1023">
            <v>7760</v>
          </cell>
          <cell r="C1023" t="str">
            <v>Moore Jr; Wesley</v>
          </cell>
          <cell r="D1023" t="str">
            <v>1C</v>
          </cell>
          <cell r="E1023" t="str">
            <v>IBEWOUT</v>
          </cell>
          <cell r="F1023" t="str">
            <v>396</v>
          </cell>
          <cell r="G1023" t="str">
            <v>21</v>
          </cell>
          <cell r="H1023">
            <v>0</v>
          </cell>
        </row>
        <row r="1024">
          <cell r="B1024">
            <v>7761</v>
          </cell>
          <cell r="C1024" t="str">
            <v>Moore; Connor R</v>
          </cell>
          <cell r="D1024" t="str">
            <v>1C</v>
          </cell>
          <cell r="E1024" t="str">
            <v>IBEWOUT</v>
          </cell>
          <cell r="F1024" t="str">
            <v>769</v>
          </cell>
          <cell r="G1024" t="str">
            <v>13</v>
          </cell>
          <cell r="H1024">
            <v>0</v>
          </cell>
        </row>
        <row r="1025">
          <cell r="B1025">
            <v>7800</v>
          </cell>
          <cell r="C1025" t="str">
            <v>Morales; Ariel</v>
          </cell>
          <cell r="D1025" t="str">
            <v>1C</v>
          </cell>
          <cell r="E1025" t="str">
            <v>IBEWOUT</v>
          </cell>
          <cell r="F1025" t="str">
            <v>47</v>
          </cell>
          <cell r="G1025" t="str">
            <v>17</v>
          </cell>
          <cell r="H1025">
            <v>0</v>
          </cell>
        </row>
        <row r="1026">
          <cell r="B1026">
            <v>7803</v>
          </cell>
          <cell r="C1026" t="str">
            <v>Moran; Javier</v>
          </cell>
          <cell r="D1026" t="str">
            <v>1C</v>
          </cell>
          <cell r="E1026" t="str">
            <v>IBEWOUT</v>
          </cell>
          <cell r="F1026" t="str">
            <v>47</v>
          </cell>
          <cell r="G1026" t="str">
            <v>8</v>
          </cell>
          <cell r="H1026">
            <v>0</v>
          </cell>
        </row>
        <row r="1027">
          <cell r="B1027">
            <v>7804</v>
          </cell>
          <cell r="C1027" t="str">
            <v>Moran; Jon B</v>
          </cell>
          <cell r="D1027" t="str">
            <v>1C</v>
          </cell>
          <cell r="E1027" t="str">
            <v>IBEWOUT</v>
          </cell>
          <cell r="F1027" t="str">
            <v>602R</v>
          </cell>
          <cell r="G1027" t="str">
            <v>15T</v>
          </cell>
          <cell r="H1027">
            <v>0</v>
          </cell>
        </row>
        <row r="1028">
          <cell r="B1028">
            <v>7806</v>
          </cell>
          <cell r="C1028" t="str">
            <v>Moranda; Justin S</v>
          </cell>
          <cell r="D1028" t="str">
            <v>1C</v>
          </cell>
          <cell r="E1028" t="str">
            <v>IBEWOUT</v>
          </cell>
          <cell r="F1028" t="str">
            <v>1245</v>
          </cell>
          <cell r="G1028" t="str">
            <v>9</v>
          </cell>
          <cell r="H1028">
            <v>0</v>
          </cell>
        </row>
        <row r="1029">
          <cell r="B1029">
            <v>7815</v>
          </cell>
          <cell r="C1029" t="str">
            <v>Moreno; Carlos</v>
          </cell>
          <cell r="D1029" t="str">
            <v>1C</v>
          </cell>
          <cell r="E1029" t="str">
            <v>IBEWOUT</v>
          </cell>
          <cell r="F1029" t="str">
            <v>47</v>
          </cell>
          <cell r="G1029" t="str">
            <v>8</v>
          </cell>
          <cell r="H1029">
            <v>0</v>
          </cell>
        </row>
        <row r="1030">
          <cell r="B1030">
            <v>7817</v>
          </cell>
          <cell r="C1030" t="str">
            <v>Moreno; Solomon I</v>
          </cell>
          <cell r="D1030" t="str">
            <v>1C</v>
          </cell>
          <cell r="E1030" t="str">
            <v>IBEWOUT</v>
          </cell>
          <cell r="F1030" t="str">
            <v>47</v>
          </cell>
          <cell r="G1030" t="str">
            <v>17</v>
          </cell>
          <cell r="H1030">
            <v>0</v>
          </cell>
        </row>
        <row r="1031">
          <cell r="B1031">
            <v>7819</v>
          </cell>
          <cell r="C1031" t="str">
            <v>Morey; Tod W</v>
          </cell>
          <cell r="D1031" t="str">
            <v>1</v>
          </cell>
          <cell r="E1031" t="str">
            <v/>
          </cell>
          <cell r="F1031" t="str">
            <v/>
          </cell>
          <cell r="G1031" t="str">
            <v/>
          </cell>
          <cell r="H1031">
            <v>0</v>
          </cell>
        </row>
        <row r="1032">
          <cell r="B1032">
            <v>7821</v>
          </cell>
          <cell r="C1032" t="str">
            <v>Morgan; Thomas J</v>
          </cell>
          <cell r="D1032" t="str">
            <v>1C</v>
          </cell>
          <cell r="E1032" t="str">
            <v>IBEWOUT</v>
          </cell>
          <cell r="F1032" t="str">
            <v>1319</v>
          </cell>
          <cell r="G1032" t="str">
            <v>13</v>
          </cell>
          <cell r="H1032">
            <v>0</v>
          </cell>
        </row>
        <row r="1033">
          <cell r="B1033">
            <v>7823</v>
          </cell>
          <cell r="C1033" t="str">
            <v>Morgan; Blaine D</v>
          </cell>
          <cell r="D1033" t="str">
            <v>1C</v>
          </cell>
          <cell r="E1033" t="str">
            <v>IBEWOUT</v>
          </cell>
          <cell r="F1033" t="str">
            <v>47</v>
          </cell>
          <cell r="G1033" t="str">
            <v>8</v>
          </cell>
          <cell r="H1033">
            <v>0</v>
          </cell>
        </row>
        <row r="1034">
          <cell r="B1034">
            <v>7825</v>
          </cell>
          <cell r="C1034" t="str">
            <v>Morgan; Ryan N</v>
          </cell>
          <cell r="D1034" t="str">
            <v>1C</v>
          </cell>
          <cell r="E1034" t="str">
            <v>IBEWOUT</v>
          </cell>
          <cell r="F1034" t="str">
            <v>47</v>
          </cell>
          <cell r="G1034" t="str">
            <v>8</v>
          </cell>
          <cell r="H1034">
            <v>0</v>
          </cell>
        </row>
        <row r="1035">
          <cell r="B1035">
            <v>7841</v>
          </cell>
          <cell r="C1035" t="str">
            <v>Morrow; Joshua K.</v>
          </cell>
          <cell r="D1035" t="str">
            <v>1C</v>
          </cell>
          <cell r="E1035" t="str">
            <v/>
          </cell>
          <cell r="F1035" t="str">
            <v/>
          </cell>
          <cell r="G1035" t="str">
            <v/>
          </cell>
          <cell r="H1035">
            <v>0</v>
          </cell>
        </row>
        <row r="1036">
          <cell r="B1036">
            <v>7842</v>
          </cell>
          <cell r="C1036" t="str">
            <v>Morton Jr.; Jeff P.</v>
          </cell>
          <cell r="D1036" t="str">
            <v>1C</v>
          </cell>
          <cell r="E1036" t="str">
            <v>IBEWOUT</v>
          </cell>
          <cell r="F1036" t="str">
            <v>47</v>
          </cell>
          <cell r="G1036" t="str">
            <v>8</v>
          </cell>
          <cell r="H1036">
            <v>0</v>
          </cell>
        </row>
        <row r="1037">
          <cell r="B1037">
            <v>7843</v>
          </cell>
          <cell r="C1037" t="str">
            <v>Morton; Zac R</v>
          </cell>
          <cell r="D1037" t="str">
            <v>1C</v>
          </cell>
          <cell r="E1037" t="str">
            <v>IBEWOUT</v>
          </cell>
          <cell r="F1037" t="str">
            <v>769</v>
          </cell>
          <cell r="G1037" t="str">
            <v>8</v>
          </cell>
          <cell r="H1037">
            <v>0</v>
          </cell>
        </row>
        <row r="1038">
          <cell r="B1038">
            <v>7844</v>
          </cell>
          <cell r="C1038" t="str">
            <v>Morton; Jess T.</v>
          </cell>
          <cell r="D1038" t="str">
            <v>1C</v>
          </cell>
          <cell r="E1038" t="str">
            <v>IBEWOUT</v>
          </cell>
          <cell r="F1038" t="str">
            <v>47</v>
          </cell>
          <cell r="G1038" t="str">
            <v>8</v>
          </cell>
          <cell r="H1038">
            <v>0</v>
          </cell>
        </row>
        <row r="1039">
          <cell r="B1039">
            <v>7845</v>
          </cell>
          <cell r="C1039" t="str">
            <v>Moser; Ted T</v>
          </cell>
          <cell r="D1039" t="str">
            <v>1C</v>
          </cell>
          <cell r="E1039" t="str">
            <v>IBEWOUT</v>
          </cell>
          <cell r="F1039" t="str">
            <v>77</v>
          </cell>
          <cell r="G1039" t="str">
            <v>8</v>
          </cell>
          <cell r="H1039">
            <v>0</v>
          </cell>
        </row>
        <row r="1040">
          <cell r="B1040">
            <v>7850</v>
          </cell>
          <cell r="C1040" t="str">
            <v>Morris; Nicholas L</v>
          </cell>
          <cell r="D1040" t="str">
            <v>1C</v>
          </cell>
          <cell r="E1040" t="str">
            <v>IBEWOUT</v>
          </cell>
          <cell r="F1040" t="str">
            <v>77</v>
          </cell>
          <cell r="G1040" t="str">
            <v>8</v>
          </cell>
          <cell r="H1040">
            <v>0</v>
          </cell>
        </row>
        <row r="1041">
          <cell r="B1041">
            <v>7851</v>
          </cell>
          <cell r="C1041" t="str">
            <v>Morris; Kurt A.</v>
          </cell>
          <cell r="D1041" t="str">
            <v>1C</v>
          </cell>
          <cell r="E1041" t="str">
            <v>IBEWOUT</v>
          </cell>
          <cell r="F1041" t="str">
            <v>1319</v>
          </cell>
          <cell r="G1041" t="str">
            <v>13</v>
          </cell>
          <cell r="H1041">
            <v>0</v>
          </cell>
        </row>
        <row r="1042">
          <cell r="B1042">
            <v>7852</v>
          </cell>
          <cell r="C1042" t="str">
            <v>Morrison; Brian A</v>
          </cell>
          <cell r="D1042" t="str">
            <v>1</v>
          </cell>
          <cell r="E1042" t="str">
            <v/>
          </cell>
          <cell r="F1042" t="str">
            <v/>
          </cell>
          <cell r="G1042" t="str">
            <v/>
          </cell>
          <cell r="H1042">
            <v>1</v>
          </cell>
        </row>
        <row r="1043">
          <cell r="B1043">
            <v>7867</v>
          </cell>
          <cell r="C1043" t="str">
            <v>Moua; Bee</v>
          </cell>
          <cell r="D1043" t="str">
            <v>1C</v>
          </cell>
          <cell r="E1043" t="str">
            <v>IBEWOUT</v>
          </cell>
          <cell r="F1043" t="str">
            <v>1245</v>
          </cell>
          <cell r="G1043" t="str">
            <v>60</v>
          </cell>
          <cell r="H1043">
            <v>0</v>
          </cell>
        </row>
        <row r="1044">
          <cell r="B1044">
            <v>7900</v>
          </cell>
          <cell r="C1044" t="str">
            <v>Mundy; Lorenzo M</v>
          </cell>
          <cell r="D1044" t="str">
            <v>1</v>
          </cell>
          <cell r="E1044" t="str">
            <v>IBEWOUT</v>
          </cell>
          <cell r="F1044" t="str">
            <v>47</v>
          </cell>
          <cell r="G1044" t="str">
            <v>8</v>
          </cell>
          <cell r="H1044">
            <v>0</v>
          </cell>
        </row>
        <row r="1045">
          <cell r="B1045">
            <v>7910</v>
          </cell>
          <cell r="C1045" t="str">
            <v>Murphy; James B</v>
          </cell>
          <cell r="D1045" t="str">
            <v>1C</v>
          </cell>
          <cell r="E1045" t="str">
            <v>IBEWOUT</v>
          </cell>
          <cell r="F1045" t="str">
            <v>1245</v>
          </cell>
          <cell r="G1045" t="str">
            <v>10</v>
          </cell>
          <cell r="H1045">
            <v>0</v>
          </cell>
        </row>
        <row r="1046">
          <cell r="B1046">
            <v>7916</v>
          </cell>
          <cell r="C1046" t="str">
            <v>Muse; Brian P</v>
          </cell>
          <cell r="D1046" t="str">
            <v>1C</v>
          </cell>
          <cell r="E1046" t="str">
            <v>IBEWOUT</v>
          </cell>
          <cell r="F1046" t="str">
            <v>104</v>
          </cell>
          <cell r="G1046" t="str">
            <v>8</v>
          </cell>
          <cell r="H1046">
            <v>0</v>
          </cell>
        </row>
        <row r="1047">
          <cell r="B1047">
            <v>7917</v>
          </cell>
          <cell r="C1047" t="str">
            <v>Murphy; Taylor M</v>
          </cell>
          <cell r="D1047" t="str">
            <v>1</v>
          </cell>
          <cell r="E1047" t="str">
            <v/>
          </cell>
          <cell r="F1047" t="str">
            <v/>
          </cell>
          <cell r="G1047" t="str">
            <v/>
          </cell>
          <cell r="H1047">
            <v>1</v>
          </cell>
        </row>
        <row r="1048">
          <cell r="B1048">
            <v>7919</v>
          </cell>
          <cell r="C1048" t="str">
            <v>Musgrove; Roy E</v>
          </cell>
          <cell r="D1048" t="str">
            <v>1C</v>
          </cell>
          <cell r="E1048" t="str">
            <v>IBEWOUT</v>
          </cell>
          <cell r="F1048" t="str">
            <v>396</v>
          </cell>
          <cell r="G1048" t="str">
            <v>8</v>
          </cell>
          <cell r="H1048">
            <v>0</v>
          </cell>
        </row>
        <row r="1049">
          <cell r="B1049">
            <v>7920</v>
          </cell>
          <cell r="C1049" t="str">
            <v>Murray; Byron Todd</v>
          </cell>
          <cell r="D1049" t="str">
            <v>1</v>
          </cell>
          <cell r="E1049" t="str">
            <v>IBEWOUT</v>
          </cell>
          <cell r="F1049" t="str">
            <v>125</v>
          </cell>
          <cell r="G1049" t="str">
            <v>33</v>
          </cell>
          <cell r="H1049">
            <v>0</v>
          </cell>
        </row>
        <row r="1050">
          <cell r="B1050">
            <v>7921</v>
          </cell>
          <cell r="C1050" t="str">
            <v>Murrell; Jimmie L</v>
          </cell>
          <cell r="D1050" t="str">
            <v>1C</v>
          </cell>
          <cell r="E1050" t="str">
            <v>IBEWOUT</v>
          </cell>
          <cell r="F1050" t="str">
            <v>1245</v>
          </cell>
          <cell r="G1050" t="str">
            <v>8</v>
          </cell>
          <cell r="H1050">
            <v>0</v>
          </cell>
        </row>
        <row r="1051">
          <cell r="B1051">
            <v>7931</v>
          </cell>
          <cell r="C1051" t="str">
            <v>Myers; Bradley T</v>
          </cell>
          <cell r="D1051" t="str">
            <v>1C</v>
          </cell>
          <cell r="E1051" t="str">
            <v>IBEWOUT</v>
          </cell>
          <cell r="F1051" t="str">
            <v>1245</v>
          </cell>
          <cell r="G1051" t="str">
            <v>8</v>
          </cell>
          <cell r="H1051">
            <v>0</v>
          </cell>
        </row>
        <row r="1052">
          <cell r="B1052">
            <v>7932</v>
          </cell>
          <cell r="C1052" t="str">
            <v>Myers; Craig L</v>
          </cell>
          <cell r="D1052" t="str">
            <v>1C</v>
          </cell>
          <cell r="E1052" t="str">
            <v>IBEWOUT</v>
          </cell>
          <cell r="F1052" t="str">
            <v>160</v>
          </cell>
          <cell r="G1052" t="str">
            <v>8</v>
          </cell>
          <cell r="H1052">
            <v>0</v>
          </cell>
        </row>
        <row r="1053">
          <cell r="B1053">
            <v>7933</v>
          </cell>
          <cell r="C1053" t="str">
            <v>Myers; Kyle A</v>
          </cell>
          <cell r="D1053" t="str">
            <v>1C</v>
          </cell>
          <cell r="E1053" t="str">
            <v>IBEWOUT</v>
          </cell>
          <cell r="F1053" t="str">
            <v>611</v>
          </cell>
          <cell r="G1053" t="str">
            <v>15</v>
          </cell>
          <cell r="H1053">
            <v>0</v>
          </cell>
        </row>
        <row r="1054">
          <cell r="B1054">
            <v>7935</v>
          </cell>
          <cell r="C1054" t="str">
            <v>Nail; Brandon C</v>
          </cell>
          <cell r="D1054" t="str">
            <v>1C</v>
          </cell>
          <cell r="E1054" t="str">
            <v>IBEWOUT</v>
          </cell>
          <cell r="F1054" t="str">
            <v>1245</v>
          </cell>
          <cell r="G1054" t="str">
            <v>17</v>
          </cell>
          <cell r="H1054">
            <v>0</v>
          </cell>
        </row>
        <row r="1055">
          <cell r="B1055">
            <v>7961</v>
          </cell>
          <cell r="C1055" t="str">
            <v>Nadzom; Bradley A.</v>
          </cell>
          <cell r="D1055" t="str">
            <v>1C</v>
          </cell>
          <cell r="E1055" t="str">
            <v>IBEWOUT</v>
          </cell>
          <cell r="F1055" t="str">
            <v>1319</v>
          </cell>
          <cell r="G1055" t="str">
            <v>8</v>
          </cell>
          <cell r="H1055">
            <v>0</v>
          </cell>
        </row>
        <row r="1056">
          <cell r="B1056">
            <v>8024</v>
          </cell>
          <cell r="C1056" t="str">
            <v>Naylor; Joel L</v>
          </cell>
          <cell r="D1056" t="str">
            <v>1C</v>
          </cell>
          <cell r="E1056" t="str">
            <v/>
          </cell>
          <cell r="F1056" t="str">
            <v/>
          </cell>
          <cell r="G1056" t="str">
            <v/>
          </cell>
          <cell r="H1056">
            <v>1</v>
          </cell>
        </row>
        <row r="1057">
          <cell r="B1057">
            <v>8025</v>
          </cell>
          <cell r="C1057" t="str">
            <v>Navarro; Daniel</v>
          </cell>
          <cell r="D1057" t="str">
            <v>1C</v>
          </cell>
          <cell r="E1057" t="str">
            <v>IBEWOUT</v>
          </cell>
          <cell r="F1057" t="str">
            <v>47</v>
          </cell>
          <cell r="G1057" t="str">
            <v>17</v>
          </cell>
          <cell r="H1057">
            <v>0</v>
          </cell>
        </row>
        <row r="1058">
          <cell r="B1058">
            <v>8026</v>
          </cell>
          <cell r="C1058" t="str">
            <v>Naylor; Joseph D</v>
          </cell>
          <cell r="D1058" t="str">
            <v>1C</v>
          </cell>
          <cell r="E1058" t="str">
            <v>IBEWOUT</v>
          </cell>
          <cell r="F1058" t="str">
            <v>1319</v>
          </cell>
          <cell r="G1058" t="str">
            <v>8</v>
          </cell>
          <cell r="H1058">
            <v>0</v>
          </cell>
        </row>
        <row r="1059">
          <cell r="B1059">
            <v>8027</v>
          </cell>
          <cell r="C1059" t="str">
            <v>Navarro; Michael D</v>
          </cell>
          <cell r="D1059" t="str">
            <v>1</v>
          </cell>
          <cell r="E1059" t="str">
            <v>IBEWOUT</v>
          </cell>
          <cell r="F1059" t="str">
            <v>47</v>
          </cell>
          <cell r="G1059" t="str">
            <v>16</v>
          </cell>
          <cell r="H1059">
            <v>0</v>
          </cell>
        </row>
        <row r="1060">
          <cell r="B1060">
            <v>8040</v>
          </cell>
          <cell r="C1060" t="str">
            <v>Nearhood; William J</v>
          </cell>
          <cell r="D1060" t="str">
            <v>1C</v>
          </cell>
          <cell r="E1060" t="str">
            <v>IBEWOUT</v>
          </cell>
          <cell r="F1060" t="str">
            <v>126</v>
          </cell>
          <cell r="G1060" t="str">
            <v>8</v>
          </cell>
          <cell r="H1060">
            <v>0</v>
          </cell>
        </row>
        <row r="1061">
          <cell r="B1061">
            <v>8041</v>
          </cell>
          <cell r="C1061" t="str">
            <v>Nease; Jeffrey B.</v>
          </cell>
          <cell r="D1061" t="str">
            <v>1C</v>
          </cell>
          <cell r="E1061" t="str">
            <v/>
          </cell>
          <cell r="F1061" t="str">
            <v/>
          </cell>
          <cell r="G1061" t="str">
            <v/>
          </cell>
          <cell r="H1061">
            <v>1</v>
          </cell>
        </row>
        <row r="1062">
          <cell r="B1062">
            <v>8043</v>
          </cell>
          <cell r="C1062" t="str">
            <v>Neace; Shane D</v>
          </cell>
          <cell r="D1062" t="str">
            <v>1C</v>
          </cell>
          <cell r="E1062" t="str">
            <v>IBEWOUT</v>
          </cell>
          <cell r="F1062" t="str">
            <v>1245</v>
          </cell>
          <cell r="G1062" t="str">
            <v>8</v>
          </cell>
          <cell r="H1062">
            <v>0</v>
          </cell>
        </row>
        <row r="1063">
          <cell r="B1063">
            <v>8046</v>
          </cell>
          <cell r="C1063" t="str">
            <v>Nelson; Daniel E</v>
          </cell>
          <cell r="D1063" t="str">
            <v>1C</v>
          </cell>
          <cell r="E1063" t="str">
            <v>IBEWOUT</v>
          </cell>
          <cell r="F1063" t="str">
            <v>1245</v>
          </cell>
          <cell r="G1063" t="str">
            <v>12</v>
          </cell>
          <cell r="H1063">
            <v>0</v>
          </cell>
        </row>
        <row r="1064">
          <cell r="B1064">
            <v>8047</v>
          </cell>
          <cell r="C1064" t="str">
            <v>Nelson Jr; Donald C</v>
          </cell>
          <cell r="D1064" t="str">
            <v>1C</v>
          </cell>
          <cell r="E1064" t="str">
            <v>IBEWOUT</v>
          </cell>
          <cell r="F1064" t="str">
            <v>77</v>
          </cell>
          <cell r="G1064" t="str">
            <v>15</v>
          </cell>
          <cell r="H1064">
            <v>0</v>
          </cell>
        </row>
        <row r="1065">
          <cell r="B1065">
            <v>8048</v>
          </cell>
          <cell r="C1065" t="str">
            <v>Nelson; Travis E</v>
          </cell>
          <cell r="D1065" t="str">
            <v>1C</v>
          </cell>
          <cell r="E1065" t="str">
            <v>IBEWOUT</v>
          </cell>
          <cell r="F1065" t="str">
            <v>47</v>
          </cell>
          <cell r="G1065" t="str">
            <v>8</v>
          </cell>
          <cell r="H1065">
            <v>0</v>
          </cell>
        </row>
        <row r="1066">
          <cell r="B1066">
            <v>8061</v>
          </cell>
          <cell r="C1066" t="str">
            <v>Newberry; Jeremy J</v>
          </cell>
          <cell r="D1066" t="str">
            <v>1C</v>
          </cell>
          <cell r="E1066" t="str">
            <v>IBEWOUT</v>
          </cell>
          <cell r="F1066" t="str">
            <v>769</v>
          </cell>
          <cell r="G1066" t="str">
            <v>22</v>
          </cell>
          <cell r="H1066">
            <v>0</v>
          </cell>
        </row>
        <row r="1067">
          <cell r="B1067">
            <v>8070</v>
          </cell>
          <cell r="C1067" t="str">
            <v>Nichols; Jesse J.</v>
          </cell>
          <cell r="D1067" t="str">
            <v>1C</v>
          </cell>
          <cell r="E1067" t="str">
            <v>IBEWOUT</v>
          </cell>
          <cell r="F1067" t="str">
            <v>47</v>
          </cell>
          <cell r="G1067" t="str">
            <v>60</v>
          </cell>
          <cell r="H1067">
            <v>0</v>
          </cell>
        </row>
        <row r="1068">
          <cell r="B1068">
            <v>8072</v>
          </cell>
          <cell r="C1068" t="str">
            <v>Neuman; Dennis D</v>
          </cell>
          <cell r="D1068" t="str">
            <v>1C</v>
          </cell>
          <cell r="E1068" t="str">
            <v>IBEWOUT</v>
          </cell>
          <cell r="F1068" t="str">
            <v>160</v>
          </cell>
          <cell r="G1068" t="str">
            <v>8</v>
          </cell>
          <cell r="H1068">
            <v>0</v>
          </cell>
        </row>
        <row r="1069">
          <cell r="B1069">
            <v>8073</v>
          </cell>
          <cell r="C1069" t="str">
            <v>Newberry; Dominick F</v>
          </cell>
          <cell r="D1069" t="str">
            <v>1C</v>
          </cell>
          <cell r="E1069" t="str">
            <v>IBEWOUT</v>
          </cell>
          <cell r="F1069" t="str">
            <v>1319</v>
          </cell>
          <cell r="G1069" t="str">
            <v>18</v>
          </cell>
          <cell r="H1069">
            <v>0</v>
          </cell>
        </row>
        <row r="1070">
          <cell r="B1070">
            <v>8077</v>
          </cell>
          <cell r="C1070" t="str">
            <v>Neuberger; Shane M</v>
          </cell>
          <cell r="D1070" t="str">
            <v>1C</v>
          </cell>
          <cell r="E1070" t="str">
            <v>IBEWOUT</v>
          </cell>
          <cell r="F1070" t="str">
            <v>160</v>
          </cell>
          <cell r="G1070" t="str">
            <v>22</v>
          </cell>
          <cell r="H1070">
            <v>0</v>
          </cell>
        </row>
        <row r="1071">
          <cell r="B1071">
            <v>8080</v>
          </cell>
          <cell r="C1071" t="str">
            <v>Nemesio; Jorge L.</v>
          </cell>
          <cell r="D1071" t="str">
            <v>1C</v>
          </cell>
          <cell r="E1071" t="str">
            <v>IBEWOUT</v>
          </cell>
          <cell r="F1071" t="str">
            <v>1245</v>
          </cell>
          <cell r="G1071" t="str">
            <v>70</v>
          </cell>
          <cell r="H1071">
            <v>0</v>
          </cell>
        </row>
        <row r="1072">
          <cell r="B1072">
            <v>8082</v>
          </cell>
          <cell r="C1072" t="str">
            <v>Nicoloff; Philip J</v>
          </cell>
          <cell r="D1072" t="str">
            <v>1C</v>
          </cell>
          <cell r="E1072" t="str">
            <v>IBEWOUT</v>
          </cell>
          <cell r="F1072" t="str">
            <v>769</v>
          </cell>
          <cell r="G1072" t="str">
            <v>35</v>
          </cell>
          <cell r="H1072">
            <v>0</v>
          </cell>
        </row>
        <row r="1073">
          <cell r="B1073">
            <v>8091</v>
          </cell>
          <cell r="C1073" t="str">
            <v>Nimmo; Scott Michael</v>
          </cell>
          <cell r="D1073" t="str">
            <v>1C</v>
          </cell>
          <cell r="E1073" t="str">
            <v>IBEWOUT</v>
          </cell>
          <cell r="F1073" t="str">
            <v>769</v>
          </cell>
          <cell r="G1073" t="str">
            <v>10</v>
          </cell>
          <cell r="H1073">
            <v>0</v>
          </cell>
        </row>
        <row r="1074">
          <cell r="B1074">
            <v>8096</v>
          </cell>
          <cell r="C1074" t="str">
            <v>Nickolei; Christopher R</v>
          </cell>
          <cell r="D1074" t="str">
            <v>1C</v>
          </cell>
          <cell r="E1074" t="str">
            <v>IBEWOUT</v>
          </cell>
          <cell r="F1074" t="str">
            <v>47</v>
          </cell>
          <cell r="G1074" t="str">
            <v>17</v>
          </cell>
          <cell r="H1074">
            <v>0</v>
          </cell>
        </row>
        <row r="1075">
          <cell r="B1075">
            <v>8097</v>
          </cell>
          <cell r="C1075" t="str">
            <v>Nickerson; Rodney W</v>
          </cell>
          <cell r="D1075" t="str">
            <v>1C</v>
          </cell>
          <cell r="E1075" t="str">
            <v>IBEWOUT</v>
          </cell>
          <cell r="F1075" t="str">
            <v>1245</v>
          </cell>
          <cell r="G1075" t="str">
            <v>17</v>
          </cell>
          <cell r="H1075">
            <v>0</v>
          </cell>
        </row>
        <row r="1076">
          <cell r="B1076">
            <v>8135</v>
          </cell>
          <cell r="C1076" t="str">
            <v>Noble; Norman F</v>
          </cell>
          <cell r="D1076" t="str">
            <v>1</v>
          </cell>
          <cell r="E1076" t="str">
            <v>IBEWOUT</v>
          </cell>
          <cell r="F1076" t="str">
            <v>611</v>
          </cell>
          <cell r="G1076" t="str">
            <v>8</v>
          </cell>
          <cell r="H1076">
            <v>0</v>
          </cell>
        </row>
        <row r="1077">
          <cell r="B1077">
            <v>8137</v>
          </cell>
          <cell r="C1077" t="str">
            <v>Noel; Bryce Dylan</v>
          </cell>
          <cell r="D1077" t="str">
            <v>1C</v>
          </cell>
          <cell r="E1077" t="str">
            <v>IBEWOUT</v>
          </cell>
          <cell r="F1077" t="str">
            <v>1245</v>
          </cell>
          <cell r="G1077" t="str">
            <v>8</v>
          </cell>
          <cell r="H1077">
            <v>0</v>
          </cell>
        </row>
        <row r="1078">
          <cell r="B1078">
            <v>8138</v>
          </cell>
          <cell r="C1078" t="str">
            <v>Noel; Tyler D.</v>
          </cell>
          <cell r="D1078" t="str">
            <v>1C</v>
          </cell>
          <cell r="E1078" t="str">
            <v>IBEWOUT</v>
          </cell>
          <cell r="F1078" t="str">
            <v>1245</v>
          </cell>
          <cell r="G1078" t="str">
            <v>17</v>
          </cell>
          <cell r="H1078">
            <v>0</v>
          </cell>
        </row>
        <row r="1079">
          <cell r="B1079">
            <v>8142</v>
          </cell>
          <cell r="C1079" t="str">
            <v>Novins; Steve</v>
          </cell>
          <cell r="D1079" t="str">
            <v>1C</v>
          </cell>
          <cell r="E1079" t="str">
            <v>IBEWOUT</v>
          </cell>
          <cell r="F1079" t="str">
            <v>1245</v>
          </cell>
          <cell r="G1079" t="str">
            <v>16</v>
          </cell>
          <cell r="H1079">
            <v>0</v>
          </cell>
        </row>
        <row r="1080">
          <cell r="B1080">
            <v>8143</v>
          </cell>
          <cell r="C1080" t="str">
            <v>Novak; Triston J.</v>
          </cell>
          <cell r="D1080" t="str">
            <v>1C</v>
          </cell>
          <cell r="E1080" t="str">
            <v>IBEWOUT</v>
          </cell>
          <cell r="F1080" t="str">
            <v>77</v>
          </cell>
          <cell r="G1080" t="str">
            <v>10</v>
          </cell>
          <cell r="H1080">
            <v>0</v>
          </cell>
        </row>
        <row r="1081">
          <cell r="B1081">
            <v>8154</v>
          </cell>
          <cell r="C1081" t="str">
            <v>Norsworthy; Jonathan R.</v>
          </cell>
          <cell r="D1081" t="str">
            <v>1C</v>
          </cell>
          <cell r="E1081" t="str">
            <v>IBEWOUT</v>
          </cell>
          <cell r="F1081" t="str">
            <v>602R</v>
          </cell>
          <cell r="G1081" t="str">
            <v>8</v>
          </cell>
          <cell r="H1081">
            <v>0</v>
          </cell>
        </row>
        <row r="1082">
          <cell r="B1082">
            <v>8155</v>
          </cell>
          <cell r="C1082" t="str">
            <v>Norcutt; Devin W</v>
          </cell>
          <cell r="D1082" t="str">
            <v>1C</v>
          </cell>
          <cell r="E1082" t="str">
            <v>IBEWOUT</v>
          </cell>
          <cell r="F1082" t="str">
            <v>1245</v>
          </cell>
          <cell r="G1082" t="str">
            <v>8</v>
          </cell>
          <cell r="H1082">
            <v>0</v>
          </cell>
        </row>
        <row r="1083">
          <cell r="B1083">
            <v>8157</v>
          </cell>
          <cell r="C1083" t="str">
            <v>Norton; Joseph T</v>
          </cell>
          <cell r="D1083" t="str">
            <v>1</v>
          </cell>
          <cell r="E1083" t="str">
            <v>IBEWOUT</v>
          </cell>
          <cell r="F1083" t="str">
            <v>769</v>
          </cell>
          <cell r="G1083" t="str">
            <v>8</v>
          </cell>
          <cell r="H1083">
            <v>0</v>
          </cell>
        </row>
        <row r="1084">
          <cell r="B1084">
            <v>8165</v>
          </cell>
          <cell r="C1084" t="str">
            <v>Nunez; Hector</v>
          </cell>
          <cell r="D1084" t="str">
            <v>1C</v>
          </cell>
          <cell r="E1084" t="str">
            <v>IBEWOUT</v>
          </cell>
          <cell r="F1084" t="str">
            <v>47</v>
          </cell>
          <cell r="G1084" t="str">
            <v>17</v>
          </cell>
          <cell r="H1084">
            <v>0</v>
          </cell>
        </row>
        <row r="1085">
          <cell r="B1085">
            <v>8171</v>
          </cell>
          <cell r="C1085" t="str">
            <v>Obregon; Matthew D</v>
          </cell>
          <cell r="D1085" t="str">
            <v>1C</v>
          </cell>
          <cell r="E1085" t="str">
            <v/>
          </cell>
          <cell r="F1085" t="str">
            <v/>
          </cell>
          <cell r="G1085" t="str">
            <v/>
          </cell>
          <cell r="H1085">
            <v>0</v>
          </cell>
        </row>
        <row r="1086">
          <cell r="B1086">
            <v>8172</v>
          </cell>
          <cell r="C1086" t="str">
            <v>Ochoa; Edward</v>
          </cell>
          <cell r="D1086" t="str">
            <v>1C</v>
          </cell>
          <cell r="E1086" t="str">
            <v>IBEWOUT</v>
          </cell>
          <cell r="F1086" t="str">
            <v>47</v>
          </cell>
          <cell r="G1086" t="str">
            <v>60</v>
          </cell>
          <cell r="H1086">
            <v>0</v>
          </cell>
        </row>
        <row r="1087">
          <cell r="B1087">
            <v>8176</v>
          </cell>
          <cell r="C1087" t="str">
            <v>O'Brien; Timothy J.</v>
          </cell>
          <cell r="D1087" t="str">
            <v>1C</v>
          </cell>
          <cell r="E1087" t="str">
            <v>IBEWOUT</v>
          </cell>
          <cell r="F1087" t="str">
            <v>77</v>
          </cell>
          <cell r="G1087" t="str">
            <v>10</v>
          </cell>
          <cell r="H1087">
            <v>0</v>
          </cell>
        </row>
        <row r="1088">
          <cell r="B1088">
            <v>8177</v>
          </cell>
          <cell r="C1088" t="str">
            <v>O'Brien; Brandon Scott</v>
          </cell>
          <cell r="D1088" t="str">
            <v>1C</v>
          </cell>
          <cell r="E1088" t="str">
            <v>IBEWOUT</v>
          </cell>
          <cell r="F1088" t="str">
            <v>1245</v>
          </cell>
          <cell r="G1088" t="str">
            <v>7</v>
          </cell>
          <cell r="H1088">
            <v>0</v>
          </cell>
        </row>
        <row r="1089">
          <cell r="B1089">
            <v>8178</v>
          </cell>
          <cell r="C1089" t="str">
            <v>Ocegueda; Fernando R</v>
          </cell>
          <cell r="D1089" t="str">
            <v>1C</v>
          </cell>
          <cell r="E1089" t="str">
            <v>IBEWOUT</v>
          </cell>
          <cell r="F1089" t="str">
            <v>47</v>
          </cell>
          <cell r="G1089" t="str">
            <v>8</v>
          </cell>
          <cell r="H1089">
            <v>0</v>
          </cell>
        </row>
        <row r="1090">
          <cell r="B1090">
            <v>8180</v>
          </cell>
          <cell r="C1090" t="str">
            <v>O'Connor; Travis L</v>
          </cell>
          <cell r="D1090" t="str">
            <v>1C</v>
          </cell>
          <cell r="E1090" t="str">
            <v>IBEWOUT</v>
          </cell>
          <cell r="F1090" t="str">
            <v>1245</v>
          </cell>
          <cell r="G1090" t="str">
            <v>14</v>
          </cell>
          <cell r="H1090">
            <v>0</v>
          </cell>
        </row>
        <row r="1091">
          <cell r="B1091">
            <v>8181</v>
          </cell>
          <cell r="C1091" t="str">
            <v>O'Hogan; Kevin S</v>
          </cell>
          <cell r="D1091" t="str">
            <v>1C</v>
          </cell>
          <cell r="E1091" t="str">
            <v/>
          </cell>
          <cell r="F1091" t="str">
            <v/>
          </cell>
          <cell r="G1091" t="str">
            <v/>
          </cell>
          <cell r="H1091">
            <v>0</v>
          </cell>
        </row>
        <row r="1092">
          <cell r="B1092">
            <v>8182</v>
          </cell>
          <cell r="C1092" t="str">
            <v>O'Hara; Ryan M</v>
          </cell>
          <cell r="D1092" t="str">
            <v>1</v>
          </cell>
          <cell r="E1092" t="str">
            <v>IBEWOUT</v>
          </cell>
          <cell r="F1092" t="str">
            <v>611</v>
          </cell>
          <cell r="G1092" t="str">
            <v>14</v>
          </cell>
          <cell r="H1092">
            <v>0</v>
          </cell>
        </row>
        <row r="1093">
          <cell r="B1093">
            <v>8184</v>
          </cell>
          <cell r="C1093" t="str">
            <v>O'Keefe; Martin G</v>
          </cell>
          <cell r="D1093" t="str">
            <v>1</v>
          </cell>
          <cell r="E1093" t="str">
            <v>IBEWOUT</v>
          </cell>
          <cell r="F1093" t="str">
            <v>611</v>
          </cell>
          <cell r="G1093" t="str">
            <v>17</v>
          </cell>
          <cell r="H1093">
            <v>0</v>
          </cell>
        </row>
        <row r="1094">
          <cell r="B1094">
            <v>8185</v>
          </cell>
          <cell r="C1094" t="str">
            <v>Ogden; Craig T</v>
          </cell>
          <cell r="D1094" t="str">
            <v>1C</v>
          </cell>
          <cell r="E1094" t="str">
            <v>IBEWOUT</v>
          </cell>
          <cell r="F1094" t="str">
            <v>1245</v>
          </cell>
          <cell r="G1094" t="str">
            <v>11</v>
          </cell>
          <cell r="H1094">
            <v>0</v>
          </cell>
        </row>
        <row r="1095">
          <cell r="B1095">
            <v>8191</v>
          </cell>
          <cell r="C1095" t="str">
            <v>Ochoa; Domingo</v>
          </cell>
          <cell r="D1095" t="str">
            <v>1C</v>
          </cell>
          <cell r="E1095" t="str">
            <v/>
          </cell>
          <cell r="F1095" t="str">
            <v/>
          </cell>
          <cell r="G1095" t="str">
            <v/>
          </cell>
          <cell r="H1095">
            <v>1</v>
          </cell>
        </row>
        <row r="1096">
          <cell r="B1096">
            <v>8194</v>
          </cell>
          <cell r="C1096" t="str">
            <v>Ochoa; Luis</v>
          </cell>
          <cell r="D1096" t="str">
            <v>1C</v>
          </cell>
          <cell r="E1096" t="str">
            <v>IBEWOUT</v>
          </cell>
          <cell r="F1096" t="str">
            <v>1245</v>
          </cell>
          <cell r="G1096" t="str">
            <v>15</v>
          </cell>
          <cell r="H1096">
            <v>0</v>
          </cell>
        </row>
        <row r="1097">
          <cell r="B1097">
            <v>8195</v>
          </cell>
          <cell r="C1097" t="str">
            <v>Odle; Hunter G</v>
          </cell>
          <cell r="D1097" t="str">
            <v>1</v>
          </cell>
          <cell r="E1097" t="str">
            <v>IBEWOUT</v>
          </cell>
          <cell r="F1097" t="str">
            <v>47</v>
          </cell>
          <cell r="G1097" t="str">
            <v>8</v>
          </cell>
          <cell r="H1097">
            <v>0</v>
          </cell>
        </row>
        <row r="1098">
          <cell r="B1098">
            <v>8196</v>
          </cell>
          <cell r="C1098" t="str">
            <v>Ochoa; Johnny Jacob</v>
          </cell>
          <cell r="D1098" t="str">
            <v>1C</v>
          </cell>
          <cell r="E1098" t="str">
            <v/>
          </cell>
          <cell r="F1098" t="str">
            <v/>
          </cell>
          <cell r="G1098" t="str">
            <v/>
          </cell>
          <cell r="H1098">
            <v>1</v>
          </cell>
        </row>
        <row r="1099">
          <cell r="B1099">
            <v>8200</v>
          </cell>
          <cell r="C1099" t="str">
            <v>Oman; Wacey K</v>
          </cell>
          <cell r="D1099" t="str">
            <v>1</v>
          </cell>
          <cell r="E1099" t="str">
            <v>IBEWOUT</v>
          </cell>
          <cell r="F1099" t="str">
            <v>47</v>
          </cell>
          <cell r="G1099" t="str">
            <v>8</v>
          </cell>
          <cell r="H1099">
            <v>0</v>
          </cell>
        </row>
        <row r="1100">
          <cell r="B1100">
            <v>8201</v>
          </cell>
          <cell r="C1100" t="str">
            <v>Olson; Todd</v>
          </cell>
          <cell r="D1100" t="str">
            <v>1C</v>
          </cell>
          <cell r="E1100" t="str">
            <v>IBEWOUT</v>
          </cell>
          <cell r="F1100" t="str">
            <v>1049</v>
          </cell>
          <cell r="G1100" t="str">
            <v>8</v>
          </cell>
          <cell r="H1100">
            <v>0</v>
          </cell>
        </row>
        <row r="1101">
          <cell r="B1101">
            <v>8204</v>
          </cell>
          <cell r="C1101" t="str">
            <v>Oosthof; Ryan R.</v>
          </cell>
          <cell r="D1101" t="str">
            <v>1C</v>
          </cell>
          <cell r="E1101" t="str">
            <v>IBEWOUT</v>
          </cell>
          <cell r="F1101" t="str">
            <v>125</v>
          </cell>
          <cell r="G1101" t="str">
            <v>8</v>
          </cell>
          <cell r="H1101">
            <v>0</v>
          </cell>
        </row>
        <row r="1102">
          <cell r="B1102">
            <v>8207</v>
          </cell>
          <cell r="C1102" t="str">
            <v>O'Neill; Nicholas</v>
          </cell>
          <cell r="D1102" t="str">
            <v>1C</v>
          </cell>
          <cell r="E1102" t="str">
            <v>IBEWOUT</v>
          </cell>
          <cell r="F1102" t="str">
            <v>47</v>
          </cell>
          <cell r="G1102" t="str">
            <v>8</v>
          </cell>
          <cell r="H1102">
            <v>0</v>
          </cell>
        </row>
        <row r="1103">
          <cell r="B1103">
            <v>8208</v>
          </cell>
          <cell r="C1103" t="str">
            <v>Oliphant; Paul D</v>
          </cell>
          <cell r="D1103" t="str">
            <v>1C</v>
          </cell>
          <cell r="E1103" t="str">
            <v>IBEWOUT</v>
          </cell>
          <cell r="F1103" t="str">
            <v>602R</v>
          </cell>
          <cell r="G1103" t="str">
            <v>8</v>
          </cell>
          <cell r="H1103">
            <v>0</v>
          </cell>
        </row>
        <row r="1104">
          <cell r="B1104">
            <v>8211</v>
          </cell>
          <cell r="C1104" t="str">
            <v>Olberding; Jim F</v>
          </cell>
          <cell r="D1104" t="str">
            <v>1C</v>
          </cell>
          <cell r="E1104" t="str">
            <v>IBEWOUT</v>
          </cell>
          <cell r="F1104" t="str">
            <v>47</v>
          </cell>
          <cell r="G1104" t="str">
            <v>8</v>
          </cell>
          <cell r="H1104">
            <v>0</v>
          </cell>
        </row>
        <row r="1105">
          <cell r="B1105">
            <v>8216</v>
          </cell>
          <cell r="C1105" t="str">
            <v>Ortiz; John George</v>
          </cell>
          <cell r="D1105" t="str">
            <v>1</v>
          </cell>
          <cell r="E1105" t="str">
            <v>IBEWOUT</v>
          </cell>
          <cell r="F1105" t="str">
            <v>611</v>
          </cell>
          <cell r="G1105" t="str">
            <v>7</v>
          </cell>
          <cell r="H1105">
            <v>0</v>
          </cell>
        </row>
        <row r="1106">
          <cell r="B1106">
            <v>8219</v>
          </cell>
          <cell r="C1106" t="str">
            <v>Ortega; Lamar S</v>
          </cell>
          <cell r="D1106" t="str">
            <v>1C</v>
          </cell>
          <cell r="E1106" t="str">
            <v>IBEWOUT</v>
          </cell>
          <cell r="F1106" t="str">
            <v>47</v>
          </cell>
          <cell r="G1106" t="str">
            <v>8</v>
          </cell>
          <cell r="H1106">
            <v>0</v>
          </cell>
        </row>
        <row r="1107">
          <cell r="B1107">
            <v>8231</v>
          </cell>
          <cell r="C1107" t="str">
            <v>Ostrander; Matthew Z.</v>
          </cell>
          <cell r="D1107" t="str">
            <v>1</v>
          </cell>
          <cell r="E1107" t="str">
            <v/>
          </cell>
          <cell r="F1107" t="str">
            <v/>
          </cell>
          <cell r="G1107" t="str">
            <v/>
          </cell>
          <cell r="H1107">
            <v>0</v>
          </cell>
        </row>
        <row r="1108">
          <cell r="B1108">
            <v>8237</v>
          </cell>
          <cell r="C1108" t="str">
            <v>Overly; Bradley Williams</v>
          </cell>
          <cell r="D1108" t="str">
            <v>1C</v>
          </cell>
          <cell r="E1108" t="str">
            <v>IBEWOUT</v>
          </cell>
          <cell r="F1108" t="str">
            <v>396</v>
          </cell>
          <cell r="G1108" t="str">
            <v>21</v>
          </cell>
          <cell r="H1108">
            <v>0</v>
          </cell>
        </row>
        <row r="1109">
          <cell r="B1109">
            <v>8240</v>
          </cell>
          <cell r="C1109" t="str">
            <v>Ornelas; Chrystin N</v>
          </cell>
          <cell r="D1109" t="str">
            <v>1C</v>
          </cell>
          <cell r="E1109" t="str">
            <v>IBEWOUT</v>
          </cell>
          <cell r="F1109" t="str">
            <v>47</v>
          </cell>
          <cell r="G1109" t="str">
            <v>17</v>
          </cell>
          <cell r="H1109">
            <v>0</v>
          </cell>
        </row>
        <row r="1110">
          <cell r="B1110">
            <v>8242</v>
          </cell>
          <cell r="C1110" t="str">
            <v>Oswald II; Douglas D</v>
          </cell>
          <cell r="D1110" t="str">
            <v>1</v>
          </cell>
          <cell r="E1110" t="str">
            <v>IBEWOUT</v>
          </cell>
          <cell r="F1110" t="str">
            <v>1245</v>
          </cell>
          <cell r="G1110" t="str">
            <v>16</v>
          </cell>
          <cell r="H1110">
            <v>0</v>
          </cell>
        </row>
        <row r="1111">
          <cell r="B1111">
            <v>8243</v>
          </cell>
          <cell r="C1111" t="str">
            <v>Olson; Zachery J.</v>
          </cell>
          <cell r="D1111" t="str">
            <v>1C</v>
          </cell>
          <cell r="E1111" t="str">
            <v>IBEWOUT</v>
          </cell>
          <cell r="F1111" t="str">
            <v>47</v>
          </cell>
          <cell r="G1111" t="str">
            <v>8</v>
          </cell>
          <cell r="H1111">
            <v>0</v>
          </cell>
        </row>
        <row r="1112">
          <cell r="B1112">
            <v>8247</v>
          </cell>
          <cell r="C1112" t="str">
            <v>Origer; Caleb J</v>
          </cell>
          <cell r="D1112" t="str">
            <v>1C</v>
          </cell>
          <cell r="E1112" t="str">
            <v>IBEWOUT</v>
          </cell>
          <cell r="F1112" t="str">
            <v>47</v>
          </cell>
          <cell r="G1112" t="str">
            <v>8</v>
          </cell>
          <cell r="H1112">
            <v>0</v>
          </cell>
        </row>
        <row r="1113">
          <cell r="B1113">
            <v>8249</v>
          </cell>
          <cell r="C1113" t="str">
            <v>Ortega; Nick F.</v>
          </cell>
          <cell r="D1113" t="str">
            <v>1C</v>
          </cell>
          <cell r="E1113" t="str">
            <v>IBEWOUT</v>
          </cell>
          <cell r="F1113" t="str">
            <v>47</v>
          </cell>
          <cell r="G1113" t="str">
            <v>8</v>
          </cell>
          <cell r="H1113">
            <v>0</v>
          </cell>
        </row>
        <row r="1114">
          <cell r="B1114">
            <v>8250</v>
          </cell>
          <cell r="C1114" t="str">
            <v>Ortiz; John R.</v>
          </cell>
          <cell r="D1114" t="str">
            <v>1C</v>
          </cell>
          <cell r="E1114" t="str">
            <v>IBEWOUT</v>
          </cell>
          <cell r="F1114" t="str">
            <v>1245</v>
          </cell>
          <cell r="G1114" t="str">
            <v>17</v>
          </cell>
          <cell r="H1114">
            <v>0</v>
          </cell>
        </row>
        <row r="1115">
          <cell r="B1115">
            <v>8255</v>
          </cell>
          <cell r="C1115" t="str">
            <v>Ortiz; Rocky</v>
          </cell>
          <cell r="D1115" t="str">
            <v>1C</v>
          </cell>
          <cell r="E1115" t="str">
            <v>IBEWOUT</v>
          </cell>
          <cell r="F1115" t="str">
            <v>1245</v>
          </cell>
          <cell r="G1115" t="str">
            <v>70</v>
          </cell>
          <cell r="H1115">
            <v>0</v>
          </cell>
        </row>
        <row r="1116">
          <cell r="B1116">
            <v>8258</v>
          </cell>
          <cell r="C1116" t="str">
            <v>Olmos-Ramos; Antonio D</v>
          </cell>
          <cell r="D1116" t="str">
            <v>1</v>
          </cell>
          <cell r="E1116" t="str">
            <v/>
          </cell>
          <cell r="F1116" t="str">
            <v/>
          </cell>
          <cell r="G1116" t="str">
            <v/>
          </cell>
          <cell r="H1116">
            <v>0</v>
          </cell>
        </row>
        <row r="1117">
          <cell r="B1117">
            <v>8260</v>
          </cell>
          <cell r="C1117" t="str">
            <v>Pacheco; Erick</v>
          </cell>
          <cell r="D1117" t="str">
            <v>1C</v>
          </cell>
          <cell r="E1117" t="str">
            <v>IBEWOUT</v>
          </cell>
          <cell r="F1117" t="str">
            <v>47</v>
          </cell>
          <cell r="G1117" t="str">
            <v>8</v>
          </cell>
          <cell r="H1117">
            <v>0</v>
          </cell>
        </row>
        <row r="1118">
          <cell r="B1118">
            <v>8265</v>
          </cell>
          <cell r="C1118" t="str">
            <v>Paddock; Gary L</v>
          </cell>
          <cell r="D1118" t="str">
            <v>1C</v>
          </cell>
          <cell r="E1118" t="str">
            <v>IBEWOUT</v>
          </cell>
          <cell r="F1118" t="str">
            <v>1319</v>
          </cell>
          <cell r="G1118" t="str">
            <v>18</v>
          </cell>
          <cell r="H1118">
            <v>0</v>
          </cell>
        </row>
        <row r="1119">
          <cell r="B1119">
            <v>8276</v>
          </cell>
          <cell r="C1119" t="str">
            <v>Padilla; Nicholas B.</v>
          </cell>
          <cell r="D1119" t="str">
            <v>1C</v>
          </cell>
          <cell r="E1119" t="str">
            <v>IBEWOUT</v>
          </cell>
          <cell r="F1119" t="str">
            <v>1245</v>
          </cell>
          <cell r="G1119" t="str">
            <v>8</v>
          </cell>
          <cell r="H1119">
            <v>0</v>
          </cell>
        </row>
        <row r="1120">
          <cell r="B1120">
            <v>8277</v>
          </cell>
          <cell r="C1120" t="str">
            <v>Padilla; Isaac F</v>
          </cell>
          <cell r="D1120" t="str">
            <v>1</v>
          </cell>
          <cell r="E1120" t="str">
            <v>IBEWOUT</v>
          </cell>
          <cell r="F1120" t="str">
            <v>611</v>
          </cell>
          <cell r="G1120" t="str">
            <v>7</v>
          </cell>
          <cell r="H1120">
            <v>0</v>
          </cell>
        </row>
        <row r="1121">
          <cell r="B1121">
            <v>8280</v>
          </cell>
          <cell r="C1121" t="str">
            <v>Seekell; Robert R</v>
          </cell>
          <cell r="D1121" t="str">
            <v>1C</v>
          </cell>
          <cell r="E1121" t="str">
            <v>IBEWOUT</v>
          </cell>
          <cell r="F1121" t="str">
            <v>1245</v>
          </cell>
          <cell r="G1121" t="str">
            <v>8</v>
          </cell>
          <cell r="H1121">
            <v>0</v>
          </cell>
        </row>
        <row r="1122">
          <cell r="B1122">
            <v>8281</v>
          </cell>
          <cell r="C1122" t="str">
            <v>Paola; Jonathan M.</v>
          </cell>
          <cell r="D1122" t="str">
            <v>1C</v>
          </cell>
          <cell r="E1122" t="str">
            <v>IBEWOUT</v>
          </cell>
          <cell r="F1122" t="str">
            <v>47</v>
          </cell>
          <cell r="G1122" t="str">
            <v>60</v>
          </cell>
          <cell r="H1122">
            <v>0</v>
          </cell>
        </row>
        <row r="1123">
          <cell r="B1123">
            <v>8283</v>
          </cell>
          <cell r="C1123" t="str">
            <v>Pawlak; Jacob T</v>
          </cell>
          <cell r="D1123" t="str">
            <v>1</v>
          </cell>
          <cell r="E1123" t="str">
            <v>IBEWOUT</v>
          </cell>
          <cell r="F1123" t="str">
            <v>769</v>
          </cell>
          <cell r="G1123" t="str">
            <v>11</v>
          </cell>
          <cell r="H1123">
            <v>0</v>
          </cell>
        </row>
        <row r="1124">
          <cell r="B1124">
            <v>8284</v>
          </cell>
          <cell r="C1124" t="str">
            <v>Pandolfi Jr.; James L</v>
          </cell>
          <cell r="D1124" t="str">
            <v>1C</v>
          </cell>
          <cell r="E1124" t="str">
            <v>IBEWOUT</v>
          </cell>
          <cell r="F1124" t="str">
            <v>160</v>
          </cell>
          <cell r="G1124" t="str">
            <v>8</v>
          </cell>
          <cell r="H1124">
            <v>0</v>
          </cell>
        </row>
        <row r="1125">
          <cell r="B1125">
            <v>8286</v>
          </cell>
          <cell r="C1125" t="str">
            <v>Papendick; Dale R</v>
          </cell>
          <cell r="D1125" t="str">
            <v>1</v>
          </cell>
          <cell r="E1125" t="str">
            <v/>
          </cell>
          <cell r="F1125" t="str">
            <v/>
          </cell>
          <cell r="G1125" t="str">
            <v/>
          </cell>
          <cell r="H1125">
            <v>0</v>
          </cell>
        </row>
        <row r="1126">
          <cell r="B1126">
            <v>8292</v>
          </cell>
          <cell r="C1126" t="str">
            <v>Park Campbell; Kyle C.</v>
          </cell>
          <cell r="D1126" t="str">
            <v>1</v>
          </cell>
          <cell r="E1126" t="str">
            <v/>
          </cell>
          <cell r="F1126" t="str">
            <v/>
          </cell>
          <cell r="G1126" t="str">
            <v/>
          </cell>
          <cell r="H1126">
            <v>0</v>
          </cell>
        </row>
        <row r="1127">
          <cell r="B1127">
            <v>8300</v>
          </cell>
          <cell r="C1127" t="str">
            <v>Parker; Cody B</v>
          </cell>
          <cell r="D1127" t="str">
            <v>1C</v>
          </cell>
          <cell r="E1127" t="str">
            <v>IBEWOUT</v>
          </cell>
          <cell r="F1127" t="str">
            <v>1245</v>
          </cell>
          <cell r="G1127" t="str">
            <v>8</v>
          </cell>
          <cell r="H1127">
            <v>0</v>
          </cell>
        </row>
        <row r="1128">
          <cell r="B1128">
            <v>8301</v>
          </cell>
          <cell r="C1128" t="str">
            <v>Parmenter; George N.</v>
          </cell>
          <cell r="D1128" t="str">
            <v>1C</v>
          </cell>
          <cell r="E1128" t="str">
            <v>IBEWOUT</v>
          </cell>
          <cell r="F1128" t="str">
            <v>1245</v>
          </cell>
          <cell r="G1128" t="str">
            <v>7</v>
          </cell>
          <cell r="H1128">
            <v>0</v>
          </cell>
        </row>
        <row r="1129">
          <cell r="B1129">
            <v>8302</v>
          </cell>
          <cell r="C1129" t="str">
            <v>Parrish; Brandy M</v>
          </cell>
          <cell r="D1129" t="str">
            <v>1C</v>
          </cell>
          <cell r="E1129" t="str">
            <v/>
          </cell>
          <cell r="F1129" t="str">
            <v/>
          </cell>
          <cell r="G1129" t="str">
            <v/>
          </cell>
          <cell r="H1129">
            <v>1</v>
          </cell>
        </row>
        <row r="1130">
          <cell r="B1130">
            <v>8303</v>
          </cell>
          <cell r="C1130" t="str">
            <v>Parten; Michael A</v>
          </cell>
          <cell r="D1130" t="str">
            <v>1C</v>
          </cell>
          <cell r="E1130" t="str">
            <v>IBEWOUT</v>
          </cell>
          <cell r="F1130" t="str">
            <v>125</v>
          </cell>
          <cell r="G1130" t="str">
            <v>8</v>
          </cell>
          <cell r="H1130">
            <v>0</v>
          </cell>
        </row>
        <row r="1131">
          <cell r="B1131">
            <v>8304</v>
          </cell>
          <cell r="C1131" t="str">
            <v>Parrisher; Colin K</v>
          </cell>
          <cell r="D1131" t="str">
            <v>1C</v>
          </cell>
          <cell r="E1131" t="str">
            <v>IBEWOUT</v>
          </cell>
          <cell r="F1131" t="str">
            <v>126</v>
          </cell>
          <cell r="G1131" t="str">
            <v>7</v>
          </cell>
          <cell r="H1131">
            <v>0</v>
          </cell>
        </row>
        <row r="1132">
          <cell r="B1132">
            <v>8317</v>
          </cell>
          <cell r="C1132" t="str">
            <v>Palacios Jr; Agustin Caudillo</v>
          </cell>
          <cell r="D1132" t="str">
            <v>1</v>
          </cell>
          <cell r="E1132" t="str">
            <v/>
          </cell>
          <cell r="F1132" t="str">
            <v/>
          </cell>
          <cell r="G1132" t="str">
            <v/>
          </cell>
          <cell r="H1132">
            <v>1</v>
          </cell>
        </row>
        <row r="1133">
          <cell r="B1133">
            <v>8320</v>
          </cell>
          <cell r="C1133" t="str">
            <v>Patchell; Oren J</v>
          </cell>
          <cell r="D1133" t="str">
            <v>1</v>
          </cell>
          <cell r="E1133" t="str">
            <v>IBEWOUT</v>
          </cell>
          <cell r="F1133" t="str">
            <v>769</v>
          </cell>
          <cell r="G1133" t="str">
            <v>8</v>
          </cell>
          <cell r="H1133">
            <v>0</v>
          </cell>
        </row>
        <row r="1134">
          <cell r="B1134">
            <v>8325</v>
          </cell>
          <cell r="C1134" t="str">
            <v>Palacios; Alberto C</v>
          </cell>
          <cell r="D1134" t="str">
            <v>1</v>
          </cell>
          <cell r="E1134" t="str">
            <v/>
          </cell>
          <cell r="F1134" t="str">
            <v/>
          </cell>
          <cell r="G1134" t="str">
            <v/>
          </cell>
          <cell r="H1134">
            <v>0</v>
          </cell>
        </row>
        <row r="1135">
          <cell r="B1135">
            <v>8328</v>
          </cell>
          <cell r="C1135" t="str">
            <v>Pauley; Ryan H.</v>
          </cell>
          <cell r="D1135" t="str">
            <v>1C</v>
          </cell>
          <cell r="E1135" t="str">
            <v>IBEWOUT</v>
          </cell>
          <cell r="F1135" t="str">
            <v>77</v>
          </cell>
          <cell r="G1135" t="str">
            <v>8</v>
          </cell>
          <cell r="H1135">
            <v>0</v>
          </cell>
        </row>
        <row r="1136">
          <cell r="B1136">
            <v>8329</v>
          </cell>
          <cell r="C1136" t="str">
            <v>Palacios; Levi S</v>
          </cell>
          <cell r="D1136" t="str">
            <v>1C</v>
          </cell>
          <cell r="E1136" t="str">
            <v>IBEWOUT</v>
          </cell>
          <cell r="F1136" t="str">
            <v>1245</v>
          </cell>
          <cell r="G1136" t="str">
            <v>9</v>
          </cell>
          <cell r="H1136">
            <v>0</v>
          </cell>
        </row>
        <row r="1137">
          <cell r="B1137">
            <v>8330</v>
          </cell>
          <cell r="C1137" t="str">
            <v>Paull; Chadwick R</v>
          </cell>
          <cell r="D1137" t="str">
            <v>1C</v>
          </cell>
          <cell r="E1137" t="str">
            <v>IBEWOUT</v>
          </cell>
          <cell r="F1137" t="str">
            <v>47</v>
          </cell>
          <cell r="G1137" t="str">
            <v>8</v>
          </cell>
          <cell r="H1137">
            <v>0</v>
          </cell>
        </row>
        <row r="1138">
          <cell r="B1138">
            <v>8332</v>
          </cell>
          <cell r="C1138" t="str">
            <v>Payne; Marlin C</v>
          </cell>
          <cell r="D1138" t="str">
            <v>1</v>
          </cell>
          <cell r="E1138" t="str">
            <v>IBEWOUT</v>
          </cell>
          <cell r="F1138" t="str">
            <v>77</v>
          </cell>
          <cell r="G1138" t="str">
            <v>33</v>
          </cell>
          <cell r="H1138">
            <v>0</v>
          </cell>
        </row>
        <row r="1139">
          <cell r="B1139">
            <v>8334</v>
          </cell>
          <cell r="C1139" t="str">
            <v>Paez; David A</v>
          </cell>
          <cell r="D1139" t="str">
            <v>1C</v>
          </cell>
          <cell r="E1139" t="str">
            <v>IBEWOUT</v>
          </cell>
          <cell r="F1139" t="str">
            <v>47</v>
          </cell>
          <cell r="G1139" t="str">
            <v>13</v>
          </cell>
          <cell r="H1139">
            <v>0</v>
          </cell>
        </row>
        <row r="1140">
          <cell r="B1140">
            <v>8335</v>
          </cell>
          <cell r="C1140" t="str">
            <v>Paz; Arturo</v>
          </cell>
          <cell r="D1140" t="str">
            <v>1C</v>
          </cell>
          <cell r="E1140" t="str">
            <v>IBEWOUT</v>
          </cell>
          <cell r="F1140" t="str">
            <v>47</v>
          </cell>
          <cell r="G1140" t="str">
            <v>17</v>
          </cell>
          <cell r="H1140">
            <v>0</v>
          </cell>
        </row>
        <row r="1141">
          <cell r="B1141">
            <v>8336</v>
          </cell>
          <cell r="C1141" t="str">
            <v>Palacios; Alberto A</v>
          </cell>
          <cell r="D1141" t="str">
            <v>1C</v>
          </cell>
          <cell r="E1141" t="str">
            <v>IBEWOUT</v>
          </cell>
          <cell r="F1141" t="str">
            <v>47</v>
          </cell>
          <cell r="G1141" t="str">
            <v>17</v>
          </cell>
          <cell r="H1141">
            <v>0</v>
          </cell>
        </row>
        <row r="1142">
          <cell r="B1142">
            <v>8338</v>
          </cell>
          <cell r="C1142" t="str">
            <v>Paul; Robert A</v>
          </cell>
          <cell r="D1142" t="str">
            <v>1</v>
          </cell>
          <cell r="E1142" t="str">
            <v>IBEWOUT</v>
          </cell>
          <cell r="F1142" t="str">
            <v>47</v>
          </cell>
          <cell r="G1142" t="str">
            <v>8</v>
          </cell>
          <cell r="H1142">
            <v>0</v>
          </cell>
        </row>
        <row r="1143">
          <cell r="B1143">
            <v>8340</v>
          </cell>
          <cell r="C1143" t="str">
            <v>Paulsen; Michael B.</v>
          </cell>
          <cell r="D1143" t="str">
            <v>1C</v>
          </cell>
          <cell r="E1143" t="str">
            <v>IBEWOUT</v>
          </cell>
          <cell r="F1143" t="str">
            <v>1245</v>
          </cell>
          <cell r="G1143" t="str">
            <v>8</v>
          </cell>
          <cell r="H1143">
            <v>0</v>
          </cell>
        </row>
        <row r="1144">
          <cell r="B1144">
            <v>8341</v>
          </cell>
          <cell r="C1144" t="str">
            <v>Pavon; Marcus T</v>
          </cell>
          <cell r="D1144" t="str">
            <v>1C</v>
          </cell>
          <cell r="E1144" t="str">
            <v>IBEWOUT</v>
          </cell>
          <cell r="F1144" t="str">
            <v>1245</v>
          </cell>
          <cell r="G1144" t="str">
            <v>8</v>
          </cell>
          <cell r="H1144">
            <v>0</v>
          </cell>
        </row>
        <row r="1145">
          <cell r="B1145">
            <v>8342</v>
          </cell>
          <cell r="C1145" t="str">
            <v>Pavao; Jordan J</v>
          </cell>
          <cell r="D1145" t="str">
            <v>1C</v>
          </cell>
          <cell r="E1145" t="str">
            <v>IBEWOUT</v>
          </cell>
          <cell r="F1145" t="str">
            <v>104</v>
          </cell>
          <cell r="G1145" t="str">
            <v>15</v>
          </cell>
          <cell r="H1145">
            <v>0</v>
          </cell>
        </row>
        <row r="1146">
          <cell r="B1146">
            <v>8343</v>
          </cell>
          <cell r="C1146" t="str">
            <v>Pedersen; Daniel D</v>
          </cell>
          <cell r="D1146" t="str">
            <v>1C</v>
          </cell>
          <cell r="E1146" t="str">
            <v>IBEWOUT</v>
          </cell>
          <cell r="F1146" t="str">
            <v>1245</v>
          </cell>
          <cell r="G1146" t="str">
            <v>17</v>
          </cell>
          <cell r="H1146">
            <v>0</v>
          </cell>
        </row>
        <row r="1147">
          <cell r="B1147">
            <v>8345</v>
          </cell>
          <cell r="C1147" t="str">
            <v>Peachy; Joseph F</v>
          </cell>
          <cell r="D1147" t="str">
            <v>1C</v>
          </cell>
          <cell r="E1147" t="str">
            <v>IBEWOUT</v>
          </cell>
          <cell r="F1147" t="str">
            <v>47</v>
          </cell>
          <cell r="G1147" t="str">
            <v>8</v>
          </cell>
          <cell r="H1147">
            <v>0</v>
          </cell>
        </row>
        <row r="1148">
          <cell r="B1148">
            <v>8346</v>
          </cell>
          <cell r="C1148" t="str">
            <v>Peake; Ryan A</v>
          </cell>
          <cell r="D1148" t="str">
            <v>1</v>
          </cell>
          <cell r="E1148" t="str">
            <v>IBEWOUT</v>
          </cell>
          <cell r="F1148" t="str">
            <v>1245</v>
          </cell>
          <cell r="G1148" t="str">
            <v>7</v>
          </cell>
          <cell r="H1148">
            <v>0</v>
          </cell>
        </row>
        <row r="1149">
          <cell r="B1149">
            <v>8377</v>
          </cell>
          <cell r="C1149" t="str">
            <v>Pearson; Charles J</v>
          </cell>
          <cell r="D1149" t="str">
            <v>1C</v>
          </cell>
          <cell r="E1149" t="str">
            <v>IBEWOUT</v>
          </cell>
          <cell r="F1149" t="str">
            <v>1245</v>
          </cell>
          <cell r="G1149" t="str">
            <v>8</v>
          </cell>
          <cell r="H1149">
            <v>0</v>
          </cell>
        </row>
        <row r="1150">
          <cell r="B1150">
            <v>8378</v>
          </cell>
          <cell r="C1150" t="str">
            <v>Peart; Adam D</v>
          </cell>
          <cell r="D1150" t="str">
            <v>1</v>
          </cell>
          <cell r="E1150" t="str">
            <v/>
          </cell>
          <cell r="F1150" t="str">
            <v/>
          </cell>
          <cell r="G1150" t="str">
            <v/>
          </cell>
          <cell r="H1150">
            <v>1</v>
          </cell>
        </row>
        <row r="1151">
          <cell r="B1151">
            <v>8385</v>
          </cell>
          <cell r="C1151" t="str">
            <v>Piedra; Raul</v>
          </cell>
          <cell r="D1151" t="str">
            <v>1</v>
          </cell>
          <cell r="E1151" t="str">
            <v>IBEWOUT</v>
          </cell>
          <cell r="F1151" t="str">
            <v>1245</v>
          </cell>
          <cell r="G1151" t="str">
            <v>8</v>
          </cell>
          <cell r="H1151">
            <v>0</v>
          </cell>
        </row>
        <row r="1152">
          <cell r="B1152">
            <v>8395</v>
          </cell>
          <cell r="C1152" t="str">
            <v>Perez; Ruben Michel</v>
          </cell>
          <cell r="D1152" t="str">
            <v>1C</v>
          </cell>
          <cell r="E1152" t="str">
            <v>IBEWOUT</v>
          </cell>
          <cell r="F1152" t="str">
            <v>47</v>
          </cell>
          <cell r="G1152" t="str">
            <v>17</v>
          </cell>
          <cell r="H1152">
            <v>0</v>
          </cell>
        </row>
        <row r="1153">
          <cell r="B1153">
            <v>8398</v>
          </cell>
          <cell r="C1153" t="str">
            <v>Pendarvis; Jason L.</v>
          </cell>
          <cell r="D1153" t="str">
            <v>1C</v>
          </cell>
          <cell r="E1153" t="str">
            <v>IBEWOUT</v>
          </cell>
          <cell r="F1153" t="str">
            <v>125</v>
          </cell>
          <cell r="G1153" t="str">
            <v>17</v>
          </cell>
          <cell r="H1153">
            <v>0</v>
          </cell>
        </row>
        <row r="1154">
          <cell r="B1154">
            <v>8399</v>
          </cell>
          <cell r="C1154" t="str">
            <v>Pedersen; Vikter James</v>
          </cell>
          <cell r="D1154" t="str">
            <v>1C</v>
          </cell>
          <cell r="E1154" t="str">
            <v>IBEWOUT</v>
          </cell>
          <cell r="F1154" t="str">
            <v>77</v>
          </cell>
          <cell r="G1154" t="str">
            <v>8</v>
          </cell>
          <cell r="H1154">
            <v>0</v>
          </cell>
        </row>
        <row r="1155">
          <cell r="B1155">
            <v>8403</v>
          </cell>
          <cell r="C1155" t="str">
            <v>Perez; Gabriel D</v>
          </cell>
          <cell r="D1155" t="str">
            <v>1</v>
          </cell>
          <cell r="E1155" t="str">
            <v/>
          </cell>
          <cell r="F1155" t="str">
            <v/>
          </cell>
          <cell r="G1155" t="str">
            <v/>
          </cell>
          <cell r="H1155">
            <v>1</v>
          </cell>
        </row>
        <row r="1156">
          <cell r="B1156">
            <v>8405</v>
          </cell>
          <cell r="C1156" t="str">
            <v>Perzel; Donna</v>
          </cell>
          <cell r="D1156" t="str">
            <v>1C</v>
          </cell>
          <cell r="E1156" t="str">
            <v/>
          </cell>
          <cell r="F1156" t="str">
            <v/>
          </cell>
          <cell r="G1156" t="str">
            <v/>
          </cell>
          <cell r="H1156">
            <v>0</v>
          </cell>
        </row>
        <row r="1157">
          <cell r="B1157">
            <v>8409</v>
          </cell>
          <cell r="C1157" t="str">
            <v>Perkins; Zachary M</v>
          </cell>
          <cell r="D1157" t="str">
            <v>1C</v>
          </cell>
          <cell r="E1157" t="str">
            <v>IBEWOUT</v>
          </cell>
          <cell r="F1157" t="str">
            <v>1245</v>
          </cell>
          <cell r="G1157" t="str">
            <v>8</v>
          </cell>
          <cell r="H1157">
            <v>0</v>
          </cell>
        </row>
        <row r="1158">
          <cell r="B1158">
            <v>8427</v>
          </cell>
          <cell r="C1158" t="str">
            <v>Peterson; Alexander M</v>
          </cell>
          <cell r="D1158" t="str">
            <v>1</v>
          </cell>
          <cell r="E1158" t="str">
            <v>IBEWOUT</v>
          </cell>
          <cell r="F1158" t="str">
            <v>1245</v>
          </cell>
          <cell r="G1158" t="str">
            <v>8</v>
          </cell>
          <cell r="H1158">
            <v>0</v>
          </cell>
        </row>
        <row r="1159">
          <cell r="B1159">
            <v>8430</v>
          </cell>
          <cell r="C1159" t="str">
            <v>Pelley; Robert M</v>
          </cell>
          <cell r="D1159" t="str">
            <v>1C</v>
          </cell>
          <cell r="E1159" t="str">
            <v>IBEWOUT</v>
          </cell>
          <cell r="F1159" t="str">
            <v>47</v>
          </cell>
          <cell r="G1159" t="str">
            <v>16</v>
          </cell>
          <cell r="H1159">
            <v>0</v>
          </cell>
        </row>
        <row r="1160">
          <cell r="B1160">
            <v>8434</v>
          </cell>
          <cell r="C1160" t="str">
            <v>Peterson; Paul B</v>
          </cell>
          <cell r="D1160" t="str">
            <v>1</v>
          </cell>
          <cell r="E1160" t="str">
            <v>IBEWOUT</v>
          </cell>
          <cell r="F1160" t="str">
            <v>1245</v>
          </cell>
          <cell r="G1160" t="str">
            <v>7</v>
          </cell>
          <cell r="H1160">
            <v>0</v>
          </cell>
        </row>
        <row r="1161">
          <cell r="B1161">
            <v>8439</v>
          </cell>
          <cell r="C1161" t="str">
            <v>Peterson; Edwin W</v>
          </cell>
          <cell r="D1161" t="str">
            <v>1C</v>
          </cell>
          <cell r="E1161" t="str">
            <v>IBEWOUT</v>
          </cell>
          <cell r="F1161" t="str">
            <v>1245</v>
          </cell>
          <cell r="G1161" t="str">
            <v>8</v>
          </cell>
          <cell r="H1161">
            <v>0</v>
          </cell>
        </row>
        <row r="1162">
          <cell r="B1162">
            <v>8440</v>
          </cell>
          <cell r="C1162" t="str">
            <v>Pelster; Damian S</v>
          </cell>
          <cell r="D1162" t="str">
            <v>1C</v>
          </cell>
          <cell r="E1162" t="str">
            <v>IBEWOUT</v>
          </cell>
          <cell r="F1162" t="str">
            <v>1245</v>
          </cell>
          <cell r="G1162" t="str">
            <v>8</v>
          </cell>
          <cell r="H1162">
            <v>0</v>
          </cell>
        </row>
        <row r="1163">
          <cell r="B1163">
            <v>8441</v>
          </cell>
          <cell r="C1163" t="str">
            <v>Petrarca Jr; Jay M</v>
          </cell>
          <cell r="D1163" t="str">
            <v>1</v>
          </cell>
          <cell r="E1163" t="str">
            <v/>
          </cell>
          <cell r="F1163" t="str">
            <v/>
          </cell>
          <cell r="G1163" t="str">
            <v/>
          </cell>
          <cell r="H1163">
            <v>0</v>
          </cell>
        </row>
        <row r="1164">
          <cell r="B1164">
            <v>8442</v>
          </cell>
          <cell r="C1164" t="str">
            <v>Persche; Mark Russell</v>
          </cell>
          <cell r="D1164" t="str">
            <v>1C</v>
          </cell>
          <cell r="E1164" t="str">
            <v>IBEWOUT</v>
          </cell>
          <cell r="F1164" t="str">
            <v>1245</v>
          </cell>
          <cell r="G1164" t="str">
            <v>8</v>
          </cell>
          <cell r="H1164">
            <v>0</v>
          </cell>
        </row>
        <row r="1165">
          <cell r="B1165">
            <v>8445</v>
          </cell>
          <cell r="C1165" t="str">
            <v>Pelayo; Ruben</v>
          </cell>
          <cell r="D1165" t="str">
            <v>1C</v>
          </cell>
          <cell r="E1165" t="str">
            <v>IBEWOUT</v>
          </cell>
          <cell r="F1165" t="str">
            <v>1245</v>
          </cell>
          <cell r="G1165" t="str">
            <v>15</v>
          </cell>
          <cell r="H1165">
            <v>0</v>
          </cell>
        </row>
        <row r="1166">
          <cell r="B1166">
            <v>8451</v>
          </cell>
          <cell r="C1166" t="str">
            <v>Phillips; Luther E.</v>
          </cell>
          <cell r="D1166" t="str">
            <v>1</v>
          </cell>
          <cell r="E1166" t="str">
            <v/>
          </cell>
          <cell r="F1166" t="str">
            <v/>
          </cell>
          <cell r="G1166" t="str">
            <v/>
          </cell>
          <cell r="H1166">
            <v>1</v>
          </cell>
        </row>
        <row r="1167">
          <cell r="B1167">
            <v>8452</v>
          </cell>
          <cell r="C1167" t="str">
            <v>Phillips; Blake R</v>
          </cell>
          <cell r="D1167" t="str">
            <v>1C</v>
          </cell>
          <cell r="E1167" t="str">
            <v>IBEWOUT</v>
          </cell>
          <cell r="F1167" t="str">
            <v>47</v>
          </cell>
          <cell r="G1167" t="str">
            <v>14</v>
          </cell>
          <cell r="H1167">
            <v>0</v>
          </cell>
        </row>
        <row r="1168">
          <cell r="B1168">
            <v>8453</v>
          </cell>
          <cell r="C1168" t="str">
            <v>Pierce; Andrew J.</v>
          </cell>
          <cell r="D1168" t="str">
            <v>1C</v>
          </cell>
          <cell r="E1168" t="str">
            <v>IBEWOUT</v>
          </cell>
          <cell r="F1168" t="str">
            <v>1245</v>
          </cell>
          <cell r="G1168" t="str">
            <v>8</v>
          </cell>
          <cell r="H1168">
            <v>0</v>
          </cell>
        </row>
        <row r="1169">
          <cell r="B1169">
            <v>8458</v>
          </cell>
          <cell r="C1169" t="str">
            <v>Phillips; John W</v>
          </cell>
          <cell r="D1169" t="str">
            <v>1C</v>
          </cell>
          <cell r="E1169" t="str">
            <v>IBEWOUT</v>
          </cell>
          <cell r="F1169" t="str">
            <v>1245</v>
          </cell>
          <cell r="G1169" t="str">
            <v>16</v>
          </cell>
          <cell r="H1169">
            <v>0</v>
          </cell>
        </row>
        <row r="1170">
          <cell r="B1170">
            <v>8461</v>
          </cell>
          <cell r="C1170" t="str">
            <v>Pfaff; Rory C</v>
          </cell>
          <cell r="D1170" t="str">
            <v>1C</v>
          </cell>
          <cell r="E1170" t="str">
            <v>IBEWOUT</v>
          </cell>
          <cell r="F1170" t="str">
            <v>47</v>
          </cell>
          <cell r="G1170" t="str">
            <v>16</v>
          </cell>
          <cell r="H1170">
            <v>0</v>
          </cell>
        </row>
        <row r="1171">
          <cell r="B1171">
            <v>8464</v>
          </cell>
          <cell r="C1171" t="str">
            <v>Petersen; Spencer L</v>
          </cell>
          <cell r="D1171" t="str">
            <v>1</v>
          </cell>
          <cell r="E1171" t="str">
            <v>IBEWOUT</v>
          </cell>
          <cell r="F1171" t="str">
            <v>769</v>
          </cell>
          <cell r="G1171" t="str">
            <v>8</v>
          </cell>
          <cell r="H1171">
            <v>0</v>
          </cell>
        </row>
        <row r="1172">
          <cell r="B1172">
            <v>8471</v>
          </cell>
          <cell r="C1172" t="str">
            <v>Pierson; Ian R</v>
          </cell>
          <cell r="D1172" t="str">
            <v>1C</v>
          </cell>
          <cell r="E1172" t="str">
            <v>IBEWOUT</v>
          </cell>
          <cell r="F1172" t="str">
            <v>160</v>
          </cell>
          <cell r="G1172" t="str">
            <v>8</v>
          </cell>
          <cell r="H1172">
            <v>0</v>
          </cell>
        </row>
        <row r="1173">
          <cell r="B1173">
            <v>8472</v>
          </cell>
          <cell r="C1173" t="str">
            <v>Pierson Jr.; Robert Dewey</v>
          </cell>
          <cell r="D1173" t="str">
            <v>1C</v>
          </cell>
          <cell r="E1173" t="str">
            <v/>
          </cell>
          <cell r="F1173" t="str">
            <v/>
          </cell>
          <cell r="G1173" t="str">
            <v/>
          </cell>
          <cell r="H1173">
            <v>0</v>
          </cell>
        </row>
        <row r="1174">
          <cell r="B1174">
            <v>8476</v>
          </cell>
          <cell r="C1174" t="str">
            <v>Pinios; Frank N.</v>
          </cell>
          <cell r="D1174" t="str">
            <v>1C</v>
          </cell>
          <cell r="E1174" t="str">
            <v>IBEWOUT</v>
          </cell>
          <cell r="F1174" t="str">
            <v>1245</v>
          </cell>
          <cell r="G1174" t="str">
            <v>7</v>
          </cell>
          <cell r="H1174">
            <v>0</v>
          </cell>
        </row>
        <row r="1175">
          <cell r="B1175">
            <v>8477</v>
          </cell>
          <cell r="C1175" t="str">
            <v>Piedra; Jose Manuel</v>
          </cell>
          <cell r="D1175" t="str">
            <v>1C</v>
          </cell>
          <cell r="E1175" t="str">
            <v>IBEWOUT</v>
          </cell>
          <cell r="F1175" t="str">
            <v>769</v>
          </cell>
          <cell r="G1175" t="str">
            <v>7</v>
          </cell>
          <cell r="H1175">
            <v>0</v>
          </cell>
        </row>
        <row r="1176">
          <cell r="B1176">
            <v>8479</v>
          </cell>
          <cell r="C1176" t="str">
            <v>Picazo; Benjamin</v>
          </cell>
          <cell r="D1176" t="str">
            <v>1C</v>
          </cell>
          <cell r="E1176" t="str">
            <v>IBEWOUT</v>
          </cell>
          <cell r="F1176" t="str">
            <v>1245</v>
          </cell>
          <cell r="G1176" t="str">
            <v>15</v>
          </cell>
          <cell r="H1176">
            <v>0</v>
          </cell>
        </row>
        <row r="1177">
          <cell r="B1177">
            <v>8481</v>
          </cell>
          <cell r="C1177" t="str">
            <v>Pitts; Andrew J</v>
          </cell>
          <cell r="D1177" t="str">
            <v>1C</v>
          </cell>
          <cell r="E1177" t="str">
            <v>IBEWOUT</v>
          </cell>
          <cell r="F1177" t="str">
            <v>1245</v>
          </cell>
          <cell r="G1177" t="str">
            <v>8</v>
          </cell>
          <cell r="H1177">
            <v>0</v>
          </cell>
        </row>
        <row r="1178">
          <cell r="B1178">
            <v>8483</v>
          </cell>
          <cell r="C1178" t="str">
            <v>Pineda; Adolfo Rudy</v>
          </cell>
          <cell r="D1178" t="str">
            <v>1C</v>
          </cell>
          <cell r="E1178" t="str">
            <v>IBEWOUT</v>
          </cell>
          <cell r="F1178" t="str">
            <v>396</v>
          </cell>
          <cell r="G1178" t="str">
            <v>18</v>
          </cell>
          <cell r="H1178">
            <v>0</v>
          </cell>
        </row>
        <row r="1179">
          <cell r="B1179">
            <v>8485</v>
          </cell>
          <cell r="C1179" t="str">
            <v>Pinedo; Daniel</v>
          </cell>
          <cell r="D1179" t="str">
            <v>1C</v>
          </cell>
          <cell r="E1179" t="str">
            <v>IBEWOUT</v>
          </cell>
          <cell r="F1179" t="str">
            <v>47</v>
          </cell>
          <cell r="G1179" t="str">
            <v>13</v>
          </cell>
          <cell r="H1179">
            <v>0</v>
          </cell>
        </row>
        <row r="1180">
          <cell r="B1180">
            <v>8487</v>
          </cell>
          <cell r="C1180" t="str">
            <v>Plant; Zachary</v>
          </cell>
          <cell r="D1180" t="str">
            <v>1C</v>
          </cell>
          <cell r="E1180" t="str">
            <v>IBEWOUT</v>
          </cell>
          <cell r="F1180" t="str">
            <v>611</v>
          </cell>
          <cell r="G1180" t="str">
            <v>17</v>
          </cell>
          <cell r="H1180">
            <v>0</v>
          </cell>
        </row>
        <row r="1181">
          <cell r="B1181">
            <v>8488</v>
          </cell>
          <cell r="C1181" t="str">
            <v>Pion; Nicholas A.</v>
          </cell>
          <cell r="D1181" t="str">
            <v>1</v>
          </cell>
          <cell r="E1181" t="str">
            <v>IBEWOUT</v>
          </cell>
          <cell r="F1181" t="str">
            <v>1245</v>
          </cell>
          <cell r="G1181" t="str">
            <v>8</v>
          </cell>
          <cell r="H1181">
            <v>0</v>
          </cell>
        </row>
        <row r="1182">
          <cell r="B1182">
            <v>8507</v>
          </cell>
          <cell r="C1182" t="str">
            <v>Pontine; Devon A</v>
          </cell>
          <cell r="D1182" t="str">
            <v>1C</v>
          </cell>
          <cell r="E1182" t="str">
            <v>IBEWOUT</v>
          </cell>
          <cell r="F1182" t="str">
            <v>602R</v>
          </cell>
          <cell r="G1182" t="str">
            <v>14T</v>
          </cell>
          <cell r="H1182">
            <v>0</v>
          </cell>
        </row>
        <row r="1183">
          <cell r="B1183">
            <v>8509</v>
          </cell>
          <cell r="C1183" t="str">
            <v>Porter; Wes Fraser</v>
          </cell>
          <cell r="D1183" t="str">
            <v>1C</v>
          </cell>
          <cell r="E1183" t="str">
            <v>IBEWOUT</v>
          </cell>
          <cell r="F1183" t="str">
            <v>47</v>
          </cell>
          <cell r="G1183" t="str">
            <v>17</v>
          </cell>
          <cell r="H1183">
            <v>0</v>
          </cell>
        </row>
        <row r="1184">
          <cell r="B1184">
            <v>8510</v>
          </cell>
          <cell r="C1184" t="str">
            <v>Porras; Jose R</v>
          </cell>
          <cell r="D1184" t="str">
            <v>1C</v>
          </cell>
          <cell r="E1184" t="str">
            <v>IBEWOUT</v>
          </cell>
          <cell r="F1184" t="str">
            <v>602R</v>
          </cell>
          <cell r="G1184" t="str">
            <v>13T</v>
          </cell>
          <cell r="H1184">
            <v>0</v>
          </cell>
        </row>
        <row r="1185">
          <cell r="B1185">
            <v>8511</v>
          </cell>
          <cell r="C1185" t="str">
            <v>Poland; Christopher James</v>
          </cell>
          <cell r="D1185" t="str">
            <v>1C</v>
          </cell>
          <cell r="E1185" t="str">
            <v>IBEWOUT</v>
          </cell>
          <cell r="F1185" t="str">
            <v>125</v>
          </cell>
          <cell r="G1185" t="str">
            <v>7</v>
          </cell>
          <cell r="H1185">
            <v>0</v>
          </cell>
        </row>
        <row r="1186">
          <cell r="B1186">
            <v>8515</v>
          </cell>
          <cell r="C1186" t="str">
            <v>Pock; Alvin J.</v>
          </cell>
          <cell r="D1186" t="str">
            <v>1C</v>
          </cell>
          <cell r="E1186" t="str">
            <v/>
          </cell>
          <cell r="F1186" t="str">
            <v/>
          </cell>
          <cell r="G1186" t="str">
            <v/>
          </cell>
          <cell r="H1186">
            <v>0</v>
          </cell>
        </row>
        <row r="1187">
          <cell r="B1187">
            <v>8518</v>
          </cell>
          <cell r="C1187" t="str">
            <v>Pino; Adam J</v>
          </cell>
          <cell r="D1187" t="str">
            <v>1C</v>
          </cell>
          <cell r="E1187" t="str">
            <v>IBEWOUT</v>
          </cell>
          <cell r="F1187" t="str">
            <v>77</v>
          </cell>
          <cell r="G1187" t="str">
            <v>8</v>
          </cell>
          <cell r="H1187">
            <v>0</v>
          </cell>
        </row>
        <row r="1188">
          <cell r="B1188">
            <v>8520</v>
          </cell>
          <cell r="C1188" t="str">
            <v>Posey; Walter</v>
          </cell>
          <cell r="D1188" t="str">
            <v>1</v>
          </cell>
          <cell r="E1188" t="str">
            <v/>
          </cell>
          <cell r="F1188" t="str">
            <v/>
          </cell>
          <cell r="G1188" t="str">
            <v/>
          </cell>
          <cell r="H1188">
            <v>0</v>
          </cell>
        </row>
        <row r="1189">
          <cell r="B1189">
            <v>8521</v>
          </cell>
          <cell r="C1189" t="str">
            <v>Preciado; Edgar E.</v>
          </cell>
          <cell r="D1189" t="str">
            <v>1</v>
          </cell>
          <cell r="E1189" t="str">
            <v>IBEWOUT</v>
          </cell>
          <cell r="F1189" t="str">
            <v>769</v>
          </cell>
          <cell r="G1189" t="str">
            <v>7</v>
          </cell>
          <cell r="H1189">
            <v>0</v>
          </cell>
        </row>
        <row r="1190">
          <cell r="B1190">
            <v>8523</v>
          </cell>
          <cell r="C1190" t="str">
            <v>Prychodzko; Peter D</v>
          </cell>
          <cell r="D1190" t="str">
            <v>1</v>
          </cell>
          <cell r="E1190" t="str">
            <v/>
          </cell>
          <cell r="F1190" t="str">
            <v/>
          </cell>
          <cell r="G1190" t="str">
            <v/>
          </cell>
          <cell r="H1190">
            <v>1</v>
          </cell>
        </row>
        <row r="1191">
          <cell r="B1191">
            <v>8524</v>
          </cell>
          <cell r="C1191" t="str">
            <v>Potter; Howard Michael</v>
          </cell>
          <cell r="D1191" t="str">
            <v>1C</v>
          </cell>
          <cell r="E1191" t="str">
            <v>IBEWOUT</v>
          </cell>
          <cell r="F1191" t="str">
            <v>396</v>
          </cell>
          <cell r="G1191" t="str">
            <v>8</v>
          </cell>
          <cell r="H1191">
            <v>0</v>
          </cell>
        </row>
        <row r="1192">
          <cell r="B1192">
            <v>8525</v>
          </cell>
          <cell r="C1192" t="str">
            <v>Powers; Nicholas L</v>
          </cell>
          <cell r="D1192" t="str">
            <v>1C</v>
          </cell>
          <cell r="E1192" t="str">
            <v>IBEWOUT</v>
          </cell>
          <cell r="F1192" t="str">
            <v>125</v>
          </cell>
          <cell r="G1192" t="str">
            <v>15</v>
          </cell>
          <cell r="H1192">
            <v>0</v>
          </cell>
        </row>
        <row r="1193">
          <cell r="B1193">
            <v>8526</v>
          </cell>
          <cell r="C1193" t="str">
            <v>Perlick; Timothy C</v>
          </cell>
          <cell r="D1193" t="str">
            <v>1C</v>
          </cell>
          <cell r="E1193" t="str">
            <v>IBEWOUT</v>
          </cell>
          <cell r="F1193" t="str">
            <v>47</v>
          </cell>
          <cell r="G1193" t="str">
            <v>8</v>
          </cell>
          <cell r="H1193">
            <v>0</v>
          </cell>
        </row>
        <row r="1194">
          <cell r="B1194">
            <v>8527</v>
          </cell>
          <cell r="C1194" t="str">
            <v>Potter; Shawn M</v>
          </cell>
          <cell r="D1194" t="str">
            <v>1C</v>
          </cell>
          <cell r="E1194" t="str">
            <v>IBEWOUT</v>
          </cell>
          <cell r="F1194" t="str">
            <v>160</v>
          </cell>
          <cell r="G1194" t="str">
            <v>31</v>
          </cell>
          <cell r="H1194">
            <v>0</v>
          </cell>
        </row>
        <row r="1195">
          <cell r="B1195">
            <v>8529</v>
          </cell>
          <cell r="C1195" t="str">
            <v>Preciado; Joseph A</v>
          </cell>
          <cell r="D1195" t="str">
            <v>1C</v>
          </cell>
          <cell r="E1195" t="str">
            <v>IBEWOUT</v>
          </cell>
          <cell r="F1195" t="str">
            <v>47</v>
          </cell>
          <cell r="G1195" t="str">
            <v>8</v>
          </cell>
          <cell r="H1195">
            <v>0</v>
          </cell>
        </row>
        <row r="1196">
          <cell r="B1196">
            <v>8532</v>
          </cell>
          <cell r="C1196" t="str">
            <v>Prather; Robert D.</v>
          </cell>
          <cell r="D1196" t="str">
            <v>1C</v>
          </cell>
          <cell r="E1196" t="str">
            <v>IBEWOUT</v>
          </cell>
          <cell r="F1196" t="str">
            <v>396</v>
          </cell>
          <cell r="G1196" t="str">
            <v>21</v>
          </cell>
          <cell r="H1196">
            <v>0</v>
          </cell>
        </row>
        <row r="1197">
          <cell r="B1197">
            <v>8534</v>
          </cell>
          <cell r="C1197" t="str">
            <v>Potts; Noah M</v>
          </cell>
          <cell r="D1197" t="str">
            <v>1C</v>
          </cell>
          <cell r="E1197" t="str">
            <v>IBEWOUT</v>
          </cell>
          <cell r="F1197" t="str">
            <v>1245</v>
          </cell>
          <cell r="G1197" t="str">
            <v>15</v>
          </cell>
          <cell r="H1197">
            <v>0</v>
          </cell>
        </row>
        <row r="1198">
          <cell r="B1198">
            <v>8551</v>
          </cell>
          <cell r="C1198" t="str">
            <v>Reyes; Gerardo</v>
          </cell>
          <cell r="D1198" t="str">
            <v>1C</v>
          </cell>
          <cell r="E1198" t="str">
            <v>IBEWOUT</v>
          </cell>
          <cell r="F1198" t="str">
            <v>47</v>
          </cell>
          <cell r="G1198" t="str">
            <v>60</v>
          </cell>
          <cell r="H1198">
            <v>0</v>
          </cell>
        </row>
        <row r="1199">
          <cell r="B1199">
            <v>8559</v>
          </cell>
          <cell r="C1199" t="str">
            <v>Ibarra; Diego</v>
          </cell>
          <cell r="D1199" t="str">
            <v>1</v>
          </cell>
          <cell r="E1199" t="str">
            <v/>
          </cell>
          <cell r="F1199" t="str">
            <v/>
          </cell>
          <cell r="G1199" t="str">
            <v/>
          </cell>
          <cell r="H1199">
            <v>1</v>
          </cell>
        </row>
        <row r="1200">
          <cell r="B1200">
            <v>8564</v>
          </cell>
          <cell r="C1200" t="str">
            <v>Reyes; Joe M</v>
          </cell>
          <cell r="D1200" t="str">
            <v>1</v>
          </cell>
          <cell r="E1200" t="str">
            <v>IBEWOUT</v>
          </cell>
          <cell r="F1200" t="str">
            <v>47</v>
          </cell>
          <cell r="G1200" t="str">
            <v>8</v>
          </cell>
          <cell r="H1200">
            <v>0</v>
          </cell>
        </row>
        <row r="1201">
          <cell r="B1201">
            <v>8600</v>
          </cell>
          <cell r="C1201" t="str">
            <v>Preuitt; Jason P.</v>
          </cell>
          <cell r="D1201" t="str">
            <v>1</v>
          </cell>
          <cell r="E1201" t="str">
            <v/>
          </cell>
          <cell r="F1201" t="str">
            <v/>
          </cell>
          <cell r="G1201" t="str">
            <v/>
          </cell>
          <cell r="H1201">
            <v>1</v>
          </cell>
        </row>
        <row r="1202">
          <cell r="B1202">
            <v>8602</v>
          </cell>
          <cell r="C1202" t="str">
            <v>Prewitt; Aaron M</v>
          </cell>
          <cell r="D1202" t="str">
            <v>1C</v>
          </cell>
          <cell r="E1202" t="str">
            <v>IBEWOUT</v>
          </cell>
          <cell r="F1202" t="str">
            <v>1049</v>
          </cell>
          <cell r="G1202" t="str">
            <v>8</v>
          </cell>
          <cell r="H1202">
            <v>0</v>
          </cell>
        </row>
        <row r="1203">
          <cell r="B1203">
            <v>8604</v>
          </cell>
          <cell r="C1203" t="str">
            <v>Price; Conner M</v>
          </cell>
          <cell r="D1203" t="str">
            <v>1C</v>
          </cell>
          <cell r="E1203" t="str">
            <v>IBEWOUT</v>
          </cell>
          <cell r="F1203" t="str">
            <v>1245</v>
          </cell>
          <cell r="G1203" t="str">
            <v>8</v>
          </cell>
          <cell r="H1203">
            <v>0</v>
          </cell>
        </row>
        <row r="1204">
          <cell r="B1204">
            <v>8605</v>
          </cell>
          <cell r="C1204" t="str">
            <v>Price; Hunter S</v>
          </cell>
          <cell r="D1204" t="str">
            <v>1C</v>
          </cell>
          <cell r="E1204" t="str">
            <v>IBEWOUT</v>
          </cell>
          <cell r="F1204" t="str">
            <v>1245</v>
          </cell>
          <cell r="G1204" t="str">
            <v>14</v>
          </cell>
          <cell r="H1204">
            <v>0</v>
          </cell>
        </row>
        <row r="1205">
          <cell r="B1205">
            <v>8613</v>
          </cell>
          <cell r="C1205" t="str">
            <v>Prochoren; Neal A</v>
          </cell>
          <cell r="D1205" t="str">
            <v>1C</v>
          </cell>
          <cell r="E1205" t="str">
            <v>IBEWOUT</v>
          </cell>
          <cell r="F1205" t="str">
            <v>47</v>
          </cell>
          <cell r="G1205" t="str">
            <v>17</v>
          </cell>
          <cell r="H1205">
            <v>0</v>
          </cell>
        </row>
        <row r="1206">
          <cell r="B1206">
            <v>8616</v>
          </cell>
          <cell r="C1206" t="str">
            <v>Proctor; Casey D</v>
          </cell>
          <cell r="D1206" t="str">
            <v>1</v>
          </cell>
          <cell r="E1206" t="str">
            <v/>
          </cell>
          <cell r="F1206" t="str">
            <v/>
          </cell>
          <cell r="G1206" t="str">
            <v/>
          </cell>
          <cell r="H1206">
            <v>0</v>
          </cell>
        </row>
        <row r="1207">
          <cell r="B1207">
            <v>8668</v>
          </cell>
          <cell r="C1207" t="str">
            <v>Pyeatt; Jordan M</v>
          </cell>
          <cell r="D1207" t="str">
            <v>1</v>
          </cell>
          <cell r="E1207" t="str">
            <v>IBEWOUT</v>
          </cell>
          <cell r="F1207" t="str">
            <v>77</v>
          </cell>
          <cell r="G1207" t="str">
            <v>16</v>
          </cell>
          <cell r="H1207">
            <v>0</v>
          </cell>
        </row>
        <row r="1208">
          <cell r="B1208">
            <v>8671</v>
          </cell>
          <cell r="C1208" t="str">
            <v>Queen; Joseph D</v>
          </cell>
          <cell r="D1208" t="str">
            <v>1C</v>
          </cell>
          <cell r="E1208" t="str">
            <v>IBEWOUT</v>
          </cell>
          <cell r="F1208" t="str">
            <v>1245</v>
          </cell>
          <cell r="G1208" t="str">
            <v>60</v>
          </cell>
          <cell r="H1208">
            <v>0</v>
          </cell>
        </row>
        <row r="1209">
          <cell r="B1209">
            <v>8684</v>
          </cell>
          <cell r="C1209" t="str">
            <v>Quillen; Justis J</v>
          </cell>
          <cell r="D1209" t="str">
            <v>1C</v>
          </cell>
          <cell r="E1209" t="str">
            <v>IBEWOUT</v>
          </cell>
          <cell r="F1209" t="str">
            <v>611</v>
          </cell>
          <cell r="G1209" t="str">
            <v>15</v>
          </cell>
          <cell r="H1209">
            <v>0</v>
          </cell>
        </row>
        <row r="1210">
          <cell r="B1210">
            <v>8685</v>
          </cell>
          <cell r="C1210" t="str">
            <v>Quigley; Patrick Allen</v>
          </cell>
          <cell r="D1210" t="str">
            <v>1</v>
          </cell>
          <cell r="E1210" t="str">
            <v>IBEWOUT</v>
          </cell>
          <cell r="F1210" t="str">
            <v>47</v>
          </cell>
          <cell r="G1210" t="str">
            <v>7</v>
          </cell>
          <cell r="H1210">
            <v>0</v>
          </cell>
        </row>
        <row r="1211">
          <cell r="B1211">
            <v>8686</v>
          </cell>
          <cell r="C1211" t="str">
            <v>Quinones; Leopoldo A</v>
          </cell>
          <cell r="D1211" t="str">
            <v>1C</v>
          </cell>
          <cell r="E1211" t="str">
            <v>IBEWOUT</v>
          </cell>
          <cell r="F1211" t="str">
            <v>1245</v>
          </cell>
          <cell r="G1211" t="str">
            <v>17</v>
          </cell>
          <cell r="H1211">
            <v>0</v>
          </cell>
        </row>
        <row r="1212">
          <cell r="B1212">
            <v>8687</v>
          </cell>
          <cell r="C1212" t="str">
            <v>Quick; Brett A.</v>
          </cell>
          <cell r="D1212" t="str">
            <v>1C</v>
          </cell>
          <cell r="E1212" t="str">
            <v>IBEWOUT</v>
          </cell>
          <cell r="F1212" t="str">
            <v>769</v>
          </cell>
          <cell r="G1212" t="str">
            <v>16</v>
          </cell>
          <cell r="H1212">
            <v>0</v>
          </cell>
        </row>
        <row r="1213">
          <cell r="B1213">
            <v>8688</v>
          </cell>
          <cell r="C1213" t="str">
            <v>Quinlan; Robert J.</v>
          </cell>
          <cell r="D1213" t="str">
            <v>1C</v>
          </cell>
          <cell r="E1213" t="str">
            <v>IBEWOUT</v>
          </cell>
          <cell r="F1213" t="str">
            <v>47</v>
          </cell>
          <cell r="G1213" t="str">
            <v>7</v>
          </cell>
          <cell r="H1213">
            <v>0</v>
          </cell>
        </row>
        <row r="1214">
          <cell r="B1214">
            <v>8690</v>
          </cell>
          <cell r="C1214" t="str">
            <v>Quinn; Benjamin D.</v>
          </cell>
          <cell r="D1214" t="str">
            <v>1C</v>
          </cell>
          <cell r="E1214" t="str">
            <v>IBEWIN</v>
          </cell>
          <cell r="F1214" t="str">
            <v>714</v>
          </cell>
          <cell r="G1214" t="str">
            <v>8I</v>
          </cell>
          <cell r="H1214">
            <v>0</v>
          </cell>
        </row>
        <row r="1215">
          <cell r="B1215">
            <v>8692</v>
          </cell>
          <cell r="C1215" t="str">
            <v>Quintana; Edward A</v>
          </cell>
          <cell r="D1215" t="str">
            <v>1C</v>
          </cell>
          <cell r="E1215" t="str">
            <v>IBEWOUT</v>
          </cell>
          <cell r="F1215" t="str">
            <v>769</v>
          </cell>
          <cell r="G1215" t="str">
            <v>8</v>
          </cell>
          <cell r="H1215">
            <v>0</v>
          </cell>
        </row>
        <row r="1216">
          <cell r="B1216">
            <v>8693</v>
          </cell>
          <cell r="C1216" t="str">
            <v>Quiroz; Arnulfo M</v>
          </cell>
          <cell r="D1216" t="str">
            <v>1</v>
          </cell>
          <cell r="E1216" t="str">
            <v>IBEWOUT</v>
          </cell>
          <cell r="F1216" t="str">
            <v>769</v>
          </cell>
          <cell r="G1216" t="str">
            <v>1</v>
          </cell>
          <cell r="H1216">
            <v>0</v>
          </cell>
        </row>
        <row r="1217">
          <cell r="B1217">
            <v>8695</v>
          </cell>
          <cell r="C1217" t="str">
            <v>Quirarte; Fidencio</v>
          </cell>
          <cell r="D1217" t="str">
            <v>1</v>
          </cell>
          <cell r="E1217" t="str">
            <v>IBEWOUT</v>
          </cell>
          <cell r="F1217" t="str">
            <v>611</v>
          </cell>
          <cell r="G1217" t="str">
            <v>10</v>
          </cell>
          <cell r="H1217">
            <v>0</v>
          </cell>
        </row>
        <row r="1218">
          <cell r="B1218">
            <v>8700</v>
          </cell>
          <cell r="C1218" t="str">
            <v>Quist; Michael L</v>
          </cell>
          <cell r="D1218" t="str">
            <v>1</v>
          </cell>
          <cell r="E1218" t="str">
            <v/>
          </cell>
          <cell r="F1218" t="str">
            <v/>
          </cell>
          <cell r="G1218" t="str">
            <v/>
          </cell>
          <cell r="H1218">
            <v>1</v>
          </cell>
        </row>
        <row r="1219">
          <cell r="B1219">
            <v>8732</v>
          </cell>
          <cell r="C1219" t="str">
            <v>Rabon; Leland C.</v>
          </cell>
          <cell r="D1219" t="str">
            <v>1C</v>
          </cell>
          <cell r="E1219" t="str">
            <v>IBEWOUT</v>
          </cell>
          <cell r="F1219" t="str">
            <v>47</v>
          </cell>
          <cell r="G1219" t="str">
            <v>16</v>
          </cell>
          <cell r="H1219">
            <v>0</v>
          </cell>
        </row>
        <row r="1220">
          <cell r="B1220">
            <v>8735</v>
          </cell>
          <cell r="C1220" t="str">
            <v>Radant; Cody D</v>
          </cell>
          <cell r="D1220" t="str">
            <v>1C</v>
          </cell>
          <cell r="E1220" t="str">
            <v>IBEWOUT</v>
          </cell>
          <cell r="F1220" t="str">
            <v>125</v>
          </cell>
          <cell r="G1220" t="str">
            <v>8</v>
          </cell>
          <cell r="H1220">
            <v>0</v>
          </cell>
        </row>
        <row r="1221">
          <cell r="B1221">
            <v>8746</v>
          </cell>
          <cell r="C1221" t="str">
            <v>Raffety; Michael Shawn</v>
          </cell>
          <cell r="D1221" t="str">
            <v>1C</v>
          </cell>
          <cell r="E1221" t="str">
            <v>IBEWOUT</v>
          </cell>
          <cell r="F1221" t="str">
            <v>47</v>
          </cell>
          <cell r="G1221" t="str">
            <v>8</v>
          </cell>
          <cell r="H1221">
            <v>0</v>
          </cell>
        </row>
        <row r="1222">
          <cell r="B1222">
            <v>8756</v>
          </cell>
          <cell r="C1222" t="str">
            <v>Rains; Travis G.</v>
          </cell>
          <cell r="D1222" t="str">
            <v>1C</v>
          </cell>
          <cell r="E1222" t="str">
            <v>IBEWOUT</v>
          </cell>
          <cell r="F1222" t="str">
            <v>1245</v>
          </cell>
          <cell r="G1222" t="str">
            <v>8</v>
          </cell>
          <cell r="H1222">
            <v>0</v>
          </cell>
        </row>
        <row r="1223">
          <cell r="B1223">
            <v>8772</v>
          </cell>
          <cell r="C1223" t="str">
            <v>Ramirez; Ernesto D.</v>
          </cell>
          <cell r="D1223" t="str">
            <v>1C</v>
          </cell>
          <cell r="E1223" t="str">
            <v>IBEWOUT</v>
          </cell>
          <cell r="F1223" t="str">
            <v>47</v>
          </cell>
          <cell r="G1223" t="str">
            <v>14</v>
          </cell>
          <cell r="H1223">
            <v>0</v>
          </cell>
        </row>
        <row r="1224">
          <cell r="B1224">
            <v>8773</v>
          </cell>
          <cell r="C1224" t="str">
            <v>Ramirez; Eric G</v>
          </cell>
          <cell r="D1224" t="str">
            <v>1C</v>
          </cell>
          <cell r="E1224" t="str">
            <v>IBEWOUT</v>
          </cell>
          <cell r="F1224" t="str">
            <v>47</v>
          </cell>
          <cell r="G1224" t="str">
            <v>13</v>
          </cell>
          <cell r="H1224">
            <v>0</v>
          </cell>
        </row>
        <row r="1225">
          <cell r="B1225">
            <v>8777</v>
          </cell>
          <cell r="C1225" t="str">
            <v>Ramirez-Gomez; Marco I</v>
          </cell>
          <cell r="D1225" t="str">
            <v>1C</v>
          </cell>
          <cell r="E1225" t="str">
            <v>IBEWOUT</v>
          </cell>
          <cell r="F1225" t="str">
            <v>1245</v>
          </cell>
          <cell r="G1225" t="str">
            <v>17</v>
          </cell>
          <cell r="H1225">
            <v>0</v>
          </cell>
        </row>
        <row r="1226">
          <cell r="B1226">
            <v>8779</v>
          </cell>
          <cell r="C1226" t="str">
            <v>Ramirez-Hernandez; Kevin A</v>
          </cell>
          <cell r="D1226" t="str">
            <v>1C</v>
          </cell>
          <cell r="E1226" t="str">
            <v/>
          </cell>
          <cell r="F1226" t="str">
            <v/>
          </cell>
          <cell r="G1226" t="str">
            <v/>
          </cell>
          <cell r="H1226">
            <v>0</v>
          </cell>
        </row>
        <row r="1227">
          <cell r="B1227">
            <v>8780</v>
          </cell>
          <cell r="C1227" t="str">
            <v>Ramirez Lima; Jose D</v>
          </cell>
          <cell r="D1227" t="str">
            <v>1C</v>
          </cell>
          <cell r="E1227" t="str">
            <v>IBEWOUT</v>
          </cell>
          <cell r="F1227" t="str">
            <v>47</v>
          </cell>
          <cell r="G1227" t="str">
            <v>17</v>
          </cell>
          <cell r="H1227">
            <v>0</v>
          </cell>
        </row>
        <row r="1228">
          <cell r="B1228">
            <v>8784</v>
          </cell>
          <cell r="C1228" t="str">
            <v>Raper; Michael G.</v>
          </cell>
          <cell r="D1228" t="str">
            <v>1</v>
          </cell>
          <cell r="E1228" t="str">
            <v>IBEWOUT</v>
          </cell>
          <cell r="F1228" t="str">
            <v>1245</v>
          </cell>
          <cell r="G1228" t="str">
            <v>1</v>
          </cell>
          <cell r="H1228">
            <v>0</v>
          </cell>
        </row>
        <row r="1229">
          <cell r="B1229">
            <v>8786</v>
          </cell>
          <cell r="C1229" t="str">
            <v>Ransom; William B.</v>
          </cell>
          <cell r="D1229" t="str">
            <v>1C</v>
          </cell>
          <cell r="E1229" t="str">
            <v>IBEWOUT</v>
          </cell>
          <cell r="F1229" t="str">
            <v>47</v>
          </cell>
          <cell r="G1229" t="str">
            <v>8</v>
          </cell>
          <cell r="H1229">
            <v>0</v>
          </cell>
        </row>
        <row r="1230">
          <cell r="B1230">
            <v>8787</v>
          </cell>
          <cell r="C1230" t="str">
            <v>Rapozo; Titus K</v>
          </cell>
          <cell r="D1230" t="str">
            <v>1C</v>
          </cell>
          <cell r="E1230" t="str">
            <v>IBEWOUT</v>
          </cell>
          <cell r="F1230" t="str">
            <v>104</v>
          </cell>
          <cell r="G1230" t="str">
            <v>7</v>
          </cell>
          <cell r="H1230">
            <v>0</v>
          </cell>
        </row>
        <row r="1231">
          <cell r="B1231">
            <v>8790</v>
          </cell>
          <cell r="C1231" t="str">
            <v>Ratti; Byron J</v>
          </cell>
          <cell r="D1231" t="str">
            <v>1C</v>
          </cell>
          <cell r="E1231" t="str">
            <v>IBEWOUT</v>
          </cell>
          <cell r="F1231" t="str">
            <v>47</v>
          </cell>
          <cell r="G1231" t="str">
            <v>17</v>
          </cell>
          <cell r="H1231">
            <v>0</v>
          </cell>
        </row>
        <row r="1232">
          <cell r="B1232">
            <v>8792</v>
          </cell>
          <cell r="C1232" t="str">
            <v>Rasmussen; Anita</v>
          </cell>
          <cell r="D1232" t="str">
            <v>1C</v>
          </cell>
          <cell r="E1232" t="str">
            <v>IBEWOUT</v>
          </cell>
          <cell r="F1232" t="str">
            <v>396</v>
          </cell>
          <cell r="G1232" t="str">
            <v>17</v>
          </cell>
          <cell r="H1232">
            <v>0</v>
          </cell>
        </row>
        <row r="1233">
          <cell r="B1233">
            <v>8797</v>
          </cell>
          <cell r="C1233" t="str">
            <v>Raunig; Fred L.</v>
          </cell>
          <cell r="D1233" t="str">
            <v>1</v>
          </cell>
          <cell r="E1233" t="str">
            <v/>
          </cell>
          <cell r="F1233" t="str">
            <v/>
          </cell>
          <cell r="G1233" t="str">
            <v/>
          </cell>
          <cell r="H1233">
            <v>0</v>
          </cell>
        </row>
        <row r="1234">
          <cell r="B1234">
            <v>8798</v>
          </cell>
          <cell r="C1234" t="str">
            <v>Raunig; Fred Michael</v>
          </cell>
          <cell r="D1234" t="str">
            <v>1</v>
          </cell>
          <cell r="E1234" t="str">
            <v>IBEWOUT</v>
          </cell>
          <cell r="F1234" t="str">
            <v>769</v>
          </cell>
          <cell r="G1234" t="str">
            <v>1</v>
          </cell>
          <cell r="H1234">
            <v>0</v>
          </cell>
        </row>
        <row r="1235">
          <cell r="B1235">
            <v>8799</v>
          </cell>
          <cell r="C1235" t="str">
            <v>Rau; Jared W</v>
          </cell>
          <cell r="D1235" t="str">
            <v>1</v>
          </cell>
          <cell r="E1235" t="str">
            <v>IBEWOUT</v>
          </cell>
          <cell r="F1235" t="str">
            <v>769</v>
          </cell>
          <cell r="G1235" t="str">
            <v>8</v>
          </cell>
          <cell r="H1235">
            <v>0</v>
          </cell>
        </row>
        <row r="1236">
          <cell r="B1236">
            <v>8811</v>
          </cell>
          <cell r="C1236" t="str">
            <v>Ridley IV; Nelson</v>
          </cell>
          <cell r="D1236" t="str">
            <v>1C</v>
          </cell>
          <cell r="E1236" t="str">
            <v>IBEWOUT</v>
          </cell>
          <cell r="F1236" t="str">
            <v>1245</v>
          </cell>
          <cell r="G1236" t="str">
            <v>8</v>
          </cell>
          <cell r="H1236">
            <v>0</v>
          </cell>
        </row>
        <row r="1237">
          <cell r="B1237">
            <v>8817</v>
          </cell>
          <cell r="C1237" t="str">
            <v>Reavis; Sam H</v>
          </cell>
          <cell r="D1237" t="str">
            <v>1C</v>
          </cell>
          <cell r="E1237" t="str">
            <v>IBEWOUT</v>
          </cell>
          <cell r="F1237" t="str">
            <v>1245</v>
          </cell>
          <cell r="G1237" t="str">
            <v>11</v>
          </cell>
          <cell r="H1237">
            <v>0</v>
          </cell>
        </row>
        <row r="1238">
          <cell r="B1238">
            <v>8822</v>
          </cell>
          <cell r="C1238" t="str">
            <v>Reidhead; Trek W</v>
          </cell>
          <cell r="D1238" t="str">
            <v>1</v>
          </cell>
          <cell r="E1238" t="str">
            <v>IBEWOUT</v>
          </cell>
          <cell r="F1238" t="str">
            <v>47</v>
          </cell>
          <cell r="G1238" t="str">
            <v>1</v>
          </cell>
          <cell r="H1238">
            <v>0</v>
          </cell>
        </row>
        <row r="1239">
          <cell r="B1239">
            <v>8829</v>
          </cell>
          <cell r="C1239" t="str">
            <v>Richmond; Cordell D</v>
          </cell>
          <cell r="D1239" t="str">
            <v>1C</v>
          </cell>
          <cell r="E1239" t="str">
            <v>IBEWOUT</v>
          </cell>
          <cell r="F1239" t="str">
            <v>602R</v>
          </cell>
          <cell r="G1239" t="str">
            <v>14T</v>
          </cell>
          <cell r="H1239">
            <v>0</v>
          </cell>
        </row>
        <row r="1240">
          <cell r="B1240">
            <v>8832</v>
          </cell>
          <cell r="C1240" t="str">
            <v>Renn; Shane T.</v>
          </cell>
          <cell r="D1240" t="str">
            <v>1C</v>
          </cell>
          <cell r="E1240" t="str">
            <v>IBEWOUT</v>
          </cell>
          <cell r="F1240" t="str">
            <v>1245</v>
          </cell>
          <cell r="G1240" t="str">
            <v>7</v>
          </cell>
          <cell r="H1240">
            <v>0</v>
          </cell>
        </row>
        <row r="1241">
          <cell r="B1241">
            <v>8833</v>
          </cell>
          <cell r="C1241" t="str">
            <v>Ressa; Joshua W.</v>
          </cell>
          <cell r="D1241" t="str">
            <v>1C</v>
          </cell>
          <cell r="E1241" t="str">
            <v>IBEWOUT</v>
          </cell>
          <cell r="F1241" t="str">
            <v>77</v>
          </cell>
          <cell r="G1241" t="str">
            <v>16</v>
          </cell>
          <cell r="H1241">
            <v>0</v>
          </cell>
        </row>
        <row r="1242">
          <cell r="B1242">
            <v>8836</v>
          </cell>
          <cell r="C1242" t="str">
            <v>Richmond; Shawn J.</v>
          </cell>
          <cell r="D1242" t="str">
            <v>1C</v>
          </cell>
          <cell r="E1242" t="str">
            <v>IBEWOUT</v>
          </cell>
          <cell r="F1242" t="str">
            <v>1245</v>
          </cell>
          <cell r="G1242" t="str">
            <v>8</v>
          </cell>
          <cell r="H1242">
            <v>0</v>
          </cell>
        </row>
        <row r="1243">
          <cell r="B1243">
            <v>8837</v>
          </cell>
          <cell r="C1243" t="str">
            <v>Ricker; Chad M</v>
          </cell>
          <cell r="D1243" t="str">
            <v>1C</v>
          </cell>
          <cell r="E1243" t="str">
            <v>IBEWOUT</v>
          </cell>
          <cell r="F1243" t="str">
            <v>47</v>
          </cell>
          <cell r="G1243" t="str">
            <v>8</v>
          </cell>
          <cell r="H1243">
            <v>0</v>
          </cell>
        </row>
        <row r="1244">
          <cell r="B1244">
            <v>8845</v>
          </cell>
          <cell r="C1244" t="str">
            <v>Renteria; Juan Carlos</v>
          </cell>
          <cell r="D1244" t="str">
            <v>1C</v>
          </cell>
          <cell r="E1244" t="str">
            <v>IBEWOUT</v>
          </cell>
          <cell r="F1244" t="str">
            <v>1245</v>
          </cell>
          <cell r="G1244" t="str">
            <v>12</v>
          </cell>
          <cell r="H1244">
            <v>0</v>
          </cell>
        </row>
        <row r="1245">
          <cell r="B1245">
            <v>8846</v>
          </cell>
          <cell r="C1245" t="str">
            <v>Rondeau Jr.; William A</v>
          </cell>
          <cell r="D1245" t="str">
            <v>1C</v>
          </cell>
          <cell r="E1245" t="str">
            <v>IBEWOUT</v>
          </cell>
          <cell r="F1245" t="str">
            <v>126</v>
          </cell>
          <cell r="G1245" t="str">
            <v>8</v>
          </cell>
          <cell r="H1245">
            <v>0</v>
          </cell>
        </row>
        <row r="1246">
          <cell r="B1246">
            <v>8855</v>
          </cell>
          <cell r="C1246" t="str">
            <v>Robbins; Nathan Ray</v>
          </cell>
          <cell r="D1246" t="str">
            <v>1C</v>
          </cell>
          <cell r="E1246" t="str">
            <v>IBEWOUT</v>
          </cell>
          <cell r="F1246" t="str">
            <v>77</v>
          </cell>
          <cell r="G1246" t="str">
            <v>9</v>
          </cell>
          <cell r="H1246">
            <v>0</v>
          </cell>
        </row>
        <row r="1247">
          <cell r="B1247">
            <v>8856</v>
          </cell>
          <cell r="C1247" t="str">
            <v>Rethi; Attila Alex</v>
          </cell>
          <cell r="D1247" t="str">
            <v>1C</v>
          </cell>
          <cell r="E1247" t="str">
            <v>IBEWOUT</v>
          </cell>
          <cell r="F1247" t="str">
            <v>1245</v>
          </cell>
          <cell r="G1247" t="str">
            <v>16</v>
          </cell>
          <cell r="H1247">
            <v>0</v>
          </cell>
        </row>
        <row r="1248">
          <cell r="B1248">
            <v>8857</v>
          </cell>
          <cell r="C1248" t="str">
            <v>Romberg; Grant M</v>
          </cell>
          <cell r="D1248" t="str">
            <v>1C</v>
          </cell>
          <cell r="E1248" t="str">
            <v>IBEWOUT</v>
          </cell>
          <cell r="F1248" t="str">
            <v>160</v>
          </cell>
          <cell r="G1248" t="str">
            <v>8</v>
          </cell>
          <cell r="H1248">
            <v>0</v>
          </cell>
        </row>
        <row r="1249">
          <cell r="B1249">
            <v>8858</v>
          </cell>
          <cell r="C1249" t="str">
            <v>Romero; Johnny O</v>
          </cell>
          <cell r="D1249" t="str">
            <v>1C</v>
          </cell>
          <cell r="E1249" t="str">
            <v>IBEWOUT</v>
          </cell>
          <cell r="F1249" t="str">
            <v>611</v>
          </cell>
          <cell r="G1249" t="str">
            <v>12</v>
          </cell>
          <cell r="H1249">
            <v>0</v>
          </cell>
        </row>
        <row r="1250">
          <cell r="B1250">
            <v>8860</v>
          </cell>
          <cell r="C1250" t="str">
            <v>Rice; Everett L</v>
          </cell>
          <cell r="D1250" t="str">
            <v>1C</v>
          </cell>
          <cell r="E1250" t="str">
            <v>IBEWOUT</v>
          </cell>
          <cell r="F1250" t="str">
            <v>77</v>
          </cell>
          <cell r="G1250" t="str">
            <v>8</v>
          </cell>
          <cell r="H1250">
            <v>0</v>
          </cell>
        </row>
        <row r="1251">
          <cell r="B1251">
            <v>8861</v>
          </cell>
          <cell r="C1251" t="str">
            <v>Rhodes; Sam A</v>
          </cell>
          <cell r="D1251" t="str">
            <v>1C</v>
          </cell>
          <cell r="E1251" t="str">
            <v>IBEWOUT</v>
          </cell>
          <cell r="F1251" t="str">
            <v>77</v>
          </cell>
          <cell r="G1251" t="str">
            <v>8</v>
          </cell>
          <cell r="H1251">
            <v>0</v>
          </cell>
        </row>
        <row r="1252">
          <cell r="B1252">
            <v>8862</v>
          </cell>
          <cell r="C1252" t="str">
            <v>Rex; Paul Arthur</v>
          </cell>
          <cell r="D1252" t="str">
            <v>1C</v>
          </cell>
          <cell r="E1252" t="str">
            <v>IBEWOUT</v>
          </cell>
          <cell r="F1252" t="str">
            <v>47</v>
          </cell>
          <cell r="G1252" t="str">
            <v>60</v>
          </cell>
          <cell r="H1252">
            <v>0</v>
          </cell>
        </row>
        <row r="1253">
          <cell r="B1253">
            <v>8864</v>
          </cell>
          <cell r="C1253" t="str">
            <v>Rhodes; Shawn A</v>
          </cell>
          <cell r="D1253" t="str">
            <v>1</v>
          </cell>
          <cell r="E1253" t="str">
            <v/>
          </cell>
          <cell r="F1253" t="str">
            <v/>
          </cell>
          <cell r="G1253" t="str">
            <v/>
          </cell>
          <cell r="H1253">
            <v>1</v>
          </cell>
        </row>
        <row r="1254">
          <cell r="B1254">
            <v>8865</v>
          </cell>
          <cell r="C1254" t="str">
            <v>Rivet Jr.; Lipton J</v>
          </cell>
          <cell r="D1254" t="str">
            <v>1C</v>
          </cell>
          <cell r="E1254" t="str">
            <v>IBEWOUT</v>
          </cell>
          <cell r="F1254" t="str">
            <v>160</v>
          </cell>
          <cell r="G1254" t="str">
            <v>8</v>
          </cell>
          <cell r="H1254">
            <v>0</v>
          </cell>
        </row>
        <row r="1255">
          <cell r="B1255">
            <v>8868</v>
          </cell>
          <cell r="C1255" t="str">
            <v>Richardson; Rush L</v>
          </cell>
          <cell r="D1255" t="str">
            <v>1C</v>
          </cell>
          <cell r="E1255" t="str">
            <v>IBEWOUT</v>
          </cell>
          <cell r="F1255" t="str">
            <v>1245</v>
          </cell>
          <cell r="G1255" t="str">
            <v>8</v>
          </cell>
          <cell r="H1255">
            <v>0</v>
          </cell>
        </row>
        <row r="1256">
          <cell r="B1256">
            <v>8871</v>
          </cell>
          <cell r="C1256" t="str">
            <v>Romero; Ricardo</v>
          </cell>
          <cell r="D1256" t="str">
            <v>1C</v>
          </cell>
          <cell r="E1256" t="str">
            <v>IBEWOUT</v>
          </cell>
          <cell r="F1256" t="str">
            <v>47</v>
          </cell>
          <cell r="G1256" t="str">
            <v>8</v>
          </cell>
          <cell r="H1256">
            <v>0</v>
          </cell>
        </row>
        <row r="1257">
          <cell r="B1257">
            <v>8873</v>
          </cell>
          <cell r="C1257" t="str">
            <v>Rico; Jose M</v>
          </cell>
          <cell r="D1257" t="str">
            <v>1C</v>
          </cell>
          <cell r="E1257" t="str">
            <v>IBEWOUT</v>
          </cell>
          <cell r="F1257" t="str">
            <v>1245</v>
          </cell>
          <cell r="G1257" t="str">
            <v>60</v>
          </cell>
          <cell r="H1257">
            <v>0</v>
          </cell>
        </row>
        <row r="1258">
          <cell r="B1258">
            <v>8887</v>
          </cell>
          <cell r="C1258" t="str">
            <v>Riley; Brian Patrick</v>
          </cell>
          <cell r="D1258" t="str">
            <v>1C</v>
          </cell>
          <cell r="E1258" t="str">
            <v/>
          </cell>
          <cell r="F1258" t="str">
            <v/>
          </cell>
          <cell r="G1258" t="str">
            <v/>
          </cell>
          <cell r="H1258">
            <v>0</v>
          </cell>
        </row>
        <row r="1259">
          <cell r="B1259">
            <v>8888</v>
          </cell>
          <cell r="C1259" t="str">
            <v>Rinehimer; Geary M</v>
          </cell>
          <cell r="D1259" t="str">
            <v>1C</v>
          </cell>
          <cell r="E1259" t="str">
            <v>IBEWOUT</v>
          </cell>
          <cell r="F1259" t="str">
            <v>1319</v>
          </cell>
          <cell r="G1259" t="str">
            <v>13</v>
          </cell>
          <cell r="H1259">
            <v>0</v>
          </cell>
        </row>
        <row r="1260">
          <cell r="B1260">
            <v>8891</v>
          </cell>
          <cell r="C1260" t="str">
            <v>Rinella; Philip M</v>
          </cell>
          <cell r="D1260" t="str">
            <v>1</v>
          </cell>
          <cell r="E1260" t="str">
            <v/>
          </cell>
          <cell r="F1260" t="str">
            <v/>
          </cell>
          <cell r="G1260" t="str">
            <v/>
          </cell>
          <cell r="H1260">
            <v>0</v>
          </cell>
        </row>
        <row r="1261">
          <cell r="B1261">
            <v>8895</v>
          </cell>
          <cell r="C1261" t="str">
            <v>Roan; Dustin Michael</v>
          </cell>
          <cell r="D1261" t="str">
            <v>1C</v>
          </cell>
          <cell r="E1261" t="str">
            <v>IBEWOUT</v>
          </cell>
          <cell r="F1261" t="str">
            <v>769</v>
          </cell>
          <cell r="G1261" t="str">
            <v>33</v>
          </cell>
          <cell r="H1261">
            <v>0</v>
          </cell>
        </row>
        <row r="1262">
          <cell r="B1262">
            <v>8899</v>
          </cell>
          <cell r="C1262" t="str">
            <v>Rigg; Stuart N</v>
          </cell>
          <cell r="D1262" t="str">
            <v>1C</v>
          </cell>
          <cell r="E1262" t="str">
            <v>IBEWOUT</v>
          </cell>
          <cell r="F1262" t="str">
            <v>1245</v>
          </cell>
          <cell r="G1262" t="str">
            <v>8</v>
          </cell>
          <cell r="H1262">
            <v>0</v>
          </cell>
        </row>
        <row r="1263">
          <cell r="B1263">
            <v>8904</v>
          </cell>
          <cell r="C1263" t="str">
            <v>Rivera; Amando A</v>
          </cell>
          <cell r="D1263" t="str">
            <v>1C</v>
          </cell>
          <cell r="E1263" t="str">
            <v>IBEWOUT</v>
          </cell>
          <cell r="F1263" t="str">
            <v>47</v>
          </cell>
          <cell r="G1263" t="str">
            <v>8</v>
          </cell>
          <cell r="H1263">
            <v>0</v>
          </cell>
        </row>
        <row r="1264">
          <cell r="B1264">
            <v>8905</v>
          </cell>
          <cell r="C1264" t="str">
            <v>Rieskamp; Amanda M</v>
          </cell>
          <cell r="D1264" t="str">
            <v>1C</v>
          </cell>
          <cell r="E1264" t="str">
            <v/>
          </cell>
          <cell r="F1264" t="str">
            <v/>
          </cell>
          <cell r="G1264" t="str">
            <v/>
          </cell>
          <cell r="H1264">
            <v>0</v>
          </cell>
        </row>
        <row r="1265">
          <cell r="B1265">
            <v>8906</v>
          </cell>
          <cell r="C1265" t="str">
            <v>Rivera; Luis C</v>
          </cell>
          <cell r="D1265" t="str">
            <v>1C</v>
          </cell>
          <cell r="E1265" t="str">
            <v>IBEWOUT</v>
          </cell>
          <cell r="F1265" t="str">
            <v>47</v>
          </cell>
          <cell r="G1265" t="str">
            <v>7</v>
          </cell>
          <cell r="H1265">
            <v>0</v>
          </cell>
        </row>
        <row r="1266">
          <cell r="B1266">
            <v>8908</v>
          </cell>
          <cell r="C1266" t="str">
            <v>Rivera; Andrew L</v>
          </cell>
          <cell r="D1266" t="str">
            <v>1C</v>
          </cell>
          <cell r="E1266" t="str">
            <v>IBEWOUT</v>
          </cell>
          <cell r="F1266" t="str">
            <v>611</v>
          </cell>
          <cell r="G1266" t="str">
            <v>13</v>
          </cell>
          <cell r="H1266">
            <v>0</v>
          </cell>
        </row>
        <row r="1267">
          <cell r="B1267">
            <v>8910</v>
          </cell>
          <cell r="C1267" t="str">
            <v>Rimer Jr; James D</v>
          </cell>
          <cell r="D1267" t="str">
            <v>1C</v>
          </cell>
          <cell r="E1267" t="str">
            <v>IBEWOUT</v>
          </cell>
          <cell r="F1267" t="str">
            <v>1245</v>
          </cell>
          <cell r="G1267" t="str">
            <v>8</v>
          </cell>
          <cell r="H1267">
            <v>0</v>
          </cell>
        </row>
        <row r="1268">
          <cell r="B1268">
            <v>8914</v>
          </cell>
          <cell r="C1268" t="str">
            <v>Rivera; Juan D</v>
          </cell>
          <cell r="D1268" t="str">
            <v>1</v>
          </cell>
          <cell r="E1268" t="str">
            <v>IBEWOUT</v>
          </cell>
          <cell r="F1268" t="str">
            <v>47</v>
          </cell>
          <cell r="G1268" t="str">
            <v>17</v>
          </cell>
          <cell r="H1268">
            <v>0</v>
          </cell>
        </row>
        <row r="1269">
          <cell r="B1269">
            <v>8915</v>
          </cell>
          <cell r="C1269" t="str">
            <v>Rivera; Juan H</v>
          </cell>
          <cell r="D1269" t="str">
            <v>1</v>
          </cell>
          <cell r="E1269" t="str">
            <v>IBEWOUT</v>
          </cell>
          <cell r="F1269" t="str">
            <v>1245</v>
          </cell>
          <cell r="G1269" t="str">
            <v>8</v>
          </cell>
          <cell r="H1269">
            <v>0</v>
          </cell>
        </row>
        <row r="1270">
          <cell r="B1270">
            <v>8916</v>
          </cell>
          <cell r="C1270" t="str">
            <v>Rivera; Darick J</v>
          </cell>
          <cell r="D1270" t="str">
            <v>1C</v>
          </cell>
          <cell r="E1270" t="str">
            <v>IBEWOUT</v>
          </cell>
          <cell r="F1270" t="str">
            <v>769</v>
          </cell>
          <cell r="G1270" t="str">
            <v>13</v>
          </cell>
          <cell r="H1270">
            <v>0</v>
          </cell>
        </row>
        <row r="1271">
          <cell r="B1271">
            <v>8930</v>
          </cell>
          <cell r="C1271" t="str">
            <v>Roark; Dale B.</v>
          </cell>
          <cell r="D1271" t="str">
            <v>1C</v>
          </cell>
          <cell r="E1271" t="str">
            <v>IBEWOUT</v>
          </cell>
          <cell r="F1271" t="str">
            <v>47</v>
          </cell>
          <cell r="G1271" t="str">
            <v>8</v>
          </cell>
          <cell r="H1271">
            <v>0</v>
          </cell>
        </row>
        <row r="1272">
          <cell r="B1272">
            <v>8931</v>
          </cell>
          <cell r="C1272" t="str">
            <v>Rocha; Jonathan M</v>
          </cell>
          <cell r="D1272" t="str">
            <v>1C</v>
          </cell>
          <cell r="E1272" t="str">
            <v>IBEWOUT</v>
          </cell>
          <cell r="F1272" t="str">
            <v>1245</v>
          </cell>
          <cell r="G1272" t="str">
            <v>13</v>
          </cell>
          <cell r="H1272">
            <v>0</v>
          </cell>
        </row>
        <row r="1273">
          <cell r="B1273">
            <v>8933</v>
          </cell>
          <cell r="C1273" t="str">
            <v>Rodericks; Marvin C</v>
          </cell>
          <cell r="D1273" t="str">
            <v>1C</v>
          </cell>
          <cell r="E1273" t="str">
            <v>IBEWOUT</v>
          </cell>
          <cell r="F1273" t="str">
            <v>1049</v>
          </cell>
          <cell r="G1273" t="str">
            <v>17</v>
          </cell>
          <cell r="H1273">
            <v>0</v>
          </cell>
        </row>
        <row r="1274">
          <cell r="B1274">
            <v>8934</v>
          </cell>
          <cell r="C1274" t="str">
            <v>Rocha Guzman; Salvador</v>
          </cell>
          <cell r="D1274" t="str">
            <v>1</v>
          </cell>
          <cell r="E1274" t="str">
            <v/>
          </cell>
          <cell r="F1274" t="str">
            <v/>
          </cell>
          <cell r="G1274" t="str">
            <v/>
          </cell>
          <cell r="H1274">
            <v>0</v>
          </cell>
        </row>
        <row r="1275">
          <cell r="B1275">
            <v>8960</v>
          </cell>
          <cell r="C1275" t="str">
            <v>Rodriguez; Ruben</v>
          </cell>
          <cell r="D1275" t="str">
            <v>1C</v>
          </cell>
          <cell r="E1275" t="str">
            <v>IBEWOUT</v>
          </cell>
          <cell r="F1275" t="str">
            <v>47</v>
          </cell>
          <cell r="G1275" t="str">
            <v>8</v>
          </cell>
          <cell r="H1275">
            <v>0</v>
          </cell>
        </row>
        <row r="1276">
          <cell r="B1276">
            <v>8962</v>
          </cell>
          <cell r="C1276" t="str">
            <v>Rodriguez; Victor M</v>
          </cell>
          <cell r="D1276" t="str">
            <v>1C</v>
          </cell>
          <cell r="E1276" t="str">
            <v>IBEWOUT</v>
          </cell>
          <cell r="F1276" t="str">
            <v>1245</v>
          </cell>
          <cell r="G1276" t="str">
            <v>9</v>
          </cell>
          <cell r="H1276">
            <v>0</v>
          </cell>
        </row>
        <row r="1277">
          <cell r="B1277">
            <v>9010</v>
          </cell>
          <cell r="C1277" t="str">
            <v>Roberts; James W.</v>
          </cell>
          <cell r="D1277" t="str">
            <v>1</v>
          </cell>
          <cell r="E1277" t="str">
            <v>IBEWOUT</v>
          </cell>
          <cell r="F1277" t="str">
            <v>125</v>
          </cell>
          <cell r="G1277" t="str">
            <v>1</v>
          </cell>
          <cell r="H1277">
            <v>0</v>
          </cell>
        </row>
        <row r="1278">
          <cell r="B1278">
            <v>9011</v>
          </cell>
          <cell r="C1278" t="str">
            <v>Roberts; Steven C</v>
          </cell>
          <cell r="D1278" t="str">
            <v>1C</v>
          </cell>
          <cell r="E1278" t="str">
            <v>IBEWOUT</v>
          </cell>
          <cell r="F1278" t="str">
            <v>47</v>
          </cell>
          <cell r="G1278" t="str">
            <v>8</v>
          </cell>
          <cell r="H1278">
            <v>0</v>
          </cell>
        </row>
        <row r="1279">
          <cell r="B1279">
            <v>9012</v>
          </cell>
          <cell r="C1279" t="str">
            <v>Robinett; Austin R.</v>
          </cell>
          <cell r="D1279" t="str">
            <v>1C</v>
          </cell>
          <cell r="E1279" t="str">
            <v/>
          </cell>
          <cell r="F1279" t="str">
            <v/>
          </cell>
          <cell r="G1279" t="str">
            <v/>
          </cell>
          <cell r="H1279">
            <v>1</v>
          </cell>
        </row>
        <row r="1280">
          <cell r="B1280">
            <v>9015</v>
          </cell>
          <cell r="C1280" t="str">
            <v>Roemhildt; Keegan M.</v>
          </cell>
          <cell r="D1280" t="str">
            <v>1</v>
          </cell>
          <cell r="E1280" t="str">
            <v/>
          </cell>
          <cell r="F1280" t="str">
            <v/>
          </cell>
          <cell r="G1280" t="str">
            <v/>
          </cell>
          <cell r="H1280">
            <v>1</v>
          </cell>
        </row>
        <row r="1281">
          <cell r="B1281">
            <v>9026</v>
          </cell>
          <cell r="C1281" t="str">
            <v>Rojas; Hilario O</v>
          </cell>
          <cell r="D1281" t="str">
            <v>1C</v>
          </cell>
          <cell r="E1281" t="str">
            <v>IBEWOUT</v>
          </cell>
          <cell r="F1281" t="str">
            <v>611</v>
          </cell>
          <cell r="G1281" t="str">
            <v>15</v>
          </cell>
          <cell r="H1281">
            <v>0</v>
          </cell>
        </row>
        <row r="1282">
          <cell r="B1282">
            <v>9047</v>
          </cell>
          <cell r="C1282" t="str">
            <v>Rose; Bob R</v>
          </cell>
          <cell r="D1282" t="str">
            <v>1C</v>
          </cell>
          <cell r="E1282" t="str">
            <v>IBEWOUT</v>
          </cell>
          <cell r="F1282" t="str">
            <v>77</v>
          </cell>
          <cell r="G1282" t="str">
            <v>16</v>
          </cell>
          <cell r="H1282">
            <v>0</v>
          </cell>
        </row>
        <row r="1283">
          <cell r="B1283">
            <v>9048</v>
          </cell>
          <cell r="C1283" t="str">
            <v>Roy; Cameron Russell</v>
          </cell>
          <cell r="D1283" t="str">
            <v>1</v>
          </cell>
          <cell r="E1283" t="str">
            <v/>
          </cell>
          <cell r="F1283" t="str">
            <v/>
          </cell>
          <cell r="G1283" t="str">
            <v/>
          </cell>
          <cell r="H1283">
            <v>1</v>
          </cell>
        </row>
        <row r="1284">
          <cell r="B1284">
            <v>9068</v>
          </cell>
          <cell r="C1284" t="str">
            <v>Row; Ryan A</v>
          </cell>
          <cell r="D1284" t="str">
            <v>1C</v>
          </cell>
          <cell r="E1284" t="str">
            <v>IBEWOUT</v>
          </cell>
          <cell r="F1284" t="str">
            <v>1245</v>
          </cell>
          <cell r="G1284" t="str">
            <v>7</v>
          </cell>
          <cell r="H1284">
            <v>0</v>
          </cell>
        </row>
        <row r="1285">
          <cell r="B1285">
            <v>9072</v>
          </cell>
          <cell r="C1285" t="str">
            <v>Rowley; Jared N</v>
          </cell>
          <cell r="D1285" t="str">
            <v>1C</v>
          </cell>
          <cell r="E1285" t="str">
            <v>IBEWOUT</v>
          </cell>
          <cell r="F1285" t="str">
            <v>1245</v>
          </cell>
          <cell r="G1285" t="str">
            <v>13</v>
          </cell>
          <cell r="H1285">
            <v>0</v>
          </cell>
        </row>
        <row r="1286">
          <cell r="B1286">
            <v>9074</v>
          </cell>
          <cell r="C1286" t="str">
            <v>Ruddell; Scott M</v>
          </cell>
          <cell r="D1286" t="str">
            <v>1</v>
          </cell>
          <cell r="E1286" t="str">
            <v>IBEWOUT</v>
          </cell>
          <cell r="F1286" t="str">
            <v>77</v>
          </cell>
          <cell r="G1286" t="str">
            <v>1</v>
          </cell>
          <cell r="H1286">
            <v>0</v>
          </cell>
        </row>
        <row r="1287">
          <cell r="B1287">
            <v>9083</v>
          </cell>
          <cell r="C1287" t="str">
            <v>Rydecki; Christopher E</v>
          </cell>
          <cell r="D1287" t="str">
            <v>1C</v>
          </cell>
          <cell r="E1287" t="str">
            <v>IBEWOUT</v>
          </cell>
          <cell r="F1287" t="str">
            <v>47</v>
          </cell>
          <cell r="G1287" t="str">
            <v>8</v>
          </cell>
          <cell r="H1287">
            <v>0</v>
          </cell>
        </row>
        <row r="1288">
          <cell r="B1288">
            <v>9084</v>
          </cell>
          <cell r="C1288" t="str">
            <v>Ruiz Castillo; Lorenzo</v>
          </cell>
          <cell r="D1288" t="str">
            <v>1C</v>
          </cell>
          <cell r="E1288" t="str">
            <v/>
          </cell>
          <cell r="F1288" t="str">
            <v/>
          </cell>
          <cell r="G1288" t="str">
            <v/>
          </cell>
          <cell r="H1288">
            <v>1</v>
          </cell>
        </row>
        <row r="1289">
          <cell r="B1289">
            <v>9087</v>
          </cell>
          <cell r="C1289" t="str">
            <v>Rossiter; Dustin R</v>
          </cell>
          <cell r="D1289" t="str">
            <v>1C</v>
          </cell>
          <cell r="E1289" t="str">
            <v/>
          </cell>
          <cell r="F1289" t="str">
            <v/>
          </cell>
          <cell r="G1289" t="str">
            <v/>
          </cell>
          <cell r="H1289">
            <v>1</v>
          </cell>
        </row>
        <row r="1290">
          <cell r="B1290">
            <v>9091</v>
          </cell>
          <cell r="C1290" t="str">
            <v>Rosenlund; David Joel</v>
          </cell>
          <cell r="D1290" t="str">
            <v>1C</v>
          </cell>
          <cell r="E1290" t="str">
            <v>IBEWOUT</v>
          </cell>
          <cell r="F1290" t="str">
            <v>1245</v>
          </cell>
          <cell r="G1290" t="str">
            <v>8</v>
          </cell>
          <cell r="H1290">
            <v>0</v>
          </cell>
        </row>
        <row r="1291">
          <cell r="B1291">
            <v>9092</v>
          </cell>
          <cell r="C1291" t="str">
            <v>Rosengrant; Jeffrey M</v>
          </cell>
          <cell r="D1291" t="str">
            <v>1C</v>
          </cell>
          <cell r="E1291" t="str">
            <v>IBEWOUT</v>
          </cell>
          <cell r="F1291" t="str">
            <v>1319</v>
          </cell>
          <cell r="G1291" t="str">
            <v>8</v>
          </cell>
          <cell r="H1291">
            <v>0</v>
          </cell>
        </row>
        <row r="1292">
          <cell r="B1292">
            <v>9107</v>
          </cell>
          <cell r="C1292" t="str">
            <v>Ross; Joe P.</v>
          </cell>
          <cell r="D1292" t="str">
            <v>1C</v>
          </cell>
          <cell r="E1292" t="str">
            <v>IBEWOUT</v>
          </cell>
          <cell r="F1292" t="str">
            <v>602R</v>
          </cell>
          <cell r="G1292" t="str">
            <v>33</v>
          </cell>
          <cell r="H1292">
            <v>0</v>
          </cell>
        </row>
        <row r="1293">
          <cell r="B1293">
            <v>9108</v>
          </cell>
          <cell r="C1293" t="str">
            <v>Robbins; Christopher A.</v>
          </cell>
          <cell r="D1293" t="str">
            <v>1C</v>
          </cell>
          <cell r="E1293" t="str">
            <v>IBEWOUT</v>
          </cell>
          <cell r="F1293" t="str">
            <v>396</v>
          </cell>
          <cell r="G1293" t="str">
            <v>10</v>
          </cell>
          <cell r="H1293">
            <v>0</v>
          </cell>
        </row>
        <row r="1294">
          <cell r="B1294">
            <v>9110</v>
          </cell>
          <cell r="C1294" t="str">
            <v>Rodriguez; Roberto J</v>
          </cell>
          <cell r="D1294" t="str">
            <v>1C</v>
          </cell>
          <cell r="E1294" t="str">
            <v>IBEWOUT</v>
          </cell>
          <cell r="F1294" t="str">
            <v>1245</v>
          </cell>
          <cell r="G1294" t="str">
            <v>7</v>
          </cell>
          <cell r="H1294">
            <v>0</v>
          </cell>
        </row>
        <row r="1295">
          <cell r="B1295">
            <v>9111</v>
          </cell>
          <cell r="C1295" t="str">
            <v>Rodriguez; Daniel N.</v>
          </cell>
          <cell r="D1295" t="str">
            <v>1C</v>
          </cell>
          <cell r="E1295" t="str">
            <v>IBEWOUT</v>
          </cell>
          <cell r="F1295" t="str">
            <v>47</v>
          </cell>
          <cell r="G1295" t="str">
            <v>17</v>
          </cell>
          <cell r="H1295">
            <v>0</v>
          </cell>
        </row>
        <row r="1296">
          <cell r="B1296">
            <v>9113</v>
          </cell>
          <cell r="C1296" t="str">
            <v>Rodriguez; Cuauhtemoc</v>
          </cell>
          <cell r="D1296" t="str">
            <v>1</v>
          </cell>
          <cell r="E1296" t="str">
            <v>IBEWOUT</v>
          </cell>
          <cell r="F1296" t="str">
            <v>769</v>
          </cell>
          <cell r="G1296" t="str">
            <v>15</v>
          </cell>
          <cell r="H1296">
            <v>0</v>
          </cell>
        </row>
        <row r="1297">
          <cell r="B1297">
            <v>9114</v>
          </cell>
          <cell r="C1297" t="str">
            <v>Rodriguez; Ricardo R.</v>
          </cell>
          <cell r="D1297" t="str">
            <v>1C</v>
          </cell>
          <cell r="E1297" t="str">
            <v>IBEWOUT</v>
          </cell>
          <cell r="F1297" t="str">
            <v>396</v>
          </cell>
          <cell r="G1297" t="str">
            <v>8</v>
          </cell>
          <cell r="H1297">
            <v>0</v>
          </cell>
        </row>
        <row r="1298">
          <cell r="B1298">
            <v>9116</v>
          </cell>
          <cell r="C1298" t="str">
            <v>Rogers; Jason A.</v>
          </cell>
          <cell r="D1298" t="str">
            <v>1C</v>
          </cell>
          <cell r="E1298" t="str">
            <v>IBEWOUT</v>
          </cell>
          <cell r="F1298" t="str">
            <v>1245</v>
          </cell>
          <cell r="G1298" t="str">
            <v>10</v>
          </cell>
          <cell r="H1298">
            <v>0</v>
          </cell>
        </row>
        <row r="1299">
          <cell r="B1299">
            <v>9117</v>
          </cell>
          <cell r="C1299" t="str">
            <v>Ross; Amie D</v>
          </cell>
          <cell r="D1299" t="str">
            <v>1C</v>
          </cell>
          <cell r="E1299" t="str">
            <v/>
          </cell>
          <cell r="F1299" t="str">
            <v/>
          </cell>
          <cell r="G1299" t="str">
            <v/>
          </cell>
          <cell r="H1299">
            <v>0</v>
          </cell>
        </row>
        <row r="1300">
          <cell r="B1300">
            <v>9118</v>
          </cell>
          <cell r="C1300" t="str">
            <v>Rodriguez; Ramon O</v>
          </cell>
          <cell r="D1300" t="str">
            <v>1C</v>
          </cell>
          <cell r="E1300" t="str">
            <v>IBEWOUT</v>
          </cell>
          <cell r="F1300" t="str">
            <v>1245</v>
          </cell>
          <cell r="G1300" t="str">
            <v>15</v>
          </cell>
          <cell r="H1300">
            <v>0</v>
          </cell>
        </row>
        <row r="1301">
          <cell r="B1301">
            <v>9119</v>
          </cell>
          <cell r="C1301" t="str">
            <v>Roberts; Chaney C</v>
          </cell>
          <cell r="D1301" t="str">
            <v>1C</v>
          </cell>
          <cell r="E1301" t="str">
            <v>IBEWOUT</v>
          </cell>
          <cell r="F1301" t="str">
            <v>47</v>
          </cell>
          <cell r="G1301" t="str">
            <v>17</v>
          </cell>
          <cell r="H1301">
            <v>0</v>
          </cell>
        </row>
        <row r="1302">
          <cell r="B1302">
            <v>9124</v>
          </cell>
          <cell r="C1302" t="str">
            <v>Rodriguez; Blain F</v>
          </cell>
          <cell r="D1302" t="str">
            <v>1C</v>
          </cell>
          <cell r="E1302" t="str">
            <v>IBEWOUT</v>
          </cell>
          <cell r="F1302" t="str">
            <v>47</v>
          </cell>
          <cell r="G1302" t="str">
            <v>7</v>
          </cell>
          <cell r="H1302">
            <v>0</v>
          </cell>
        </row>
        <row r="1303">
          <cell r="B1303">
            <v>9125</v>
          </cell>
          <cell r="C1303" t="str">
            <v>Rodriguez; Derek M</v>
          </cell>
          <cell r="D1303" t="str">
            <v>1C</v>
          </cell>
          <cell r="E1303" t="str">
            <v>IBEWOUT</v>
          </cell>
          <cell r="F1303" t="str">
            <v>611</v>
          </cell>
          <cell r="G1303" t="str">
            <v>17</v>
          </cell>
          <cell r="H1303">
            <v>0</v>
          </cell>
        </row>
        <row r="1304">
          <cell r="B1304">
            <v>9127</v>
          </cell>
          <cell r="C1304" t="str">
            <v>Ros; Christian E</v>
          </cell>
          <cell r="D1304" t="str">
            <v>1C</v>
          </cell>
          <cell r="E1304" t="str">
            <v>IBEWOUT</v>
          </cell>
          <cell r="F1304" t="str">
            <v>1245</v>
          </cell>
          <cell r="G1304" t="str">
            <v>15</v>
          </cell>
          <cell r="H1304">
            <v>0</v>
          </cell>
        </row>
        <row r="1305">
          <cell r="B1305">
            <v>9140</v>
          </cell>
          <cell r="C1305" t="str">
            <v>Rust; James S.</v>
          </cell>
          <cell r="D1305" t="str">
            <v>1C</v>
          </cell>
          <cell r="E1305" t="str">
            <v>IBEWOUT</v>
          </cell>
          <cell r="F1305" t="str">
            <v>1245</v>
          </cell>
          <cell r="G1305" t="str">
            <v>8</v>
          </cell>
          <cell r="H1305">
            <v>0</v>
          </cell>
        </row>
        <row r="1306">
          <cell r="B1306">
            <v>9160</v>
          </cell>
          <cell r="C1306" t="str">
            <v>Salloum; Joseph</v>
          </cell>
          <cell r="D1306" t="str">
            <v>1</v>
          </cell>
          <cell r="E1306" t="str">
            <v>IBEWOUT</v>
          </cell>
          <cell r="F1306" t="str">
            <v>611</v>
          </cell>
          <cell r="G1306" t="str">
            <v>23</v>
          </cell>
          <cell r="H1306">
            <v>0</v>
          </cell>
        </row>
        <row r="1307">
          <cell r="B1307">
            <v>9162</v>
          </cell>
          <cell r="C1307" t="str">
            <v>Sadler; Christopher S.</v>
          </cell>
          <cell r="D1307" t="str">
            <v>1C</v>
          </cell>
          <cell r="E1307" t="str">
            <v>IBEWOUT</v>
          </cell>
          <cell r="F1307" t="str">
            <v>47</v>
          </cell>
          <cell r="G1307" t="str">
            <v>8</v>
          </cell>
          <cell r="H1307">
            <v>0</v>
          </cell>
        </row>
        <row r="1308">
          <cell r="B1308">
            <v>9164</v>
          </cell>
          <cell r="C1308" t="str">
            <v>Saiz; Robert B.</v>
          </cell>
          <cell r="D1308" t="str">
            <v>1C</v>
          </cell>
          <cell r="E1308" t="str">
            <v>IBEWOUT</v>
          </cell>
          <cell r="F1308" t="str">
            <v>769</v>
          </cell>
          <cell r="G1308" t="str">
            <v>14</v>
          </cell>
          <cell r="H1308">
            <v>0</v>
          </cell>
        </row>
        <row r="1309">
          <cell r="B1309">
            <v>9168</v>
          </cell>
          <cell r="C1309" t="str">
            <v>Sakae; Jasen D</v>
          </cell>
          <cell r="D1309" t="str">
            <v>1C</v>
          </cell>
          <cell r="E1309" t="str">
            <v>IBEWOUT</v>
          </cell>
          <cell r="F1309" t="str">
            <v>47</v>
          </cell>
          <cell r="G1309" t="str">
            <v>13</v>
          </cell>
          <cell r="H1309">
            <v>0</v>
          </cell>
        </row>
        <row r="1310">
          <cell r="B1310">
            <v>9169</v>
          </cell>
          <cell r="C1310" t="str">
            <v>Saiz; Dominic J</v>
          </cell>
          <cell r="D1310" t="str">
            <v>1C</v>
          </cell>
          <cell r="E1310" t="str">
            <v>IBEWOUT</v>
          </cell>
          <cell r="F1310" t="str">
            <v>611</v>
          </cell>
          <cell r="G1310" t="str">
            <v>14</v>
          </cell>
          <cell r="H1310">
            <v>0</v>
          </cell>
        </row>
        <row r="1311">
          <cell r="B1311">
            <v>9179</v>
          </cell>
          <cell r="C1311" t="str">
            <v>Sammaripa; Cameron D</v>
          </cell>
          <cell r="D1311" t="str">
            <v>1</v>
          </cell>
          <cell r="E1311" t="str">
            <v>IBEWOUT</v>
          </cell>
          <cell r="F1311" t="str">
            <v>125</v>
          </cell>
          <cell r="G1311" t="str">
            <v>12</v>
          </cell>
          <cell r="H1311">
            <v>0</v>
          </cell>
        </row>
        <row r="1312">
          <cell r="B1312">
            <v>9181</v>
          </cell>
          <cell r="C1312" t="str">
            <v>Salt; Ronald Robert</v>
          </cell>
          <cell r="D1312" t="str">
            <v>1C</v>
          </cell>
          <cell r="E1312" t="str">
            <v>IBEWOUT</v>
          </cell>
          <cell r="F1312" t="str">
            <v>769</v>
          </cell>
          <cell r="G1312" t="str">
            <v>8</v>
          </cell>
          <cell r="H1312">
            <v>0</v>
          </cell>
        </row>
        <row r="1313">
          <cell r="B1313">
            <v>9183</v>
          </cell>
          <cell r="C1313" t="str">
            <v>Salyers Jr.; Joseph Lee</v>
          </cell>
          <cell r="D1313" t="str">
            <v>1C</v>
          </cell>
          <cell r="E1313" t="str">
            <v>IBEWOUT</v>
          </cell>
          <cell r="F1313" t="str">
            <v>1245</v>
          </cell>
          <cell r="G1313" t="str">
            <v>8</v>
          </cell>
          <cell r="H1313">
            <v>0</v>
          </cell>
        </row>
        <row r="1314">
          <cell r="B1314">
            <v>9188</v>
          </cell>
          <cell r="C1314" t="str">
            <v>Salazar; Christopher</v>
          </cell>
          <cell r="D1314" t="str">
            <v>1C</v>
          </cell>
          <cell r="E1314" t="str">
            <v>IBEWOUT</v>
          </cell>
          <cell r="F1314" t="str">
            <v>769</v>
          </cell>
          <cell r="G1314" t="str">
            <v>20</v>
          </cell>
          <cell r="H1314">
            <v>0</v>
          </cell>
        </row>
        <row r="1315">
          <cell r="B1315">
            <v>9191</v>
          </cell>
          <cell r="C1315" t="str">
            <v>Salazar; Michael</v>
          </cell>
          <cell r="D1315" t="str">
            <v>1</v>
          </cell>
          <cell r="E1315" t="str">
            <v>IBEWOUT</v>
          </cell>
          <cell r="F1315" t="str">
            <v>769</v>
          </cell>
          <cell r="G1315" t="str">
            <v>7</v>
          </cell>
          <cell r="H1315">
            <v>0</v>
          </cell>
        </row>
        <row r="1316">
          <cell r="B1316">
            <v>9195</v>
          </cell>
          <cell r="C1316" t="str">
            <v>Saranto; Blake W</v>
          </cell>
          <cell r="D1316" t="str">
            <v>1C</v>
          </cell>
          <cell r="E1316" t="str">
            <v>IBEWOUT</v>
          </cell>
          <cell r="F1316" t="str">
            <v>77</v>
          </cell>
          <cell r="G1316" t="str">
            <v>16</v>
          </cell>
          <cell r="H1316">
            <v>0</v>
          </cell>
        </row>
        <row r="1317">
          <cell r="B1317">
            <v>9198</v>
          </cell>
          <cell r="C1317" t="str">
            <v>Sarinana; Ricardo</v>
          </cell>
          <cell r="D1317" t="str">
            <v>1C</v>
          </cell>
          <cell r="E1317" t="str">
            <v>IBEWOUT</v>
          </cell>
          <cell r="F1317" t="str">
            <v>47</v>
          </cell>
          <cell r="G1317" t="str">
            <v>8</v>
          </cell>
          <cell r="H1317">
            <v>0</v>
          </cell>
        </row>
        <row r="1318">
          <cell r="B1318">
            <v>9202</v>
          </cell>
          <cell r="C1318" t="str">
            <v>Salazar; Carlos A</v>
          </cell>
          <cell r="D1318" t="str">
            <v>1</v>
          </cell>
          <cell r="E1318" t="str">
            <v>IBEWOUT</v>
          </cell>
          <cell r="F1318" t="str">
            <v>47</v>
          </cell>
          <cell r="G1318" t="str">
            <v>17</v>
          </cell>
          <cell r="H1318">
            <v>0</v>
          </cell>
        </row>
        <row r="1319">
          <cell r="B1319">
            <v>9203</v>
          </cell>
          <cell r="C1319" t="str">
            <v>Sanchez; Saul U</v>
          </cell>
          <cell r="D1319" t="str">
            <v>1C</v>
          </cell>
          <cell r="E1319" t="str">
            <v>IBEWOUT</v>
          </cell>
          <cell r="F1319" t="str">
            <v>1245</v>
          </cell>
          <cell r="G1319" t="str">
            <v>8</v>
          </cell>
          <cell r="H1319">
            <v>0</v>
          </cell>
        </row>
        <row r="1320">
          <cell r="B1320">
            <v>9204</v>
          </cell>
          <cell r="C1320" t="str">
            <v>Sanchez; Shane O</v>
          </cell>
          <cell r="D1320" t="str">
            <v>1</v>
          </cell>
          <cell r="E1320" t="str">
            <v>IBEWOUT</v>
          </cell>
          <cell r="F1320" t="str">
            <v>77</v>
          </cell>
          <cell r="G1320" t="str">
            <v>7</v>
          </cell>
          <cell r="H1320">
            <v>0</v>
          </cell>
        </row>
        <row r="1321">
          <cell r="B1321">
            <v>9205</v>
          </cell>
          <cell r="C1321" t="str">
            <v>Sandoval; Peter E</v>
          </cell>
          <cell r="D1321" t="str">
            <v>1C</v>
          </cell>
          <cell r="E1321" t="str">
            <v>IBEWOUT</v>
          </cell>
          <cell r="F1321" t="str">
            <v>611</v>
          </cell>
          <cell r="G1321" t="str">
            <v>16</v>
          </cell>
          <cell r="H1321">
            <v>0</v>
          </cell>
        </row>
        <row r="1322">
          <cell r="B1322">
            <v>9207</v>
          </cell>
          <cell r="C1322" t="str">
            <v>Saul; Mark Allen</v>
          </cell>
          <cell r="D1322" t="str">
            <v>1C</v>
          </cell>
          <cell r="E1322" t="str">
            <v/>
          </cell>
          <cell r="F1322" t="str">
            <v/>
          </cell>
          <cell r="G1322" t="str">
            <v/>
          </cell>
          <cell r="H1322">
            <v>0</v>
          </cell>
        </row>
        <row r="1323">
          <cell r="B1323">
            <v>9217</v>
          </cell>
          <cell r="C1323" t="str">
            <v>Schaefer; Kurtis Jon</v>
          </cell>
          <cell r="D1323" t="str">
            <v>1C</v>
          </cell>
          <cell r="E1323" t="str">
            <v>IBEWOUT</v>
          </cell>
          <cell r="F1323" t="str">
            <v>77</v>
          </cell>
          <cell r="G1323" t="str">
            <v>7</v>
          </cell>
          <cell r="H1323">
            <v>0</v>
          </cell>
        </row>
        <row r="1324">
          <cell r="B1324">
            <v>9219</v>
          </cell>
          <cell r="C1324" t="str">
            <v>Savanpanyadeth; Erik P</v>
          </cell>
          <cell r="D1324" t="str">
            <v>1C</v>
          </cell>
          <cell r="E1324" t="str">
            <v>IBEWOUT</v>
          </cell>
          <cell r="F1324" t="str">
            <v>1245</v>
          </cell>
          <cell r="G1324" t="str">
            <v>17</v>
          </cell>
          <cell r="H1324">
            <v>0</v>
          </cell>
        </row>
        <row r="1325">
          <cell r="B1325">
            <v>9233</v>
          </cell>
          <cell r="C1325" t="str">
            <v>Sansaver; Kash J</v>
          </cell>
          <cell r="D1325" t="str">
            <v>1</v>
          </cell>
          <cell r="E1325" t="str">
            <v>IBEWOUT</v>
          </cell>
          <cell r="F1325" t="str">
            <v>77</v>
          </cell>
          <cell r="G1325" t="str">
            <v>13</v>
          </cell>
          <cell r="H1325">
            <v>0</v>
          </cell>
        </row>
        <row r="1326">
          <cell r="B1326">
            <v>9234</v>
          </cell>
          <cell r="C1326" t="str">
            <v>Schmidt; Bryan M</v>
          </cell>
          <cell r="D1326" t="str">
            <v>1</v>
          </cell>
          <cell r="E1326" t="str">
            <v>IBEWOUT</v>
          </cell>
          <cell r="F1326" t="str">
            <v>1245</v>
          </cell>
          <cell r="G1326" t="str">
            <v>8</v>
          </cell>
          <cell r="H1326">
            <v>0</v>
          </cell>
        </row>
        <row r="1327">
          <cell r="B1327">
            <v>9235</v>
          </cell>
          <cell r="C1327" t="str">
            <v>Szarkowski; Curt Thomas</v>
          </cell>
          <cell r="D1327" t="str">
            <v>1C</v>
          </cell>
          <cell r="E1327" t="str">
            <v>IBEWOUT</v>
          </cell>
          <cell r="F1327" t="str">
            <v>125</v>
          </cell>
          <cell r="G1327" t="str">
            <v>33</v>
          </cell>
          <cell r="H1327">
            <v>0</v>
          </cell>
        </row>
        <row r="1328">
          <cell r="B1328">
            <v>9238</v>
          </cell>
          <cell r="C1328" t="str">
            <v>Sanchez; John R</v>
          </cell>
          <cell r="D1328" t="str">
            <v>1C</v>
          </cell>
          <cell r="E1328" t="str">
            <v>IBEWOUT</v>
          </cell>
          <cell r="F1328" t="str">
            <v>1245</v>
          </cell>
          <cell r="G1328" t="str">
            <v>16</v>
          </cell>
          <cell r="H1328">
            <v>0</v>
          </cell>
        </row>
        <row r="1329">
          <cell r="B1329">
            <v>9240</v>
          </cell>
          <cell r="C1329" t="str">
            <v>Sanchez; Garrett H</v>
          </cell>
          <cell r="D1329" t="str">
            <v>1C</v>
          </cell>
          <cell r="E1329" t="str">
            <v>IBEWOUT</v>
          </cell>
          <cell r="F1329" t="str">
            <v>769</v>
          </cell>
          <cell r="G1329" t="str">
            <v>14</v>
          </cell>
          <cell r="H1329">
            <v>0</v>
          </cell>
        </row>
        <row r="1330">
          <cell r="B1330">
            <v>9242</v>
          </cell>
          <cell r="C1330" t="str">
            <v>Schmidt; Eric M</v>
          </cell>
          <cell r="D1330" t="str">
            <v>1</v>
          </cell>
          <cell r="E1330" t="str">
            <v>IBEWOUT</v>
          </cell>
          <cell r="F1330" t="str">
            <v>1245</v>
          </cell>
          <cell r="G1330" t="str">
            <v>1</v>
          </cell>
          <cell r="H1330">
            <v>0</v>
          </cell>
        </row>
        <row r="1331">
          <cell r="B1331">
            <v>9246</v>
          </cell>
          <cell r="C1331" t="str">
            <v>Schlenker; Michael Keith</v>
          </cell>
          <cell r="D1331" t="str">
            <v>1C</v>
          </cell>
          <cell r="E1331" t="str">
            <v>IBEWOUT</v>
          </cell>
          <cell r="F1331" t="str">
            <v>1245</v>
          </cell>
          <cell r="G1331" t="str">
            <v>7</v>
          </cell>
          <cell r="H1331">
            <v>0</v>
          </cell>
        </row>
        <row r="1332">
          <cell r="B1332">
            <v>9247</v>
          </cell>
          <cell r="C1332" t="str">
            <v>Sanchez; Jesse</v>
          </cell>
          <cell r="D1332" t="str">
            <v>1C</v>
          </cell>
          <cell r="E1332" t="str">
            <v>IBEWOUT</v>
          </cell>
          <cell r="F1332" t="str">
            <v>1245</v>
          </cell>
          <cell r="G1332" t="str">
            <v>17</v>
          </cell>
          <cell r="H1332">
            <v>0</v>
          </cell>
        </row>
        <row r="1333">
          <cell r="B1333">
            <v>9257</v>
          </cell>
          <cell r="C1333" t="str">
            <v>Schmerber; Raymond L</v>
          </cell>
          <cell r="D1333" t="str">
            <v>1C</v>
          </cell>
          <cell r="E1333" t="str">
            <v>IBEWOUT</v>
          </cell>
          <cell r="F1333" t="str">
            <v>611</v>
          </cell>
          <cell r="G1333" t="str">
            <v>14</v>
          </cell>
          <cell r="H1333">
            <v>0</v>
          </cell>
        </row>
        <row r="1334">
          <cell r="B1334">
            <v>9258</v>
          </cell>
          <cell r="C1334" t="str">
            <v>Scott; Nevin P.</v>
          </cell>
          <cell r="D1334" t="str">
            <v>1C</v>
          </cell>
          <cell r="E1334" t="str">
            <v>IBEWOUT</v>
          </cell>
          <cell r="F1334" t="str">
            <v>611</v>
          </cell>
          <cell r="G1334" t="str">
            <v>20</v>
          </cell>
          <cell r="H1334">
            <v>0</v>
          </cell>
        </row>
        <row r="1335">
          <cell r="B1335">
            <v>9259</v>
          </cell>
          <cell r="C1335" t="str">
            <v>Scott; Bryan David</v>
          </cell>
          <cell r="D1335" t="str">
            <v>1C</v>
          </cell>
          <cell r="E1335" t="str">
            <v/>
          </cell>
          <cell r="F1335" t="str">
            <v/>
          </cell>
          <cell r="G1335" t="str">
            <v/>
          </cell>
          <cell r="H1335">
            <v>1</v>
          </cell>
        </row>
        <row r="1336">
          <cell r="B1336">
            <v>9260</v>
          </cell>
          <cell r="C1336" t="str">
            <v>Scott; Brian E</v>
          </cell>
          <cell r="D1336" t="str">
            <v>1C</v>
          </cell>
          <cell r="E1336" t="str">
            <v>IBEWOUT</v>
          </cell>
          <cell r="F1336" t="str">
            <v>602R</v>
          </cell>
          <cell r="G1336" t="str">
            <v>8</v>
          </cell>
          <cell r="H1336">
            <v>0</v>
          </cell>
        </row>
        <row r="1337">
          <cell r="B1337">
            <v>9261</v>
          </cell>
          <cell r="C1337" t="str">
            <v>Scott; Coltin B</v>
          </cell>
          <cell r="D1337" t="str">
            <v>1</v>
          </cell>
          <cell r="E1337" t="str">
            <v/>
          </cell>
          <cell r="F1337" t="str">
            <v/>
          </cell>
          <cell r="G1337" t="str">
            <v/>
          </cell>
          <cell r="H1337">
            <v>1</v>
          </cell>
        </row>
        <row r="1338">
          <cell r="B1338">
            <v>9262</v>
          </cell>
          <cell r="C1338" t="str">
            <v>Sanders; Travis P.</v>
          </cell>
          <cell r="D1338" t="str">
            <v>1</v>
          </cell>
          <cell r="E1338" t="str">
            <v>IBEWOUT</v>
          </cell>
          <cell r="F1338" t="str">
            <v>1245</v>
          </cell>
          <cell r="G1338" t="str">
            <v>1</v>
          </cell>
          <cell r="H1338">
            <v>0</v>
          </cell>
        </row>
        <row r="1339">
          <cell r="B1339">
            <v>9263</v>
          </cell>
          <cell r="C1339" t="str">
            <v>Scarbrough; James F</v>
          </cell>
          <cell r="D1339" t="str">
            <v>1</v>
          </cell>
          <cell r="E1339" t="str">
            <v>IBEWOUT</v>
          </cell>
          <cell r="F1339" t="str">
            <v>1245</v>
          </cell>
          <cell r="G1339" t="str">
            <v>8</v>
          </cell>
          <cell r="H1339">
            <v>0</v>
          </cell>
        </row>
        <row r="1340">
          <cell r="B1340">
            <v>9265</v>
          </cell>
          <cell r="C1340" t="str">
            <v>Schmeusser; Randy J</v>
          </cell>
          <cell r="D1340" t="str">
            <v>1C</v>
          </cell>
          <cell r="E1340" t="str">
            <v>IBEWOUT</v>
          </cell>
          <cell r="F1340" t="str">
            <v>125</v>
          </cell>
          <cell r="G1340" t="str">
            <v>17</v>
          </cell>
          <cell r="H1340">
            <v>0</v>
          </cell>
        </row>
        <row r="1341">
          <cell r="B1341">
            <v>9270</v>
          </cell>
          <cell r="C1341" t="str">
            <v>Scroggie; Michael L</v>
          </cell>
          <cell r="D1341" t="str">
            <v>1C</v>
          </cell>
          <cell r="E1341" t="str">
            <v>IBEWOUT</v>
          </cell>
          <cell r="F1341" t="str">
            <v>1049</v>
          </cell>
          <cell r="G1341" t="str">
            <v>8</v>
          </cell>
          <cell r="H1341">
            <v>0</v>
          </cell>
        </row>
        <row r="1342">
          <cell r="B1342">
            <v>9272</v>
          </cell>
          <cell r="C1342" t="str">
            <v>Seabourn; Lee W</v>
          </cell>
          <cell r="D1342" t="str">
            <v>1</v>
          </cell>
          <cell r="E1342" t="str">
            <v>IBEWOUT</v>
          </cell>
          <cell r="F1342" t="str">
            <v>1245</v>
          </cell>
          <cell r="G1342" t="str">
            <v>7</v>
          </cell>
          <cell r="H1342">
            <v>0</v>
          </cell>
        </row>
        <row r="1343">
          <cell r="B1343">
            <v>9273</v>
          </cell>
          <cell r="C1343" t="str">
            <v>Seabourn; David D</v>
          </cell>
          <cell r="D1343" t="str">
            <v>1C</v>
          </cell>
          <cell r="E1343" t="str">
            <v>IBEWOUT</v>
          </cell>
          <cell r="F1343" t="str">
            <v>1245</v>
          </cell>
          <cell r="G1343" t="str">
            <v>16</v>
          </cell>
          <cell r="H1343">
            <v>0</v>
          </cell>
        </row>
        <row r="1344">
          <cell r="B1344">
            <v>9285</v>
          </cell>
          <cell r="C1344" t="str">
            <v>Sedlak; Anthony Michael</v>
          </cell>
          <cell r="D1344" t="str">
            <v>1C</v>
          </cell>
          <cell r="E1344" t="str">
            <v>IBEWOUT</v>
          </cell>
          <cell r="F1344" t="str">
            <v>769</v>
          </cell>
          <cell r="G1344" t="str">
            <v>22</v>
          </cell>
          <cell r="H1344">
            <v>0</v>
          </cell>
        </row>
        <row r="1345">
          <cell r="B1345">
            <v>9286</v>
          </cell>
          <cell r="C1345" t="str">
            <v>Severson; Cody D</v>
          </cell>
          <cell r="D1345" t="str">
            <v>1C</v>
          </cell>
          <cell r="E1345" t="str">
            <v>IBEWOUT</v>
          </cell>
          <cell r="F1345" t="str">
            <v>1245</v>
          </cell>
          <cell r="G1345" t="str">
            <v>8</v>
          </cell>
          <cell r="H1345">
            <v>0</v>
          </cell>
        </row>
        <row r="1346">
          <cell r="B1346">
            <v>9287</v>
          </cell>
          <cell r="C1346" t="str">
            <v>Sheridan; Anthony W</v>
          </cell>
          <cell r="D1346" t="str">
            <v>1C</v>
          </cell>
          <cell r="E1346" t="str">
            <v>IBEWOUT</v>
          </cell>
          <cell r="F1346" t="str">
            <v>47</v>
          </cell>
          <cell r="G1346" t="str">
            <v>8</v>
          </cell>
          <cell r="H1346">
            <v>0</v>
          </cell>
        </row>
        <row r="1347">
          <cell r="B1347">
            <v>9288</v>
          </cell>
          <cell r="C1347" t="str">
            <v>Servin; Carlos E.</v>
          </cell>
          <cell r="D1347" t="str">
            <v>1C</v>
          </cell>
          <cell r="E1347" t="str">
            <v>IBEWOUT</v>
          </cell>
          <cell r="F1347" t="str">
            <v>1245</v>
          </cell>
          <cell r="G1347" t="str">
            <v>10</v>
          </cell>
          <cell r="H1347">
            <v>0</v>
          </cell>
        </row>
        <row r="1348">
          <cell r="B1348">
            <v>9289</v>
          </cell>
          <cell r="C1348" t="str">
            <v>Sheridan; Jimmy L.</v>
          </cell>
          <cell r="D1348" t="str">
            <v>1C</v>
          </cell>
          <cell r="E1348" t="str">
            <v>IBEWOUT</v>
          </cell>
          <cell r="F1348" t="str">
            <v>47</v>
          </cell>
          <cell r="G1348" t="str">
            <v>8</v>
          </cell>
          <cell r="H1348">
            <v>0</v>
          </cell>
        </row>
        <row r="1349">
          <cell r="B1349">
            <v>9291</v>
          </cell>
          <cell r="C1349" t="str">
            <v>Shaffer; David D</v>
          </cell>
          <cell r="D1349" t="str">
            <v>1C</v>
          </cell>
          <cell r="E1349" t="str">
            <v/>
          </cell>
          <cell r="F1349" t="str">
            <v/>
          </cell>
          <cell r="G1349" t="str">
            <v/>
          </cell>
          <cell r="H1349">
            <v>0</v>
          </cell>
        </row>
        <row r="1350">
          <cell r="B1350">
            <v>9293</v>
          </cell>
          <cell r="C1350" t="str">
            <v>Shaddy; Jeffrey</v>
          </cell>
          <cell r="D1350" t="str">
            <v>1C</v>
          </cell>
          <cell r="E1350" t="str">
            <v>IBEWOUT</v>
          </cell>
          <cell r="F1350" t="str">
            <v>1245</v>
          </cell>
          <cell r="G1350" t="str">
            <v>13</v>
          </cell>
          <cell r="H1350">
            <v>0</v>
          </cell>
        </row>
        <row r="1351">
          <cell r="B1351">
            <v>9295</v>
          </cell>
          <cell r="C1351" t="str">
            <v>Shaw; William R.</v>
          </cell>
          <cell r="D1351" t="str">
            <v>1C</v>
          </cell>
          <cell r="E1351" t="str">
            <v>IBEWOUT</v>
          </cell>
          <cell r="F1351" t="str">
            <v>77</v>
          </cell>
          <cell r="G1351" t="str">
            <v>8</v>
          </cell>
          <cell r="H1351">
            <v>0</v>
          </cell>
        </row>
        <row r="1352">
          <cell r="B1352">
            <v>9297</v>
          </cell>
          <cell r="C1352" t="str">
            <v>Shaw; Austin M</v>
          </cell>
          <cell r="D1352" t="str">
            <v>1C</v>
          </cell>
          <cell r="E1352" t="str">
            <v>IBEWOUT</v>
          </cell>
          <cell r="F1352" t="str">
            <v>1245</v>
          </cell>
          <cell r="G1352" t="str">
            <v>14</v>
          </cell>
          <cell r="H1352">
            <v>0</v>
          </cell>
        </row>
        <row r="1353">
          <cell r="B1353">
            <v>9298</v>
          </cell>
          <cell r="C1353" t="str">
            <v>Shelton; William M</v>
          </cell>
          <cell r="D1353" t="str">
            <v>1C</v>
          </cell>
          <cell r="E1353" t="str">
            <v>IBEWOUT</v>
          </cell>
          <cell r="F1353" t="str">
            <v>47</v>
          </cell>
          <cell r="G1353" t="str">
            <v>8</v>
          </cell>
          <cell r="H1353">
            <v>0</v>
          </cell>
        </row>
        <row r="1354">
          <cell r="B1354">
            <v>9299</v>
          </cell>
          <cell r="C1354" t="str">
            <v>Shelton; Jacob R.</v>
          </cell>
          <cell r="D1354" t="str">
            <v>1C</v>
          </cell>
          <cell r="E1354" t="str">
            <v>IBEWOUT</v>
          </cell>
          <cell r="F1354" t="str">
            <v>1245</v>
          </cell>
          <cell r="G1354" t="str">
            <v>8</v>
          </cell>
          <cell r="H1354">
            <v>0</v>
          </cell>
        </row>
        <row r="1355">
          <cell r="B1355">
            <v>9300</v>
          </cell>
          <cell r="C1355" t="str">
            <v>Shearer; Kaylee A</v>
          </cell>
          <cell r="D1355" t="str">
            <v>1C</v>
          </cell>
          <cell r="E1355" t="str">
            <v/>
          </cell>
          <cell r="F1355" t="str">
            <v/>
          </cell>
          <cell r="G1355" t="str">
            <v/>
          </cell>
          <cell r="H1355">
            <v>0</v>
          </cell>
        </row>
        <row r="1356">
          <cell r="B1356">
            <v>9306</v>
          </cell>
          <cell r="C1356" t="str">
            <v>Shelton; Matthew Scott</v>
          </cell>
          <cell r="D1356" t="str">
            <v>1C</v>
          </cell>
          <cell r="E1356" t="str">
            <v/>
          </cell>
          <cell r="F1356" t="str">
            <v/>
          </cell>
          <cell r="G1356" t="str">
            <v/>
          </cell>
          <cell r="H1356">
            <v>1</v>
          </cell>
        </row>
        <row r="1357">
          <cell r="B1357">
            <v>9307</v>
          </cell>
          <cell r="C1357" t="str">
            <v>Sheen; Frederick W.</v>
          </cell>
          <cell r="D1357" t="str">
            <v>1C</v>
          </cell>
          <cell r="E1357" t="str">
            <v>IBEWOUT</v>
          </cell>
          <cell r="F1357" t="str">
            <v>125</v>
          </cell>
          <cell r="G1357" t="str">
            <v>8</v>
          </cell>
          <cell r="H1357">
            <v>0</v>
          </cell>
        </row>
        <row r="1358">
          <cell r="B1358">
            <v>9312</v>
          </cell>
          <cell r="C1358" t="str">
            <v>Shiflett; William J</v>
          </cell>
          <cell r="D1358" t="str">
            <v>1C</v>
          </cell>
          <cell r="E1358" t="str">
            <v>IBEWOUT</v>
          </cell>
          <cell r="F1358" t="str">
            <v>77</v>
          </cell>
          <cell r="G1358" t="str">
            <v>8</v>
          </cell>
          <cell r="H1358">
            <v>0</v>
          </cell>
        </row>
        <row r="1359">
          <cell r="B1359">
            <v>9315</v>
          </cell>
          <cell r="C1359" t="str">
            <v>Sherlock; Andrew C</v>
          </cell>
          <cell r="D1359" t="str">
            <v>1C</v>
          </cell>
          <cell r="E1359" t="str">
            <v>IBEWOUT</v>
          </cell>
          <cell r="F1359" t="str">
            <v>769</v>
          </cell>
          <cell r="G1359" t="str">
            <v>8</v>
          </cell>
          <cell r="H1359">
            <v>0</v>
          </cell>
        </row>
        <row r="1360">
          <cell r="B1360">
            <v>9317</v>
          </cell>
          <cell r="C1360" t="str">
            <v>Shrum; Joel R</v>
          </cell>
          <cell r="D1360" t="str">
            <v>1C</v>
          </cell>
          <cell r="E1360" t="str">
            <v>IBEWOUT</v>
          </cell>
          <cell r="F1360" t="str">
            <v>1245</v>
          </cell>
          <cell r="G1360" t="str">
            <v>7</v>
          </cell>
          <cell r="H1360">
            <v>0</v>
          </cell>
        </row>
        <row r="1361">
          <cell r="B1361">
            <v>9318</v>
          </cell>
          <cell r="C1361" t="str">
            <v>Shipman; Audie L.</v>
          </cell>
          <cell r="D1361" t="str">
            <v>1C</v>
          </cell>
          <cell r="E1361" t="str">
            <v>IBEWOUT</v>
          </cell>
          <cell r="F1361" t="str">
            <v>47</v>
          </cell>
          <cell r="G1361" t="str">
            <v>8</v>
          </cell>
          <cell r="H1361">
            <v>0</v>
          </cell>
        </row>
        <row r="1362">
          <cell r="B1362">
            <v>9320</v>
          </cell>
          <cell r="C1362" t="str">
            <v>Shull; Travis J</v>
          </cell>
          <cell r="D1362" t="str">
            <v>1C</v>
          </cell>
          <cell r="E1362" t="str">
            <v>IBEWOUT</v>
          </cell>
          <cell r="F1362" t="str">
            <v>1245</v>
          </cell>
          <cell r="G1362" t="str">
            <v>12</v>
          </cell>
          <cell r="H1362">
            <v>0</v>
          </cell>
        </row>
        <row r="1363">
          <cell r="B1363">
            <v>9325</v>
          </cell>
          <cell r="C1363" t="str">
            <v>Shaffer-Murphy; Jacob C</v>
          </cell>
          <cell r="D1363" t="str">
            <v>1</v>
          </cell>
          <cell r="E1363" t="str">
            <v>IBEWOUT</v>
          </cell>
          <cell r="F1363" t="str">
            <v>47</v>
          </cell>
          <cell r="G1363" t="str">
            <v>8</v>
          </cell>
          <cell r="H1363">
            <v>0</v>
          </cell>
        </row>
        <row r="1364">
          <cell r="B1364">
            <v>9327</v>
          </cell>
          <cell r="C1364" t="str">
            <v>Shea; Michael R</v>
          </cell>
          <cell r="D1364" t="str">
            <v>1</v>
          </cell>
          <cell r="E1364" t="str">
            <v>IBEWOUT</v>
          </cell>
          <cell r="F1364" t="str">
            <v>47</v>
          </cell>
          <cell r="G1364" t="str">
            <v>11</v>
          </cell>
          <cell r="H1364">
            <v>0</v>
          </cell>
        </row>
        <row r="1365">
          <cell r="B1365">
            <v>9329</v>
          </cell>
          <cell r="C1365" t="str">
            <v>Silvas; Enrique</v>
          </cell>
          <cell r="D1365" t="str">
            <v>1C</v>
          </cell>
          <cell r="E1365" t="str">
            <v>IBEWOUT</v>
          </cell>
          <cell r="F1365" t="str">
            <v>47</v>
          </cell>
          <cell r="G1365" t="str">
            <v>8</v>
          </cell>
          <cell r="H1365">
            <v>0</v>
          </cell>
        </row>
        <row r="1366">
          <cell r="B1366">
            <v>9333</v>
          </cell>
          <cell r="C1366" t="str">
            <v>Shaw; Warren E</v>
          </cell>
          <cell r="D1366" t="str">
            <v>1C</v>
          </cell>
          <cell r="E1366" t="str">
            <v>IBEWOUT</v>
          </cell>
          <cell r="F1366" t="str">
            <v>1245</v>
          </cell>
          <cell r="G1366" t="str">
            <v>8</v>
          </cell>
          <cell r="H1366">
            <v>0</v>
          </cell>
        </row>
        <row r="1367">
          <cell r="B1367">
            <v>9337</v>
          </cell>
          <cell r="C1367" t="str">
            <v>Sibley; Anthony E</v>
          </cell>
          <cell r="D1367" t="str">
            <v>1C</v>
          </cell>
          <cell r="E1367" t="str">
            <v>IBEWOUT</v>
          </cell>
          <cell r="F1367" t="str">
            <v>396</v>
          </cell>
          <cell r="G1367" t="str">
            <v>8</v>
          </cell>
          <cell r="H1367">
            <v>0</v>
          </cell>
        </row>
        <row r="1368">
          <cell r="B1368">
            <v>9338</v>
          </cell>
          <cell r="C1368" t="str">
            <v>Sichak; Keith Douglas</v>
          </cell>
          <cell r="D1368" t="str">
            <v>1</v>
          </cell>
          <cell r="E1368" t="str">
            <v/>
          </cell>
          <cell r="F1368" t="str">
            <v/>
          </cell>
          <cell r="G1368" t="str">
            <v/>
          </cell>
          <cell r="H1368">
            <v>1</v>
          </cell>
        </row>
        <row r="1369">
          <cell r="B1369">
            <v>9340</v>
          </cell>
          <cell r="C1369" t="str">
            <v>Side; Ryan P</v>
          </cell>
          <cell r="D1369" t="str">
            <v>1</v>
          </cell>
          <cell r="E1369" t="str">
            <v>IBEWOUT</v>
          </cell>
          <cell r="F1369" t="str">
            <v>125</v>
          </cell>
          <cell r="G1369" t="str">
            <v>8</v>
          </cell>
          <cell r="H1369">
            <v>0</v>
          </cell>
        </row>
        <row r="1370">
          <cell r="B1370">
            <v>9342</v>
          </cell>
          <cell r="C1370" t="str">
            <v>Sickler; Jonathan</v>
          </cell>
          <cell r="D1370" t="str">
            <v>1</v>
          </cell>
          <cell r="E1370" t="str">
            <v>IBEWOUT</v>
          </cell>
          <cell r="F1370" t="str">
            <v>77</v>
          </cell>
          <cell r="G1370" t="str">
            <v>14</v>
          </cell>
          <cell r="H1370">
            <v>0</v>
          </cell>
        </row>
        <row r="1371">
          <cell r="B1371">
            <v>9343</v>
          </cell>
          <cell r="C1371" t="str">
            <v>Siller; Cody WR</v>
          </cell>
          <cell r="D1371" t="str">
            <v>1</v>
          </cell>
          <cell r="E1371" t="str">
            <v>IBEWOUT</v>
          </cell>
          <cell r="F1371" t="str">
            <v>77</v>
          </cell>
          <cell r="G1371" t="str">
            <v>15</v>
          </cell>
          <cell r="H1371">
            <v>0</v>
          </cell>
        </row>
        <row r="1372">
          <cell r="B1372">
            <v>9344</v>
          </cell>
          <cell r="C1372" t="str">
            <v>Silveira; Jacob P</v>
          </cell>
          <cell r="D1372" t="str">
            <v>1C</v>
          </cell>
          <cell r="E1372" t="str">
            <v>IBEWOUT</v>
          </cell>
          <cell r="F1372" t="str">
            <v>1245</v>
          </cell>
          <cell r="G1372" t="str">
            <v>14</v>
          </cell>
          <cell r="H1372">
            <v>0</v>
          </cell>
        </row>
        <row r="1373">
          <cell r="B1373">
            <v>9353</v>
          </cell>
          <cell r="C1373" t="str">
            <v>Spargo; Jack Victor</v>
          </cell>
          <cell r="D1373" t="str">
            <v>1</v>
          </cell>
          <cell r="E1373" t="str">
            <v>IBEWOUT</v>
          </cell>
          <cell r="F1373" t="str">
            <v>611</v>
          </cell>
          <cell r="G1373" t="str">
            <v>8</v>
          </cell>
          <cell r="H1373">
            <v>0</v>
          </cell>
        </row>
        <row r="1374">
          <cell r="B1374">
            <v>9354</v>
          </cell>
          <cell r="C1374" t="str">
            <v>Sparks; Kyle Gene</v>
          </cell>
          <cell r="D1374" t="str">
            <v>1C</v>
          </cell>
          <cell r="E1374" t="str">
            <v>IBEWOUT</v>
          </cell>
          <cell r="F1374" t="str">
            <v>1245</v>
          </cell>
          <cell r="G1374" t="str">
            <v>1</v>
          </cell>
          <cell r="H1374">
            <v>0</v>
          </cell>
        </row>
        <row r="1375">
          <cell r="B1375">
            <v>9355</v>
          </cell>
          <cell r="C1375" t="str">
            <v>Spargo; Joseph C</v>
          </cell>
          <cell r="D1375" t="str">
            <v>1C</v>
          </cell>
          <cell r="E1375" t="str">
            <v>IBEWOUT</v>
          </cell>
          <cell r="F1375" t="str">
            <v>47</v>
          </cell>
          <cell r="G1375" t="str">
            <v>17</v>
          </cell>
          <cell r="H1375">
            <v>0</v>
          </cell>
        </row>
        <row r="1376">
          <cell r="B1376">
            <v>9362</v>
          </cell>
          <cell r="C1376" t="str">
            <v>Sims; Kristina M</v>
          </cell>
          <cell r="D1376" t="str">
            <v>1</v>
          </cell>
          <cell r="E1376" t="str">
            <v/>
          </cell>
          <cell r="F1376" t="str">
            <v/>
          </cell>
          <cell r="G1376" t="str">
            <v/>
          </cell>
          <cell r="H1376">
            <v>1</v>
          </cell>
        </row>
        <row r="1377">
          <cell r="B1377">
            <v>9364</v>
          </cell>
          <cell r="C1377" t="str">
            <v>Sprunt; Stuart Gregory</v>
          </cell>
          <cell r="D1377" t="str">
            <v>1C</v>
          </cell>
          <cell r="E1377" t="str">
            <v>IBEWOUT</v>
          </cell>
          <cell r="F1377" t="str">
            <v>769</v>
          </cell>
          <cell r="G1377" t="str">
            <v>8</v>
          </cell>
          <cell r="H1377">
            <v>0</v>
          </cell>
        </row>
        <row r="1378">
          <cell r="B1378">
            <v>9365</v>
          </cell>
          <cell r="C1378" t="str">
            <v>Shorty; Darrell Thomas</v>
          </cell>
          <cell r="D1378" t="str">
            <v>1C</v>
          </cell>
          <cell r="E1378" t="str">
            <v>IBEWOUT</v>
          </cell>
          <cell r="F1378" t="str">
            <v>611</v>
          </cell>
          <cell r="G1378" t="str">
            <v>8</v>
          </cell>
          <cell r="H1378">
            <v>0</v>
          </cell>
        </row>
        <row r="1379">
          <cell r="B1379">
            <v>9372</v>
          </cell>
          <cell r="C1379" t="str">
            <v>Sisson; Joseph R</v>
          </cell>
          <cell r="D1379" t="str">
            <v>1C</v>
          </cell>
          <cell r="E1379" t="str">
            <v>IBEWOUT</v>
          </cell>
          <cell r="F1379" t="str">
            <v>77</v>
          </cell>
          <cell r="G1379" t="str">
            <v>8</v>
          </cell>
          <cell r="H1379">
            <v>0</v>
          </cell>
        </row>
        <row r="1380">
          <cell r="B1380">
            <v>9374</v>
          </cell>
          <cell r="C1380" t="str">
            <v>Simons; Nicholas R.</v>
          </cell>
          <cell r="D1380" t="str">
            <v>1C</v>
          </cell>
          <cell r="E1380" t="str">
            <v>IBEWOUT</v>
          </cell>
          <cell r="F1380" t="str">
            <v>1245</v>
          </cell>
          <cell r="G1380" t="str">
            <v>7</v>
          </cell>
          <cell r="H1380">
            <v>0</v>
          </cell>
        </row>
        <row r="1381">
          <cell r="B1381">
            <v>9375</v>
          </cell>
          <cell r="C1381" t="str">
            <v>Simmons; Cyrus E.</v>
          </cell>
          <cell r="D1381" t="str">
            <v>1C</v>
          </cell>
          <cell r="E1381" t="str">
            <v>IBEWOUT</v>
          </cell>
          <cell r="F1381" t="str">
            <v>1245</v>
          </cell>
          <cell r="G1381" t="str">
            <v>8</v>
          </cell>
          <cell r="H1381">
            <v>0</v>
          </cell>
        </row>
        <row r="1382">
          <cell r="B1382">
            <v>9377</v>
          </cell>
          <cell r="C1382" t="str">
            <v>Singledecker; Devin J.</v>
          </cell>
          <cell r="D1382" t="str">
            <v>1C</v>
          </cell>
          <cell r="E1382" t="str">
            <v>IBEWOUT</v>
          </cell>
          <cell r="F1382" t="str">
            <v>77</v>
          </cell>
          <cell r="G1382" t="str">
            <v>10</v>
          </cell>
          <cell r="H1382">
            <v>0</v>
          </cell>
        </row>
        <row r="1383">
          <cell r="B1383">
            <v>9380</v>
          </cell>
          <cell r="C1383" t="str">
            <v>Spears; Harvey L.</v>
          </cell>
          <cell r="D1383" t="str">
            <v>1C</v>
          </cell>
          <cell r="E1383" t="str">
            <v>IBEWOUT</v>
          </cell>
          <cell r="F1383" t="str">
            <v>47</v>
          </cell>
          <cell r="G1383" t="str">
            <v>8</v>
          </cell>
          <cell r="H1383">
            <v>0</v>
          </cell>
        </row>
        <row r="1384">
          <cell r="B1384">
            <v>9382</v>
          </cell>
          <cell r="C1384" t="str">
            <v>Spear; George J</v>
          </cell>
          <cell r="D1384" t="str">
            <v>1C</v>
          </cell>
          <cell r="E1384" t="str">
            <v>IBEWOUT</v>
          </cell>
          <cell r="F1384" t="str">
            <v>77</v>
          </cell>
          <cell r="G1384" t="str">
            <v>8</v>
          </cell>
          <cell r="H1384">
            <v>0</v>
          </cell>
        </row>
        <row r="1385">
          <cell r="B1385">
            <v>9386</v>
          </cell>
          <cell r="C1385" t="str">
            <v>Spurrier; Warren</v>
          </cell>
          <cell r="D1385" t="str">
            <v>1C</v>
          </cell>
          <cell r="E1385" t="str">
            <v>IBEWOUT</v>
          </cell>
          <cell r="F1385" t="str">
            <v>77</v>
          </cell>
          <cell r="G1385" t="str">
            <v>8</v>
          </cell>
          <cell r="H1385">
            <v>0</v>
          </cell>
        </row>
        <row r="1386">
          <cell r="B1386">
            <v>9400</v>
          </cell>
          <cell r="C1386" t="str">
            <v>Slater; Anthony W.</v>
          </cell>
          <cell r="D1386" t="str">
            <v>1C</v>
          </cell>
          <cell r="E1386" t="str">
            <v>IBEWOUT</v>
          </cell>
          <cell r="F1386" t="str">
            <v>47</v>
          </cell>
          <cell r="G1386" t="str">
            <v>8</v>
          </cell>
          <cell r="H1386">
            <v>0</v>
          </cell>
        </row>
        <row r="1387">
          <cell r="B1387">
            <v>9455</v>
          </cell>
          <cell r="C1387" t="str">
            <v>Smith; Cody M</v>
          </cell>
          <cell r="D1387" t="str">
            <v>1C</v>
          </cell>
          <cell r="E1387" t="str">
            <v>IBEWOUT</v>
          </cell>
          <cell r="F1387" t="str">
            <v>1245</v>
          </cell>
          <cell r="G1387" t="str">
            <v>8</v>
          </cell>
          <cell r="H1387">
            <v>0</v>
          </cell>
        </row>
        <row r="1388">
          <cell r="B1388">
            <v>9456</v>
          </cell>
          <cell r="C1388" t="str">
            <v>Smith; Brandon J</v>
          </cell>
          <cell r="D1388" t="str">
            <v>1</v>
          </cell>
          <cell r="E1388" t="str">
            <v>IBEWOUT</v>
          </cell>
          <cell r="F1388" t="str">
            <v>1245</v>
          </cell>
          <cell r="G1388" t="str">
            <v>8</v>
          </cell>
          <cell r="H1388">
            <v>0</v>
          </cell>
        </row>
        <row r="1389">
          <cell r="B1389">
            <v>9457</v>
          </cell>
          <cell r="C1389" t="str">
            <v>Smith; Alfred D</v>
          </cell>
          <cell r="D1389" t="str">
            <v>1C</v>
          </cell>
          <cell r="E1389" t="str">
            <v>IBEWOUT</v>
          </cell>
          <cell r="F1389" t="str">
            <v>47</v>
          </cell>
          <cell r="G1389" t="str">
            <v>17</v>
          </cell>
          <cell r="H1389">
            <v>0</v>
          </cell>
        </row>
        <row r="1390">
          <cell r="B1390">
            <v>9459</v>
          </cell>
          <cell r="C1390" t="str">
            <v>Smith; Garrett L</v>
          </cell>
          <cell r="D1390" t="str">
            <v>1</v>
          </cell>
          <cell r="E1390" t="str">
            <v>IBEWOUT</v>
          </cell>
          <cell r="F1390" t="str">
            <v>769</v>
          </cell>
          <cell r="G1390" t="str">
            <v>15</v>
          </cell>
          <cell r="H1390">
            <v>0</v>
          </cell>
        </row>
        <row r="1391">
          <cell r="B1391">
            <v>9461</v>
          </cell>
          <cell r="C1391" t="str">
            <v>Smith; Christopher B</v>
          </cell>
          <cell r="D1391" t="str">
            <v>1C</v>
          </cell>
          <cell r="E1391" t="str">
            <v>IBEWOUT</v>
          </cell>
          <cell r="F1391" t="str">
            <v>160</v>
          </cell>
          <cell r="G1391" t="str">
            <v>8</v>
          </cell>
          <cell r="H1391">
            <v>0</v>
          </cell>
        </row>
        <row r="1392">
          <cell r="B1392">
            <v>9463</v>
          </cell>
          <cell r="C1392" t="str">
            <v>Smith; George M</v>
          </cell>
          <cell r="D1392" t="str">
            <v>1C</v>
          </cell>
          <cell r="E1392" t="str">
            <v>IBEWOUT</v>
          </cell>
          <cell r="F1392" t="str">
            <v>1245</v>
          </cell>
          <cell r="G1392" t="str">
            <v>7</v>
          </cell>
          <cell r="H1392">
            <v>0</v>
          </cell>
        </row>
        <row r="1393">
          <cell r="B1393">
            <v>9475</v>
          </cell>
          <cell r="C1393" t="str">
            <v>Smith; Darren R.</v>
          </cell>
          <cell r="D1393" t="str">
            <v>1C</v>
          </cell>
          <cell r="E1393" t="str">
            <v>IBEWOUT</v>
          </cell>
          <cell r="F1393" t="str">
            <v>47</v>
          </cell>
          <cell r="G1393" t="str">
            <v>8</v>
          </cell>
          <cell r="H1393">
            <v>0</v>
          </cell>
        </row>
        <row r="1394">
          <cell r="B1394">
            <v>9489</v>
          </cell>
          <cell r="C1394" t="str">
            <v>Smith; Dustin A</v>
          </cell>
          <cell r="D1394" t="str">
            <v>1</v>
          </cell>
          <cell r="E1394" t="str">
            <v/>
          </cell>
          <cell r="F1394" t="str">
            <v/>
          </cell>
          <cell r="G1394" t="str">
            <v/>
          </cell>
          <cell r="H1394">
            <v>0</v>
          </cell>
        </row>
        <row r="1395">
          <cell r="B1395">
            <v>9494</v>
          </cell>
          <cell r="C1395" t="str">
            <v>Smith; Karl V</v>
          </cell>
          <cell r="D1395" t="str">
            <v>1C</v>
          </cell>
          <cell r="E1395" t="str">
            <v>IBEWOUT</v>
          </cell>
          <cell r="F1395" t="str">
            <v>1245</v>
          </cell>
          <cell r="G1395" t="str">
            <v>8</v>
          </cell>
          <cell r="H1395">
            <v>0</v>
          </cell>
        </row>
        <row r="1396">
          <cell r="B1396">
            <v>9503</v>
          </cell>
          <cell r="C1396" t="str">
            <v>Schneider; Howard I</v>
          </cell>
          <cell r="D1396" t="str">
            <v>1C</v>
          </cell>
          <cell r="E1396" t="str">
            <v>IBEWOUT</v>
          </cell>
          <cell r="F1396" t="str">
            <v>77</v>
          </cell>
          <cell r="G1396" t="str">
            <v>17</v>
          </cell>
          <cell r="H1396">
            <v>0</v>
          </cell>
        </row>
        <row r="1397">
          <cell r="B1397">
            <v>9506</v>
          </cell>
          <cell r="C1397" t="str">
            <v>Smith; Jerry D.</v>
          </cell>
          <cell r="D1397" t="str">
            <v>1C</v>
          </cell>
          <cell r="E1397" t="str">
            <v/>
          </cell>
          <cell r="F1397" t="str">
            <v/>
          </cell>
          <cell r="G1397" t="str">
            <v/>
          </cell>
          <cell r="H1397">
            <v>0</v>
          </cell>
        </row>
        <row r="1398">
          <cell r="B1398">
            <v>9509</v>
          </cell>
          <cell r="C1398" t="str">
            <v>Smith; Joel J</v>
          </cell>
          <cell r="D1398" t="str">
            <v>1C</v>
          </cell>
          <cell r="E1398" t="str">
            <v>IBEWOUT</v>
          </cell>
          <cell r="F1398" t="str">
            <v>611</v>
          </cell>
          <cell r="G1398" t="str">
            <v>17</v>
          </cell>
          <cell r="H1398">
            <v>0</v>
          </cell>
        </row>
        <row r="1399">
          <cell r="B1399">
            <v>9511</v>
          </cell>
          <cell r="C1399" t="str">
            <v>Smith; Wayne A</v>
          </cell>
          <cell r="D1399" t="str">
            <v>1C</v>
          </cell>
          <cell r="E1399" t="str">
            <v>IBEWOUT</v>
          </cell>
          <cell r="F1399" t="str">
            <v>1245</v>
          </cell>
          <cell r="G1399" t="str">
            <v>8</v>
          </cell>
          <cell r="H1399">
            <v>0</v>
          </cell>
        </row>
        <row r="1400">
          <cell r="B1400">
            <v>9519</v>
          </cell>
          <cell r="C1400" t="str">
            <v>Smith; Robert W</v>
          </cell>
          <cell r="D1400" t="str">
            <v>1C</v>
          </cell>
          <cell r="E1400" t="str">
            <v>IBEWOUT</v>
          </cell>
          <cell r="F1400" t="str">
            <v>70</v>
          </cell>
          <cell r="G1400" t="str">
            <v>17</v>
          </cell>
          <cell r="H1400">
            <v>0</v>
          </cell>
        </row>
        <row r="1401">
          <cell r="B1401">
            <v>9520</v>
          </cell>
          <cell r="C1401" t="str">
            <v>Smith; Patrick T.</v>
          </cell>
          <cell r="D1401" t="str">
            <v>1</v>
          </cell>
          <cell r="E1401" t="str">
            <v>IBEWOUT</v>
          </cell>
          <cell r="F1401" t="str">
            <v>77</v>
          </cell>
          <cell r="G1401" t="str">
            <v>4</v>
          </cell>
          <cell r="H1401">
            <v>0</v>
          </cell>
        </row>
        <row r="1402">
          <cell r="B1402">
            <v>9522</v>
          </cell>
          <cell r="C1402" t="str">
            <v>Smith; Jordan P</v>
          </cell>
          <cell r="D1402" t="str">
            <v>1</v>
          </cell>
          <cell r="E1402" t="str">
            <v>IBEWOUT</v>
          </cell>
          <cell r="F1402" t="str">
            <v>1245</v>
          </cell>
          <cell r="G1402" t="str">
            <v>7</v>
          </cell>
          <cell r="H1402">
            <v>0</v>
          </cell>
        </row>
        <row r="1403">
          <cell r="B1403">
            <v>9534</v>
          </cell>
          <cell r="C1403" t="str">
            <v>Smothermon; Archie DeWayne</v>
          </cell>
          <cell r="D1403" t="str">
            <v>1C</v>
          </cell>
          <cell r="E1403" t="str">
            <v>IBEWOUT</v>
          </cell>
          <cell r="F1403" t="str">
            <v>77</v>
          </cell>
          <cell r="G1403" t="str">
            <v>8</v>
          </cell>
          <cell r="H1403">
            <v>0</v>
          </cell>
        </row>
        <row r="1404">
          <cell r="B1404">
            <v>9536</v>
          </cell>
          <cell r="C1404" t="str">
            <v>Smoots; Robert J</v>
          </cell>
          <cell r="D1404" t="str">
            <v>1C</v>
          </cell>
          <cell r="E1404" t="str">
            <v>IBEWOUT</v>
          </cell>
          <cell r="F1404" t="str">
            <v>1245</v>
          </cell>
          <cell r="G1404" t="str">
            <v>8</v>
          </cell>
          <cell r="H1404">
            <v>0</v>
          </cell>
        </row>
        <row r="1405">
          <cell r="B1405">
            <v>9540</v>
          </cell>
          <cell r="C1405" t="str">
            <v>Schnider; Jacob Clinton</v>
          </cell>
          <cell r="D1405" t="str">
            <v>1C</v>
          </cell>
          <cell r="E1405" t="str">
            <v>IBEWOUT</v>
          </cell>
          <cell r="F1405" t="str">
            <v>1245</v>
          </cell>
          <cell r="G1405" t="str">
            <v>8</v>
          </cell>
          <cell r="H1405">
            <v>0</v>
          </cell>
        </row>
        <row r="1406">
          <cell r="B1406">
            <v>9542</v>
          </cell>
          <cell r="C1406" t="str">
            <v>Schnider; Kyle Rod</v>
          </cell>
          <cell r="D1406" t="str">
            <v>1</v>
          </cell>
          <cell r="E1406" t="str">
            <v>IBEWOUT</v>
          </cell>
          <cell r="F1406" t="str">
            <v>47</v>
          </cell>
          <cell r="G1406" t="str">
            <v>1</v>
          </cell>
          <cell r="H1406">
            <v>0</v>
          </cell>
        </row>
        <row r="1407">
          <cell r="B1407">
            <v>9552</v>
          </cell>
          <cell r="C1407" t="str">
            <v>Schreiner; Stephen A</v>
          </cell>
          <cell r="D1407" t="str">
            <v>1C</v>
          </cell>
          <cell r="E1407" t="str">
            <v>IBEWOUT</v>
          </cell>
          <cell r="F1407" t="str">
            <v>47</v>
          </cell>
          <cell r="G1407" t="str">
            <v>13</v>
          </cell>
          <cell r="H1407">
            <v>0</v>
          </cell>
        </row>
        <row r="1408">
          <cell r="B1408">
            <v>9554</v>
          </cell>
          <cell r="C1408" t="str">
            <v>Schumacher; Matthew J</v>
          </cell>
          <cell r="D1408" t="str">
            <v>1</v>
          </cell>
          <cell r="E1408" t="str">
            <v>IBEWOUT</v>
          </cell>
          <cell r="F1408" t="str">
            <v>125</v>
          </cell>
          <cell r="G1408" t="str">
            <v>33</v>
          </cell>
          <cell r="H1408">
            <v>0</v>
          </cell>
        </row>
        <row r="1409">
          <cell r="B1409">
            <v>9555</v>
          </cell>
          <cell r="C1409" t="str">
            <v>Schnider Sr.; Kevin Todd</v>
          </cell>
          <cell r="D1409" t="str">
            <v>1</v>
          </cell>
          <cell r="E1409" t="str">
            <v>IBEWOUT</v>
          </cell>
          <cell r="F1409" t="str">
            <v>70</v>
          </cell>
          <cell r="G1409" t="str">
            <v>7</v>
          </cell>
          <cell r="H1409">
            <v>0</v>
          </cell>
        </row>
        <row r="1410">
          <cell r="B1410">
            <v>9557</v>
          </cell>
          <cell r="C1410" t="str">
            <v>Schnider Jr.; Kevin T</v>
          </cell>
          <cell r="D1410" t="str">
            <v>1</v>
          </cell>
          <cell r="E1410" t="str">
            <v>IBEWOUT</v>
          </cell>
          <cell r="F1410" t="str">
            <v>70</v>
          </cell>
          <cell r="G1410" t="str">
            <v>16</v>
          </cell>
          <cell r="H1410">
            <v>0</v>
          </cell>
        </row>
        <row r="1411">
          <cell r="B1411">
            <v>9559</v>
          </cell>
          <cell r="C1411" t="str">
            <v>Schumacher; Anthony J</v>
          </cell>
          <cell r="D1411" t="str">
            <v>1</v>
          </cell>
          <cell r="E1411" t="str">
            <v>IBEWOUT</v>
          </cell>
          <cell r="F1411" t="str">
            <v>77</v>
          </cell>
          <cell r="G1411" t="str">
            <v>1</v>
          </cell>
          <cell r="H1411">
            <v>0</v>
          </cell>
        </row>
        <row r="1412">
          <cell r="B1412">
            <v>9561</v>
          </cell>
          <cell r="C1412" t="str">
            <v>Sokolovich; Eduard</v>
          </cell>
          <cell r="D1412" t="str">
            <v>1C</v>
          </cell>
          <cell r="E1412" t="str">
            <v>IBEWOUT</v>
          </cell>
          <cell r="F1412" t="str">
            <v>769</v>
          </cell>
          <cell r="G1412" t="str">
            <v>12</v>
          </cell>
          <cell r="H1412">
            <v>0</v>
          </cell>
        </row>
        <row r="1413">
          <cell r="B1413">
            <v>9563</v>
          </cell>
          <cell r="C1413" t="str">
            <v>Sotelo; Demis C.</v>
          </cell>
          <cell r="D1413" t="str">
            <v>1C</v>
          </cell>
          <cell r="E1413" t="str">
            <v>IBEWOUT</v>
          </cell>
          <cell r="F1413" t="str">
            <v>47</v>
          </cell>
          <cell r="G1413" t="str">
            <v>16</v>
          </cell>
          <cell r="H1413">
            <v>0</v>
          </cell>
        </row>
        <row r="1414">
          <cell r="B1414">
            <v>9566</v>
          </cell>
          <cell r="C1414" t="str">
            <v>Somers; Daniel R</v>
          </cell>
          <cell r="D1414" t="str">
            <v>1C</v>
          </cell>
          <cell r="E1414" t="str">
            <v>IBEWOUT</v>
          </cell>
          <cell r="F1414" t="str">
            <v>1245</v>
          </cell>
          <cell r="G1414" t="str">
            <v>8</v>
          </cell>
          <cell r="H1414">
            <v>0</v>
          </cell>
        </row>
        <row r="1415">
          <cell r="B1415">
            <v>9570</v>
          </cell>
          <cell r="C1415" t="str">
            <v>Solis; Gerardo</v>
          </cell>
          <cell r="D1415" t="str">
            <v>1</v>
          </cell>
          <cell r="E1415" t="str">
            <v>IBEWOUT</v>
          </cell>
          <cell r="F1415" t="str">
            <v>1245</v>
          </cell>
          <cell r="G1415" t="str">
            <v>8</v>
          </cell>
          <cell r="H1415">
            <v>0</v>
          </cell>
        </row>
        <row r="1416">
          <cell r="B1416">
            <v>9575</v>
          </cell>
          <cell r="C1416" t="str">
            <v>Sorensen; Kelly</v>
          </cell>
          <cell r="D1416" t="str">
            <v>1C</v>
          </cell>
          <cell r="E1416" t="str">
            <v>IBEWOUT</v>
          </cell>
          <cell r="F1416" t="str">
            <v>1245</v>
          </cell>
          <cell r="G1416" t="str">
            <v>16</v>
          </cell>
          <cell r="H1416">
            <v>0</v>
          </cell>
        </row>
        <row r="1417">
          <cell r="B1417">
            <v>9581</v>
          </cell>
          <cell r="C1417" t="str">
            <v>Schott; Nathan A</v>
          </cell>
          <cell r="D1417" t="str">
            <v>1C</v>
          </cell>
          <cell r="E1417" t="str">
            <v>IBEWOUT</v>
          </cell>
          <cell r="F1417" t="str">
            <v>1245</v>
          </cell>
          <cell r="G1417" t="str">
            <v>8</v>
          </cell>
          <cell r="H1417">
            <v>0</v>
          </cell>
        </row>
        <row r="1418">
          <cell r="B1418">
            <v>9582</v>
          </cell>
          <cell r="C1418" t="str">
            <v>Schoenborn; Brian M</v>
          </cell>
          <cell r="D1418" t="str">
            <v>1</v>
          </cell>
          <cell r="E1418" t="str">
            <v/>
          </cell>
          <cell r="F1418" t="str">
            <v/>
          </cell>
          <cell r="G1418" t="str">
            <v/>
          </cell>
          <cell r="H1418">
            <v>0</v>
          </cell>
        </row>
        <row r="1419">
          <cell r="B1419">
            <v>9612</v>
          </cell>
          <cell r="C1419" t="str">
            <v>Stafford; Miles Randolph</v>
          </cell>
          <cell r="D1419" t="str">
            <v>1C</v>
          </cell>
          <cell r="E1419" t="str">
            <v>IBEWOUT</v>
          </cell>
          <cell r="F1419" t="str">
            <v>77</v>
          </cell>
          <cell r="G1419" t="str">
            <v>17</v>
          </cell>
          <cell r="H1419">
            <v>0</v>
          </cell>
        </row>
        <row r="1420">
          <cell r="B1420">
            <v>9613</v>
          </cell>
          <cell r="C1420" t="str">
            <v>Staniforth; Cory D</v>
          </cell>
          <cell r="D1420" t="str">
            <v>1C</v>
          </cell>
          <cell r="E1420" t="str">
            <v>IBEWOUT</v>
          </cell>
          <cell r="F1420" t="str">
            <v>1245</v>
          </cell>
          <cell r="G1420" t="str">
            <v>8</v>
          </cell>
          <cell r="H1420">
            <v>0</v>
          </cell>
        </row>
        <row r="1421">
          <cell r="B1421">
            <v>9615</v>
          </cell>
          <cell r="C1421" t="str">
            <v>Stanton; Adam M</v>
          </cell>
          <cell r="D1421" t="str">
            <v>1C</v>
          </cell>
          <cell r="E1421" t="str">
            <v>IBEWOUT</v>
          </cell>
          <cell r="F1421" t="str">
            <v>126</v>
          </cell>
          <cell r="G1421" t="str">
            <v>12</v>
          </cell>
          <cell r="H1421">
            <v>0</v>
          </cell>
        </row>
        <row r="1422">
          <cell r="B1422">
            <v>9618</v>
          </cell>
          <cell r="C1422" t="str">
            <v>Standifer; Eddie L</v>
          </cell>
          <cell r="D1422" t="str">
            <v>1C</v>
          </cell>
          <cell r="E1422" t="str">
            <v>IBEWOUT</v>
          </cell>
          <cell r="F1422" t="str">
            <v>1245</v>
          </cell>
          <cell r="G1422" t="str">
            <v>60</v>
          </cell>
          <cell r="H1422">
            <v>0</v>
          </cell>
        </row>
        <row r="1423">
          <cell r="B1423">
            <v>9620</v>
          </cell>
          <cell r="C1423" t="str">
            <v>Stanley; Lucas C.</v>
          </cell>
          <cell r="D1423" t="str">
            <v>1C</v>
          </cell>
          <cell r="E1423" t="str">
            <v>IBEWOUT</v>
          </cell>
          <cell r="F1423" t="str">
            <v>1245</v>
          </cell>
          <cell r="G1423" t="str">
            <v>11</v>
          </cell>
          <cell r="H1423">
            <v>0</v>
          </cell>
        </row>
        <row r="1424">
          <cell r="B1424">
            <v>9626</v>
          </cell>
          <cell r="C1424" t="str">
            <v>Stewart; Aubrey Lamar</v>
          </cell>
          <cell r="D1424" t="str">
            <v>1</v>
          </cell>
          <cell r="E1424" t="str">
            <v>IBEWOUT</v>
          </cell>
          <cell r="F1424" t="str">
            <v>1245</v>
          </cell>
          <cell r="G1424" t="str">
            <v>7</v>
          </cell>
          <cell r="H1424">
            <v>0</v>
          </cell>
        </row>
        <row r="1425">
          <cell r="B1425">
            <v>9627</v>
          </cell>
          <cell r="C1425" t="str">
            <v>Stansbury; Ben A</v>
          </cell>
          <cell r="D1425" t="str">
            <v>1C</v>
          </cell>
          <cell r="E1425" t="str">
            <v>IBEWOUT</v>
          </cell>
          <cell r="F1425" t="str">
            <v>602R</v>
          </cell>
          <cell r="G1425" t="str">
            <v>8</v>
          </cell>
          <cell r="H1425">
            <v>0</v>
          </cell>
        </row>
        <row r="1426">
          <cell r="B1426">
            <v>9628</v>
          </cell>
          <cell r="C1426" t="str">
            <v>Stark; Jeff Thomas</v>
          </cell>
          <cell r="D1426" t="str">
            <v>1</v>
          </cell>
          <cell r="E1426" t="str">
            <v/>
          </cell>
          <cell r="F1426" t="str">
            <v/>
          </cell>
          <cell r="G1426" t="str">
            <v/>
          </cell>
          <cell r="H1426">
            <v>1</v>
          </cell>
        </row>
        <row r="1427">
          <cell r="B1427">
            <v>9631</v>
          </cell>
          <cell r="C1427" t="str">
            <v>Steward; Thomas J</v>
          </cell>
          <cell r="D1427" t="str">
            <v>1C</v>
          </cell>
          <cell r="E1427" t="str">
            <v>IBEWOUT</v>
          </cell>
          <cell r="F1427" t="str">
            <v>47</v>
          </cell>
          <cell r="G1427" t="str">
            <v>8</v>
          </cell>
          <cell r="H1427">
            <v>0</v>
          </cell>
        </row>
        <row r="1428">
          <cell r="B1428">
            <v>9638</v>
          </cell>
          <cell r="C1428" t="str">
            <v>Stafford; David S</v>
          </cell>
          <cell r="D1428" t="str">
            <v>1</v>
          </cell>
          <cell r="E1428" t="str">
            <v>IBEWOUT</v>
          </cell>
          <cell r="F1428" t="str">
            <v>1245</v>
          </cell>
          <cell r="G1428" t="str">
            <v>10</v>
          </cell>
          <cell r="H1428">
            <v>0</v>
          </cell>
        </row>
        <row r="1429">
          <cell r="B1429">
            <v>9639</v>
          </cell>
          <cell r="C1429" t="str">
            <v>Stinton; Marco Isaiah</v>
          </cell>
          <cell r="D1429" t="str">
            <v>1C</v>
          </cell>
          <cell r="E1429" t="str">
            <v>IBEWOUT</v>
          </cell>
          <cell r="F1429" t="str">
            <v>47</v>
          </cell>
          <cell r="G1429" t="str">
            <v>13</v>
          </cell>
          <cell r="H1429">
            <v>0</v>
          </cell>
        </row>
        <row r="1430">
          <cell r="B1430">
            <v>9640</v>
          </cell>
          <cell r="C1430" t="str">
            <v>Stimmler; Justin E</v>
          </cell>
          <cell r="D1430" t="str">
            <v>1C</v>
          </cell>
          <cell r="E1430" t="str">
            <v>IBEWOUT</v>
          </cell>
          <cell r="F1430" t="str">
            <v>126</v>
          </cell>
          <cell r="G1430" t="str">
            <v>33</v>
          </cell>
          <cell r="H1430">
            <v>0</v>
          </cell>
        </row>
        <row r="1431">
          <cell r="B1431">
            <v>9641</v>
          </cell>
          <cell r="C1431" t="str">
            <v>Steward; Joseph L</v>
          </cell>
          <cell r="D1431" t="str">
            <v>1</v>
          </cell>
          <cell r="E1431" t="str">
            <v>IBEWOUT</v>
          </cell>
          <cell r="F1431" t="str">
            <v>611</v>
          </cell>
          <cell r="G1431" t="str">
            <v>8</v>
          </cell>
          <cell r="H1431">
            <v>0</v>
          </cell>
        </row>
        <row r="1432">
          <cell r="B1432">
            <v>9662</v>
          </cell>
          <cell r="C1432" t="str">
            <v>Stewart; Joseph Benjamin</v>
          </cell>
          <cell r="D1432" t="str">
            <v>1C</v>
          </cell>
          <cell r="E1432" t="str">
            <v>IBEWOUT</v>
          </cell>
          <cell r="F1432" t="str">
            <v>47</v>
          </cell>
          <cell r="G1432" t="str">
            <v>8</v>
          </cell>
          <cell r="H1432">
            <v>0</v>
          </cell>
        </row>
        <row r="1433">
          <cell r="B1433">
            <v>9663</v>
          </cell>
          <cell r="C1433" t="str">
            <v>Stewart; Joshua A</v>
          </cell>
          <cell r="D1433" t="str">
            <v>1C</v>
          </cell>
          <cell r="E1433" t="str">
            <v>IBEWOUT</v>
          </cell>
          <cell r="F1433" t="str">
            <v>104</v>
          </cell>
          <cell r="G1433" t="str">
            <v>8</v>
          </cell>
          <cell r="H1433">
            <v>0</v>
          </cell>
        </row>
        <row r="1434">
          <cell r="B1434">
            <v>9670</v>
          </cell>
          <cell r="C1434" t="str">
            <v>Stewart; Vincent Ray</v>
          </cell>
          <cell r="D1434" t="str">
            <v>1C</v>
          </cell>
          <cell r="E1434" t="str">
            <v>IBEWOUT</v>
          </cell>
          <cell r="F1434" t="str">
            <v>1245</v>
          </cell>
          <cell r="G1434" t="str">
            <v>8</v>
          </cell>
          <cell r="H1434">
            <v>0</v>
          </cell>
        </row>
        <row r="1435">
          <cell r="B1435">
            <v>9688</v>
          </cell>
          <cell r="C1435" t="str">
            <v>Strickland-Wynn; Anthony J</v>
          </cell>
          <cell r="D1435" t="str">
            <v>1C</v>
          </cell>
          <cell r="E1435" t="str">
            <v>IBEWOUT</v>
          </cell>
          <cell r="F1435" t="str">
            <v>1245</v>
          </cell>
          <cell r="G1435" t="str">
            <v>8</v>
          </cell>
          <cell r="H1435">
            <v>0</v>
          </cell>
        </row>
        <row r="1436">
          <cell r="B1436">
            <v>9692</v>
          </cell>
          <cell r="C1436" t="str">
            <v>Sutter; Joseph F</v>
          </cell>
          <cell r="D1436" t="str">
            <v>1</v>
          </cell>
          <cell r="E1436" t="str">
            <v>IBEWOUT</v>
          </cell>
          <cell r="F1436" t="str">
            <v>77</v>
          </cell>
          <cell r="G1436" t="str">
            <v>11</v>
          </cell>
          <cell r="H1436">
            <v>0</v>
          </cell>
        </row>
        <row r="1437">
          <cell r="B1437">
            <v>9695</v>
          </cell>
          <cell r="C1437" t="str">
            <v>Sturdevant; Darin D.</v>
          </cell>
          <cell r="D1437" t="str">
            <v>1</v>
          </cell>
          <cell r="E1437" t="str">
            <v/>
          </cell>
          <cell r="F1437" t="str">
            <v/>
          </cell>
          <cell r="G1437" t="str">
            <v/>
          </cell>
          <cell r="H1437">
            <v>0</v>
          </cell>
        </row>
        <row r="1438">
          <cell r="B1438">
            <v>9708</v>
          </cell>
          <cell r="C1438" t="str">
            <v>Stephens; Richard L</v>
          </cell>
          <cell r="D1438" t="str">
            <v>1C</v>
          </cell>
          <cell r="E1438" t="str">
            <v>IBEWOUT</v>
          </cell>
          <cell r="F1438" t="str">
            <v>1245</v>
          </cell>
          <cell r="G1438" t="str">
            <v>13</v>
          </cell>
          <cell r="H1438">
            <v>0</v>
          </cell>
        </row>
        <row r="1439">
          <cell r="B1439">
            <v>9712</v>
          </cell>
          <cell r="C1439" t="str">
            <v>Strand; Sheldon R.</v>
          </cell>
          <cell r="D1439" t="str">
            <v>1</v>
          </cell>
          <cell r="E1439" t="str">
            <v/>
          </cell>
          <cell r="F1439" t="str">
            <v/>
          </cell>
          <cell r="G1439" t="str">
            <v/>
          </cell>
          <cell r="H1439">
            <v>0</v>
          </cell>
        </row>
        <row r="1440">
          <cell r="B1440">
            <v>9717</v>
          </cell>
          <cell r="C1440" t="str">
            <v>Stephens; William M.</v>
          </cell>
          <cell r="D1440" t="str">
            <v>1C</v>
          </cell>
          <cell r="E1440" t="str">
            <v/>
          </cell>
          <cell r="F1440" t="str">
            <v/>
          </cell>
          <cell r="G1440" t="str">
            <v/>
          </cell>
          <cell r="H1440">
            <v>0</v>
          </cell>
        </row>
        <row r="1441">
          <cell r="B1441">
            <v>9718</v>
          </cell>
          <cell r="C1441" t="str">
            <v>Stoneburner; Robert H.</v>
          </cell>
          <cell r="D1441" t="str">
            <v>1C</v>
          </cell>
          <cell r="E1441" t="str">
            <v>IBEWOUT</v>
          </cell>
          <cell r="F1441" t="str">
            <v>222</v>
          </cell>
          <cell r="G1441" t="str">
            <v>13</v>
          </cell>
          <cell r="H1441">
            <v>0</v>
          </cell>
        </row>
        <row r="1442">
          <cell r="B1442">
            <v>9720</v>
          </cell>
          <cell r="C1442" t="str">
            <v>Stone; William J.</v>
          </cell>
          <cell r="D1442" t="str">
            <v>1</v>
          </cell>
          <cell r="E1442" t="str">
            <v/>
          </cell>
          <cell r="F1442" t="str">
            <v/>
          </cell>
          <cell r="G1442" t="str">
            <v/>
          </cell>
          <cell r="H1442">
            <v>1</v>
          </cell>
        </row>
        <row r="1443">
          <cell r="B1443">
            <v>9721</v>
          </cell>
          <cell r="C1443" t="str">
            <v>Stevenson; Trent H.</v>
          </cell>
          <cell r="D1443" t="str">
            <v>1C</v>
          </cell>
          <cell r="E1443" t="str">
            <v>IBEWOUT</v>
          </cell>
          <cell r="F1443" t="str">
            <v>1245</v>
          </cell>
          <cell r="G1443" t="str">
            <v>8</v>
          </cell>
          <cell r="H1443">
            <v>0</v>
          </cell>
        </row>
        <row r="1444">
          <cell r="B1444">
            <v>9723</v>
          </cell>
          <cell r="C1444" t="str">
            <v>Stevens; Raymond</v>
          </cell>
          <cell r="D1444" t="str">
            <v>1C</v>
          </cell>
          <cell r="E1444" t="str">
            <v>IBEWOUT</v>
          </cell>
          <cell r="F1444" t="str">
            <v>1245</v>
          </cell>
          <cell r="G1444" t="str">
            <v>8</v>
          </cell>
          <cell r="H1444">
            <v>0</v>
          </cell>
        </row>
        <row r="1445">
          <cell r="B1445">
            <v>9726</v>
          </cell>
          <cell r="C1445" t="str">
            <v>Strader; Edward A</v>
          </cell>
          <cell r="D1445" t="str">
            <v>1</v>
          </cell>
          <cell r="E1445" t="str">
            <v>IBEWOUT</v>
          </cell>
          <cell r="F1445" t="str">
            <v>611</v>
          </cell>
          <cell r="G1445" t="str">
            <v>7</v>
          </cell>
          <cell r="H1445">
            <v>0</v>
          </cell>
        </row>
        <row r="1446">
          <cell r="B1446">
            <v>9727</v>
          </cell>
          <cell r="C1446" t="str">
            <v>Stevens; Cole L</v>
          </cell>
          <cell r="D1446" t="str">
            <v>1C</v>
          </cell>
          <cell r="E1446" t="str">
            <v>IBEWOUT</v>
          </cell>
          <cell r="F1446" t="str">
            <v>77</v>
          </cell>
          <cell r="G1446" t="str">
            <v>13</v>
          </cell>
          <cell r="H1446">
            <v>0</v>
          </cell>
        </row>
        <row r="1447">
          <cell r="B1447">
            <v>9731</v>
          </cell>
          <cell r="C1447" t="str">
            <v>Sugerik; David B</v>
          </cell>
          <cell r="D1447" t="str">
            <v>1C</v>
          </cell>
          <cell r="E1447" t="str">
            <v>IBEWOUT</v>
          </cell>
          <cell r="F1447" t="str">
            <v>1319</v>
          </cell>
          <cell r="G1447" t="str">
            <v>8</v>
          </cell>
          <cell r="H1447">
            <v>0</v>
          </cell>
        </row>
        <row r="1448">
          <cell r="B1448">
            <v>9732</v>
          </cell>
          <cell r="C1448" t="str">
            <v>Symonds; Roy D</v>
          </cell>
          <cell r="D1448" t="str">
            <v>1C</v>
          </cell>
          <cell r="E1448" t="str">
            <v>IBEWOUT</v>
          </cell>
          <cell r="F1448" t="str">
            <v>602R</v>
          </cell>
          <cell r="G1448" t="str">
            <v>8</v>
          </cell>
          <cell r="H1448">
            <v>0</v>
          </cell>
        </row>
        <row r="1449">
          <cell r="B1449">
            <v>9733</v>
          </cell>
          <cell r="C1449" t="str">
            <v>Strader Jr.; Edward A</v>
          </cell>
          <cell r="D1449" t="str">
            <v>1</v>
          </cell>
          <cell r="E1449" t="str">
            <v>IBEWOUT</v>
          </cell>
          <cell r="F1449" t="str">
            <v>611</v>
          </cell>
          <cell r="G1449" t="str">
            <v>18</v>
          </cell>
          <cell r="H1449">
            <v>0</v>
          </cell>
        </row>
        <row r="1450">
          <cell r="B1450">
            <v>9734</v>
          </cell>
          <cell r="C1450" t="str">
            <v>Stevenson; Micah J</v>
          </cell>
          <cell r="D1450" t="str">
            <v>1C</v>
          </cell>
          <cell r="E1450" t="str">
            <v/>
          </cell>
          <cell r="F1450" t="str">
            <v/>
          </cell>
          <cell r="G1450" t="str">
            <v/>
          </cell>
          <cell r="H1450">
            <v>1</v>
          </cell>
        </row>
        <row r="1451">
          <cell r="B1451">
            <v>9736</v>
          </cell>
          <cell r="C1451" t="str">
            <v>Strasser; Richard L</v>
          </cell>
          <cell r="D1451" t="str">
            <v>1</v>
          </cell>
          <cell r="E1451" t="str">
            <v>IBEWOUT</v>
          </cell>
          <cell r="F1451" t="str">
            <v>47</v>
          </cell>
          <cell r="G1451" t="str">
            <v>16</v>
          </cell>
          <cell r="H1451">
            <v>0</v>
          </cell>
        </row>
        <row r="1452">
          <cell r="B1452">
            <v>9738</v>
          </cell>
          <cell r="C1452" t="str">
            <v>Stolz; Brandon N</v>
          </cell>
          <cell r="D1452" t="str">
            <v>1C</v>
          </cell>
          <cell r="E1452" t="str">
            <v>IBEWOUT</v>
          </cell>
          <cell r="F1452" t="str">
            <v>160</v>
          </cell>
          <cell r="G1452" t="str">
            <v>15</v>
          </cell>
          <cell r="H1452">
            <v>0</v>
          </cell>
        </row>
        <row r="1453">
          <cell r="B1453">
            <v>9740</v>
          </cell>
          <cell r="C1453" t="str">
            <v>Swain; Cody J.</v>
          </cell>
          <cell r="D1453" t="str">
            <v>1C</v>
          </cell>
          <cell r="E1453" t="str">
            <v>IBEWOUT</v>
          </cell>
          <cell r="F1453" t="str">
            <v>1245</v>
          </cell>
          <cell r="G1453" t="str">
            <v>8</v>
          </cell>
          <cell r="H1453">
            <v>0</v>
          </cell>
        </row>
        <row r="1454">
          <cell r="B1454">
            <v>9743</v>
          </cell>
          <cell r="C1454" t="str">
            <v>Stephas; Roger J</v>
          </cell>
          <cell r="D1454" t="str">
            <v>1C</v>
          </cell>
          <cell r="E1454" t="str">
            <v>IBEWOUT</v>
          </cell>
          <cell r="F1454" t="str">
            <v>611</v>
          </cell>
          <cell r="G1454" t="str">
            <v>8</v>
          </cell>
          <cell r="H1454">
            <v>0</v>
          </cell>
        </row>
        <row r="1455">
          <cell r="B1455">
            <v>9747</v>
          </cell>
          <cell r="C1455" t="str">
            <v>Swegan; David L</v>
          </cell>
          <cell r="D1455" t="str">
            <v>1C</v>
          </cell>
          <cell r="E1455" t="str">
            <v>IBEWOUT</v>
          </cell>
          <cell r="F1455" t="str">
            <v>611</v>
          </cell>
          <cell r="G1455" t="str">
            <v>13</v>
          </cell>
          <cell r="H1455">
            <v>0</v>
          </cell>
        </row>
        <row r="1456">
          <cell r="B1456">
            <v>9748</v>
          </cell>
          <cell r="C1456" t="str">
            <v>Swennes; Taylor W</v>
          </cell>
          <cell r="D1456" t="str">
            <v>1</v>
          </cell>
          <cell r="E1456" t="str">
            <v>IBEWOUT</v>
          </cell>
          <cell r="F1456" t="str">
            <v>769</v>
          </cell>
          <cell r="G1456" t="str">
            <v>8</v>
          </cell>
          <cell r="H1456">
            <v>0</v>
          </cell>
        </row>
        <row r="1457">
          <cell r="B1457">
            <v>9750</v>
          </cell>
          <cell r="C1457" t="str">
            <v>Swiger; Robert H</v>
          </cell>
          <cell r="D1457" t="str">
            <v>1C</v>
          </cell>
          <cell r="E1457" t="str">
            <v>IBEWOUT</v>
          </cell>
          <cell r="F1457" t="str">
            <v>77</v>
          </cell>
          <cell r="G1457" t="str">
            <v>8</v>
          </cell>
          <cell r="H1457">
            <v>0</v>
          </cell>
        </row>
        <row r="1458">
          <cell r="B1458">
            <v>9751</v>
          </cell>
          <cell r="C1458" t="str">
            <v>Stevenson Jr; Robert L</v>
          </cell>
          <cell r="D1458" t="str">
            <v>1</v>
          </cell>
          <cell r="E1458" t="str">
            <v>IBEWOUT</v>
          </cell>
          <cell r="F1458" t="str">
            <v>47</v>
          </cell>
          <cell r="G1458" t="str">
            <v>8</v>
          </cell>
          <cell r="H1458">
            <v>0</v>
          </cell>
        </row>
        <row r="1459">
          <cell r="B1459">
            <v>9822</v>
          </cell>
          <cell r="C1459" t="str">
            <v>Taglieri; Matthew D</v>
          </cell>
          <cell r="D1459" t="str">
            <v>1C</v>
          </cell>
          <cell r="E1459" t="str">
            <v>IBEWOUT</v>
          </cell>
          <cell r="F1459" t="str">
            <v>1245</v>
          </cell>
          <cell r="G1459" t="str">
            <v>15</v>
          </cell>
          <cell r="H1459">
            <v>0</v>
          </cell>
        </row>
        <row r="1460">
          <cell r="B1460">
            <v>9823</v>
          </cell>
          <cell r="C1460" t="str">
            <v>Taghon; Elijah D</v>
          </cell>
          <cell r="D1460" t="str">
            <v>1</v>
          </cell>
          <cell r="E1460" t="str">
            <v/>
          </cell>
          <cell r="F1460" t="str">
            <v/>
          </cell>
          <cell r="G1460" t="str">
            <v/>
          </cell>
          <cell r="H1460">
            <v>0</v>
          </cell>
        </row>
        <row r="1461">
          <cell r="B1461">
            <v>9825</v>
          </cell>
          <cell r="C1461" t="str">
            <v>Szteliga; Bryan D</v>
          </cell>
          <cell r="D1461" t="str">
            <v>1C</v>
          </cell>
          <cell r="E1461" t="str">
            <v>IBEWOUT</v>
          </cell>
          <cell r="F1461" t="str">
            <v>1245</v>
          </cell>
          <cell r="G1461" t="str">
            <v>8</v>
          </cell>
          <cell r="H1461">
            <v>0</v>
          </cell>
        </row>
        <row r="1462">
          <cell r="B1462">
            <v>9830</v>
          </cell>
          <cell r="C1462" t="str">
            <v>Talbott; William Gale</v>
          </cell>
          <cell r="D1462" t="str">
            <v>1</v>
          </cell>
          <cell r="E1462" t="str">
            <v>IBEWOUT</v>
          </cell>
          <cell r="F1462" t="str">
            <v>125</v>
          </cell>
          <cell r="G1462" t="str">
            <v>16</v>
          </cell>
          <cell r="H1462">
            <v>0</v>
          </cell>
        </row>
        <row r="1463">
          <cell r="B1463">
            <v>9835</v>
          </cell>
          <cell r="C1463" t="str">
            <v>Tatro; Lynn D</v>
          </cell>
          <cell r="D1463" t="str">
            <v>1C</v>
          </cell>
          <cell r="E1463" t="str">
            <v>IBEWOUT</v>
          </cell>
          <cell r="F1463" t="str">
            <v>77</v>
          </cell>
          <cell r="G1463" t="str">
            <v>16</v>
          </cell>
          <cell r="H1463">
            <v>0</v>
          </cell>
        </row>
        <row r="1464">
          <cell r="B1464">
            <v>9836</v>
          </cell>
          <cell r="C1464" t="str">
            <v>Tamez; Javier</v>
          </cell>
          <cell r="D1464" t="str">
            <v>1C</v>
          </cell>
          <cell r="E1464" t="str">
            <v>IBEWOUT</v>
          </cell>
          <cell r="F1464" t="str">
            <v>47</v>
          </cell>
          <cell r="G1464" t="str">
            <v>17</v>
          </cell>
          <cell r="H1464">
            <v>0</v>
          </cell>
        </row>
        <row r="1465">
          <cell r="B1465">
            <v>9838</v>
          </cell>
          <cell r="C1465" t="str">
            <v>Tasa; Brenden S</v>
          </cell>
          <cell r="D1465" t="str">
            <v>1C</v>
          </cell>
          <cell r="E1465" t="str">
            <v>IBEWOUT</v>
          </cell>
          <cell r="F1465" t="str">
            <v>611</v>
          </cell>
          <cell r="G1465" t="str">
            <v>12</v>
          </cell>
          <cell r="H1465">
            <v>0</v>
          </cell>
        </row>
        <row r="1466">
          <cell r="B1466">
            <v>9839</v>
          </cell>
          <cell r="C1466" t="str">
            <v>Taylor; Dalthard Ronald</v>
          </cell>
          <cell r="D1466" t="str">
            <v>1C</v>
          </cell>
          <cell r="E1466" t="str">
            <v>IBEWOUT</v>
          </cell>
          <cell r="F1466" t="str">
            <v>47</v>
          </cell>
          <cell r="G1466" t="str">
            <v>8</v>
          </cell>
          <cell r="H1466">
            <v>0</v>
          </cell>
        </row>
        <row r="1467">
          <cell r="B1467">
            <v>9840</v>
          </cell>
          <cell r="C1467" t="str">
            <v>Tapani; Randall J</v>
          </cell>
          <cell r="D1467" t="str">
            <v>1</v>
          </cell>
          <cell r="E1467" t="str">
            <v>IBEWOUT</v>
          </cell>
          <cell r="F1467" t="str">
            <v>77</v>
          </cell>
          <cell r="G1467" t="str">
            <v>8</v>
          </cell>
          <cell r="H1467">
            <v>0</v>
          </cell>
        </row>
        <row r="1468">
          <cell r="B1468">
            <v>9841</v>
          </cell>
          <cell r="C1468" t="str">
            <v>Taylor; Dalthard Grant</v>
          </cell>
          <cell r="D1468" t="str">
            <v>1C</v>
          </cell>
          <cell r="E1468" t="str">
            <v>IBEWOUT</v>
          </cell>
          <cell r="F1468" t="str">
            <v>769</v>
          </cell>
          <cell r="G1468" t="str">
            <v>16</v>
          </cell>
          <cell r="H1468">
            <v>0</v>
          </cell>
        </row>
        <row r="1469">
          <cell r="B1469">
            <v>9847</v>
          </cell>
          <cell r="C1469" t="str">
            <v>Taylor; Corey M</v>
          </cell>
          <cell r="D1469" t="str">
            <v>1C</v>
          </cell>
          <cell r="E1469" t="str">
            <v>IBEWOUT</v>
          </cell>
          <cell r="F1469" t="str">
            <v>1245</v>
          </cell>
          <cell r="G1469" t="str">
            <v>8</v>
          </cell>
          <cell r="H1469">
            <v>0</v>
          </cell>
        </row>
        <row r="1470">
          <cell r="B1470">
            <v>9855</v>
          </cell>
          <cell r="C1470" t="str">
            <v>Tallman; Jared M</v>
          </cell>
          <cell r="D1470" t="str">
            <v>1</v>
          </cell>
          <cell r="E1470" t="str">
            <v/>
          </cell>
          <cell r="F1470" t="str">
            <v/>
          </cell>
          <cell r="G1470" t="str">
            <v/>
          </cell>
          <cell r="H1470">
            <v>0</v>
          </cell>
        </row>
        <row r="1471">
          <cell r="B1471">
            <v>9862</v>
          </cell>
          <cell r="C1471" t="str">
            <v>Tellez; John Henry</v>
          </cell>
          <cell r="D1471" t="str">
            <v>1C</v>
          </cell>
          <cell r="E1471" t="str">
            <v/>
          </cell>
          <cell r="F1471" t="str">
            <v/>
          </cell>
          <cell r="G1471" t="str">
            <v/>
          </cell>
          <cell r="H1471">
            <v>1</v>
          </cell>
        </row>
        <row r="1472">
          <cell r="B1472">
            <v>9868</v>
          </cell>
          <cell r="C1472" t="str">
            <v>Terlep; Greg J.</v>
          </cell>
          <cell r="D1472" t="str">
            <v>1C</v>
          </cell>
          <cell r="E1472" t="str">
            <v>IBEWOUT</v>
          </cell>
          <cell r="F1472" t="str">
            <v>1245</v>
          </cell>
          <cell r="G1472" t="str">
            <v>60</v>
          </cell>
          <cell r="H1472">
            <v>0</v>
          </cell>
        </row>
        <row r="1473">
          <cell r="B1473">
            <v>9869</v>
          </cell>
          <cell r="C1473" t="str">
            <v>Tepesano; Pablo A</v>
          </cell>
          <cell r="D1473" t="str">
            <v>1C</v>
          </cell>
          <cell r="E1473" t="str">
            <v>IBEWOUT</v>
          </cell>
          <cell r="F1473" t="str">
            <v>47</v>
          </cell>
          <cell r="G1473" t="str">
            <v>8</v>
          </cell>
          <cell r="H1473">
            <v>0</v>
          </cell>
        </row>
        <row r="1474">
          <cell r="B1474">
            <v>9871</v>
          </cell>
          <cell r="C1474" t="str">
            <v>Tenney; Michael J</v>
          </cell>
          <cell r="D1474" t="str">
            <v>1C</v>
          </cell>
          <cell r="E1474" t="str">
            <v>IBEWOUT</v>
          </cell>
          <cell r="F1474" t="str">
            <v>1245</v>
          </cell>
          <cell r="G1474" t="str">
            <v>8</v>
          </cell>
          <cell r="H1474">
            <v>0</v>
          </cell>
        </row>
        <row r="1475">
          <cell r="B1475">
            <v>9877</v>
          </cell>
          <cell r="C1475" t="str">
            <v>Tenneson; Mack E</v>
          </cell>
          <cell r="D1475" t="str">
            <v>1</v>
          </cell>
          <cell r="E1475" t="str">
            <v/>
          </cell>
          <cell r="F1475" t="str">
            <v/>
          </cell>
          <cell r="G1475" t="str">
            <v/>
          </cell>
          <cell r="H1475">
            <v>0</v>
          </cell>
        </row>
        <row r="1476">
          <cell r="B1476">
            <v>9910</v>
          </cell>
          <cell r="C1476" t="str">
            <v>Thagon; Robert G</v>
          </cell>
          <cell r="D1476" t="str">
            <v>1C</v>
          </cell>
          <cell r="E1476" t="str">
            <v/>
          </cell>
          <cell r="F1476" t="str">
            <v/>
          </cell>
          <cell r="G1476" t="str">
            <v/>
          </cell>
          <cell r="H1476">
            <v>1</v>
          </cell>
        </row>
        <row r="1477">
          <cell r="B1477">
            <v>9943</v>
          </cell>
          <cell r="C1477" t="str">
            <v>Thomas; Kyle R</v>
          </cell>
          <cell r="D1477" t="str">
            <v>1C</v>
          </cell>
          <cell r="E1477" t="str">
            <v>IBEWOUT</v>
          </cell>
          <cell r="F1477" t="str">
            <v>1245</v>
          </cell>
          <cell r="G1477" t="str">
            <v>8</v>
          </cell>
          <cell r="H1477">
            <v>0</v>
          </cell>
        </row>
        <row r="1478">
          <cell r="B1478">
            <v>9946</v>
          </cell>
          <cell r="C1478" t="str">
            <v>Thomas; Dustin James</v>
          </cell>
          <cell r="D1478" t="str">
            <v>1</v>
          </cell>
          <cell r="E1478" t="str">
            <v>IBEWOUT</v>
          </cell>
          <cell r="F1478" t="str">
            <v>1245</v>
          </cell>
          <cell r="G1478" t="str">
            <v>20</v>
          </cell>
          <cell r="H1478">
            <v>0</v>
          </cell>
        </row>
        <row r="1479">
          <cell r="B1479">
            <v>9950</v>
          </cell>
          <cell r="C1479" t="str">
            <v>Thomas; Vance L</v>
          </cell>
          <cell r="D1479" t="str">
            <v>1C</v>
          </cell>
          <cell r="E1479" t="str">
            <v>IBEWOUT</v>
          </cell>
          <cell r="F1479" t="str">
            <v>47</v>
          </cell>
          <cell r="G1479" t="str">
            <v>8</v>
          </cell>
          <cell r="H1479">
            <v>0</v>
          </cell>
        </row>
        <row r="1480">
          <cell r="B1480">
            <v>9952</v>
          </cell>
          <cell r="C1480" t="str">
            <v>Tijerina; Ramiro</v>
          </cell>
          <cell r="D1480" t="str">
            <v>1C</v>
          </cell>
          <cell r="E1480" t="str">
            <v>IBEWOUT</v>
          </cell>
          <cell r="F1480" t="str">
            <v>1245</v>
          </cell>
          <cell r="G1480" t="str">
            <v>8</v>
          </cell>
          <cell r="H1480">
            <v>0</v>
          </cell>
        </row>
        <row r="1481">
          <cell r="B1481">
            <v>9957</v>
          </cell>
          <cell r="C1481" t="str">
            <v>Thomas; Samuel Troy</v>
          </cell>
          <cell r="D1481" t="str">
            <v>1C</v>
          </cell>
          <cell r="E1481" t="str">
            <v>IBEWOUT</v>
          </cell>
          <cell r="F1481" t="str">
            <v>77</v>
          </cell>
          <cell r="G1481" t="str">
            <v>16</v>
          </cell>
          <cell r="H1481">
            <v>0</v>
          </cell>
        </row>
        <row r="1482">
          <cell r="B1482">
            <v>9959</v>
          </cell>
          <cell r="C1482" t="str">
            <v>Thompson; Glen S</v>
          </cell>
          <cell r="D1482" t="str">
            <v>1C</v>
          </cell>
          <cell r="E1482" t="str">
            <v>IBEWOUT</v>
          </cell>
          <cell r="F1482" t="str">
            <v>160</v>
          </cell>
          <cell r="G1482" t="str">
            <v>8</v>
          </cell>
          <cell r="H1482">
            <v>0</v>
          </cell>
        </row>
        <row r="1483">
          <cell r="B1483">
            <v>9960</v>
          </cell>
          <cell r="C1483" t="str">
            <v>Thompson; Ryan M.</v>
          </cell>
          <cell r="D1483" t="str">
            <v>1C</v>
          </cell>
          <cell r="E1483" t="str">
            <v>IBEWOUT</v>
          </cell>
          <cell r="F1483" t="str">
            <v>77</v>
          </cell>
          <cell r="G1483" t="str">
            <v>10</v>
          </cell>
          <cell r="H1483">
            <v>0</v>
          </cell>
        </row>
        <row r="1484">
          <cell r="B1484">
            <v>9964</v>
          </cell>
          <cell r="C1484" t="str">
            <v>Thomson; Michael D.</v>
          </cell>
          <cell r="D1484" t="str">
            <v>1C</v>
          </cell>
          <cell r="E1484" t="str">
            <v>IBEWOUT</v>
          </cell>
          <cell r="F1484" t="str">
            <v>769</v>
          </cell>
          <cell r="G1484" t="str">
            <v>20</v>
          </cell>
          <cell r="H1484">
            <v>0</v>
          </cell>
        </row>
        <row r="1485">
          <cell r="B1485">
            <v>9967</v>
          </cell>
          <cell r="C1485" t="str">
            <v>Thomson; Shayne A</v>
          </cell>
          <cell r="D1485" t="str">
            <v>1</v>
          </cell>
          <cell r="E1485" t="str">
            <v/>
          </cell>
          <cell r="F1485" t="str">
            <v/>
          </cell>
          <cell r="G1485" t="str">
            <v/>
          </cell>
          <cell r="H1485">
            <v>0</v>
          </cell>
        </row>
        <row r="1486">
          <cell r="B1486">
            <v>9973</v>
          </cell>
          <cell r="C1486" t="str">
            <v>Thygesen; Brian R.</v>
          </cell>
          <cell r="D1486" t="str">
            <v>1C</v>
          </cell>
          <cell r="E1486" t="str">
            <v>IBEWOUT</v>
          </cell>
          <cell r="F1486" t="str">
            <v>77</v>
          </cell>
          <cell r="G1486" t="str">
            <v>12</v>
          </cell>
          <cell r="H1486">
            <v>0</v>
          </cell>
        </row>
        <row r="1487">
          <cell r="B1487">
            <v>9979</v>
          </cell>
          <cell r="C1487" t="str">
            <v>Tice; Raymond W</v>
          </cell>
          <cell r="D1487" t="str">
            <v>1C</v>
          </cell>
          <cell r="E1487" t="str">
            <v>IBEWOUT</v>
          </cell>
          <cell r="F1487" t="str">
            <v>1245</v>
          </cell>
          <cell r="G1487" t="str">
            <v>8</v>
          </cell>
          <cell r="H1487">
            <v>0</v>
          </cell>
        </row>
        <row r="1488">
          <cell r="B1488">
            <v>9982</v>
          </cell>
          <cell r="C1488" t="str">
            <v>Toliver; James D</v>
          </cell>
          <cell r="D1488" t="str">
            <v>1</v>
          </cell>
          <cell r="E1488" t="str">
            <v>IBEWOUT</v>
          </cell>
          <cell r="F1488" t="str">
            <v>47</v>
          </cell>
          <cell r="G1488" t="str">
            <v>8</v>
          </cell>
          <cell r="H1488">
            <v>0</v>
          </cell>
        </row>
        <row r="1489">
          <cell r="B1489">
            <v>9985</v>
          </cell>
          <cell r="C1489" t="str">
            <v>Tucker; Michael W.</v>
          </cell>
          <cell r="D1489" t="str">
            <v>1C</v>
          </cell>
          <cell r="E1489" t="str">
            <v>IBEWOUT</v>
          </cell>
          <cell r="F1489" t="str">
            <v>47</v>
          </cell>
          <cell r="G1489" t="str">
            <v>20</v>
          </cell>
          <cell r="H1489">
            <v>0</v>
          </cell>
        </row>
        <row r="1490">
          <cell r="B1490">
            <v>9988</v>
          </cell>
          <cell r="C1490" t="str">
            <v>Torres; Victor M.</v>
          </cell>
          <cell r="D1490" t="str">
            <v>1C</v>
          </cell>
          <cell r="E1490" t="str">
            <v>IBEWOUT</v>
          </cell>
          <cell r="F1490" t="str">
            <v>769</v>
          </cell>
          <cell r="G1490" t="str">
            <v>16</v>
          </cell>
          <cell r="H1490">
            <v>0</v>
          </cell>
        </row>
        <row r="1491">
          <cell r="B1491">
            <v>9994</v>
          </cell>
          <cell r="C1491" t="str">
            <v>Tonasket; Justin L</v>
          </cell>
          <cell r="D1491" t="str">
            <v>1C</v>
          </cell>
          <cell r="E1491" t="str">
            <v>IBEWOUT</v>
          </cell>
          <cell r="F1491" t="str">
            <v>1245</v>
          </cell>
          <cell r="G1491" t="str">
            <v>13</v>
          </cell>
          <cell r="H1491">
            <v>0</v>
          </cell>
        </row>
        <row r="1492">
          <cell r="B1492">
            <v>9995</v>
          </cell>
          <cell r="C1492" t="str">
            <v>Tom; Antonio J</v>
          </cell>
          <cell r="D1492" t="str">
            <v>1C</v>
          </cell>
          <cell r="E1492" t="str">
            <v>IBEWOUT</v>
          </cell>
          <cell r="F1492" t="str">
            <v>611</v>
          </cell>
          <cell r="G1492" t="str">
            <v>18</v>
          </cell>
          <cell r="H1492">
            <v>0</v>
          </cell>
        </row>
        <row r="1493">
          <cell r="B1493">
            <v>9996</v>
          </cell>
          <cell r="C1493" t="str">
            <v>Toftdahl; Nels R.</v>
          </cell>
          <cell r="D1493" t="str">
            <v>1</v>
          </cell>
          <cell r="E1493" t="str">
            <v>IBEWOUT</v>
          </cell>
          <cell r="F1493" t="str">
            <v>77</v>
          </cell>
          <cell r="G1493" t="str">
            <v>7</v>
          </cell>
          <cell r="H1493">
            <v>0</v>
          </cell>
        </row>
        <row r="1494">
          <cell r="B1494">
            <v>9997</v>
          </cell>
          <cell r="C1494" t="str">
            <v>Tolson; Chad A</v>
          </cell>
          <cell r="D1494" t="str">
            <v>1C</v>
          </cell>
          <cell r="E1494" t="str">
            <v>IBEWOUT</v>
          </cell>
          <cell r="F1494" t="str">
            <v>1245</v>
          </cell>
          <cell r="G1494" t="str">
            <v>15</v>
          </cell>
          <cell r="H1494">
            <v>0</v>
          </cell>
        </row>
        <row r="1495">
          <cell r="B1495">
            <v>10001</v>
          </cell>
          <cell r="C1495" t="str">
            <v>Tohara; John D.</v>
          </cell>
          <cell r="D1495" t="str">
            <v>1C</v>
          </cell>
          <cell r="E1495" t="str">
            <v>IBEWOUT</v>
          </cell>
          <cell r="F1495" t="str">
            <v>396</v>
          </cell>
          <cell r="G1495" t="str">
            <v>21</v>
          </cell>
          <cell r="H1495">
            <v>0</v>
          </cell>
        </row>
        <row r="1496">
          <cell r="B1496">
            <v>10002</v>
          </cell>
          <cell r="C1496" t="str">
            <v>Toman; Lance E</v>
          </cell>
          <cell r="D1496" t="str">
            <v>1C</v>
          </cell>
          <cell r="E1496" t="str">
            <v>IBEWOUT</v>
          </cell>
          <cell r="F1496" t="str">
            <v>1245</v>
          </cell>
          <cell r="G1496" t="str">
            <v>8</v>
          </cell>
          <cell r="H1496">
            <v>0</v>
          </cell>
        </row>
        <row r="1497">
          <cell r="B1497">
            <v>10007</v>
          </cell>
          <cell r="C1497" t="str">
            <v>Torbet; William Wesley</v>
          </cell>
          <cell r="D1497" t="str">
            <v>1</v>
          </cell>
          <cell r="E1497" t="str">
            <v/>
          </cell>
          <cell r="F1497" t="str">
            <v/>
          </cell>
          <cell r="G1497" t="str">
            <v/>
          </cell>
          <cell r="H1497">
            <v>1</v>
          </cell>
        </row>
        <row r="1498">
          <cell r="B1498">
            <v>10026</v>
          </cell>
          <cell r="C1498" t="str">
            <v>Trimnal; Jerry Gamble</v>
          </cell>
          <cell r="D1498" t="str">
            <v>1C</v>
          </cell>
          <cell r="E1498" t="str">
            <v>IBEWOUT</v>
          </cell>
          <cell r="F1498" t="str">
            <v>47</v>
          </cell>
          <cell r="G1498" t="str">
            <v>7</v>
          </cell>
          <cell r="H1498">
            <v>0</v>
          </cell>
        </row>
        <row r="1499">
          <cell r="B1499">
            <v>10028</v>
          </cell>
          <cell r="C1499" t="str">
            <v>Triner; Jeremy BJ</v>
          </cell>
          <cell r="D1499" t="str">
            <v>1C</v>
          </cell>
          <cell r="E1499" t="str">
            <v>IBEWOUT</v>
          </cell>
          <cell r="F1499" t="str">
            <v>47</v>
          </cell>
          <cell r="G1499" t="str">
            <v>8</v>
          </cell>
          <cell r="H1499">
            <v>0</v>
          </cell>
        </row>
        <row r="1500">
          <cell r="B1500">
            <v>10030</v>
          </cell>
          <cell r="C1500" t="str">
            <v>Tritten; Eric W</v>
          </cell>
          <cell r="D1500" t="str">
            <v>1C</v>
          </cell>
          <cell r="E1500" t="str">
            <v>IBEWOUT</v>
          </cell>
          <cell r="F1500" t="str">
            <v>126</v>
          </cell>
          <cell r="G1500" t="str">
            <v>13</v>
          </cell>
          <cell r="H1500">
            <v>0</v>
          </cell>
        </row>
        <row r="1501">
          <cell r="B1501">
            <v>10031</v>
          </cell>
          <cell r="C1501" t="str">
            <v>Triplett; Bret M</v>
          </cell>
          <cell r="D1501" t="str">
            <v>1C</v>
          </cell>
          <cell r="E1501" t="str">
            <v>IBEWOUT</v>
          </cell>
          <cell r="F1501" t="str">
            <v>1319</v>
          </cell>
          <cell r="G1501" t="str">
            <v>15</v>
          </cell>
          <cell r="H1501">
            <v>0</v>
          </cell>
        </row>
        <row r="1502">
          <cell r="B1502">
            <v>10034</v>
          </cell>
          <cell r="C1502" t="str">
            <v>Tropkoff; Robert J</v>
          </cell>
          <cell r="D1502" t="str">
            <v>1C</v>
          </cell>
          <cell r="E1502" t="str">
            <v>IBEWOUT</v>
          </cell>
          <cell r="F1502" t="str">
            <v>1319</v>
          </cell>
          <cell r="G1502" t="str">
            <v>21</v>
          </cell>
          <cell r="H1502">
            <v>0</v>
          </cell>
        </row>
        <row r="1503">
          <cell r="B1503">
            <v>10039</v>
          </cell>
          <cell r="C1503" t="str">
            <v>Tsuha; Mark</v>
          </cell>
          <cell r="D1503" t="str">
            <v>1C</v>
          </cell>
          <cell r="E1503" t="str">
            <v>IBEWOUT</v>
          </cell>
          <cell r="F1503" t="str">
            <v>77</v>
          </cell>
          <cell r="G1503" t="str">
            <v>16</v>
          </cell>
          <cell r="H1503">
            <v>0</v>
          </cell>
        </row>
        <row r="1504">
          <cell r="B1504">
            <v>10048</v>
          </cell>
          <cell r="C1504" t="str">
            <v>Turner; Luke E</v>
          </cell>
          <cell r="D1504" t="str">
            <v>1</v>
          </cell>
          <cell r="E1504" t="str">
            <v>IBEWOUT</v>
          </cell>
          <cell r="F1504" t="str">
            <v>77</v>
          </cell>
          <cell r="G1504" t="str">
            <v>7</v>
          </cell>
          <cell r="H1504">
            <v>0</v>
          </cell>
        </row>
        <row r="1505">
          <cell r="B1505">
            <v>10049</v>
          </cell>
          <cell r="C1505" t="str">
            <v>Truog; Brannon M</v>
          </cell>
          <cell r="D1505" t="str">
            <v>1C</v>
          </cell>
          <cell r="E1505" t="str">
            <v>IBEWOUT</v>
          </cell>
          <cell r="F1505" t="str">
            <v>769</v>
          </cell>
          <cell r="G1505" t="str">
            <v>17</v>
          </cell>
          <cell r="H1505">
            <v>0</v>
          </cell>
        </row>
        <row r="1506">
          <cell r="B1506">
            <v>10051</v>
          </cell>
          <cell r="C1506" t="str">
            <v>Treadwell; Joshua S</v>
          </cell>
          <cell r="D1506" t="str">
            <v>1C</v>
          </cell>
          <cell r="E1506" t="str">
            <v>IBEWOUT</v>
          </cell>
          <cell r="F1506" t="str">
            <v>602R</v>
          </cell>
          <cell r="G1506" t="str">
            <v>8</v>
          </cell>
          <cell r="H1506">
            <v>0</v>
          </cell>
        </row>
        <row r="1507">
          <cell r="B1507">
            <v>10055</v>
          </cell>
          <cell r="C1507" t="str">
            <v>Torres; Isaac</v>
          </cell>
          <cell r="D1507" t="str">
            <v>1C</v>
          </cell>
          <cell r="E1507" t="str">
            <v>IBEWOUT</v>
          </cell>
          <cell r="F1507" t="str">
            <v>1245</v>
          </cell>
          <cell r="G1507" t="str">
            <v>8</v>
          </cell>
          <cell r="H1507">
            <v>0</v>
          </cell>
        </row>
        <row r="1508">
          <cell r="B1508">
            <v>10056</v>
          </cell>
          <cell r="C1508" t="str">
            <v>Torres; Federico R</v>
          </cell>
          <cell r="D1508" t="str">
            <v>1</v>
          </cell>
          <cell r="E1508" t="str">
            <v/>
          </cell>
          <cell r="F1508" t="str">
            <v/>
          </cell>
          <cell r="G1508" t="str">
            <v/>
          </cell>
          <cell r="H1508">
            <v>1</v>
          </cell>
        </row>
        <row r="1509">
          <cell r="B1509">
            <v>10057</v>
          </cell>
          <cell r="C1509" t="str">
            <v>Torres; Carlos</v>
          </cell>
          <cell r="D1509" t="str">
            <v>1C</v>
          </cell>
          <cell r="E1509" t="str">
            <v>IBEWOUT</v>
          </cell>
          <cell r="F1509" t="str">
            <v>1245</v>
          </cell>
          <cell r="G1509" t="str">
            <v>17</v>
          </cell>
          <cell r="H1509">
            <v>0</v>
          </cell>
        </row>
        <row r="1510">
          <cell r="B1510">
            <v>10058</v>
          </cell>
          <cell r="C1510" t="str">
            <v>Towns; Isaac W</v>
          </cell>
          <cell r="D1510" t="str">
            <v>1C</v>
          </cell>
          <cell r="E1510" t="str">
            <v>IBEWOUT</v>
          </cell>
          <cell r="F1510" t="str">
            <v>47</v>
          </cell>
          <cell r="G1510" t="str">
            <v>8</v>
          </cell>
          <cell r="H1510">
            <v>0</v>
          </cell>
        </row>
        <row r="1511">
          <cell r="B1511">
            <v>10060</v>
          </cell>
          <cell r="C1511" t="str">
            <v>Tweed; Herbert Coke</v>
          </cell>
          <cell r="D1511" t="str">
            <v>1</v>
          </cell>
          <cell r="E1511" t="str">
            <v>IBEWOUT</v>
          </cell>
          <cell r="F1511" t="str">
            <v>47</v>
          </cell>
          <cell r="G1511" t="str">
            <v>7</v>
          </cell>
          <cell r="H1511">
            <v>1</v>
          </cell>
        </row>
        <row r="1512">
          <cell r="B1512">
            <v>10067</v>
          </cell>
          <cell r="C1512" t="str">
            <v>Tune; Christopher D</v>
          </cell>
          <cell r="D1512" t="str">
            <v>1C</v>
          </cell>
          <cell r="E1512" t="str">
            <v>IBEWOUT</v>
          </cell>
          <cell r="F1512" t="str">
            <v>77</v>
          </cell>
          <cell r="G1512" t="str">
            <v>8</v>
          </cell>
          <cell r="H1512">
            <v>0</v>
          </cell>
        </row>
        <row r="1513">
          <cell r="B1513">
            <v>10069</v>
          </cell>
          <cell r="C1513" t="str">
            <v>Turner; Bradley S.</v>
          </cell>
          <cell r="D1513" t="str">
            <v>1C</v>
          </cell>
          <cell r="E1513" t="str">
            <v>IBEWOUT</v>
          </cell>
          <cell r="F1513" t="str">
            <v>47</v>
          </cell>
          <cell r="G1513" t="str">
            <v>60</v>
          </cell>
          <cell r="H1513">
            <v>0</v>
          </cell>
        </row>
        <row r="1514">
          <cell r="B1514">
            <v>10071</v>
          </cell>
          <cell r="C1514" t="str">
            <v>Turpin; Kyle R</v>
          </cell>
          <cell r="D1514" t="str">
            <v>1C</v>
          </cell>
          <cell r="E1514" t="str">
            <v>IBEWOUT</v>
          </cell>
          <cell r="F1514" t="str">
            <v>1245</v>
          </cell>
          <cell r="G1514" t="str">
            <v>17</v>
          </cell>
          <cell r="H1514">
            <v>0</v>
          </cell>
        </row>
        <row r="1515">
          <cell r="B1515">
            <v>10076</v>
          </cell>
          <cell r="C1515" t="str">
            <v>Uitto; Jacob P</v>
          </cell>
          <cell r="D1515" t="str">
            <v>1C</v>
          </cell>
          <cell r="E1515" t="str">
            <v>IBEWOUT</v>
          </cell>
          <cell r="F1515" t="str">
            <v>77</v>
          </cell>
          <cell r="G1515" t="str">
            <v>13</v>
          </cell>
          <cell r="H1515">
            <v>0</v>
          </cell>
        </row>
        <row r="1516">
          <cell r="B1516">
            <v>10078</v>
          </cell>
          <cell r="C1516" t="str">
            <v>Uhlenkott; Nicholas P</v>
          </cell>
          <cell r="D1516" t="str">
            <v>1C</v>
          </cell>
          <cell r="E1516" t="str">
            <v>IBEWOUT</v>
          </cell>
          <cell r="F1516" t="str">
            <v>77</v>
          </cell>
          <cell r="G1516" t="str">
            <v>8</v>
          </cell>
          <cell r="H1516">
            <v>0</v>
          </cell>
        </row>
        <row r="1517">
          <cell r="B1517">
            <v>10085</v>
          </cell>
          <cell r="C1517" t="str">
            <v>Unsworth; Isaac W</v>
          </cell>
          <cell r="D1517" t="str">
            <v>1C</v>
          </cell>
          <cell r="E1517" t="str">
            <v>IBEWOUT</v>
          </cell>
          <cell r="F1517" t="str">
            <v>47</v>
          </cell>
          <cell r="G1517" t="str">
            <v>7</v>
          </cell>
          <cell r="H1517">
            <v>0</v>
          </cell>
        </row>
        <row r="1518">
          <cell r="B1518">
            <v>10086</v>
          </cell>
          <cell r="C1518" t="str">
            <v>Unruh; Spencer J</v>
          </cell>
          <cell r="D1518" t="str">
            <v>1C</v>
          </cell>
          <cell r="E1518" t="str">
            <v>IBEWOUT</v>
          </cell>
          <cell r="F1518" t="str">
            <v>1245</v>
          </cell>
          <cell r="G1518" t="str">
            <v>8</v>
          </cell>
          <cell r="H1518">
            <v>0</v>
          </cell>
        </row>
        <row r="1519">
          <cell r="B1519">
            <v>10090</v>
          </cell>
          <cell r="C1519" t="str">
            <v>Uribe; Jorge</v>
          </cell>
          <cell r="D1519" t="str">
            <v>1C</v>
          </cell>
          <cell r="E1519" t="str">
            <v>IBEWOUT</v>
          </cell>
          <cell r="F1519" t="str">
            <v>1245</v>
          </cell>
          <cell r="G1519" t="str">
            <v>16</v>
          </cell>
          <cell r="H1519">
            <v>0</v>
          </cell>
        </row>
        <row r="1520">
          <cell r="B1520">
            <v>10105</v>
          </cell>
          <cell r="C1520" t="str">
            <v>Urquijo; Bernardo</v>
          </cell>
          <cell r="D1520" t="str">
            <v>1C</v>
          </cell>
          <cell r="E1520" t="str">
            <v>IBEWOUT</v>
          </cell>
          <cell r="F1520" t="str">
            <v>1245</v>
          </cell>
          <cell r="G1520" t="str">
            <v>8</v>
          </cell>
          <cell r="H1520">
            <v>0</v>
          </cell>
        </row>
        <row r="1521">
          <cell r="B1521">
            <v>10112</v>
          </cell>
          <cell r="C1521" t="str">
            <v>Valenzuela; Mark</v>
          </cell>
          <cell r="D1521" t="str">
            <v>1C</v>
          </cell>
          <cell r="E1521" t="str">
            <v>IBEWOUT</v>
          </cell>
          <cell r="F1521" t="str">
            <v>47</v>
          </cell>
          <cell r="G1521" t="str">
            <v>17</v>
          </cell>
          <cell r="H1521">
            <v>0</v>
          </cell>
        </row>
        <row r="1522">
          <cell r="B1522">
            <v>10123</v>
          </cell>
          <cell r="C1522" t="str">
            <v>Valenzuela; Ariel A</v>
          </cell>
          <cell r="D1522" t="str">
            <v>1C</v>
          </cell>
          <cell r="E1522" t="str">
            <v>IBEWOUT</v>
          </cell>
          <cell r="F1522" t="str">
            <v>1245</v>
          </cell>
          <cell r="G1522" t="str">
            <v>12</v>
          </cell>
          <cell r="H1522">
            <v>0</v>
          </cell>
        </row>
        <row r="1523">
          <cell r="B1523">
            <v>10139</v>
          </cell>
          <cell r="C1523" t="str">
            <v>Vanwert Jr.; Richard A</v>
          </cell>
          <cell r="D1523" t="str">
            <v>1C</v>
          </cell>
          <cell r="E1523" t="str">
            <v>IBEWOUT</v>
          </cell>
          <cell r="F1523" t="str">
            <v>1319</v>
          </cell>
          <cell r="G1523" t="str">
            <v>8</v>
          </cell>
          <cell r="H1523">
            <v>0</v>
          </cell>
        </row>
        <row r="1524">
          <cell r="B1524">
            <v>10140</v>
          </cell>
          <cell r="C1524" t="str">
            <v>Vann; Tyhein E</v>
          </cell>
          <cell r="D1524" t="str">
            <v>1C</v>
          </cell>
          <cell r="E1524" t="str">
            <v>IBEWOUT</v>
          </cell>
          <cell r="F1524" t="str">
            <v>126</v>
          </cell>
          <cell r="G1524" t="str">
            <v>8</v>
          </cell>
          <cell r="H1524">
            <v>0</v>
          </cell>
        </row>
        <row r="1525">
          <cell r="B1525">
            <v>10146</v>
          </cell>
          <cell r="C1525" t="str">
            <v>Valencia; Gary S</v>
          </cell>
          <cell r="D1525" t="str">
            <v>1C</v>
          </cell>
          <cell r="E1525" t="str">
            <v>IBEWOUT</v>
          </cell>
          <cell r="F1525" t="str">
            <v>1245</v>
          </cell>
          <cell r="G1525" t="str">
            <v>13</v>
          </cell>
          <cell r="H1525">
            <v>0</v>
          </cell>
        </row>
        <row r="1526">
          <cell r="B1526">
            <v>10148</v>
          </cell>
          <cell r="C1526" t="str">
            <v>Vanderheiden; Ricky J.</v>
          </cell>
          <cell r="D1526" t="str">
            <v>1C</v>
          </cell>
          <cell r="E1526" t="str">
            <v>IBEWOUT</v>
          </cell>
          <cell r="F1526" t="str">
            <v>47</v>
          </cell>
          <cell r="G1526" t="str">
            <v>8</v>
          </cell>
          <cell r="H1526">
            <v>0</v>
          </cell>
        </row>
        <row r="1527">
          <cell r="B1527">
            <v>10149</v>
          </cell>
          <cell r="C1527" t="str">
            <v>Vargas; Joe F</v>
          </cell>
          <cell r="D1527" t="str">
            <v>1C</v>
          </cell>
          <cell r="E1527" t="str">
            <v>IBEWOUT</v>
          </cell>
          <cell r="F1527" t="str">
            <v>1245</v>
          </cell>
          <cell r="G1527" t="str">
            <v>12</v>
          </cell>
          <cell r="H1527">
            <v>0</v>
          </cell>
        </row>
        <row r="1528">
          <cell r="B1528">
            <v>10154</v>
          </cell>
          <cell r="C1528" t="str">
            <v>Vanderwood; Eric L</v>
          </cell>
          <cell r="D1528" t="str">
            <v>1C</v>
          </cell>
          <cell r="E1528" t="str">
            <v/>
          </cell>
          <cell r="F1528" t="str">
            <v/>
          </cell>
          <cell r="G1528" t="str">
            <v/>
          </cell>
          <cell r="H1528">
            <v>0</v>
          </cell>
        </row>
        <row r="1529">
          <cell r="B1529">
            <v>10155</v>
          </cell>
          <cell r="C1529" t="str">
            <v>Vandyke; Jess D</v>
          </cell>
          <cell r="D1529" t="str">
            <v>1C</v>
          </cell>
          <cell r="E1529" t="str">
            <v>IBEWOUT</v>
          </cell>
          <cell r="F1529" t="str">
            <v>1245</v>
          </cell>
          <cell r="G1529" t="str">
            <v>8</v>
          </cell>
          <cell r="H1529">
            <v>0</v>
          </cell>
        </row>
        <row r="1530">
          <cell r="B1530">
            <v>10157</v>
          </cell>
          <cell r="C1530" t="str">
            <v>Vaughters; Brett Randall</v>
          </cell>
          <cell r="D1530" t="str">
            <v>1</v>
          </cell>
          <cell r="E1530" t="str">
            <v/>
          </cell>
          <cell r="F1530" t="str">
            <v/>
          </cell>
          <cell r="G1530" t="str">
            <v/>
          </cell>
          <cell r="H1530">
            <v>1</v>
          </cell>
        </row>
        <row r="1531">
          <cell r="B1531">
            <v>10158</v>
          </cell>
          <cell r="C1531" t="str">
            <v>Valis; Theodore G.</v>
          </cell>
          <cell r="D1531" t="str">
            <v>1C</v>
          </cell>
          <cell r="E1531" t="str">
            <v>IBEWOUT</v>
          </cell>
          <cell r="F1531" t="str">
            <v>769</v>
          </cell>
          <cell r="G1531" t="str">
            <v>8</v>
          </cell>
          <cell r="H1531">
            <v>0</v>
          </cell>
        </row>
        <row r="1532">
          <cell r="B1532">
            <v>10160</v>
          </cell>
          <cell r="C1532" t="str">
            <v>Varnell; Derek B</v>
          </cell>
          <cell r="D1532" t="str">
            <v>1C</v>
          </cell>
          <cell r="E1532" t="str">
            <v>IBEWOUT</v>
          </cell>
          <cell r="F1532" t="str">
            <v>602R</v>
          </cell>
          <cell r="G1532" t="str">
            <v>11T</v>
          </cell>
          <cell r="H1532">
            <v>0</v>
          </cell>
        </row>
        <row r="1533">
          <cell r="B1533">
            <v>10161</v>
          </cell>
          <cell r="C1533" t="str">
            <v>Vargas; Andre A</v>
          </cell>
          <cell r="D1533" t="str">
            <v>1</v>
          </cell>
          <cell r="E1533" t="str">
            <v/>
          </cell>
          <cell r="F1533" t="str">
            <v/>
          </cell>
          <cell r="G1533" t="str">
            <v/>
          </cell>
          <cell r="H1533">
            <v>1</v>
          </cell>
        </row>
        <row r="1534">
          <cell r="B1534">
            <v>10170</v>
          </cell>
          <cell r="C1534" t="str">
            <v>Vega-Brown; Elias</v>
          </cell>
          <cell r="D1534" t="str">
            <v>1C</v>
          </cell>
          <cell r="E1534" t="str">
            <v>IBEWOUT</v>
          </cell>
          <cell r="F1534" t="str">
            <v>1245</v>
          </cell>
          <cell r="G1534" t="str">
            <v>8</v>
          </cell>
          <cell r="H1534">
            <v>0</v>
          </cell>
        </row>
        <row r="1535">
          <cell r="B1535">
            <v>10171</v>
          </cell>
          <cell r="C1535" t="str">
            <v>VanAntwerp; Derek R.</v>
          </cell>
          <cell r="D1535" t="str">
            <v>1C</v>
          </cell>
          <cell r="E1535" t="str">
            <v>IBEWOUT</v>
          </cell>
          <cell r="F1535" t="str">
            <v>1245</v>
          </cell>
          <cell r="G1535" t="str">
            <v>7</v>
          </cell>
          <cell r="H1535">
            <v>0</v>
          </cell>
        </row>
        <row r="1536">
          <cell r="B1536">
            <v>10173</v>
          </cell>
          <cell r="C1536" t="str">
            <v>Vessel; Derick L</v>
          </cell>
          <cell r="D1536" t="str">
            <v>1C</v>
          </cell>
          <cell r="E1536" t="str">
            <v>IBEWOUT</v>
          </cell>
          <cell r="F1536" t="str">
            <v>769</v>
          </cell>
          <cell r="G1536" t="str">
            <v>12</v>
          </cell>
          <cell r="H1536">
            <v>0</v>
          </cell>
        </row>
        <row r="1537">
          <cell r="B1537">
            <v>10177</v>
          </cell>
          <cell r="C1537" t="str">
            <v>Verkler; Jacob M</v>
          </cell>
          <cell r="D1537" t="str">
            <v>1C</v>
          </cell>
          <cell r="E1537" t="str">
            <v>IBEWOUT</v>
          </cell>
          <cell r="F1537" t="str">
            <v>1245</v>
          </cell>
          <cell r="G1537" t="str">
            <v>15</v>
          </cell>
          <cell r="H1537">
            <v>0</v>
          </cell>
        </row>
        <row r="1538">
          <cell r="B1538">
            <v>10180</v>
          </cell>
          <cell r="C1538" t="str">
            <v>Vermeire; Damon L</v>
          </cell>
          <cell r="D1538" t="str">
            <v>1</v>
          </cell>
          <cell r="E1538" t="str">
            <v>IBEWOUT</v>
          </cell>
          <cell r="F1538" t="str">
            <v>77</v>
          </cell>
          <cell r="G1538" t="str">
            <v>7</v>
          </cell>
          <cell r="H1538">
            <v>0</v>
          </cell>
        </row>
        <row r="1539">
          <cell r="B1539">
            <v>10181</v>
          </cell>
          <cell r="C1539" t="str">
            <v>Vick; Clinton W</v>
          </cell>
          <cell r="D1539" t="str">
            <v>1C</v>
          </cell>
          <cell r="E1539" t="str">
            <v>IBEWOUT</v>
          </cell>
          <cell r="F1539" t="str">
            <v>160</v>
          </cell>
          <cell r="G1539" t="str">
            <v>7</v>
          </cell>
          <cell r="H1539">
            <v>0</v>
          </cell>
        </row>
        <row r="1540">
          <cell r="B1540">
            <v>10183</v>
          </cell>
          <cell r="C1540" t="str">
            <v>Vickers; Tom E</v>
          </cell>
          <cell r="D1540" t="str">
            <v>1C</v>
          </cell>
          <cell r="E1540" t="str">
            <v>IBEWOUT</v>
          </cell>
          <cell r="F1540" t="str">
            <v>1245</v>
          </cell>
          <cell r="G1540" t="str">
            <v>17</v>
          </cell>
          <cell r="H1540">
            <v>0</v>
          </cell>
        </row>
        <row r="1541">
          <cell r="B1541">
            <v>10184</v>
          </cell>
          <cell r="C1541" t="str">
            <v>Vickhammer; Bryan S</v>
          </cell>
          <cell r="D1541" t="str">
            <v>1C</v>
          </cell>
          <cell r="E1541" t="str">
            <v>IBEWOUT</v>
          </cell>
          <cell r="F1541" t="str">
            <v>1245</v>
          </cell>
          <cell r="G1541" t="str">
            <v>12</v>
          </cell>
          <cell r="H1541">
            <v>0</v>
          </cell>
        </row>
        <row r="1542">
          <cell r="B1542">
            <v>10190</v>
          </cell>
          <cell r="C1542" t="str">
            <v>Ventura; Francisco A</v>
          </cell>
          <cell r="D1542" t="str">
            <v>1C</v>
          </cell>
          <cell r="E1542" t="str">
            <v>IBEWOUT</v>
          </cell>
          <cell r="F1542" t="str">
            <v>47</v>
          </cell>
          <cell r="G1542" t="str">
            <v>14</v>
          </cell>
          <cell r="H1542">
            <v>0</v>
          </cell>
        </row>
        <row r="1543">
          <cell r="B1543">
            <v>10191</v>
          </cell>
          <cell r="C1543" t="str">
            <v>Verduzco Jr; Ricardo</v>
          </cell>
          <cell r="D1543" t="str">
            <v>1</v>
          </cell>
          <cell r="E1543" t="str">
            <v>IBEWOUT</v>
          </cell>
          <cell r="F1543" t="str">
            <v>769</v>
          </cell>
          <cell r="G1543" t="str">
            <v>8</v>
          </cell>
          <cell r="H1543">
            <v>0</v>
          </cell>
        </row>
        <row r="1544">
          <cell r="B1544">
            <v>10192</v>
          </cell>
          <cell r="C1544" t="str">
            <v>Vincent; Eric T</v>
          </cell>
          <cell r="D1544" t="str">
            <v>1</v>
          </cell>
          <cell r="E1544" t="str">
            <v>IBEWOUT</v>
          </cell>
          <cell r="F1544" t="str">
            <v>47</v>
          </cell>
          <cell r="G1544" t="str">
            <v>11</v>
          </cell>
          <cell r="H1544">
            <v>0</v>
          </cell>
        </row>
        <row r="1545">
          <cell r="B1545">
            <v>10195</v>
          </cell>
          <cell r="C1545" t="str">
            <v>Vogt; Jay A.</v>
          </cell>
          <cell r="D1545" t="str">
            <v>1C</v>
          </cell>
          <cell r="E1545" t="str">
            <v>IBEWOUT</v>
          </cell>
          <cell r="F1545" t="str">
            <v>47</v>
          </cell>
          <cell r="G1545" t="str">
            <v>8</v>
          </cell>
          <cell r="H1545">
            <v>0</v>
          </cell>
        </row>
        <row r="1546">
          <cell r="B1546">
            <v>10203</v>
          </cell>
          <cell r="C1546" t="str">
            <v>Vigil; Darian Marie</v>
          </cell>
          <cell r="D1546" t="str">
            <v>1</v>
          </cell>
          <cell r="E1546" t="str">
            <v/>
          </cell>
          <cell r="F1546" t="str">
            <v/>
          </cell>
          <cell r="G1546" t="str">
            <v/>
          </cell>
          <cell r="H1546">
            <v>0</v>
          </cell>
        </row>
        <row r="1547">
          <cell r="B1547">
            <v>10205</v>
          </cell>
          <cell r="C1547" t="str">
            <v>Vorce; Brian M</v>
          </cell>
          <cell r="D1547" t="str">
            <v>1C</v>
          </cell>
          <cell r="E1547" t="str">
            <v>IBEWOUT</v>
          </cell>
          <cell r="F1547" t="str">
            <v>1245</v>
          </cell>
          <cell r="G1547" t="str">
            <v>8</v>
          </cell>
          <cell r="H1547">
            <v>0</v>
          </cell>
        </row>
        <row r="1548">
          <cell r="B1548">
            <v>10209</v>
          </cell>
          <cell r="C1548" t="str">
            <v>Voshall; Jared C</v>
          </cell>
          <cell r="D1548" t="str">
            <v>1C</v>
          </cell>
          <cell r="E1548" t="str">
            <v>IBEWOUT</v>
          </cell>
          <cell r="F1548" t="str">
            <v>1245</v>
          </cell>
          <cell r="G1548" t="str">
            <v>7</v>
          </cell>
          <cell r="H1548">
            <v>0</v>
          </cell>
        </row>
        <row r="1549">
          <cell r="B1549">
            <v>10210</v>
          </cell>
          <cell r="C1549" t="str">
            <v>Villarreal; Gil</v>
          </cell>
          <cell r="D1549" t="str">
            <v>1</v>
          </cell>
          <cell r="E1549" t="str">
            <v>IBEWOUT</v>
          </cell>
          <cell r="F1549" t="str">
            <v>1245</v>
          </cell>
          <cell r="G1549" t="str">
            <v>17</v>
          </cell>
          <cell r="H1549">
            <v>0</v>
          </cell>
        </row>
        <row r="1550">
          <cell r="B1550">
            <v>10212</v>
          </cell>
          <cell r="C1550" t="str">
            <v>Villa Jr.; Arturo</v>
          </cell>
          <cell r="D1550" t="str">
            <v>1C</v>
          </cell>
          <cell r="E1550" t="str">
            <v>IBEWOUT</v>
          </cell>
          <cell r="F1550" t="str">
            <v>1245</v>
          </cell>
          <cell r="G1550" t="str">
            <v>15</v>
          </cell>
          <cell r="H1550">
            <v>0</v>
          </cell>
        </row>
        <row r="1551">
          <cell r="B1551">
            <v>10216</v>
          </cell>
          <cell r="C1551" t="str">
            <v>Volesky; Dakota R</v>
          </cell>
          <cell r="D1551" t="str">
            <v>1</v>
          </cell>
          <cell r="E1551" t="str">
            <v/>
          </cell>
          <cell r="F1551" t="str">
            <v/>
          </cell>
          <cell r="G1551" t="str">
            <v/>
          </cell>
          <cell r="H1551">
            <v>0</v>
          </cell>
        </row>
        <row r="1552">
          <cell r="B1552">
            <v>10231</v>
          </cell>
          <cell r="C1552" t="str">
            <v>Wager; Brett L.</v>
          </cell>
          <cell r="D1552" t="str">
            <v>1C</v>
          </cell>
          <cell r="E1552" t="str">
            <v>IBEWOUT</v>
          </cell>
          <cell r="F1552" t="str">
            <v>611</v>
          </cell>
          <cell r="G1552" t="str">
            <v>9</v>
          </cell>
          <cell r="H1552">
            <v>0</v>
          </cell>
        </row>
        <row r="1553">
          <cell r="B1553">
            <v>10252</v>
          </cell>
          <cell r="C1553" t="str">
            <v>Waite; Ronald Eric</v>
          </cell>
          <cell r="D1553" t="str">
            <v>1C</v>
          </cell>
          <cell r="E1553" t="str">
            <v/>
          </cell>
          <cell r="F1553" t="str">
            <v/>
          </cell>
          <cell r="G1553" t="str">
            <v/>
          </cell>
          <cell r="H1553">
            <v>1</v>
          </cell>
        </row>
        <row r="1554">
          <cell r="B1554">
            <v>10253</v>
          </cell>
          <cell r="C1554" t="str">
            <v>Wakefield; Josiah T</v>
          </cell>
          <cell r="D1554" t="str">
            <v>1C</v>
          </cell>
          <cell r="E1554" t="str">
            <v/>
          </cell>
          <cell r="F1554" t="str">
            <v/>
          </cell>
          <cell r="G1554" t="str">
            <v/>
          </cell>
          <cell r="H1554">
            <v>1</v>
          </cell>
        </row>
        <row r="1555">
          <cell r="B1555">
            <v>10257</v>
          </cell>
          <cell r="C1555" t="str">
            <v>Wakeland; Alex R</v>
          </cell>
          <cell r="D1555" t="str">
            <v>1C</v>
          </cell>
          <cell r="E1555" t="str">
            <v>IBEWOUT</v>
          </cell>
          <cell r="F1555" t="str">
            <v>602R</v>
          </cell>
          <cell r="G1555" t="str">
            <v>8</v>
          </cell>
          <cell r="H1555">
            <v>0</v>
          </cell>
        </row>
        <row r="1556">
          <cell r="B1556">
            <v>10273</v>
          </cell>
          <cell r="C1556" t="str">
            <v>Walker; Matthew R.</v>
          </cell>
          <cell r="D1556" t="str">
            <v>1C</v>
          </cell>
          <cell r="E1556" t="str">
            <v>IBEWOUT</v>
          </cell>
          <cell r="F1556" t="str">
            <v>1245</v>
          </cell>
          <cell r="G1556" t="str">
            <v>8</v>
          </cell>
          <cell r="H1556">
            <v>0</v>
          </cell>
        </row>
        <row r="1557">
          <cell r="B1557">
            <v>10275</v>
          </cell>
          <cell r="C1557" t="str">
            <v>Walker; Danny L</v>
          </cell>
          <cell r="D1557" t="str">
            <v>1C</v>
          </cell>
          <cell r="E1557" t="str">
            <v>IBEWOUT</v>
          </cell>
          <cell r="F1557" t="str">
            <v>47</v>
          </cell>
          <cell r="G1557" t="str">
            <v>17</v>
          </cell>
          <cell r="H1557">
            <v>0</v>
          </cell>
        </row>
        <row r="1558">
          <cell r="B1558">
            <v>10276</v>
          </cell>
          <cell r="C1558" t="str">
            <v>Walker; Damon V</v>
          </cell>
          <cell r="D1558" t="str">
            <v>1C</v>
          </cell>
          <cell r="E1558" t="str">
            <v>IBEWOUT</v>
          </cell>
          <cell r="F1558" t="str">
            <v>1245</v>
          </cell>
          <cell r="G1558" t="str">
            <v>8</v>
          </cell>
          <cell r="H1558">
            <v>0</v>
          </cell>
        </row>
        <row r="1559">
          <cell r="B1559">
            <v>10279</v>
          </cell>
          <cell r="C1559" t="str">
            <v>Walker; Stephanie G.</v>
          </cell>
          <cell r="D1559" t="str">
            <v>1</v>
          </cell>
          <cell r="E1559" t="str">
            <v/>
          </cell>
          <cell r="F1559" t="str">
            <v/>
          </cell>
          <cell r="G1559" t="str">
            <v/>
          </cell>
          <cell r="H1559">
            <v>1</v>
          </cell>
        </row>
        <row r="1560">
          <cell r="B1560">
            <v>10289</v>
          </cell>
          <cell r="C1560" t="str">
            <v>Wallace; Benjamin D.</v>
          </cell>
          <cell r="D1560" t="str">
            <v>1C</v>
          </cell>
          <cell r="E1560" t="str">
            <v>IBEWOUT</v>
          </cell>
          <cell r="F1560" t="str">
            <v>47</v>
          </cell>
          <cell r="G1560" t="str">
            <v>8</v>
          </cell>
          <cell r="H1560">
            <v>0</v>
          </cell>
        </row>
        <row r="1561">
          <cell r="B1561">
            <v>10291</v>
          </cell>
          <cell r="C1561" t="str">
            <v>Walter; Ryan A.</v>
          </cell>
          <cell r="D1561" t="str">
            <v>1C</v>
          </cell>
          <cell r="E1561" t="str">
            <v>IBEWOUT</v>
          </cell>
          <cell r="F1561" t="str">
            <v>1245</v>
          </cell>
          <cell r="G1561" t="str">
            <v>8</v>
          </cell>
          <cell r="H1561">
            <v>0</v>
          </cell>
        </row>
        <row r="1562">
          <cell r="B1562">
            <v>10305</v>
          </cell>
          <cell r="C1562" t="str">
            <v>Wallace; Scott A.</v>
          </cell>
          <cell r="D1562" t="str">
            <v>1C</v>
          </cell>
          <cell r="E1562" t="str">
            <v>IBEWOUT</v>
          </cell>
          <cell r="F1562" t="str">
            <v>769</v>
          </cell>
          <cell r="G1562" t="str">
            <v>11</v>
          </cell>
          <cell r="H1562">
            <v>0</v>
          </cell>
        </row>
        <row r="1563">
          <cell r="B1563">
            <v>10432</v>
          </cell>
          <cell r="C1563" t="str">
            <v>Ward; Barry E</v>
          </cell>
          <cell r="D1563" t="str">
            <v>1C</v>
          </cell>
          <cell r="E1563" t="str">
            <v>IBEWOUT</v>
          </cell>
          <cell r="F1563" t="str">
            <v>1245</v>
          </cell>
          <cell r="G1563" t="str">
            <v>8</v>
          </cell>
          <cell r="H1563">
            <v>0</v>
          </cell>
        </row>
        <row r="1564">
          <cell r="B1564">
            <v>10435</v>
          </cell>
          <cell r="C1564" t="str">
            <v>Ward; Colton T</v>
          </cell>
          <cell r="D1564" t="str">
            <v>1</v>
          </cell>
          <cell r="E1564" t="str">
            <v>IBEWOUT</v>
          </cell>
          <cell r="F1564" t="str">
            <v>77</v>
          </cell>
          <cell r="G1564" t="str">
            <v>8</v>
          </cell>
          <cell r="H1564">
            <v>0</v>
          </cell>
        </row>
        <row r="1565">
          <cell r="B1565">
            <v>10437</v>
          </cell>
          <cell r="C1565" t="str">
            <v>Warner; Dusty D</v>
          </cell>
          <cell r="D1565" t="str">
            <v>1</v>
          </cell>
          <cell r="E1565" t="str">
            <v>IBEWOUT</v>
          </cell>
          <cell r="F1565" t="str">
            <v>125</v>
          </cell>
          <cell r="G1565" t="str">
            <v>33</v>
          </cell>
          <cell r="H1565">
            <v>0</v>
          </cell>
        </row>
        <row r="1566">
          <cell r="B1566">
            <v>10439</v>
          </cell>
          <cell r="C1566" t="str">
            <v>Washington; Donell</v>
          </cell>
          <cell r="D1566" t="str">
            <v>1C</v>
          </cell>
          <cell r="E1566" t="str">
            <v>IBEWOUT</v>
          </cell>
          <cell r="F1566" t="str">
            <v>396</v>
          </cell>
          <cell r="G1566" t="str">
            <v>33</v>
          </cell>
          <cell r="H1566">
            <v>0</v>
          </cell>
        </row>
        <row r="1567">
          <cell r="B1567">
            <v>10440</v>
          </cell>
          <cell r="C1567" t="str">
            <v>Wasdin; Jimmy L</v>
          </cell>
          <cell r="D1567" t="str">
            <v>1C</v>
          </cell>
          <cell r="E1567" t="str">
            <v>IBEWOUT</v>
          </cell>
          <cell r="F1567" t="str">
            <v>1245</v>
          </cell>
          <cell r="G1567" t="str">
            <v>8</v>
          </cell>
          <cell r="H1567">
            <v>0</v>
          </cell>
        </row>
        <row r="1568">
          <cell r="B1568">
            <v>10442</v>
          </cell>
          <cell r="C1568" t="str">
            <v>Ward; Edward A</v>
          </cell>
          <cell r="D1568" t="str">
            <v>1</v>
          </cell>
          <cell r="E1568" t="str">
            <v>IBEWOUT</v>
          </cell>
          <cell r="F1568" t="str">
            <v>1245</v>
          </cell>
          <cell r="G1568" t="str">
            <v>8</v>
          </cell>
          <cell r="H1568">
            <v>0</v>
          </cell>
        </row>
        <row r="1569">
          <cell r="B1569">
            <v>10445</v>
          </cell>
          <cell r="C1569" t="str">
            <v>Watkins; Garrett L</v>
          </cell>
          <cell r="D1569" t="str">
            <v>1C</v>
          </cell>
          <cell r="E1569" t="str">
            <v>IBEWOUT</v>
          </cell>
          <cell r="F1569" t="str">
            <v>126</v>
          </cell>
          <cell r="G1569" t="str">
            <v>16</v>
          </cell>
          <cell r="H1569">
            <v>0</v>
          </cell>
        </row>
        <row r="1570">
          <cell r="B1570">
            <v>10449</v>
          </cell>
          <cell r="C1570" t="str">
            <v>Watkins; Gary L</v>
          </cell>
          <cell r="D1570" t="str">
            <v>1C</v>
          </cell>
          <cell r="E1570" t="str">
            <v>IBEWOUT</v>
          </cell>
          <cell r="F1570" t="str">
            <v>126</v>
          </cell>
          <cell r="G1570" t="str">
            <v>8</v>
          </cell>
          <cell r="H1570">
            <v>0</v>
          </cell>
        </row>
        <row r="1571">
          <cell r="B1571">
            <v>10453</v>
          </cell>
          <cell r="C1571" t="str">
            <v>Watson; Frederic M.</v>
          </cell>
          <cell r="D1571" t="str">
            <v>1C</v>
          </cell>
          <cell r="E1571" t="str">
            <v>IBEWIN</v>
          </cell>
          <cell r="F1571" t="str">
            <v>714</v>
          </cell>
          <cell r="G1571" t="str">
            <v>8I</v>
          </cell>
          <cell r="H1571">
            <v>0</v>
          </cell>
        </row>
        <row r="1572">
          <cell r="B1572">
            <v>10455</v>
          </cell>
          <cell r="C1572" t="str">
            <v>Watkins; Jonathan D</v>
          </cell>
          <cell r="D1572" t="str">
            <v>1</v>
          </cell>
          <cell r="E1572" t="str">
            <v>IBEWOUT</v>
          </cell>
          <cell r="F1572" t="str">
            <v>47</v>
          </cell>
          <cell r="G1572" t="str">
            <v>17</v>
          </cell>
          <cell r="H1572">
            <v>0</v>
          </cell>
        </row>
        <row r="1573">
          <cell r="B1573">
            <v>10546</v>
          </cell>
          <cell r="C1573" t="str">
            <v>Torres Cervantes; Federico</v>
          </cell>
          <cell r="D1573" t="str">
            <v>1</v>
          </cell>
          <cell r="E1573" t="str">
            <v/>
          </cell>
          <cell r="F1573" t="str">
            <v/>
          </cell>
          <cell r="G1573" t="str">
            <v/>
          </cell>
          <cell r="H1573">
            <v>0</v>
          </cell>
        </row>
        <row r="1574">
          <cell r="B1574">
            <v>10549</v>
          </cell>
          <cell r="C1574" t="str">
            <v>Werner; Allen</v>
          </cell>
          <cell r="D1574" t="str">
            <v>1C</v>
          </cell>
          <cell r="E1574" t="str">
            <v>IBEWOUT</v>
          </cell>
          <cell r="F1574" t="str">
            <v>1245</v>
          </cell>
          <cell r="G1574" t="str">
            <v>60</v>
          </cell>
          <cell r="H1574">
            <v>0</v>
          </cell>
        </row>
        <row r="1575">
          <cell r="B1575">
            <v>10550</v>
          </cell>
          <cell r="C1575" t="str">
            <v>Weathers; Kenneth Wilford</v>
          </cell>
          <cell r="D1575" t="str">
            <v>1</v>
          </cell>
          <cell r="E1575" t="str">
            <v/>
          </cell>
          <cell r="F1575" t="str">
            <v/>
          </cell>
          <cell r="G1575" t="str">
            <v/>
          </cell>
          <cell r="H1575">
            <v>1</v>
          </cell>
        </row>
        <row r="1576">
          <cell r="B1576">
            <v>10552</v>
          </cell>
          <cell r="C1576" t="str">
            <v>Weaver; Emmett Lynn</v>
          </cell>
          <cell r="D1576" t="str">
            <v>1</v>
          </cell>
          <cell r="E1576" t="str">
            <v>IBEWOUT</v>
          </cell>
          <cell r="F1576" t="str">
            <v>47</v>
          </cell>
          <cell r="G1576" t="str">
            <v>16</v>
          </cell>
          <cell r="H1576">
            <v>0</v>
          </cell>
        </row>
        <row r="1577">
          <cell r="B1577">
            <v>10556</v>
          </cell>
          <cell r="C1577" t="str">
            <v>Weaver; Benjamin P.</v>
          </cell>
          <cell r="D1577" t="str">
            <v>1C</v>
          </cell>
          <cell r="E1577" t="str">
            <v>IBEWOUT</v>
          </cell>
          <cell r="F1577" t="str">
            <v>1319</v>
          </cell>
          <cell r="G1577" t="str">
            <v>8</v>
          </cell>
          <cell r="H1577">
            <v>0</v>
          </cell>
        </row>
        <row r="1578">
          <cell r="B1578">
            <v>10557</v>
          </cell>
          <cell r="C1578" t="str">
            <v>Weber; Jeremy Louis</v>
          </cell>
          <cell r="D1578" t="str">
            <v>1C</v>
          </cell>
          <cell r="E1578" t="str">
            <v>IBEWOUT</v>
          </cell>
          <cell r="F1578" t="str">
            <v>77</v>
          </cell>
          <cell r="G1578" t="str">
            <v>7</v>
          </cell>
          <cell r="H1578">
            <v>0</v>
          </cell>
        </row>
        <row r="1579">
          <cell r="B1579">
            <v>10558</v>
          </cell>
          <cell r="C1579" t="str">
            <v>Webber; Cody C</v>
          </cell>
          <cell r="D1579" t="str">
            <v>1C</v>
          </cell>
          <cell r="E1579" t="str">
            <v>IBEWOUT</v>
          </cell>
          <cell r="F1579" t="str">
            <v>1245</v>
          </cell>
          <cell r="G1579" t="str">
            <v>8</v>
          </cell>
          <cell r="H1579">
            <v>0</v>
          </cell>
        </row>
        <row r="1580">
          <cell r="B1580">
            <v>10559</v>
          </cell>
          <cell r="C1580" t="str">
            <v>Weekes; Bruce S</v>
          </cell>
          <cell r="D1580" t="str">
            <v>1C</v>
          </cell>
          <cell r="E1580" t="str">
            <v>IBEWOUT</v>
          </cell>
          <cell r="F1580" t="str">
            <v>1245</v>
          </cell>
          <cell r="G1580" t="str">
            <v>8</v>
          </cell>
          <cell r="H1580">
            <v>0</v>
          </cell>
        </row>
        <row r="1581">
          <cell r="B1581">
            <v>10560</v>
          </cell>
          <cell r="C1581" t="str">
            <v>Weber; Austin J</v>
          </cell>
          <cell r="D1581" t="str">
            <v>1C</v>
          </cell>
          <cell r="E1581" t="str">
            <v>IBEWOUT</v>
          </cell>
          <cell r="F1581" t="str">
            <v>77</v>
          </cell>
          <cell r="G1581" t="str">
            <v>9</v>
          </cell>
          <cell r="H1581">
            <v>0</v>
          </cell>
        </row>
        <row r="1582">
          <cell r="B1582">
            <v>10563</v>
          </cell>
          <cell r="C1582" t="str">
            <v>Webb; Jeffrey A</v>
          </cell>
          <cell r="D1582" t="str">
            <v>1</v>
          </cell>
          <cell r="E1582" t="str">
            <v>IBEWOUT</v>
          </cell>
          <cell r="F1582" t="str">
            <v>1245</v>
          </cell>
          <cell r="G1582" t="str">
            <v>8</v>
          </cell>
          <cell r="H1582">
            <v>0</v>
          </cell>
        </row>
        <row r="1583">
          <cell r="B1583">
            <v>10564</v>
          </cell>
          <cell r="C1583" t="str">
            <v>Webb; Richard R.</v>
          </cell>
          <cell r="D1583" t="str">
            <v>1</v>
          </cell>
          <cell r="E1583" t="str">
            <v>IBEWOUT</v>
          </cell>
          <cell r="F1583" t="str">
            <v>1245</v>
          </cell>
          <cell r="G1583" t="str">
            <v>8</v>
          </cell>
          <cell r="H1583">
            <v>0</v>
          </cell>
        </row>
        <row r="1584">
          <cell r="B1584">
            <v>10579</v>
          </cell>
          <cell r="C1584" t="str">
            <v>Welsh; Darren W</v>
          </cell>
          <cell r="D1584" t="str">
            <v>1</v>
          </cell>
          <cell r="E1584" t="str">
            <v>IBEWOUT</v>
          </cell>
          <cell r="F1584" t="str">
            <v>769</v>
          </cell>
          <cell r="G1584" t="str">
            <v>12</v>
          </cell>
          <cell r="H1584">
            <v>0</v>
          </cell>
        </row>
        <row r="1585">
          <cell r="B1585">
            <v>10580</v>
          </cell>
          <cell r="C1585" t="str">
            <v>Wells; Chris A.</v>
          </cell>
          <cell r="D1585" t="str">
            <v>1C</v>
          </cell>
          <cell r="E1585" t="str">
            <v>IBEWOUT</v>
          </cell>
          <cell r="F1585" t="str">
            <v>769</v>
          </cell>
          <cell r="G1585" t="str">
            <v>20</v>
          </cell>
          <cell r="H1585">
            <v>0</v>
          </cell>
        </row>
        <row r="1586">
          <cell r="B1586">
            <v>10581</v>
          </cell>
          <cell r="C1586" t="str">
            <v>Wells; Robert O</v>
          </cell>
          <cell r="D1586" t="str">
            <v>1C</v>
          </cell>
          <cell r="E1586" t="str">
            <v>IBEWOUT</v>
          </cell>
          <cell r="F1586" t="str">
            <v>602R</v>
          </cell>
          <cell r="G1586" t="str">
            <v>8</v>
          </cell>
          <cell r="H1586">
            <v>0</v>
          </cell>
        </row>
        <row r="1587">
          <cell r="B1587">
            <v>10582</v>
          </cell>
          <cell r="C1587" t="str">
            <v>West; Matthew R</v>
          </cell>
          <cell r="D1587" t="str">
            <v>1</v>
          </cell>
          <cell r="E1587" t="str">
            <v>IBEWOUT</v>
          </cell>
          <cell r="F1587" t="str">
            <v>77</v>
          </cell>
          <cell r="G1587" t="str">
            <v>14</v>
          </cell>
          <cell r="H1587">
            <v>0</v>
          </cell>
        </row>
        <row r="1588">
          <cell r="B1588">
            <v>10586</v>
          </cell>
          <cell r="C1588" t="str">
            <v>Welch; David A</v>
          </cell>
          <cell r="D1588" t="str">
            <v>1C</v>
          </cell>
          <cell r="E1588" t="str">
            <v>IBEWOUT</v>
          </cell>
          <cell r="F1588" t="str">
            <v>1245</v>
          </cell>
          <cell r="G1588" t="str">
            <v>15</v>
          </cell>
          <cell r="H1588">
            <v>0</v>
          </cell>
        </row>
        <row r="1589">
          <cell r="B1589">
            <v>10587</v>
          </cell>
          <cell r="C1589" t="str">
            <v>Wendt; Matthew S</v>
          </cell>
          <cell r="D1589" t="str">
            <v>1C</v>
          </cell>
          <cell r="E1589" t="str">
            <v>IBEWOUT</v>
          </cell>
          <cell r="F1589" t="str">
            <v>47</v>
          </cell>
          <cell r="G1589" t="str">
            <v>7</v>
          </cell>
          <cell r="H1589">
            <v>0</v>
          </cell>
        </row>
        <row r="1590">
          <cell r="B1590">
            <v>10594</v>
          </cell>
          <cell r="C1590" t="str">
            <v>Weldon; Brett A</v>
          </cell>
          <cell r="D1590" t="str">
            <v>1</v>
          </cell>
          <cell r="E1590" t="str">
            <v>IBEWOUT</v>
          </cell>
          <cell r="F1590" t="str">
            <v>125</v>
          </cell>
          <cell r="G1590" t="str">
            <v>8</v>
          </cell>
          <cell r="H1590">
            <v>0</v>
          </cell>
        </row>
        <row r="1591">
          <cell r="B1591">
            <v>10595</v>
          </cell>
          <cell r="C1591" t="str">
            <v>Weideman; Michael R</v>
          </cell>
          <cell r="D1591" t="str">
            <v>1C</v>
          </cell>
          <cell r="E1591" t="str">
            <v>IBEWOUT</v>
          </cell>
          <cell r="F1591" t="str">
            <v>1245</v>
          </cell>
          <cell r="G1591" t="str">
            <v>8</v>
          </cell>
          <cell r="H1591">
            <v>0</v>
          </cell>
        </row>
        <row r="1592">
          <cell r="B1592">
            <v>10597</v>
          </cell>
          <cell r="C1592" t="str">
            <v>West; Rueben James</v>
          </cell>
          <cell r="D1592" t="str">
            <v>1</v>
          </cell>
          <cell r="E1592" t="str">
            <v>IBEWOUT</v>
          </cell>
          <cell r="F1592" t="str">
            <v>70</v>
          </cell>
          <cell r="G1592" t="str">
            <v>7</v>
          </cell>
          <cell r="H1592">
            <v>0</v>
          </cell>
        </row>
        <row r="1593">
          <cell r="B1593">
            <v>10599</v>
          </cell>
          <cell r="C1593" t="str">
            <v>Welcher; Scott A</v>
          </cell>
          <cell r="D1593" t="str">
            <v>1</v>
          </cell>
          <cell r="E1593" t="str">
            <v/>
          </cell>
          <cell r="F1593" t="str">
            <v/>
          </cell>
          <cell r="G1593" t="str">
            <v/>
          </cell>
          <cell r="H1593">
            <v>0</v>
          </cell>
        </row>
        <row r="1594">
          <cell r="B1594">
            <v>10603</v>
          </cell>
          <cell r="C1594" t="str">
            <v>Westmoreland; Blake K</v>
          </cell>
          <cell r="D1594" t="str">
            <v>1</v>
          </cell>
          <cell r="E1594" t="str">
            <v>IBEWOUT</v>
          </cell>
          <cell r="F1594" t="str">
            <v>1245</v>
          </cell>
          <cell r="G1594" t="str">
            <v>8</v>
          </cell>
          <cell r="H1594">
            <v>0</v>
          </cell>
        </row>
        <row r="1595">
          <cell r="B1595">
            <v>10630</v>
          </cell>
          <cell r="C1595" t="str">
            <v>White; Jamail</v>
          </cell>
          <cell r="D1595" t="str">
            <v>1C</v>
          </cell>
          <cell r="E1595" t="str">
            <v>IBEWOUT</v>
          </cell>
          <cell r="F1595" t="str">
            <v>47</v>
          </cell>
          <cell r="G1595" t="str">
            <v>8</v>
          </cell>
          <cell r="H1595">
            <v>0</v>
          </cell>
        </row>
        <row r="1596">
          <cell r="B1596">
            <v>10642</v>
          </cell>
          <cell r="C1596" t="str">
            <v>Wheeler; Shane M</v>
          </cell>
          <cell r="D1596" t="str">
            <v>1C</v>
          </cell>
          <cell r="E1596" t="str">
            <v>IBEWOUT</v>
          </cell>
          <cell r="F1596" t="str">
            <v>77</v>
          </cell>
          <cell r="G1596" t="str">
            <v>16</v>
          </cell>
          <cell r="H1596">
            <v>0</v>
          </cell>
        </row>
        <row r="1597">
          <cell r="B1597">
            <v>10647</v>
          </cell>
          <cell r="C1597" t="str">
            <v>Whitaker; Justin W</v>
          </cell>
          <cell r="D1597" t="str">
            <v>1C</v>
          </cell>
          <cell r="E1597" t="str">
            <v>IBEWOUT</v>
          </cell>
          <cell r="F1597" t="str">
            <v>47</v>
          </cell>
          <cell r="G1597" t="str">
            <v>8</v>
          </cell>
          <cell r="H1597">
            <v>0</v>
          </cell>
        </row>
        <row r="1598">
          <cell r="B1598">
            <v>10648</v>
          </cell>
          <cell r="C1598" t="str">
            <v>Whitcomb; Shawn M</v>
          </cell>
          <cell r="D1598" t="str">
            <v>1C</v>
          </cell>
          <cell r="E1598" t="str">
            <v>IBEWOUT</v>
          </cell>
          <cell r="F1598" t="str">
            <v>396</v>
          </cell>
          <cell r="G1598" t="str">
            <v>8</v>
          </cell>
          <cell r="H1598">
            <v>0</v>
          </cell>
        </row>
        <row r="1599">
          <cell r="B1599">
            <v>10652</v>
          </cell>
          <cell r="C1599" t="str">
            <v>Whitney; Jason K</v>
          </cell>
          <cell r="D1599" t="str">
            <v>1C</v>
          </cell>
          <cell r="E1599" t="str">
            <v>IBEWOUT</v>
          </cell>
          <cell r="F1599" t="str">
            <v>1245</v>
          </cell>
          <cell r="G1599" t="str">
            <v>7</v>
          </cell>
          <cell r="H1599">
            <v>0</v>
          </cell>
        </row>
        <row r="1600">
          <cell r="B1600">
            <v>10653</v>
          </cell>
          <cell r="C1600" t="str">
            <v>White; Anthony S</v>
          </cell>
          <cell r="D1600" t="str">
            <v>1C</v>
          </cell>
          <cell r="E1600" t="str">
            <v>IBEWOUT</v>
          </cell>
          <cell r="F1600" t="str">
            <v>47</v>
          </cell>
          <cell r="G1600" t="str">
            <v>8</v>
          </cell>
          <cell r="H1600">
            <v>0</v>
          </cell>
        </row>
        <row r="1601">
          <cell r="B1601">
            <v>10665</v>
          </cell>
          <cell r="C1601" t="str">
            <v>Whiting; Kenneth E.</v>
          </cell>
          <cell r="D1601" t="str">
            <v>1C</v>
          </cell>
          <cell r="E1601" t="str">
            <v>IBEWOUT</v>
          </cell>
          <cell r="F1601" t="str">
            <v>47</v>
          </cell>
          <cell r="G1601" t="str">
            <v>8</v>
          </cell>
          <cell r="H1601">
            <v>0</v>
          </cell>
        </row>
        <row r="1602">
          <cell r="B1602">
            <v>10672</v>
          </cell>
          <cell r="C1602" t="str">
            <v>Wickman; David S.</v>
          </cell>
          <cell r="D1602" t="str">
            <v>1C</v>
          </cell>
          <cell r="E1602" t="str">
            <v>IBEWOUT</v>
          </cell>
          <cell r="F1602" t="str">
            <v>125</v>
          </cell>
          <cell r="G1602" t="str">
            <v>14</v>
          </cell>
          <cell r="H1602">
            <v>0</v>
          </cell>
        </row>
        <row r="1603">
          <cell r="B1603">
            <v>10679</v>
          </cell>
          <cell r="C1603" t="str">
            <v>Wilburn; Sean D.</v>
          </cell>
          <cell r="D1603" t="str">
            <v>1C</v>
          </cell>
          <cell r="E1603" t="str">
            <v>IBEWOUT</v>
          </cell>
          <cell r="F1603" t="str">
            <v>1245</v>
          </cell>
          <cell r="G1603" t="str">
            <v>8</v>
          </cell>
          <cell r="H1603">
            <v>0</v>
          </cell>
        </row>
        <row r="1604">
          <cell r="B1604">
            <v>10687</v>
          </cell>
          <cell r="C1604" t="str">
            <v>Wilcox; Freddy H.</v>
          </cell>
          <cell r="D1604" t="str">
            <v>1C</v>
          </cell>
          <cell r="E1604" t="str">
            <v>IBEWOUT</v>
          </cell>
          <cell r="F1604" t="str">
            <v>125</v>
          </cell>
          <cell r="G1604" t="str">
            <v>15</v>
          </cell>
          <cell r="H1604">
            <v>0</v>
          </cell>
        </row>
        <row r="1605">
          <cell r="B1605">
            <v>10723</v>
          </cell>
          <cell r="C1605" t="str">
            <v>Wilkinson; Cody M</v>
          </cell>
          <cell r="D1605" t="str">
            <v>1C</v>
          </cell>
          <cell r="E1605" t="str">
            <v>IBEWOUT</v>
          </cell>
          <cell r="F1605" t="str">
            <v>1245</v>
          </cell>
          <cell r="G1605" t="str">
            <v>8</v>
          </cell>
          <cell r="H1605">
            <v>0</v>
          </cell>
        </row>
        <row r="1606">
          <cell r="B1606">
            <v>10730</v>
          </cell>
          <cell r="C1606" t="str">
            <v>Worlinsky; Benjamin C.</v>
          </cell>
          <cell r="D1606" t="str">
            <v>1C</v>
          </cell>
          <cell r="E1606" t="str">
            <v>IBEWOUT</v>
          </cell>
          <cell r="F1606" t="str">
            <v>1319</v>
          </cell>
          <cell r="G1606" t="str">
            <v>13</v>
          </cell>
          <cell r="H1606">
            <v>0</v>
          </cell>
        </row>
        <row r="1607">
          <cell r="B1607">
            <v>10747</v>
          </cell>
          <cell r="C1607" t="str">
            <v>Williams; Anthony J</v>
          </cell>
          <cell r="D1607" t="str">
            <v>1C</v>
          </cell>
          <cell r="E1607" t="str">
            <v>IBEWOUT</v>
          </cell>
          <cell r="F1607" t="str">
            <v>1245</v>
          </cell>
          <cell r="G1607" t="str">
            <v>8</v>
          </cell>
          <cell r="H1607">
            <v>0</v>
          </cell>
        </row>
        <row r="1608">
          <cell r="B1608">
            <v>10749</v>
          </cell>
          <cell r="C1608" t="str">
            <v>Williams II; Orville C.</v>
          </cell>
          <cell r="D1608" t="str">
            <v>1C</v>
          </cell>
          <cell r="E1608" t="str">
            <v>IBEWOUT</v>
          </cell>
          <cell r="F1608" t="str">
            <v>769</v>
          </cell>
          <cell r="G1608" t="str">
            <v>20</v>
          </cell>
          <cell r="H1608">
            <v>0</v>
          </cell>
        </row>
        <row r="1609">
          <cell r="B1609">
            <v>10750</v>
          </cell>
          <cell r="C1609" t="str">
            <v>Williams; Harley L.</v>
          </cell>
          <cell r="D1609" t="str">
            <v>1C</v>
          </cell>
          <cell r="E1609" t="str">
            <v>IBEWOUT</v>
          </cell>
          <cell r="F1609" t="str">
            <v>769</v>
          </cell>
          <cell r="G1609" t="str">
            <v>33</v>
          </cell>
          <cell r="H1609">
            <v>1</v>
          </cell>
        </row>
        <row r="1610">
          <cell r="B1610">
            <v>10754</v>
          </cell>
          <cell r="C1610" t="str">
            <v>Williams; Benjamin J</v>
          </cell>
          <cell r="D1610" t="str">
            <v>1C</v>
          </cell>
          <cell r="E1610" t="str">
            <v>IBEWOUT</v>
          </cell>
          <cell r="F1610" t="str">
            <v>47</v>
          </cell>
          <cell r="G1610" t="str">
            <v>8</v>
          </cell>
          <cell r="H1610">
            <v>0</v>
          </cell>
        </row>
        <row r="1611">
          <cell r="B1611">
            <v>10756</v>
          </cell>
          <cell r="C1611" t="str">
            <v>Williams; Michael Lavell</v>
          </cell>
          <cell r="D1611" t="str">
            <v>1C</v>
          </cell>
          <cell r="E1611" t="str">
            <v>IBEWOUT</v>
          </cell>
          <cell r="F1611" t="str">
            <v>396</v>
          </cell>
          <cell r="G1611" t="str">
            <v>18</v>
          </cell>
          <cell r="H1611">
            <v>0</v>
          </cell>
        </row>
        <row r="1612">
          <cell r="B1612">
            <v>10763</v>
          </cell>
          <cell r="C1612" t="str">
            <v>Williams; Rodney L.</v>
          </cell>
          <cell r="D1612" t="str">
            <v>1</v>
          </cell>
          <cell r="E1612" t="str">
            <v>IBEWOUT</v>
          </cell>
          <cell r="F1612" t="str">
            <v>125</v>
          </cell>
          <cell r="G1612" t="str">
            <v>7</v>
          </cell>
          <cell r="H1612">
            <v>0</v>
          </cell>
        </row>
        <row r="1613">
          <cell r="B1613">
            <v>10766</v>
          </cell>
          <cell r="C1613" t="str">
            <v>Williams; Robbie A</v>
          </cell>
          <cell r="D1613" t="str">
            <v>1C</v>
          </cell>
          <cell r="E1613" t="str">
            <v>IBEWOUT</v>
          </cell>
          <cell r="F1613" t="str">
            <v>1245</v>
          </cell>
          <cell r="G1613" t="str">
            <v>8</v>
          </cell>
          <cell r="H1613">
            <v>0</v>
          </cell>
        </row>
        <row r="1614">
          <cell r="B1614">
            <v>10767</v>
          </cell>
          <cell r="C1614" t="str">
            <v>Williams; Andy Ryan</v>
          </cell>
          <cell r="D1614" t="str">
            <v>1</v>
          </cell>
          <cell r="E1614" t="str">
            <v>IBEWOUT</v>
          </cell>
          <cell r="F1614" t="str">
            <v>769</v>
          </cell>
          <cell r="G1614" t="str">
            <v>7</v>
          </cell>
          <cell r="H1614">
            <v>0</v>
          </cell>
        </row>
        <row r="1615">
          <cell r="B1615">
            <v>10780</v>
          </cell>
          <cell r="C1615" t="str">
            <v>Williams Jr.; Rich W.</v>
          </cell>
          <cell r="D1615" t="str">
            <v>1C</v>
          </cell>
          <cell r="E1615" t="str">
            <v>IBEWOUT</v>
          </cell>
          <cell r="F1615" t="str">
            <v>125</v>
          </cell>
          <cell r="G1615" t="str">
            <v>1</v>
          </cell>
          <cell r="H1615">
            <v>1</v>
          </cell>
        </row>
        <row r="1616">
          <cell r="B1616">
            <v>10784</v>
          </cell>
          <cell r="C1616" t="str">
            <v>Wimberly; Bryan E</v>
          </cell>
          <cell r="D1616" t="str">
            <v>1C</v>
          </cell>
          <cell r="E1616" t="str">
            <v>IBEWOUT</v>
          </cell>
          <cell r="F1616" t="str">
            <v>47</v>
          </cell>
          <cell r="G1616" t="str">
            <v>17</v>
          </cell>
          <cell r="H1616">
            <v>0</v>
          </cell>
        </row>
        <row r="1617">
          <cell r="B1617">
            <v>10787</v>
          </cell>
          <cell r="C1617" t="str">
            <v>Winkler; Jessie E.</v>
          </cell>
          <cell r="D1617" t="str">
            <v>1C</v>
          </cell>
          <cell r="E1617" t="str">
            <v>IBEWOUT</v>
          </cell>
          <cell r="F1617" t="str">
            <v>1319</v>
          </cell>
          <cell r="G1617" t="str">
            <v>8</v>
          </cell>
          <cell r="H1617">
            <v>0</v>
          </cell>
        </row>
        <row r="1618">
          <cell r="B1618">
            <v>10789</v>
          </cell>
          <cell r="C1618" t="str">
            <v>Woods; Kyle E.</v>
          </cell>
          <cell r="D1618" t="str">
            <v>1C</v>
          </cell>
          <cell r="E1618" t="str">
            <v>IBEWOUT</v>
          </cell>
          <cell r="F1618" t="str">
            <v>1245</v>
          </cell>
          <cell r="G1618" t="str">
            <v>8</v>
          </cell>
          <cell r="H1618">
            <v>0</v>
          </cell>
        </row>
        <row r="1619">
          <cell r="B1619">
            <v>10792</v>
          </cell>
          <cell r="C1619" t="str">
            <v>Wilson; Hayward L</v>
          </cell>
          <cell r="D1619" t="str">
            <v>1</v>
          </cell>
          <cell r="E1619" t="str">
            <v/>
          </cell>
          <cell r="F1619" t="str">
            <v/>
          </cell>
          <cell r="G1619" t="str">
            <v/>
          </cell>
          <cell r="H1619">
            <v>0</v>
          </cell>
        </row>
        <row r="1620">
          <cell r="B1620">
            <v>10795</v>
          </cell>
          <cell r="C1620" t="str">
            <v>Wilmarth; Lewis Day</v>
          </cell>
          <cell r="D1620" t="str">
            <v>1C</v>
          </cell>
          <cell r="E1620" t="str">
            <v>IBEWOUT</v>
          </cell>
          <cell r="F1620" t="str">
            <v>47</v>
          </cell>
          <cell r="G1620" t="str">
            <v>16</v>
          </cell>
          <cell r="H1620">
            <v>0</v>
          </cell>
        </row>
        <row r="1621">
          <cell r="B1621">
            <v>10797</v>
          </cell>
          <cell r="C1621" t="str">
            <v>Wilson; Glenn M</v>
          </cell>
          <cell r="D1621" t="str">
            <v>1</v>
          </cell>
          <cell r="E1621" t="str">
            <v>IBEWOUT</v>
          </cell>
          <cell r="F1621" t="str">
            <v>47</v>
          </cell>
          <cell r="G1621" t="str">
            <v>16</v>
          </cell>
          <cell r="H1621">
            <v>0</v>
          </cell>
        </row>
        <row r="1622">
          <cell r="B1622">
            <v>10798</v>
          </cell>
          <cell r="C1622" t="str">
            <v>Winslow; Andy J</v>
          </cell>
          <cell r="D1622" t="str">
            <v>1C</v>
          </cell>
          <cell r="E1622" t="str">
            <v/>
          </cell>
          <cell r="F1622" t="str">
            <v/>
          </cell>
          <cell r="G1622" t="str">
            <v/>
          </cell>
          <cell r="H1622">
            <v>1</v>
          </cell>
        </row>
        <row r="1623">
          <cell r="B1623">
            <v>10799</v>
          </cell>
          <cell r="C1623" t="str">
            <v>Wilson; John D.</v>
          </cell>
          <cell r="D1623" t="str">
            <v>1C</v>
          </cell>
          <cell r="E1623" t="str">
            <v>IBEWOUT</v>
          </cell>
          <cell r="F1623" t="str">
            <v>47</v>
          </cell>
          <cell r="G1623" t="str">
            <v>7</v>
          </cell>
          <cell r="H1623">
            <v>0</v>
          </cell>
        </row>
        <row r="1624">
          <cell r="B1624">
            <v>10800</v>
          </cell>
          <cell r="C1624" t="str">
            <v>Wiseley II; Carl W.</v>
          </cell>
          <cell r="D1624" t="str">
            <v>1C</v>
          </cell>
          <cell r="E1624" t="str">
            <v>IBEWOUT</v>
          </cell>
          <cell r="F1624" t="str">
            <v>1245</v>
          </cell>
          <cell r="G1624" t="str">
            <v>8</v>
          </cell>
          <cell r="H1624">
            <v>0</v>
          </cell>
        </row>
        <row r="1625">
          <cell r="B1625">
            <v>10803</v>
          </cell>
          <cell r="C1625" t="str">
            <v>Wimer; Christopher R</v>
          </cell>
          <cell r="D1625" t="str">
            <v>1C</v>
          </cell>
          <cell r="E1625" t="str">
            <v>IBEWOUT</v>
          </cell>
          <cell r="F1625" t="str">
            <v>1245</v>
          </cell>
          <cell r="G1625" t="str">
            <v>11</v>
          </cell>
          <cell r="H1625">
            <v>0</v>
          </cell>
        </row>
        <row r="1626">
          <cell r="B1626">
            <v>10806</v>
          </cell>
          <cell r="C1626" t="str">
            <v>Wing; Chad E</v>
          </cell>
          <cell r="D1626" t="str">
            <v>1C</v>
          </cell>
          <cell r="E1626" t="str">
            <v>IBEWOUT</v>
          </cell>
          <cell r="F1626" t="str">
            <v>1245</v>
          </cell>
          <cell r="G1626" t="str">
            <v>12</v>
          </cell>
          <cell r="H1626">
            <v>0</v>
          </cell>
        </row>
        <row r="1627">
          <cell r="B1627">
            <v>10808</v>
          </cell>
          <cell r="C1627" t="str">
            <v>Wobbema; Austin R</v>
          </cell>
          <cell r="D1627" t="str">
            <v>1</v>
          </cell>
          <cell r="E1627" t="str">
            <v>IBEWOUT</v>
          </cell>
          <cell r="F1627" t="str">
            <v>70</v>
          </cell>
          <cell r="G1627" t="str">
            <v>7</v>
          </cell>
          <cell r="H1627">
            <v>0</v>
          </cell>
        </row>
        <row r="1628">
          <cell r="B1628">
            <v>10811</v>
          </cell>
          <cell r="C1628" t="str">
            <v>Wolford; Cabot L.</v>
          </cell>
          <cell r="D1628" t="str">
            <v>1</v>
          </cell>
          <cell r="E1628" t="str">
            <v/>
          </cell>
          <cell r="F1628" t="str">
            <v/>
          </cell>
          <cell r="G1628" t="str">
            <v/>
          </cell>
          <cell r="H1628">
            <v>1</v>
          </cell>
        </row>
        <row r="1629">
          <cell r="B1629">
            <v>10821</v>
          </cell>
          <cell r="C1629" t="str">
            <v>Wilson; Robby A</v>
          </cell>
          <cell r="D1629" t="str">
            <v>1</v>
          </cell>
          <cell r="E1629" t="str">
            <v>IBEWOUT</v>
          </cell>
          <cell r="F1629" t="str">
            <v>1245</v>
          </cell>
          <cell r="G1629" t="str">
            <v>7</v>
          </cell>
          <cell r="H1629">
            <v>0</v>
          </cell>
        </row>
        <row r="1630">
          <cell r="B1630">
            <v>10823</v>
          </cell>
          <cell r="C1630" t="str">
            <v>Wylie; Jared D</v>
          </cell>
          <cell r="D1630" t="str">
            <v>1C</v>
          </cell>
          <cell r="E1630" t="str">
            <v>IBEWOUT</v>
          </cell>
          <cell r="F1630" t="str">
            <v>1245</v>
          </cell>
          <cell r="G1630" t="str">
            <v>13</v>
          </cell>
          <cell r="H1630">
            <v>0</v>
          </cell>
        </row>
        <row r="1631">
          <cell r="B1631">
            <v>10826</v>
          </cell>
          <cell r="C1631" t="str">
            <v>Wirth; Steve B</v>
          </cell>
          <cell r="D1631" t="str">
            <v>1</v>
          </cell>
          <cell r="E1631" t="str">
            <v>IBEWOUT</v>
          </cell>
          <cell r="F1631" t="str">
            <v>1245</v>
          </cell>
          <cell r="G1631" t="str">
            <v>1</v>
          </cell>
          <cell r="H1631">
            <v>0</v>
          </cell>
        </row>
        <row r="1632">
          <cell r="B1632">
            <v>10831</v>
          </cell>
          <cell r="C1632" t="str">
            <v>Wofford; Joseph W</v>
          </cell>
          <cell r="D1632" t="str">
            <v>1C</v>
          </cell>
          <cell r="E1632" t="str">
            <v>IBEWOUT</v>
          </cell>
          <cell r="F1632" t="str">
            <v>47</v>
          </cell>
          <cell r="G1632" t="str">
            <v>16</v>
          </cell>
          <cell r="H1632">
            <v>0</v>
          </cell>
        </row>
        <row r="1633">
          <cell r="B1633">
            <v>10832</v>
          </cell>
          <cell r="C1633" t="str">
            <v>Wolski; Andrew J</v>
          </cell>
          <cell r="D1633" t="str">
            <v>1</v>
          </cell>
          <cell r="E1633" t="str">
            <v/>
          </cell>
          <cell r="F1633" t="str">
            <v/>
          </cell>
          <cell r="G1633" t="str">
            <v/>
          </cell>
          <cell r="H1633">
            <v>1</v>
          </cell>
        </row>
        <row r="1634">
          <cell r="B1634">
            <v>10836</v>
          </cell>
          <cell r="C1634" t="str">
            <v>Woitt; Tom D.</v>
          </cell>
          <cell r="D1634" t="str">
            <v>1C</v>
          </cell>
          <cell r="E1634" t="str">
            <v/>
          </cell>
          <cell r="F1634" t="str">
            <v/>
          </cell>
          <cell r="G1634" t="str">
            <v/>
          </cell>
          <cell r="H1634">
            <v>1</v>
          </cell>
        </row>
        <row r="1635">
          <cell r="B1635">
            <v>10837</v>
          </cell>
          <cell r="C1635" t="str">
            <v>Wolsten; Todd M.</v>
          </cell>
          <cell r="D1635" t="str">
            <v>1C</v>
          </cell>
          <cell r="E1635" t="str">
            <v>IBEWOUT</v>
          </cell>
          <cell r="F1635" t="str">
            <v>1245</v>
          </cell>
          <cell r="G1635" t="str">
            <v>17</v>
          </cell>
          <cell r="H1635">
            <v>0</v>
          </cell>
        </row>
        <row r="1636">
          <cell r="B1636">
            <v>10839</v>
          </cell>
          <cell r="C1636" t="str">
            <v>Woodard; Christopher K</v>
          </cell>
          <cell r="D1636" t="str">
            <v>1C</v>
          </cell>
          <cell r="E1636" t="str">
            <v>IBEWOUT</v>
          </cell>
          <cell r="F1636" t="str">
            <v>47</v>
          </cell>
          <cell r="G1636" t="str">
            <v>8</v>
          </cell>
          <cell r="H1636">
            <v>0</v>
          </cell>
        </row>
        <row r="1637">
          <cell r="B1637">
            <v>10841</v>
          </cell>
          <cell r="C1637" t="str">
            <v>Wittner; Adam K</v>
          </cell>
          <cell r="D1637" t="str">
            <v>1C</v>
          </cell>
          <cell r="E1637" t="str">
            <v>IBEWOUT</v>
          </cell>
          <cell r="F1637" t="str">
            <v>77</v>
          </cell>
          <cell r="G1637" t="str">
            <v>8</v>
          </cell>
          <cell r="H1637">
            <v>0</v>
          </cell>
        </row>
        <row r="1638">
          <cell r="B1638">
            <v>10843</v>
          </cell>
          <cell r="C1638" t="str">
            <v>Wurzer; Mark J</v>
          </cell>
          <cell r="D1638" t="str">
            <v>1</v>
          </cell>
          <cell r="E1638" t="str">
            <v>IBEWOUT</v>
          </cell>
          <cell r="F1638" t="str">
            <v>77</v>
          </cell>
          <cell r="G1638" t="str">
            <v>33</v>
          </cell>
          <cell r="H1638">
            <v>0</v>
          </cell>
        </row>
        <row r="1639">
          <cell r="B1639">
            <v>10849</v>
          </cell>
          <cell r="C1639" t="str">
            <v>Wilson; Stephanie L</v>
          </cell>
          <cell r="D1639" t="str">
            <v>1</v>
          </cell>
          <cell r="E1639" t="str">
            <v/>
          </cell>
          <cell r="F1639" t="str">
            <v/>
          </cell>
          <cell r="G1639" t="str">
            <v/>
          </cell>
          <cell r="H1639">
            <v>0</v>
          </cell>
        </row>
        <row r="1640">
          <cell r="B1640">
            <v>10853</v>
          </cell>
          <cell r="C1640" t="str">
            <v>Wyatt; Layton D</v>
          </cell>
          <cell r="D1640" t="str">
            <v>1</v>
          </cell>
          <cell r="E1640" t="str">
            <v>IBEWOUT</v>
          </cell>
          <cell r="F1640" t="str">
            <v>47</v>
          </cell>
          <cell r="G1640" t="str">
            <v>8</v>
          </cell>
          <cell r="H1640">
            <v>0</v>
          </cell>
        </row>
        <row r="1641">
          <cell r="B1641">
            <v>10854</v>
          </cell>
          <cell r="C1641" t="str">
            <v>Wolfe; Chad A</v>
          </cell>
          <cell r="D1641" t="str">
            <v>1</v>
          </cell>
          <cell r="E1641" t="str">
            <v>IBEWOUT</v>
          </cell>
          <cell r="F1641" t="str">
            <v>1245</v>
          </cell>
          <cell r="G1641" t="str">
            <v>10</v>
          </cell>
          <cell r="H1641">
            <v>0</v>
          </cell>
        </row>
        <row r="1642">
          <cell r="B1642">
            <v>10869</v>
          </cell>
          <cell r="C1642" t="str">
            <v>Wilson; Jeffrey M.</v>
          </cell>
          <cell r="D1642" t="str">
            <v>1C</v>
          </cell>
          <cell r="E1642" t="str">
            <v>IBEWOUT</v>
          </cell>
          <cell r="F1642" t="str">
            <v>1245</v>
          </cell>
          <cell r="G1642" t="str">
            <v>8</v>
          </cell>
          <cell r="H1642">
            <v>0</v>
          </cell>
        </row>
        <row r="1643">
          <cell r="B1643">
            <v>10879</v>
          </cell>
          <cell r="C1643" t="str">
            <v>Wilson; Brenton J</v>
          </cell>
          <cell r="D1643" t="str">
            <v>1C</v>
          </cell>
          <cell r="E1643" t="str">
            <v>IBEWOUT</v>
          </cell>
          <cell r="F1643" t="str">
            <v>47</v>
          </cell>
          <cell r="G1643" t="str">
            <v>9</v>
          </cell>
          <cell r="H1643">
            <v>0</v>
          </cell>
        </row>
        <row r="1644">
          <cell r="B1644">
            <v>10884</v>
          </cell>
          <cell r="C1644" t="str">
            <v>Woll; Mark Anthone</v>
          </cell>
          <cell r="D1644" t="str">
            <v>1</v>
          </cell>
          <cell r="E1644" t="str">
            <v>IBEWOUT</v>
          </cell>
          <cell r="F1644" t="str">
            <v>125</v>
          </cell>
          <cell r="G1644" t="str">
            <v>16</v>
          </cell>
          <cell r="H1644">
            <v>0</v>
          </cell>
        </row>
        <row r="1645">
          <cell r="B1645">
            <v>10886</v>
          </cell>
          <cell r="C1645" t="str">
            <v>Vinyard; Max D</v>
          </cell>
          <cell r="D1645" t="str">
            <v>1</v>
          </cell>
          <cell r="E1645" t="str">
            <v>IBEWOUT</v>
          </cell>
          <cell r="F1645" t="str">
            <v>1245</v>
          </cell>
          <cell r="G1645" t="str">
            <v>7</v>
          </cell>
          <cell r="H1645">
            <v>0</v>
          </cell>
        </row>
        <row r="1646">
          <cell r="B1646">
            <v>10889</v>
          </cell>
          <cell r="C1646" t="str">
            <v>Yetka; Brian V.</v>
          </cell>
          <cell r="D1646" t="str">
            <v>1C</v>
          </cell>
          <cell r="E1646" t="str">
            <v>IBEWOUT</v>
          </cell>
          <cell r="F1646" t="str">
            <v>47</v>
          </cell>
          <cell r="G1646" t="str">
            <v>8</v>
          </cell>
          <cell r="H1646">
            <v>0</v>
          </cell>
        </row>
        <row r="1647">
          <cell r="B1647">
            <v>10891</v>
          </cell>
          <cell r="C1647" t="str">
            <v>Yadon; Nicholas J.</v>
          </cell>
          <cell r="D1647" t="str">
            <v>1C</v>
          </cell>
          <cell r="E1647" t="str">
            <v>IBEWOUT</v>
          </cell>
          <cell r="F1647" t="str">
            <v>769</v>
          </cell>
          <cell r="G1647" t="str">
            <v>8</v>
          </cell>
          <cell r="H1647">
            <v>0</v>
          </cell>
        </row>
        <row r="1648">
          <cell r="B1648">
            <v>10893</v>
          </cell>
          <cell r="C1648" t="str">
            <v>Yazzie; Dehn D</v>
          </cell>
          <cell r="D1648" t="str">
            <v>1C</v>
          </cell>
          <cell r="E1648" t="str">
            <v>IBEWOUT</v>
          </cell>
          <cell r="F1648" t="str">
            <v>769</v>
          </cell>
          <cell r="G1648" t="str">
            <v>8</v>
          </cell>
          <cell r="H1648">
            <v>0</v>
          </cell>
        </row>
        <row r="1649">
          <cell r="B1649">
            <v>10894</v>
          </cell>
          <cell r="C1649" t="str">
            <v>Yazzie; Merlon K.</v>
          </cell>
          <cell r="D1649" t="str">
            <v>1C</v>
          </cell>
          <cell r="E1649" t="str">
            <v>IBEWOUT</v>
          </cell>
          <cell r="F1649" t="str">
            <v>769</v>
          </cell>
          <cell r="G1649" t="str">
            <v>8</v>
          </cell>
          <cell r="H1649">
            <v>0</v>
          </cell>
        </row>
        <row r="1650">
          <cell r="B1650">
            <v>10899</v>
          </cell>
          <cell r="C1650" t="str">
            <v>Yochum; Kevin R</v>
          </cell>
          <cell r="D1650" t="str">
            <v>1C</v>
          </cell>
          <cell r="E1650" t="str">
            <v>IBEWOUT</v>
          </cell>
          <cell r="F1650" t="str">
            <v>602R</v>
          </cell>
          <cell r="G1650" t="str">
            <v>8</v>
          </cell>
          <cell r="H1650">
            <v>0</v>
          </cell>
        </row>
        <row r="1651">
          <cell r="B1651">
            <v>10902</v>
          </cell>
          <cell r="C1651" t="str">
            <v>Young; Greg N</v>
          </cell>
          <cell r="D1651" t="str">
            <v>1C</v>
          </cell>
          <cell r="E1651" t="str">
            <v>IBEWOUT</v>
          </cell>
          <cell r="F1651" t="str">
            <v>1245</v>
          </cell>
          <cell r="G1651" t="str">
            <v>8</v>
          </cell>
          <cell r="H1651">
            <v>0</v>
          </cell>
        </row>
        <row r="1652">
          <cell r="B1652">
            <v>10905</v>
          </cell>
          <cell r="C1652" t="str">
            <v>Zamora; Rod R.</v>
          </cell>
          <cell r="D1652" t="str">
            <v>1C</v>
          </cell>
          <cell r="E1652" t="str">
            <v>IBEWOUT</v>
          </cell>
          <cell r="F1652" t="str">
            <v>47</v>
          </cell>
          <cell r="G1652" t="str">
            <v>17</v>
          </cell>
          <cell r="H1652">
            <v>0</v>
          </cell>
        </row>
        <row r="1653">
          <cell r="B1653">
            <v>10907</v>
          </cell>
          <cell r="C1653" t="str">
            <v>Zamora; Catarino R</v>
          </cell>
          <cell r="D1653" t="str">
            <v>1C</v>
          </cell>
          <cell r="E1653" t="str">
            <v>IBEWOUT</v>
          </cell>
          <cell r="F1653" t="str">
            <v>47</v>
          </cell>
          <cell r="G1653" t="str">
            <v>16</v>
          </cell>
          <cell r="H1653">
            <v>0</v>
          </cell>
        </row>
        <row r="1654">
          <cell r="B1654">
            <v>10909</v>
          </cell>
          <cell r="C1654" t="str">
            <v>Zamudio U; Raymundo</v>
          </cell>
          <cell r="D1654" t="str">
            <v>1C</v>
          </cell>
          <cell r="E1654" t="str">
            <v>IBEWOUT</v>
          </cell>
          <cell r="F1654" t="str">
            <v>1245</v>
          </cell>
          <cell r="G1654" t="str">
            <v>70T</v>
          </cell>
          <cell r="H1654">
            <v>0</v>
          </cell>
        </row>
        <row r="1655">
          <cell r="B1655">
            <v>10910</v>
          </cell>
          <cell r="C1655" t="str">
            <v>Zinkl; Matthew H</v>
          </cell>
          <cell r="D1655" t="str">
            <v>1C</v>
          </cell>
          <cell r="E1655" t="str">
            <v>IBEWOUT</v>
          </cell>
          <cell r="F1655" t="str">
            <v>47</v>
          </cell>
          <cell r="G1655" t="str">
            <v>13</v>
          </cell>
          <cell r="H1655">
            <v>0</v>
          </cell>
        </row>
        <row r="1656">
          <cell r="B1656">
            <v>10912</v>
          </cell>
          <cell r="C1656" t="str">
            <v>Yanez; Fernando V</v>
          </cell>
          <cell r="D1656" t="str">
            <v>1C</v>
          </cell>
          <cell r="E1656" t="str">
            <v>IBEWOUT</v>
          </cell>
          <cell r="F1656" t="str">
            <v>47</v>
          </cell>
          <cell r="G1656" t="str">
            <v>16</v>
          </cell>
          <cell r="H1656">
            <v>0</v>
          </cell>
        </row>
        <row r="1657">
          <cell r="B1657">
            <v>10923</v>
          </cell>
          <cell r="C1657" t="str">
            <v>Zeulner; Zachariah Robert</v>
          </cell>
          <cell r="D1657" t="str">
            <v>1</v>
          </cell>
          <cell r="E1657" t="str">
            <v>IBEWOUT</v>
          </cell>
          <cell r="F1657" t="str">
            <v>1245</v>
          </cell>
          <cell r="G1657" t="str">
            <v>1</v>
          </cell>
          <cell r="H1657">
            <v>1</v>
          </cell>
        </row>
        <row r="1658">
          <cell r="B1658">
            <v>10924</v>
          </cell>
          <cell r="C1658" t="str">
            <v>Zeveney; Patrick J</v>
          </cell>
          <cell r="D1658" t="str">
            <v>1C</v>
          </cell>
          <cell r="E1658" t="str">
            <v>IBEWOUT</v>
          </cell>
          <cell r="F1658" t="str">
            <v>1319</v>
          </cell>
          <cell r="G1658" t="str">
            <v>8</v>
          </cell>
          <cell r="H1658">
            <v>0</v>
          </cell>
        </row>
        <row r="1659">
          <cell r="B1659">
            <v>10926</v>
          </cell>
          <cell r="C1659" t="str">
            <v>Zacher; Theodore R.</v>
          </cell>
          <cell r="D1659" t="str">
            <v>1C</v>
          </cell>
          <cell r="E1659" t="str">
            <v/>
          </cell>
          <cell r="F1659" t="str">
            <v/>
          </cell>
          <cell r="G1659" t="str">
            <v/>
          </cell>
          <cell r="H1659">
            <v>1</v>
          </cell>
        </row>
        <row r="1660">
          <cell r="B1660">
            <v>10929</v>
          </cell>
          <cell r="C1660" t="str">
            <v>Nieves Zarate; Jose</v>
          </cell>
          <cell r="D1660" t="str">
            <v>1C</v>
          </cell>
          <cell r="E1660" t="str">
            <v>IBEWOUT</v>
          </cell>
          <cell r="F1660" t="str">
            <v>47</v>
          </cell>
          <cell r="G1660" t="str">
            <v>8</v>
          </cell>
          <cell r="H1660">
            <v>0</v>
          </cell>
        </row>
        <row r="1661">
          <cell r="B1661">
            <v>10930</v>
          </cell>
          <cell r="C1661" t="str">
            <v>Young; Micah J.</v>
          </cell>
          <cell r="D1661" t="str">
            <v>1C</v>
          </cell>
          <cell r="E1661" t="str">
            <v>IBEWOUT</v>
          </cell>
          <cell r="F1661" t="str">
            <v>1245</v>
          </cell>
          <cell r="G1661" t="str">
            <v>8</v>
          </cell>
          <cell r="H1661">
            <v>0</v>
          </cell>
        </row>
        <row r="1662">
          <cell r="B1662">
            <v>10931</v>
          </cell>
          <cell r="C1662" t="str">
            <v>Zul; Daniel</v>
          </cell>
          <cell r="D1662" t="str">
            <v>1C</v>
          </cell>
          <cell r="E1662" t="str">
            <v>IBEWOUT</v>
          </cell>
          <cell r="F1662" t="str">
            <v>1245</v>
          </cell>
          <cell r="G1662" t="str">
            <v>17</v>
          </cell>
          <cell r="H1662">
            <v>0</v>
          </cell>
        </row>
        <row r="1663">
          <cell r="B1663">
            <v>10932</v>
          </cell>
          <cell r="C1663" t="str">
            <v>Youngblood; Mark O</v>
          </cell>
          <cell r="D1663" t="str">
            <v>1C</v>
          </cell>
          <cell r="E1663" t="str">
            <v>IBEWOUT</v>
          </cell>
          <cell r="F1663" t="str">
            <v>602R</v>
          </cell>
          <cell r="G1663" t="str">
            <v>8</v>
          </cell>
          <cell r="H1663">
            <v>0</v>
          </cell>
        </row>
        <row r="1664">
          <cell r="B1664">
            <v>10933</v>
          </cell>
          <cell r="C1664" t="str">
            <v>Yunkin; Russell</v>
          </cell>
          <cell r="D1664" t="str">
            <v>1C</v>
          </cell>
          <cell r="E1664" t="str">
            <v>IBEWOUT</v>
          </cell>
          <cell r="F1664" t="str">
            <v>126</v>
          </cell>
          <cell r="G1664" t="str">
            <v>8</v>
          </cell>
          <cell r="H1664">
            <v>0</v>
          </cell>
        </row>
        <row r="1665">
          <cell r="B1665">
            <v>10934</v>
          </cell>
          <cell r="C1665" t="str">
            <v>Zeigler; Logan R</v>
          </cell>
          <cell r="D1665" t="str">
            <v>1C</v>
          </cell>
          <cell r="E1665" t="str">
            <v>IBEWOUT</v>
          </cell>
          <cell r="F1665" t="str">
            <v>611</v>
          </cell>
          <cell r="G1665" t="str">
            <v>12</v>
          </cell>
          <cell r="H1665">
            <v>0</v>
          </cell>
        </row>
        <row r="1666">
          <cell r="B1666">
            <v>10938</v>
          </cell>
          <cell r="C1666" t="str">
            <v>Zeno Jr.; Edward</v>
          </cell>
          <cell r="D1666" t="str">
            <v>1</v>
          </cell>
          <cell r="E1666" t="str">
            <v/>
          </cell>
          <cell r="F1666" t="str">
            <v/>
          </cell>
          <cell r="G1666" t="str">
            <v/>
          </cell>
          <cell r="H1666">
            <v>0</v>
          </cell>
        </row>
        <row r="1667">
          <cell r="B1667">
            <v>10939</v>
          </cell>
          <cell r="C1667" t="str">
            <v>Zwan; Andrew F</v>
          </cell>
          <cell r="D1667" t="str">
            <v>1C</v>
          </cell>
          <cell r="E1667" t="str">
            <v>IBEWOUT</v>
          </cell>
          <cell r="F1667" t="str">
            <v>1245</v>
          </cell>
          <cell r="G1667" t="str">
            <v>16</v>
          </cell>
          <cell r="H166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ed Codes"/>
      <sheetName val="Job Details"/>
      <sheetName val="Employees"/>
      <sheetName val="Job List"/>
      <sheetName val="Master Tab "/>
      <sheetName val="Master Training"/>
      <sheetName val="Peake "/>
      <sheetName val="Franks"/>
      <sheetName val="Smith, B "/>
      <sheetName val="Flores"/>
      <sheetName val="ColumnLists"/>
      <sheetName val="C Johnson"/>
    </sheetNames>
    <sheetDataSet>
      <sheetData sheetId="0"/>
      <sheetData sheetId="1">
        <row r="5">
          <cell r="A5" t="str">
            <v>5/8's Crew</v>
          </cell>
          <cell r="B5"/>
          <cell r="C5" t="str">
            <v>4/10's Crew</v>
          </cell>
          <cell r="D5"/>
          <cell r="E5" t="str">
            <v>Distribution Crews</v>
          </cell>
        </row>
        <row r="6">
          <cell r="A6" t="str">
            <v>8 ST</v>
          </cell>
          <cell r="B6" t="str">
            <v>10 ST</v>
          </cell>
          <cell r="C6" t="str">
            <v>5/8's Crew</v>
          </cell>
          <cell r="D6"/>
          <cell r="E6" t="str">
            <v>4/10's Crew</v>
          </cell>
        </row>
        <row r="7">
          <cell r="A7" t="str">
            <v>2 OT</v>
          </cell>
          <cell r="B7" t="str">
            <v>10+ DT</v>
          </cell>
          <cell r="C7" t="str">
            <v>8 ST</v>
          </cell>
          <cell r="D7" t="str">
            <v>10 ST</v>
          </cell>
          <cell r="E7" t="str">
            <v>Saturday</v>
          </cell>
        </row>
        <row r="8">
          <cell r="A8" t="str">
            <v>10+ DT</v>
          </cell>
          <cell r="B8"/>
          <cell r="C8" t="str">
            <v>8+ DT</v>
          </cell>
          <cell r="D8" t="str">
            <v>10+ DT</v>
          </cell>
          <cell r="E8" t="str">
            <v>All DT</v>
          </cell>
        </row>
        <row r="9">
          <cell r="A9" t="str">
            <v>Saturday</v>
          </cell>
          <cell r="B9"/>
          <cell r="C9" t="str">
            <v>Sunday</v>
          </cell>
          <cell r="D9"/>
          <cell r="E9" t="str">
            <v>Sunday</v>
          </cell>
        </row>
        <row r="10">
          <cell r="A10" t="str">
            <v>8 OT</v>
          </cell>
          <cell r="B10"/>
          <cell r="C10" t="str">
            <v>All DT</v>
          </cell>
          <cell r="D10"/>
          <cell r="E10" t="str">
            <v>All DT</v>
          </cell>
        </row>
        <row r="11">
          <cell r="A11" t="str">
            <v>8+DT</v>
          </cell>
          <cell r="B11"/>
          <cell r="C11"/>
          <cell r="D11"/>
          <cell r="E11"/>
        </row>
      </sheetData>
      <sheetData sheetId="2">
        <row r="1">
          <cell r="B1" t="str">
            <v>Employees</v>
          </cell>
          <cell r="C1"/>
          <cell r="D1"/>
          <cell r="E1"/>
          <cell r="F1"/>
          <cell r="G1"/>
          <cell r="H1"/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1038</v>
          </cell>
          <cell r="C4" t="str">
            <v>Aguilar; Juan A.</v>
          </cell>
          <cell r="D4" t="str">
            <v>1</v>
          </cell>
          <cell r="E4" t="str">
            <v/>
          </cell>
          <cell r="F4" t="str">
            <v/>
          </cell>
          <cell r="G4" t="str">
            <v/>
          </cell>
          <cell r="H4">
            <v>0</v>
          </cell>
        </row>
        <row r="5">
          <cell r="B5">
            <v>1043</v>
          </cell>
          <cell r="C5" t="str">
            <v>Adema; Matthew</v>
          </cell>
          <cell r="D5" t="str">
            <v>1C</v>
          </cell>
          <cell r="E5" t="str">
            <v>IBEWOUT</v>
          </cell>
          <cell r="F5" t="str">
            <v>1245</v>
          </cell>
          <cell r="G5" t="str">
            <v>8</v>
          </cell>
          <cell r="H5">
            <v>0</v>
          </cell>
        </row>
        <row r="6">
          <cell r="B6">
            <v>1046</v>
          </cell>
          <cell r="C6" t="str">
            <v>Alcala Jr.; Juan Antonio</v>
          </cell>
          <cell r="D6" t="str">
            <v>1C</v>
          </cell>
          <cell r="E6" t="str">
            <v>IBEWOUT</v>
          </cell>
          <cell r="F6" t="str">
            <v>47</v>
          </cell>
          <cell r="G6" t="str">
            <v>7</v>
          </cell>
          <cell r="H6">
            <v>0</v>
          </cell>
        </row>
        <row r="7">
          <cell r="B7">
            <v>1055</v>
          </cell>
          <cell r="C7" t="str">
            <v>Adams; Timothy J</v>
          </cell>
          <cell r="D7" t="str">
            <v>1</v>
          </cell>
          <cell r="E7" t="str">
            <v>IBEWOUT</v>
          </cell>
          <cell r="F7" t="str">
            <v>125</v>
          </cell>
          <cell r="G7" t="str">
            <v>33</v>
          </cell>
          <cell r="H7">
            <v>0</v>
          </cell>
        </row>
        <row r="8">
          <cell r="B8">
            <v>1056</v>
          </cell>
          <cell r="C8" t="str">
            <v>Ewanchew; John F.</v>
          </cell>
          <cell r="D8" t="str">
            <v>1C</v>
          </cell>
          <cell r="E8" t="str">
            <v>IBEWOUT</v>
          </cell>
          <cell r="F8" t="str">
            <v>396</v>
          </cell>
          <cell r="G8" t="str">
            <v>8</v>
          </cell>
          <cell r="H8">
            <v>0</v>
          </cell>
        </row>
        <row r="9">
          <cell r="B9">
            <v>1058</v>
          </cell>
          <cell r="C9" t="str">
            <v>Adamson; Dakota L</v>
          </cell>
          <cell r="D9" t="str">
            <v>1</v>
          </cell>
          <cell r="E9" t="str">
            <v>IBEWOUT</v>
          </cell>
          <cell r="F9" t="str">
            <v>77</v>
          </cell>
          <cell r="G9" t="str">
            <v>8</v>
          </cell>
          <cell r="H9">
            <v>0</v>
          </cell>
        </row>
        <row r="10">
          <cell r="B10">
            <v>1059</v>
          </cell>
          <cell r="C10" t="str">
            <v>Aleman; Carlos A</v>
          </cell>
          <cell r="D10" t="str">
            <v>1C</v>
          </cell>
          <cell r="E10" t="str">
            <v>IBEWOUT</v>
          </cell>
          <cell r="F10" t="str">
            <v>1245</v>
          </cell>
          <cell r="G10" t="str">
            <v>11</v>
          </cell>
          <cell r="H10">
            <v>0</v>
          </cell>
        </row>
        <row r="11">
          <cell r="B11">
            <v>1061</v>
          </cell>
          <cell r="C11" t="str">
            <v>Alday; Caleb T.</v>
          </cell>
          <cell r="D11" t="str">
            <v>1C</v>
          </cell>
          <cell r="E11" t="str">
            <v>IBEWOUT</v>
          </cell>
          <cell r="F11" t="str">
            <v>1245</v>
          </cell>
          <cell r="G11" t="str">
            <v>8</v>
          </cell>
          <cell r="H11">
            <v>0</v>
          </cell>
        </row>
        <row r="12">
          <cell r="B12">
            <v>1064</v>
          </cell>
          <cell r="C12" t="str">
            <v>Aguilar; Matthias J</v>
          </cell>
          <cell r="D12" t="str">
            <v>1C</v>
          </cell>
          <cell r="E12" t="str">
            <v>IBEWOUT</v>
          </cell>
          <cell r="F12" t="str">
            <v>1245</v>
          </cell>
          <cell r="G12" t="str">
            <v>17</v>
          </cell>
          <cell r="H12">
            <v>0</v>
          </cell>
        </row>
        <row r="13">
          <cell r="B13">
            <v>1085</v>
          </cell>
          <cell r="C13" t="str">
            <v>Almendarez; Raymond K</v>
          </cell>
          <cell r="D13" t="str">
            <v>1C</v>
          </cell>
          <cell r="E13" t="str">
            <v>IBEWOUT</v>
          </cell>
          <cell r="F13" t="str">
            <v>1245</v>
          </cell>
          <cell r="G13" t="str">
            <v>8</v>
          </cell>
          <cell r="H13">
            <v>0</v>
          </cell>
        </row>
        <row r="14">
          <cell r="B14">
            <v>1091</v>
          </cell>
          <cell r="C14" t="str">
            <v>Alvarez; Jesus M</v>
          </cell>
          <cell r="D14" t="str">
            <v>1C</v>
          </cell>
          <cell r="E14" t="str">
            <v>IBEWOUT</v>
          </cell>
          <cell r="F14" t="str">
            <v>125</v>
          </cell>
          <cell r="G14" t="str">
            <v>8</v>
          </cell>
          <cell r="H14">
            <v>0</v>
          </cell>
        </row>
        <row r="15">
          <cell r="B15">
            <v>1095</v>
          </cell>
          <cell r="C15" t="str">
            <v>Alexander; James C</v>
          </cell>
          <cell r="D15" t="str">
            <v>1C</v>
          </cell>
          <cell r="E15" t="str">
            <v>IBEWOUT</v>
          </cell>
          <cell r="F15" t="str">
            <v>47</v>
          </cell>
          <cell r="G15" t="str">
            <v>8</v>
          </cell>
          <cell r="H15">
            <v>0</v>
          </cell>
        </row>
        <row r="16">
          <cell r="B16">
            <v>1103</v>
          </cell>
          <cell r="C16" t="str">
            <v>Allen; Corey L.</v>
          </cell>
          <cell r="D16" t="str">
            <v>1C</v>
          </cell>
          <cell r="E16" t="str">
            <v>IBEWOUT</v>
          </cell>
          <cell r="F16" t="str">
            <v>1245</v>
          </cell>
          <cell r="G16" t="str">
            <v>7</v>
          </cell>
          <cell r="H16">
            <v>0</v>
          </cell>
        </row>
        <row r="17">
          <cell r="B17">
            <v>1104</v>
          </cell>
          <cell r="C17" t="str">
            <v>Amburgey; James R</v>
          </cell>
          <cell r="D17" t="str">
            <v>1C</v>
          </cell>
          <cell r="E17" t="str">
            <v>IBEWOUT</v>
          </cell>
          <cell r="F17" t="str">
            <v>769</v>
          </cell>
          <cell r="G17" t="str">
            <v>8</v>
          </cell>
          <cell r="H17">
            <v>0</v>
          </cell>
        </row>
        <row r="18">
          <cell r="B18">
            <v>1105</v>
          </cell>
          <cell r="C18" t="str">
            <v>Amador; Luis D</v>
          </cell>
          <cell r="D18" t="str">
            <v>1</v>
          </cell>
          <cell r="E18" t="str">
            <v/>
          </cell>
          <cell r="F18" t="str">
            <v/>
          </cell>
          <cell r="G18" t="str">
            <v/>
          </cell>
          <cell r="H18">
            <v>0</v>
          </cell>
        </row>
        <row r="19">
          <cell r="B19">
            <v>1106</v>
          </cell>
          <cell r="C19" t="str">
            <v>Archibeque; Larry Michael</v>
          </cell>
          <cell r="D19" t="str">
            <v>1C</v>
          </cell>
          <cell r="E19" t="str">
            <v>IBEWOUT</v>
          </cell>
          <cell r="F19" t="str">
            <v>611</v>
          </cell>
          <cell r="G19" t="str">
            <v>16</v>
          </cell>
          <cell r="H19">
            <v>0</v>
          </cell>
        </row>
        <row r="20">
          <cell r="B20">
            <v>1108</v>
          </cell>
          <cell r="C20" t="str">
            <v>Arehart; Joshua D.</v>
          </cell>
          <cell r="D20" t="str">
            <v>1C</v>
          </cell>
          <cell r="E20" t="str">
            <v>IBEWOUT</v>
          </cell>
          <cell r="F20" t="str">
            <v>125</v>
          </cell>
          <cell r="G20" t="str">
            <v>7</v>
          </cell>
          <cell r="H20">
            <v>0</v>
          </cell>
        </row>
        <row r="21">
          <cell r="B21">
            <v>1109</v>
          </cell>
          <cell r="C21" t="str">
            <v>Atayde; Manuel</v>
          </cell>
          <cell r="D21" t="str">
            <v>1C</v>
          </cell>
          <cell r="E21" t="str">
            <v>IBEWOUT</v>
          </cell>
          <cell r="F21" t="str">
            <v>769</v>
          </cell>
          <cell r="G21" t="str">
            <v>22</v>
          </cell>
          <cell r="H21">
            <v>0</v>
          </cell>
        </row>
        <row r="22">
          <cell r="B22">
            <v>1110</v>
          </cell>
          <cell r="C22" t="str">
            <v>Al-Raies; Sam</v>
          </cell>
          <cell r="D22" t="str">
            <v>1C</v>
          </cell>
          <cell r="E22" t="str">
            <v>IBEWOUT</v>
          </cell>
          <cell r="F22" t="str">
            <v>47</v>
          </cell>
          <cell r="G22" t="str">
            <v>60</v>
          </cell>
          <cell r="H22">
            <v>0</v>
          </cell>
        </row>
        <row r="23">
          <cell r="B23">
            <v>1111</v>
          </cell>
          <cell r="C23" t="str">
            <v>Atchison; Jason E.</v>
          </cell>
          <cell r="D23" t="str">
            <v>1C</v>
          </cell>
          <cell r="E23" t="str">
            <v>IBEWOUT</v>
          </cell>
          <cell r="F23" t="str">
            <v>769</v>
          </cell>
          <cell r="G23" t="str">
            <v>8</v>
          </cell>
          <cell r="H23">
            <v>0</v>
          </cell>
        </row>
        <row r="24">
          <cell r="B24">
            <v>1112</v>
          </cell>
          <cell r="C24" t="str">
            <v>Amato; Pietro</v>
          </cell>
          <cell r="D24" t="str">
            <v>1C</v>
          </cell>
          <cell r="E24" t="str">
            <v>IBEWOUT</v>
          </cell>
          <cell r="F24" t="str">
            <v>1049</v>
          </cell>
          <cell r="G24" t="str">
            <v>15</v>
          </cell>
          <cell r="H24">
            <v>0</v>
          </cell>
        </row>
        <row r="25">
          <cell r="B25">
            <v>1114</v>
          </cell>
          <cell r="C25" t="str">
            <v>Archuleta Jr.; Felix</v>
          </cell>
          <cell r="D25" t="str">
            <v>1C</v>
          </cell>
          <cell r="E25" t="str">
            <v>IBEWOUT</v>
          </cell>
          <cell r="F25" t="str">
            <v>611</v>
          </cell>
          <cell r="G25" t="str">
            <v>10</v>
          </cell>
          <cell r="H25">
            <v>0</v>
          </cell>
        </row>
        <row r="26">
          <cell r="B26">
            <v>1115</v>
          </cell>
          <cell r="C26" t="str">
            <v>Archuleta; Louis A.</v>
          </cell>
          <cell r="D26" t="str">
            <v>1C</v>
          </cell>
          <cell r="E26" t="str">
            <v>IBEWOUT</v>
          </cell>
          <cell r="F26" t="str">
            <v>1245</v>
          </cell>
          <cell r="G26" t="str">
            <v>17</v>
          </cell>
          <cell r="H26">
            <v>0</v>
          </cell>
        </row>
        <row r="27">
          <cell r="B27">
            <v>1119</v>
          </cell>
          <cell r="C27" t="str">
            <v>Amato; Joshua D</v>
          </cell>
          <cell r="D27" t="str">
            <v>1C</v>
          </cell>
          <cell r="E27" t="str">
            <v>IBEWOUT</v>
          </cell>
          <cell r="F27" t="str">
            <v>611</v>
          </cell>
          <cell r="G27" t="str">
            <v>14</v>
          </cell>
          <cell r="H27">
            <v>0</v>
          </cell>
        </row>
        <row r="28">
          <cell r="B28">
            <v>1130</v>
          </cell>
          <cell r="C28" t="str">
            <v>Allred; Shane M.</v>
          </cell>
          <cell r="D28" t="str">
            <v>1C</v>
          </cell>
          <cell r="E28" t="str">
            <v>IBEWOUT</v>
          </cell>
          <cell r="F28" t="str">
            <v>1245</v>
          </cell>
          <cell r="G28" t="str">
            <v>8</v>
          </cell>
          <cell r="H28">
            <v>0</v>
          </cell>
        </row>
        <row r="29">
          <cell r="B29">
            <v>1180</v>
          </cell>
          <cell r="C29" t="str">
            <v>Atayde; Dimas</v>
          </cell>
          <cell r="D29" t="str">
            <v>1C</v>
          </cell>
          <cell r="E29" t="str">
            <v>IBEWOUT</v>
          </cell>
          <cell r="F29" t="str">
            <v>769</v>
          </cell>
          <cell r="G29" t="str">
            <v>22</v>
          </cell>
          <cell r="H29">
            <v>0</v>
          </cell>
        </row>
        <row r="30">
          <cell r="B30">
            <v>1192</v>
          </cell>
          <cell r="C30" t="str">
            <v>Andersen; David Mitch</v>
          </cell>
          <cell r="D30" t="str">
            <v>1C</v>
          </cell>
          <cell r="E30" t="str">
            <v/>
          </cell>
          <cell r="F30" t="str">
            <v/>
          </cell>
          <cell r="G30" t="str">
            <v/>
          </cell>
          <cell r="H30">
            <v>0</v>
          </cell>
        </row>
        <row r="31">
          <cell r="B31">
            <v>1193</v>
          </cell>
          <cell r="C31" t="str">
            <v>Arredondo; Juan V</v>
          </cell>
          <cell r="D31" t="str">
            <v>1C</v>
          </cell>
          <cell r="E31" t="str">
            <v>IBEWOUT</v>
          </cell>
          <cell r="F31" t="str">
            <v>769</v>
          </cell>
          <cell r="G31" t="str">
            <v>8</v>
          </cell>
          <cell r="H31">
            <v>0</v>
          </cell>
        </row>
        <row r="32">
          <cell r="B32">
            <v>1194</v>
          </cell>
          <cell r="C32" t="str">
            <v>Arreola; George</v>
          </cell>
          <cell r="D32" t="str">
            <v>1C</v>
          </cell>
          <cell r="E32" t="str">
            <v>IBEWOUT</v>
          </cell>
          <cell r="F32" t="str">
            <v>47</v>
          </cell>
          <cell r="G32" t="str">
            <v>17</v>
          </cell>
          <cell r="H32">
            <v>0</v>
          </cell>
        </row>
        <row r="33">
          <cell r="B33">
            <v>1197</v>
          </cell>
          <cell r="C33" t="str">
            <v>Andrea; Josh M</v>
          </cell>
          <cell r="D33" t="str">
            <v>1C</v>
          </cell>
          <cell r="E33" t="str">
            <v>IBEWOUT</v>
          </cell>
          <cell r="F33" t="str">
            <v>77</v>
          </cell>
          <cell r="G33" t="str">
            <v>15</v>
          </cell>
          <cell r="H33">
            <v>0</v>
          </cell>
        </row>
        <row r="34">
          <cell r="B34">
            <v>1199</v>
          </cell>
          <cell r="C34" t="str">
            <v>Andress; Jesse B</v>
          </cell>
          <cell r="D34" t="str">
            <v>1C</v>
          </cell>
          <cell r="E34" t="str">
            <v>IBEWOUT</v>
          </cell>
          <cell r="F34" t="str">
            <v>77</v>
          </cell>
          <cell r="G34" t="str">
            <v>8</v>
          </cell>
          <cell r="H34">
            <v>0</v>
          </cell>
        </row>
        <row r="35">
          <cell r="B35">
            <v>1202</v>
          </cell>
          <cell r="C35" t="str">
            <v>Anderson; Chad M.</v>
          </cell>
          <cell r="D35" t="str">
            <v>1C</v>
          </cell>
          <cell r="E35" t="str">
            <v/>
          </cell>
          <cell r="F35" t="str">
            <v/>
          </cell>
          <cell r="G35" t="str">
            <v/>
          </cell>
          <cell r="H35">
            <v>1</v>
          </cell>
        </row>
        <row r="36">
          <cell r="B36">
            <v>1203</v>
          </cell>
          <cell r="C36" t="str">
            <v>Anderson; Clyde M.</v>
          </cell>
          <cell r="D36" t="str">
            <v>1C</v>
          </cell>
          <cell r="E36" t="str">
            <v/>
          </cell>
          <cell r="F36" t="str">
            <v/>
          </cell>
          <cell r="G36" t="str">
            <v/>
          </cell>
          <cell r="H36">
            <v>1</v>
          </cell>
        </row>
        <row r="37">
          <cell r="B37">
            <v>1206</v>
          </cell>
          <cell r="C37" t="str">
            <v>Arroyo; Jose M</v>
          </cell>
          <cell r="D37" t="str">
            <v>1</v>
          </cell>
          <cell r="E37" t="str">
            <v>IBEWOUT</v>
          </cell>
          <cell r="F37" t="str">
            <v>1245</v>
          </cell>
          <cell r="G37" t="str">
            <v>10</v>
          </cell>
          <cell r="H37">
            <v>0</v>
          </cell>
        </row>
        <row r="38">
          <cell r="B38">
            <v>1207</v>
          </cell>
          <cell r="C38" t="str">
            <v>Arrington; Austin M</v>
          </cell>
          <cell r="D38" t="str">
            <v>1</v>
          </cell>
          <cell r="E38" t="str">
            <v>IBEWOUT</v>
          </cell>
          <cell r="F38" t="str">
            <v>125</v>
          </cell>
          <cell r="G38" t="str">
            <v>13</v>
          </cell>
          <cell r="H38">
            <v>0</v>
          </cell>
        </row>
        <row r="39">
          <cell r="B39">
            <v>1209</v>
          </cell>
          <cell r="C39" t="str">
            <v>Andrade; Carlos</v>
          </cell>
          <cell r="D39" t="str">
            <v>1</v>
          </cell>
          <cell r="E39" t="str">
            <v>IBEWOUT</v>
          </cell>
          <cell r="F39" t="str">
            <v>47</v>
          </cell>
          <cell r="G39" t="str">
            <v>10</v>
          </cell>
          <cell r="H39">
            <v>0</v>
          </cell>
        </row>
        <row r="40">
          <cell r="B40">
            <v>1217</v>
          </cell>
          <cell r="C40" t="str">
            <v>Andrews; Cory R</v>
          </cell>
          <cell r="D40" t="str">
            <v>1C</v>
          </cell>
          <cell r="E40" t="str">
            <v>IBEWOUT</v>
          </cell>
          <cell r="F40" t="str">
            <v>125</v>
          </cell>
          <cell r="G40" t="str">
            <v>8</v>
          </cell>
          <cell r="H40">
            <v>0</v>
          </cell>
        </row>
        <row r="41">
          <cell r="B41">
            <v>1219</v>
          </cell>
          <cell r="C41" t="str">
            <v>Andrews; James H</v>
          </cell>
          <cell r="D41" t="str">
            <v>1C</v>
          </cell>
          <cell r="E41" t="str">
            <v>IBEWOUT</v>
          </cell>
          <cell r="F41" t="str">
            <v>1245</v>
          </cell>
          <cell r="G41" t="str">
            <v>8</v>
          </cell>
          <cell r="H41">
            <v>0</v>
          </cell>
        </row>
        <row r="42">
          <cell r="B42">
            <v>1221</v>
          </cell>
          <cell r="C42" t="str">
            <v>Arlt; Dalton M</v>
          </cell>
          <cell r="D42" t="str">
            <v>1C</v>
          </cell>
          <cell r="E42" t="str">
            <v>IBEWOUT</v>
          </cell>
          <cell r="F42" t="str">
            <v>769</v>
          </cell>
          <cell r="G42" t="str">
            <v>10</v>
          </cell>
          <cell r="H42">
            <v>0</v>
          </cell>
        </row>
        <row r="43">
          <cell r="B43">
            <v>1223</v>
          </cell>
          <cell r="C43" t="str">
            <v>Angulo; Jose L</v>
          </cell>
          <cell r="D43" t="str">
            <v>1C</v>
          </cell>
          <cell r="E43" t="str">
            <v>IBEWOUT</v>
          </cell>
          <cell r="F43" t="str">
            <v>47</v>
          </cell>
          <cell r="G43" t="str">
            <v>17</v>
          </cell>
          <cell r="H43">
            <v>0</v>
          </cell>
        </row>
        <row r="44">
          <cell r="B44">
            <v>1224</v>
          </cell>
          <cell r="C44" t="str">
            <v>Anonuevo; Jomar N</v>
          </cell>
          <cell r="D44" t="str">
            <v>1</v>
          </cell>
          <cell r="E44" t="str">
            <v>IBEWOUT</v>
          </cell>
          <cell r="F44" t="str">
            <v>125</v>
          </cell>
          <cell r="G44" t="str">
            <v>14</v>
          </cell>
          <cell r="H44">
            <v>0</v>
          </cell>
        </row>
        <row r="45">
          <cell r="B45">
            <v>1225</v>
          </cell>
          <cell r="C45" t="str">
            <v>Angelucci; Dylan R</v>
          </cell>
          <cell r="D45" t="str">
            <v>1</v>
          </cell>
          <cell r="E45" t="str">
            <v>IBEWOUT</v>
          </cell>
          <cell r="F45" t="str">
            <v>611</v>
          </cell>
          <cell r="G45" t="str">
            <v>17</v>
          </cell>
          <cell r="H45">
            <v>0</v>
          </cell>
        </row>
        <row r="46">
          <cell r="B46">
            <v>1228</v>
          </cell>
          <cell r="C46" t="str">
            <v>Apalategui; Randall</v>
          </cell>
          <cell r="D46" t="str">
            <v>1</v>
          </cell>
          <cell r="E46" t="str">
            <v>IBEWOUT</v>
          </cell>
          <cell r="F46" t="str">
            <v>1245</v>
          </cell>
          <cell r="G46" t="str">
            <v>11</v>
          </cell>
          <cell r="H46">
            <v>0</v>
          </cell>
        </row>
        <row r="47">
          <cell r="B47">
            <v>1229</v>
          </cell>
          <cell r="C47" t="str">
            <v>Apana; Walter K</v>
          </cell>
          <cell r="D47" t="str">
            <v>1C</v>
          </cell>
          <cell r="E47" t="str">
            <v>IBEWOUT</v>
          </cell>
          <cell r="F47" t="str">
            <v>1186</v>
          </cell>
          <cell r="G47" t="str">
            <v>16</v>
          </cell>
          <cell r="H47">
            <v>0</v>
          </cell>
        </row>
        <row r="48">
          <cell r="B48">
            <v>1231</v>
          </cell>
          <cell r="C48" t="str">
            <v>Aparicio; Diego</v>
          </cell>
          <cell r="D48" t="str">
            <v>1C</v>
          </cell>
          <cell r="E48" t="str">
            <v>IBEWOUT</v>
          </cell>
          <cell r="F48" t="str">
            <v>1245</v>
          </cell>
          <cell r="G48" t="str">
            <v>14</v>
          </cell>
          <cell r="H48">
            <v>0</v>
          </cell>
        </row>
        <row r="49">
          <cell r="B49">
            <v>1232</v>
          </cell>
          <cell r="C49" t="str">
            <v>Apperson; Todd J</v>
          </cell>
          <cell r="D49" t="str">
            <v>1C</v>
          </cell>
          <cell r="E49" t="str">
            <v>IBEWIN</v>
          </cell>
          <cell r="F49" t="str">
            <v>280</v>
          </cell>
          <cell r="G49" t="str">
            <v>62</v>
          </cell>
          <cell r="H49">
            <v>0</v>
          </cell>
        </row>
        <row r="50">
          <cell r="B50">
            <v>1234</v>
          </cell>
          <cell r="C50" t="str">
            <v>Andrews; Riston B.</v>
          </cell>
          <cell r="D50" t="str">
            <v>1C</v>
          </cell>
          <cell r="E50" t="str">
            <v>IBEWOUT</v>
          </cell>
          <cell r="F50" t="str">
            <v>125</v>
          </cell>
          <cell r="G50" t="str">
            <v>17</v>
          </cell>
          <cell r="H50">
            <v>0</v>
          </cell>
        </row>
        <row r="51">
          <cell r="B51">
            <v>1236</v>
          </cell>
          <cell r="C51" t="str">
            <v>Anderson; James N</v>
          </cell>
          <cell r="D51" t="str">
            <v>1C</v>
          </cell>
          <cell r="E51" t="str">
            <v>IBEWOUT</v>
          </cell>
          <cell r="F51" t="str">
            <v>1245</v>
          </cell>
          <cell r="G51" t="str">
            <v>17</v>
          </cell>
          <cell r="H51">
            <v>0</v>
          </cell>
        </row>
        <row r="52">
          <cell r="B52">
            <v>1238</v>
          </cell>
          <cell r="C52" t="str">
            <v>Anderson; Trenton L.</v>
          </cell>
          <cell r="D52" t="str">
            <v>1C</v>
          </cell>
          <cell r="E52" t="str">
            <v>IBEWOUT</v>
          </cell>
          <cell r="F52" t="str">
            <v>47</v>
          </cell>
          <cell r="G52" t="str">
            <v>8</v>
          </cell>
          <cell r="H52">
            <v>0</v>
          </cell>
        </row>
        <row r="53">
          <cell r="B53">
            <v>1240</v>
          </cell>
          <cell r="C53" t="str">
            <v>Anderson; Max C</v>
          </cell>
          <cell r="D53" t="str">
            <v>1C</v>
          </cell>
          <cell r="E53" t="str">
            <v>IBEWOUT</v>
          </cell>
          <cell r="F53" t="str">
            <v>77</v>
          </cell>
          <cell r="G53" t="str">
            <v>8</v>
          </cell>
          <cell r="H53">
            <v>0</v>
          </cell>
        </row>
        <row r="54">
          <cell r="B54">
            <v>1241</v>
          </cell>
          <cell r="C54" t="str">
            <v>Anderson; Michael L.</v>
          </cell>
          <cell r="D54" t="str">
            <v>1C</v>
          </cell>
          <cell r="E54" t="str">
            <v>IBEWOUT</v>
          </cell>
          <cell r="F54" t="str">
            <v>1245</v>
          </cell>
          <cell r="G54" t="str">
            <v>10</v>
          </cell>
          <cell r="H54">
            <v>0</v>
          </cell>
        </row>
        <row r="55">
          <cell r="B55">
            <v>1242</v>
          </cell>
          <cell r="C55" t="str">
            <v>Andrew; Lucas D.</v>
          </cell>
          <cell r="D55" t="str">
            <v>1</v>
          </cell>
          <cell r="E55" t="str">
            <v>IBEWOUT</v>
          </cell>
          <cell r="F55" t="str">
            <v>77</v>
          </cell>
          <cell r="G55" t="str">
            <v>7</v>
          </cell>
          <cell r="H55">
            <v>0</v>
          </cell>
        </row>
        <row r="56">
          <cell r="B56">
            <v>1245</v>
          </cell>
          <cell r="C56" t="str">
            <v>Arnold; Dylan M</v>
          </cell>
          <cell r="D56" t="str">
            <v>1C</v>
          </cell>
          <cell r="E56" t="str">
            <v>IBEWOUT</v>
          </cell>
          <cell r="F56" t="str">
            <v>77</v>
          </cell>
          <cell r="G56" t="str">
            <v>8</v>
          </cell>
          <cell r="H56">
            <v>0</v>
          </cell>
        </row>
        <row r="57">
          <cell r="B57">
            <v>1247</v>
          </cell>
          <cell r="C57" t="str">
            <v>Arana; Daniel I</v>
          </cell>
          <cell r="D57" t="str">
            <v>1C</v>
          </cell>
          <cell r="E57" t="str">
            <v>IBEWOUT</v>
          </cell>
          <cell r="F57" t="str">
            <v>47</v>
          </cell>
          <cell r="G57" t="str">
            <v>13</v>
          </cell>
          <cell r="H57">
            <v>0</v>
          </cell>
        </row>
        <row r="58">
          <cell r="B58">
            <v>1255</v>
          </cell>
          <cell r="C58" t="str">
            <v>Ash IV; Leonard C</v>
          </cell>
          <cell r="D58" t="str">
            <v>1C</v>
          </cell>
          <cell r="E58" t="str">
            <v>IBEWOUT</v>
          </cell>
          <cell r="F58" t="str">
            <v>611</v>
          </cell>
          <cell r="G58" t="str">
            <v>8</v>
          </cell>
          <cell r="H58">
            <v>0</v>
          </cell>
        </row>
        <row r="59">
          <cell r="B59">
            <v>1256</v>
          </cell>
          <cell r="C59" t="str">
            <v>Atencio; Aaron B</v>
          </cell>
          <cell r="D59" t="str">
            <v>1</v>
          </cell>
          <cell r="E59" t="str">
            <v>IBEWOUT</v>
          </cell>
          <cell r="F59" t="str">
            <v>611</v>
          </cell>
          <cell r="G59" t="str">
            <v>9</v>
          </cell>
          <cell r="H59">
            <v>0</v>
          </cell>
        </row>
        <row r="60">
          <cell r="B60">
            <v>1260</v>
          </cell>
          <cell r="C60" t="str">
            <v>Austin; Berton R.</v>
          </cell>
          <cell r="D60" t="str">
            <v>1C</v>
          </cell>
          <cell r="E60" t="str">
            <v/>
          </cell>
          <cell r="F60" t="str">
            <v/>
          </cell>
          <cell r="G60" t="str">
            <v/>
          </cell>
          <cell r="H60">
            <v>1</v>
          </cell>
        </row>
        <row r="61">
          <cell r="B61">
            <v>1261</v>
          </cell>
          <cell r="C61" t="str">
            <v>Auzston; Russell E</v>
          </cell>
          <cell r="D61" t="str">
            <v>1C</v>
          </cell>
          <cell r="E61" t="str">
            <v>IBEWOUT</v>
          </cell>
          <cell r="F61" t="str">
            <v>47</v>
          </cell>
          <cell r="G61" t="str">
            <v>8</v>
          </cell>
          <cell r="H61">
            <v>0</v>
          </cell>
        </row>
        <row r="62">
          <cell r="B62">
            <v>1270</v>
          </cell>
          <cell r="C62" t="str">
            <v>Ayers; Christopher S</v>
          </cell>
          <cell r="D62" t="str">
            <v>1C</v>
          </cell>
          <cell r="E62" t="str">
            <v>IBEWOUT</v>
          </cell>
          <cell r="F62" t="str">
            <v>769</v>
          </cell>
          <cell r="G62" t="str">
            <v>15</v>
          </cell>
          <cell r="H62">
            <v>0</v>
          </cell>
        </row>
        <row r="63">
          <cell r="B63">
            <v>1274</v>
          </cell>
          <cell r="C63" t="str">
            <v>Averhart; Alexander M</v>
          </cell>
          <cell r="D63" t="str">
            <v>1</v>
          </cell>
          <cell r="E63" t="str">
            <v>IBEWOUT</v>
          </cell>
          <cell r="F63" t="str">
            <v>769</v>
          </cell>
          <cell r="G63" t="str">
            <v>15</v>
          </cell>
          <cell r="H63">
            <v>0</v>
          </cell>
        </row>
        <row r="64">
          <cell r="B64">
            <v>1275</v>
          </cell>
          <cell r="C64" t="str">
            <v>Avery; Bella</v>
          </cell>
          <cell r="D64" t="str">
            <v>1C</v>
          </cell>
          <cell r="E64" t="str">
            <v/>
          </cell>
          <cell r="F64" t="str">
            <v/>
          </cell>
          <cell r="G64" t="str">
            <v/>
          </cell>
          <cell r="H64">
            <v>0</v>
          </cell>
        </row>
        <row r="65">
          <cell r="B65">
            <v>1283</v>
          </cell>
          <cell r="C65" t="str">
            <v>Avelar Palacios; Moises</v>
          </cell>
          <cell r="D65" t="str">
            <v>1C</v>
          </cell>
          <cell r="E65" t="str">
            <v>IBEWOUT</v>
          </cell>
          <cell r="F65" t="str">
            <v>1245</v>
          </cell>
          <cell r="G65" t="str">
            <v>11</v>
          </cell>
          <cell r="H65">
            <v>0</v>
          </cell>
        </row>
        <row r="66">
          <cell r="B66">
            <v>1331</v>
          </cell>
          <cell r="C66" t="str">
            <v>Babb; Mitchell R.</v>
          </cell>
          <cell r="D66" t="str">
            <v>1C</v>
          </cell>
          <cell r="E66" t="str">
            <v>IBEWOUT</v>
          </cell>
          <cell r="F66" t="str">
            <v>1245</v>
          </cell>
          <cell r="G66" t="str">
            <v>8</v>
          </cell>
          <cell r="H66">
            <v>0</v>
          </cell>
        </row>
        <row r="67">
          <cell r="B67">
            <v>1332</v>
          </cell>
          <cell r="C67" t="str">
            <v>Babbitt; Brian S</v>
          </cell>
          <cell r="D67" t="str">
            <v>1</v>
          </cell>
          <cell r="E67" t="str">
            <v>IBEWOUT</v>
          </cell>
          <cell r="F67" t="str">
            <v>77</v>
          </cell>
          <cell r="G67" t="str">
            <v>8</v>
          </cell>
          <cell r="H67">
            <v>0</v>
          </cell>
        </row>
        <row r="68">
          <cell r="B68">
            <v>1335</v>
          </cell>
          <cell r="C68" t="str">
            <v>Badalamente; Joseph A</v>
          </cell>
          <cell r="D68" t="str">
            <v>1C</v>
          </cell>
          <cell r="E68" t="str">
            <v>IBEWOUT</v>
          </cell>
          <cell r="F68" t="str">
            <v>1049</v>
          </cell>
          <cell r="G68" t="str">
            <v>15</v>
          </cell>
          <cell r="H68">
            <v>0</v>
          </cell>
        </row>
        <row r="69">
          <cell r="B69">
            <v>1338</v>
          </cell>
          <cell r="C69" t="str">
            <v>Bair; Ronald</v>
          </cell>
          <cell r="D69" t="str">
            <v>1</v>
          </cell>
          <cell r="E69" t="str">
            <v/>
          </cell>
          <cell r="F69" t="str">
            <v/>
          </cell>
          <cell r="G69" t="str">
            <v/>
          </cell>
          <cell r="H69">
            <v>0</v>
          </cell>
        </row>
        <row r="70">
          <cell r="B70">
            <v>1353</v>
          </cell>
          <cell r="C70" t="str">
            <v>Bannister Jr; Kenneth W</v>
          </cell>
          <cell r="D70" t="str">
            <v>1C</v>
          </cell>
          <cell r="E70" t="str">
            <v>IBEWOUT</v>
          </cell>
          <cell r="F70" t="str">
            <v>1245</v>
          </cell>
          <cell r="G70" t="str">
            <v>8</v>
          </cell>
          <cell r="H70">
            <v>0</v>
          </cell>
        </row>
        <row r="71">
          <cell r="B71">
            <v>1358</v>
          </cell>
          <cell r="C71" t="str">
            <v>Baldovino; Ernest Dion</v>
          </cell>
          <cell r="D71" t="str">
            <v>1C</v>
          </cell>
          <cell r="E71" t="str">
            <v>IBEWOUT</v>
          </cell>
          <cell r="F71" t="str">
            <v>1049</v>
          </cell>
          <cell r="G71" t="str">
            <v>8</v>
          </cell>
          <cell r="H71">
            <v>0</v>
          </cell>
        </row>
        <row r="72">
          <cell r="B72">
            <v>1359</v>
          </cell>
          <cell r="C72" t="str">
            <v>Bailey; Gary D</v>
          </cell>
          <cell r="D72" t="str">
            <v>1C</v>
          </cell>
          <cell r="E72" t="str">
            <v>IBEWOUT</v>
          </cell>
          <cell r="F72" t="str">
            <v>602R</v>
          </cell>
          <cell r="G72" t="str">
            <v>15T</v>
          </cell>
          <cell r="H72">
            <v>0</v>
          </cell>
        </row>
        <row r="73">
          <cell r="B73">
            <v>1361</v>
          </cell>
          <cell r="C73" t="str">
            <v>Bailey; Michael J</v>
          </cell>
          <cell r="D73" t="str">
            <v>1C</v>
          </cell>
          <cell r="E73" t="str">
            <v>IBEWOUT</v>
          </cell>
          <cell r="F73" t="str">
            <v>483</v>
          </cell>
          <cell r="G73" t="str">
            <v>8</v>
          </cell>
          <cell r="H73">
            <v>0</v>
          </cell>
        </row>
        <row r="74">
          <cell r="B74">
            <v>1365</v>
          </cell>
          <cell r="C74" t="str">
            <v>Bagwell; Douglas W.</v>
          </cell>
          <cell r="D74" t="str">
            <v>1</v>
          </cell>
          <cell r="E74" t="str">
            <v>IBEWOUT</v>
          </cell>
          <cell r="F74" t="str">
            <v>611</v>
          </cell>
          <cell r="G74" t="str">
            <v>16</v>
          </cell>
          <cell r="H74">
            <v>0</v>
          </cell>
        </row>
        <row r="75">
          <cell r="B75">
            <v>1371</v>
          </cell>
          <cell r="C75" t="str">
            <v>Baggerly; Richard A</v>
          </cell>
          <cell r="D75" t="str">
            <v>1C</v>
          </cell>
          <cell r="E75" t="str">
            <v>IBEWOUT</v>
          </cell>
          <cell r="F75" t="str">
            <v>77</v>
          </cell>
          <cell r="G75" t="str">
            <v>17</v>
          </cell>
          <cell r="H75">
            <v>0</v>
          </cell>
        </row>
        <row r="76">
          <cell r="B76">
            <v>1372</v>
          </cell>
          <cell r="C76" t="str">
            <v>Bamer; Gregory F</v>
          </cell>
          <cell r="D76" t="str">
            <v>1C</v>
          </cell>
          <cell r="E76" t="str">
            <v>IBEWOUT</v>
          </cell>
          <cell r="F76" t="str">
            <v>77</v>
          </cell>
          <cell r="G76" t="str">
            <v>7</v>
          </cell>
          <cell r="H76">
            <v>0</v>
          </cell>
        </row>
        <row r="77">
          <cell r="B77">
            <v>1374</v>
          </cell>
          <cell r="C77" t="str">
            <v>Bailey; Matthew</v>
          </cell>
          <cell r="D77" t="str">
            <v>1C</v>
          </cell>
          <cell r="E77" t="str">
            <v>IBEWOUT</v>
          </cell>
          <cell r="F77" t="str">
            <v>47</v>
          </cell>
          <cell r="G77" t="str">
            <v>8</v>
          </cell>
          <cell r="H77">
            <v>0</v>
          </cell>
        </row>
        <row r="78">
          <cell r="B78">
            <v>1377</v>
          </cell>
          <cell r="C78" t="str">
            <v>Baliaris-Salvi; Rajan A</v>
          </cell>
          <cell r="D78" t="str">
            <v>1C</v>
          </cell>
          <cell r="E78" t="str">
            <v>IBEWOUT</v>
          </cell>
          <cell r="F78" t="str">
            <v>1186</v>
          </cell>
          <cell r="G78" t="str">
            <v>18</v>
          </cell>
          <cell r="H78">
            <v>0</v>
          </cell>
        </row>
        <row r="79">
          <cell r="B79">
            <v>1475</v>
          </cell>
          <cell r="C79" t="str">
            <v>Barley; Tyrone L</v>
          </cell>
          <cell r="D79" t="str">
            <v>1C</v>
          </cell>
          <cell r="E79" t="str">
            <v>IBEWOUT</v>
          </cell>
          <cell r="F79" t="str">
            <v>1245</v>
          </cell>
          <cell r="G79" t="str">
            <v>17</v>
          </cell>
          <cell r="H79">
            <v>0</v>
          </cell>
        </row>
        <row r="80">
          <cell r="B80">
            <v>1482</v>
          </cell>
          <cell r="C80" t="str">
            <v>Barcena; Oscar</v>
          </cell>
          <cell r="D80" t="str">
            <v>1C</v>
          </cell>
          <cell r="E80" t="str">
            <v>IBEWOUT</v>
          </cell>
          <cell r="F80" t="str">
            <v>47</v>
          </cell>
          <cell r="G80" t="str">
            <v>17</v>
          </cell>
          <cell r="H80">
            <v>0</v>
          </cell>
        </row>
        <row r="81">
          <cell r="B81">
            <v>1485</v>
          </cell>
          <cell r="C81" t="str">
            <v>Barker; Kyle D.</v>
          </cell>
          <cell r="D81" t="str">
            <v>1C</v>
          </cell>
          <cell r="E81" t="str">
            <v>IBEWOUT</v>
          </cell>
          <cell r="F81" t="str">
            <v>77</v>
          </cell>
          <cell r="G81" t="str">
            <v>12</v>
          </cell>
          <cell r="H81">
            <v>0</v>
          </cell>
        </row>
        <row r="82">
          <cell r="B82">
            <v>1490</v>
          </cell>
          <cell r="C82" t="str">
            <v>Barlow; Gary L</v>
          </cell>
          <cell r="D82" t="str">
            <v>1C</v>
          </cell>
          <cell r="E82" t="str">
            <v>IBEWOUT</v>
          </cell>
          <cell r="F82" t="str">
            <v>47</v>
          </cell>
          <cell r="G82" t="str">
            <v>17</v>
          </cell>
          <cell r="H82">
            <v>0</v>
          </cell>
        </row>
        <row r="83">
          <cell r="B83">
            <v>1491</v>
          </cell>
          <cell r="C83" t="str">
            <v>Barnard; Mathew W.</v>
          </cell>
          <cell r="D83" t="str">
            <v>1</v>
          </cell>
          <cell r="E83" t="str">
            <v>IBEWOUT</v>
          </cell>
          <cell r="F83" t="str">
            <v>47</v>
          </cell>
          <cell r="G83" t="str">
            <v>8</v>
          </cell>
          <cell r="H83">
            <v>0</v>
          </cell>
        </row>
        <row r="84">
          <cell r="B84">
            <v>1500</v>
          </cell>
          <cell r="C84" t="str">
            <v>Barnes; Brian Dale</v>
          </cell>
          <cell r="D84" t="str">
            <v>1C</v>
          </cell>
          <cell r="E84" t="str">
            <v>IBEWOUT</v>
          </cell>
          <cell r="F84" t="str">
            <v>77</v>
          </cell>
          <cell r="G84" t="str">
            <v>7</v>
          </cell>
          <cell r="H84">
            <v>0</v>
          </cell>
        </row>
        <row r="85">
          <cell r="B85">
            <v>1506</v>
          </cell>
          <cell r="C85" t="str">
            <v>Barnes; Rodney</v>
          </cell>
          <cell r="D85" t="str">
            <v>1C</v>
          </cell>
          <cell r="E85" t="str">
            <v>IBEWOUT</v>
          </cell>
          <cell r="F85" t="str">
            <v>47</v>
          </cell>
          <cell r="G85" t="str">
            <v>8</v>
          </cell>
          <cell r="H85">
            <v>0</v>
          </cell>
        </row>
        <row r="86">
          <cell r="B86">
            <v>1527</v>
          </cell>
          <cell r="C86" t="str">
            <v>Bash; Troy S.</v>
          </cell>
          <cell r="D86" t="str">
            <v>1C</v>
          </cell>
          <cell r="E86" t="str">
            <v>IBEWOUT</v>
          </cell>
          <cell r="F86" t="str">
            <v>769</v>
          </cell>
          <cell r="G86" t="str">
            <v>14</v>
          </cell>
          <cell r="H86">
            <v>0</v>
          </cell>
        </row>
        <row r="87">
          <cell r="B87">
            <v>1530</v>
          </cell>
          <cell r="C87" t="str">
            <v>Basham; Geoffery K</v>
          </cell>
          <cell r="D87" t="str">
            <v>1C</v>
          </cell>
          <cell r="E87" t="str">
            <v>IBEWOUT</v>
          </cell>
          <cell r="F87" t="str">
            <v>602R</v>
          </cell>
          <cell r="G87" t="str">
            <v>18</v>
          </cell>
          <cell r="H87">
            <v>0</v>
          </cell>
        </row>
        <row r="88">
          <cell r="B88">
            <v>1532</v>
          </cell>
          <cell r="C88" t="str">
            <v>Battise; Nikolas T</v>
          </cell>
          <cell r="D88" t="str">
            <v>1C</v>
          </cell>
          <cell r="E88" t="str">
            <v>IBEWOUT</v>
          </cell>
          <cell r="F88" t="str">
            <v>47</v>
          </cell>
          <cell r="G88" t="str">
            <v>8</v>
          </cell>
          <cell r="H88">
            <v>0</v>
          </cell>
        </row>
        <row r="89">
          <cell r="B89">
            <v>1533</v>
          </cell>
          <cell r="C89" t="str">
            <v>Barron; Cameron S</v>
          </cell>
          <cell r="D89" t="str">
            <v>1C</v>
          </cell>
          <cell r="E89" t="str">
            <v>IBEWOUT</v>
          </cell>
          <cell r="F89" t="str">
            <v>602R</v>
          </cell>
          <cell r="G89" t="str">
            <v>14T</v>
          </cell>
          <cell r="H89">
            <v>0</v>
          </cell>
        </row>
        <row r="90">
          <cell r="B90">
            <v>1536</v>
          </cell>
          <cell r="C90" t="str">
            <v>Barrows; Trent D</v>
          </cell>
          <cell r="D90" t="str">
            <v>1</v>
          </cell>
          <cell r="E90" t="str">
            <v>IBEWOUT</v>
          </cell>
          <cell r="F90" t="str">
            <v>47</v>
          </cell>
          <cell r="G90" t="str">
            <v>16</v>
          </cell>
          <cell r="H90">
            <v>0</v>
          </cell>
        </row>
        <row r="91">
          <cell r="B91">
            <v>1541</v>
          </cell>
          <cell r="C91" t="str">
            <v>Bathurst; Nick</v>
          </cell>
          <cell r="D91" t="str">
            <v>1</v>
          </cell>
          <cell r="E91" t="str">
            <v>IBEWIN</v>
          </cell>
          <cell r="F91" t="str">
            <v>112</v>
          </cell>
          <cell r="G91" t="str">
            <v>42</v>
          </cell>
          <cell r="H91">
            <v>0</v>
          </cell>
        </row>
        <row r="92">
          <cell r="B92">
            <v>1554</v>
          </cell>
          <cell r="C92" t="str">
            <v>Beck; Evan D.</v>
          </cell>
          <cell r="D92" t="str">
            <v>1C</v>
          </cell>
          <cell r="E92" t="str">
            <v>IBEWOUT</v>
          </cell>
          <cell r="F92" t="str">
            <v>125</v>
          </cell>
          <cell r="G92" t="str">
            <v>8</v>
          </cell>
          <cell r="H92">
            <v>0</v>
          </cell>
        </row>
        <row r="93">
          <cell r="B93">
            <v>1555</v>
          </cell>
          <cell r="C93" t="str">
            <v>Becht; Dustin L</v>
          </cell>
          <cell r="D93" t="str">
            <v>1</v>
          </cell>
          <cell r="E93" t="str">
            <v>IBEWOUT</v>
          </cell>
          <cell r="F93" t="str">
            <v>77</v>
          </cell>
          <cell r="G93" t="str">
            <v>13</v>
          </cell>
          <cell r="H93">
            <v>0</v>
          </cell>
        </row>
        <row r="94">
          <cell r="B94">
            <v>1556</v>
          </cell>
          <cell r="C94" t="str">
            <v>Bednar; Shannon Michael</v>
          </cell>
          <cell r="D94" t="str">
            <v>1C</v>
          </cell>
          <cell r="E94" t="str">
            <v>IBEWOUT</v>
          </cell>
          <cell r="F94" t="str">
            <v>1245</v>
          </cell>
          <cell r="G94" t="str">
            <v>8</v>
          </cell>
          <cell r="H94">
            <v>0</v>
          </cell>
        </row>
        <row r="95">
          <cell r="B95">
            <v>1565</v>
          </cell>
          <cell r="C95" t="str">
            <v>Begaye; Donald</v>
          </cell>
          <cell r="D95" t="str">
            <v>1C</v>
          </cell>
          <cell r="E95" t="str">
            <v>IBEWOUT</v>
          </cell>
          <cell r="F95" t="str">
            <v>769</v>
          </cell>
          <cell r="G95" t="str">
            <v>8</v>
          </cell>
          <cell r="H95">
            <v>0</v>
          </cell>
        </row>
        <row r="96">
          <cell r="B96">
            <v>1568</v>
          </cell>
          <cell r="C96" t="str">
            <v>Beissel; Lee C</v>
          </cell>
          <cell r="D96" t="str">
            <v>1C</v>
          </cell>
          <cell r="E96" t="str">
            <v/>
          </cell>
          <cell r="F96" t="str">
            <v/>
          </cell>
          <cell r="G96" t="str">
            <v/>
          </cell>
          <cell r="H96">
            <v>1</v>
          </cell>
        </row>
        <row r="97">
          <cell r="B97">
            <v>1572</v>
          </cell>
          <cell r="C97" t="str">
            <v>Belcher; Jeffrey James</v>
          </cell>
          <cell r="D97" t="str">
            <v>1C</v>
          </cell>
          <cell r="E97" t="str">
            <v>IBEWOUT</v>
          </cell>
          <cell r="F97" t="str">
            <v>47</v>
          </cell>
          <cell r="G97" t="str">
            <v>8</v>
          </cell>
          <cell r="H97">
            <v>0</v>
          </cell>
        </row>
        <row r="98">
          <cell r="B98">
            <v>1574</v>
          </cell>
          <cell r="C98" t="str">
            <v>Beach; Dale D.</v>
          </cell>
          <cell r="D98" t="str">
            <v>1</v>
          </cell>
          <cell r="E98" t="str">
            <v>IBEWOUT</v>
          </cell>
          <cell r="F98" t="str">
            <v>77</v>
          </cell>
          <cell r="G98" t="str">
            <v>1</v>
          </cell>
          <cell r="H98">
            <v>0</v>
          </cell>
        </row>
        <row r="99">
          <cell r="B99">
            <v>1579</v>
          </cell>
          <cell r="C99" t="str">
            <v>Bauer; Bradley L</v>
          </cell>
          <cell r="D99" t="str">
            <v>1C</v>
          </cell>
          <cell r="E99" t="str">
            <v>IBEWOUT</v>
          </cell>
          <cell r="F99" t="str">
            <v>160</v>
          </cell>
          <cell r="G99" t="str">
            <v>8</v>
          </cell>
          <cell r="H99">
            <v>0</v>
          </cell>
        </row>
        <row r="100">
          <cell r="B100">
            <v>1580</v>
          </cell>
          <cell r="C100" t="str">
            <v>Bell; Edward Douglas</v>
          </cell>
          <cell r="D100" t="str">
            <v>1C</v>
          </cell>
          <cell r="E100" t="str">
            <v>IBEWOUT</v>
          </cell>
          <cell r="F100" t="str">
            <v>1245</v>
          </cell>
          <cell r="G100" t="str">
            <v>8</v>
          </cell>
          <cell r="H100">
            <v>0</v>
          </cell>
        </row>
        <row r="101">
          <cell r="B101">
            <v>1581</v>
          </cell>
          <cell r="C101" t="str">
            <v>Bedoy; Cody J</v>
          </cell>
          <cell r="D101" t="str">
            <v>1C</v>
          </cell>
          <cell r="E101" t="str">
            <v>IBEWOUT</v>
          </cell>
          <cell r="F101" t="str">
            <v>1245</v>
          </cell>
          <cell r="G101" t="str">
            <v>8</v>
          </cell>
          <cell r="H101">
            <v>0</v>
          </cell>
        </row>
        <row r="102">
          <cell r="B102">
            <v>1585</v>
          </cell>
          <cell r="C102" t="str">
            <v>Bellos; Jacob G.</v>
          </cell>
          <cell r="D102" t="str">
            <v>1C</v>
          </cell>
          <cell r="E102" t="str">
            <v>IBEWOUT</v>
          </cell>
          <cell r="F102" t="str">
            <v>77</v>
          </cell>
          <cell r="G102" t="str">
            <v>12</v>
          </cell>
          <cell r="H102">
            <v>0</v>
          </cell>
        </row>
        <row r="103">
          <cell r="B103">
            <v>1586</v>
          </cell>
          <cell r="C103" t="str">
            <v>Beeler; Michael A</v>
          </cell>
          <cell r="D103" t="str">
            <v>1</v>
          </cell>
          <cell r="E103" t="str">
            <v/>
          </cell>
          <cell r="F103" t="str">
            <v/>
          </cell>
          <cell r="G103" t="str">
            <v/>
          </cell>
          <cell r="H103">
            <v>0</v>
          </cell>
        </row>
        <row r="104">
          <cell r="B104">
            <v>1595</v>
          </cell>
          <cell r="C104" t="str">
            <v>Beltran; Juan F</v>
          </cell>
          <cell r="D104" t="str">
            <v>1C</v>
          </cell>
          <cell r="E104" t="str">
            <v>IBEWOUT</v>
          </cell>
          <cell r="F104" t="str">
            <v>47</v>
          </cell>
          <cell r="G104" t="str">
            <v>8</v>
          </cell>
          <cell r="H104">
            <v>0</v>
          </cell>
        </row>
        <row r="105">
          <cell r="B105">
            <v>1598</v>
          </cell>
          <cell r="C105" t="str">
            <v>Becker; Bryan</v>
          </cell>
          <cell r="D105" t="str">
            <v>1C</v>
          </cell>
          <cell r="E105" t="str">
            <v/>
          </cell>
          <cell r="F105" t="str">
            <v/>
          </cell>
          <cell r="G105" t="str">
            <v/>
          </cell>
          <cell r="H105">
            <v>0</v>
          </cell>
        </row>
        <row r="106">
          <cell r="B106">
            <v>1599</v>
          </cell>
          <cell r="C106" t="str">
            <v>Luna Beltran; Ramon</v>
          </cell>
          <cell r="D106" t="str">
            <v>1C</v>
          </cell>
          <cell r="E106" t="str">
            <v>IBEWOUT</v>
          </cell>
          <cell r="F106" t="str">
            <v>1245</v>
          </cell>
          <cell r="G106" t="str">
            <v>17</v>
          </cell>
          <cell r="H106">
            <v>0</v>
          </cell>
        </row>
        <row r="107">
          <cell r="B107">
            <v>1604</v>
          </cell>
          <cell r="C107" t="str">
            <v>Bojt; James E</v>
          </cell>
          <cell r="D107" t="str">
            <v>1C</v>
          </cell>
          <cell r="E107" t="str">
            <v>IBEWOUT</v>
          </cell>
          <cell r="F107" t="str">
            <v>126</v>
          </cell>
          <cell r="G107" t="str">
            <v>7S</v>
          </cell>
          <cell r="H107">
            <v>0</v>
          </cell>
        </row>
        <row r="108">
          <cell r="B108">
            <v>1606</v>
          </cell>
          <cell r="C108" t="str">
            <v>Bock; Nathan Philip</v>
          </cell>
          <cell r="D108" t="str">
            <v>1C</v>
          </cell>
          <cell r="E108" t="str">
            <v>IBEWOUT</v>
          </cell>
          <cell r="F108" t="str">
            <v>77</v>
          </cell>
          <cell r="G108" t="str">
            <v>8</v>
          </cell>
          <cell r="H108">
            <v>0</v>
          </cell>
        </row>
        <row r="109">
          <cell r="B109">
            <v>1608</v>
          </cell>
          <cell r="C109" t="str">
            <v>Boisvert; Harry A</v>
          </cell>
          <cell r="D109" t="str">
            <v>1</v>
          </cell>
          <cell r="E109" t="str">
            <v>IBEWOUT</v>
          </cell>
          <cell r="F109" t="str">
            <v>1245</v>
          </cell>
          <cell r="G109" t="str">
            <v>8</v>
          </cell>
          <cell r="H109">
            <v>0</v>
          </cell>
        </row>
        <row r="110">
          <cell r="B110">
            <v>1610</v>
          </cell>
          <cell r="C110" t="str">
            <v>Belsterling; David J</v>
          </cell>
          <cell r="D110" t="str">
            <v>1C</v>
          </cell>
          <cell r="E110" t="str">
            <v>IBEWOUT</v>
          </cell>
          <cell r="F110" t="str">
            <v>126</v>
          </cell>
          <cell r="G110" t="str">
            <v>13</v>
          </cell>
          <cell r="H110">
            <v>0</v>
          </cell>
        </row>
        <row r="111">
          <cell r="B111">
            <v>1614</v>
          </cell>
          <cell r="C111" t="str">
            <v>Bentley; Lonne</v>
          </cell>
          <cell r="D111" t="str">
            <v>1C</v>
          </cell>
          <cell r="E111" t="str">
            <v>IBEWOUT</v>
          </cell>
          <cell r="F111" t="str">
            <v>77</v>
          </cell>
          <cell r="G111" t="str">
            <v>8</v>
          </cell>
          <cell r="H111">
            <v>0</v>
          </cell>
        </row>
        <row r="112">
          <cell r="B112">
            <v>1619</v>
          </cell>
          <cell r="C112" t="str">
            <v>Berg; Dane M</v>
          </cell>
          <cell r="D112" t="str">
            <v>1</v>
          </cell>
          <cell r="E112" t="str">
            <v>IBEWOUT</v>
          </cell>
          <cell r="F112" t="str">
            <v>77</v>
          </cell>
          <cell r="G112" t="str">
            <v>8</v>
          </cell>
          <cell r="H112">
            <v>0</v>
          </cell>
        </row>
        <row r="113">
          <cell r="B113">
            <v>1622</v>
          </cell>
          <cell r="C113" t="str">
            <v>Bell; Michael G</v>
          </cell>
          <cell r="D113" t="str">
            <v>1</v>
          </cell>
          <cell r="E113" t="str">
            <v>IBEWOUT</v>
          </cell>
          <cell r="F113" t="str">
            <v>1245</v>
          </cell>
          <cell r="G113" t="str">
            <v>8</v>
          </cell>
          <cell r="H113">
            <v>0</v>
          </cell>
        </row>
        <row r="114">
          <cell r="B114">
            <v>1647</v>
          </cell>
          <cell r="C114" t="str">
            <v>Baxter; Olliver</v>
          </cell>
          <cell r="D114" t="str">
            <v>1</v>
          </cell>
          <cell r="E114" t="str">
            <v/>
          </cell>
          <cell r="F114" t="str">
            <v/>
          </cell>
          <cell r="G114" t="str">
            <v/>
          </cell>
          <cell r="H114">
            <v>0</v>
          </cell>
        </row>
        <row r="115">
          <cell r="B115">
            <v>1720</v>
          </cell>
          <cell r="C115" t="str">
            <v>Berry; Andrew C.</v>
          </cell>
          <cell r="D115" t="str">
            <v>1</v>
          </cell>
          <cell r="E115" t="str">
            <v>IBEWOUT</v>
          </cell>
          <cell r="F115" t="str">
            <v>125</v>
          </cell>
          <cell r="G115" t="str">
            <v>7</v>
          </cell>
          <cell r="H115">
            <v>0</v>
          </cell>
        </row>
        <row r="116">
          <cell r="B116">
            <v>1738</v>
          </cell>
          <cell r="C116" t="str">
            <v>Bereta Jr; Larry L</v>
          </cell>
          <cell r="D116" t="str">
            <v>1C</v>
          </cell>
          <cell r="E116" t="str">
            <v>IBEWOUT</v>
          </cell>
          <cell r="F116" t="str">
            <v>47</v>
          </cell>
          <cell r="G116" t="str">
            <v>8</v>
          </cell>
          <cell r="H116">
            <v>0</v>
          </cell>
        </row>
        <row r="117">
          <cell r="B117">
            <v>1755</v>
          </cell>
          <cell r="C117" t="str">
            <v>Bibiano; Brandon Lee</v>
          </cell>
          <cell r="D117" t="str">
            <v>1C</v>
          </cell>
          <cell r="E117" t="str">
            <v>IBEWOUT</v>
          </cell>
          <cell r="F117" t="str">
            <v>611</v>
          </cell>
          <cell r="G117" t="str">
            <v>8</v>
          </cell>
          <cell r="H117">
            <v>0</v>
          </cell>
        </row>
        <row r="118">
          <cell r="B118">
            <v>1763</v>
          </cell>
          <cell r="C118" t="str">
            <v>Biggs; Bret S</v>
          </cell>
          <cell r="D118" t="str">
            <v>1C</v>
          </cell>
          <cell r="E118" t="str">
            <v>IBEWOUT</v>
          </cell>
          <cell r="F118" t="str">
            <v>1245</v>
          </cell>
          <cell r="G118" t="str">
            <v>8</v>
          </cell>
          <cell r="H118">
            <v>0</v>
          </cell>
        </row>
        <row r="119">
          <cell r="B119">
            <v>1769</v>
          </cell>
          <cell r="C119" t="str">
            <v>Bindel; Bruce A.</v>
          </cell>
          <cell r="D119" t="str">
            <v>1C</v>
          </cell>
          <cell r="E119" t="str">
            <v>IBEWOUT</v>
          </cell>
          <cell r="F119" t="str">
            <v>1245</v>
          </cell>
          <cell r="G119" t="str">
            <v>17</v>
          </cell>
          <cell r="H119">
            <v>0</v>
          </cell>
        </row>
        <row r="120">
          <cell r="B120">
            <v>1770</v>
          </cell>
          <cell r="C120" t="str">
            <v>Biro; Brandon J</v>
          </cell>
          <cell r="D120" t="str">
            <v>1C</v>
          </cell>
          <cell r="E120" t="str">
            <v>IBEWOUT</v>
          </cell>
          <cell r="F120" t="str">
            <v>769</v>
          </cell>
          <cell r="G120" t="str">
            <v>17</v>
          </cell>
          <cell r="H120">
            <v>0</v>
          </cell>
        </row>
        <row r="121">
          <cell r="B121">
            <v>1773</v>
          </cell>
          <cell r="C121" t="str">
            <v>Bills; Connor L</v>
          </cell>
          <cell r="D121" t="str">
            <v>1</v>
          </cell>
          <cell r="E121" t="str">
            <v>IBEWOUT</v>
          </cell>
          <cell r="F121" t="str">
            <v>1245</v>
          </cell>
          <cell r="G121" t="str">
            <v>14</v>
          </cell>
          <cell r="H121">
            <v>0</v>
          </cell>
        </row>
        <row r="122">
          <cell r="B122">
            <v>1774</v>
          </cell>
          <cell r="C122" t="str">
            <v>Bishop; Clark Bryant</v>
          </cell>
          <cell r="D122" t="str">
            <v>1C</v>
          </cell>
          <cell r="E122" t="str">
            <v>IBEWOUT</v>
          </cell>
          <cell r="F122" t="str">
            <v>1245</v>
          </cell>
          <cell r="G122" t="str">
            <v>8</v>
          </cell>
          <cell r="H122">
            <v>0</v>
          </cell>
        </row>
        <row r="123">
          <cell r="B123">
            <v>1775</v>
          </cell>
          <cell r="C123" t="str">
            <v>Bishop; Andrew M</v>
          </cell>
          <cell r="D123" t="str">
            <v>1C</v>
          </cell>
          <cell r="E123" t="str">
            <v>IBEWOUT</v>
          </cell>
          <cell r="F123" t="str">
            <v>77</v>
          </cell>
          <cell r="G123" t="str">
            <v>23</v>
          </cell>
          <cell r="H123">
            <v>0</v>
          </cell>
        </row>
        <row r="124">
          <cell r="B124">
            <v>1778</v>
          </cell>
          <cell r="C124" t="str">
            <v>Bishop; Toby J.</v>
          </cell>
          <cell r="D124" t="str">
            <v>1C</v>
          </cell>
          <cell r="E124" t="str">
            <v>IBEWOUT</v>
          </cell>
          <cell r="F124" t="str">
            <v>396</v>
          </cell>
          <cell r="G124" t="str">
            <v>8</v>
          </cell>
          <cell r="H124">
            <v>0</v>
          </cell>
        </row>
        <row r="125">
          <cell r="B125">
            <v>1780</v>
          </cell>
          <cell r="C125" t="str">
            <v>Bischoff; Robert S</v>
          </cell>
          <cell r="D125" t="str">
            <v>1C</v>
          </cell>
          <cell r="E125" t="str">
            <v>IBEWOUT</v>
          </cell>
          <cell r="F125" t="str">
            <v>1319</v>
          </cell>
          <cell r="G125" t="str">
            <v>8</v>
          </cell>
          <cell r="H125">
            <v>0</v>
          </cell>
        </row>
        <row r="126">
          <cell r="B126">
            <v>1830</v>
          </cell>
          <cell r="C126" t="str">
            <v>Black; Jonathan Michael</v>
          </cell>
          <cell r="D126" t="str">
            <v>1</v>
          </cell>
          <cell r="E126" t="str">
            <v>IBEWOUT</v>
          </cell>
          <cell r="F126" t="str">
            <v>125</v>
          </cell>
          <cell r="G126" t="str">
            <v>8</v>
          </cell>
          <cell r="H126">
            <v>0</v>
          </cell>
        </row>
        <row r="127">
          <cell r="B127">
            <v>1831</v>
          </cell>
          <cell r="C127" t="str">
            <v>Black; Haven</v>
          </cell>
          <cell r="D127" t="str">
            <v>1C</v>
          </cell>
          <cell r="E127" t="str">
            <v>IBEWOUT</v>
          </cell>
          <cell r="F127" t="str">
            <v>47</v>
          </cell>
          <cell r="G127" t="str">
            <v>17</v>
          </cell>
          <cell r="H127">
            <v>0</v>
          </cell>
        </row>
        <row r="128">
          <cell r="B128">
            <v>1835</v>
          </cell>
          <cell r="C128" t="str">
            <v>Blacksheep; Darrell A.</v>
          </cell>
          <cell r="D128" t="str">
            <v>1C</v>
          </cell>
          <cell r="E128" t="str">
            <v>IBEWOUT</v>
          </cell>
          <cell r="F128" t="str">
            <v>769</v>
          </cell>
          <cell r="G128" t="str">
            <v>8</v>
          </cell>
          <cell r="H128">
            <v>0</v>
          </cell>
        </row>
        <row r="129">
          <cell r="B129">
            <v>1839</v>
          </cell>
          <cell r="C129" t="str">
            <v>Blagg; Michael L.</v>
          </cell>
          <cell r="D129" t="str">
            <v>1C</v>
          </cell>
          <cell r="E129" t="str">
            <v>IBEWOUT</v>
          </cell>
          <cell r="F129" t="str">
            <v>602R</v>
          </cell>
          <cell r="G129" t="str">
            <v>8</v>
          </cell>
          <cell r="H129">
            <v>0</v>
          </cell>
        </row>
        <row r="130">
          <cell r="B130">
            <v>1846</v>
          </cell>
          <cell r="C130" t="str">
            <v>Blalock; Michael R</v>
          </cell>
          <cell r="D130" t="str">
            <v>1C</v>
          </cell>
          <cell r="E130" t="str">
            <v>IBEWOUT</v>
          </cell>
          <cell r="F130" t="str">
            <v>769</v>
          </cell>
          <cell r="G130" t="str">
            <v>8</v>
          </cell>
          <cell r="H130">
            <v>0</v>
          </cell>
        </row>
        <row r="131">
          <cell r="B131">
            <v>1849</v>
          </cell>
          <cell r="C131" t="str">
            <v>Blakely Jr.; Steven William</v>
          </cell>
          <cell r="D131" t="str">
            <v>1C</v>
          </cell>
          <cell r="E131" t="str">
            <v>IBEWOUT</v>
          </cell>
          <cell r="F131" t="str">
            <v>769</v>
          </cell>
          <cell r="G131" t="str">
            <v>22</v>
          </cell>
          <cell r="H131">
            <v>0</v>
          </cell>
        </row>
        <row r="132">
          <cell r="B132">
            <v>1851</v>
          </cell>
          <cell r="C132" t="str">
            <v>Blakely; Taunia M</v>
          </cell>
          <cell r="D132" t="str">
            <v>1C</v>
          </cell>
          <cell r="E132" t="str">
            <v>IBEWIN</v>
          </cell>
          <cell r="F132" t="str">
            <v>280</v>
          </cell>
          <cell r="G132" t="str">
            <v>61</v>
          </cell>
          <cell r="H132">
            <v>0</v>
          </cell>
        </row>
        <row r="133">
          <cell r="B133">
            <v>1860</v>
          </cell>
          <cell r="C133" t="str">
            <v>Bligh; Brandon R</v>
          </cell>
          <cell r="D133" t="str">
            <v>1C</v>
          </cell>
          <cell r="E133" t="str">
            <v>IBEWOUT</v>
          </cell>
          <cell r="F133" t="str">
            <v>47</v>
          </cell>
          <cell r="G133" t="str">
            <v>8</v>
          </cell>
          <cell r="H133">
            <v>0</v>
          </cell>
        </row>
        <row r="134">
          <cell r="B134">
            <v>1869</v>
          </cell>
          <cell r="C134" t="str">
            <v>Bleak; Coby R</v>
          </cell>
          <cell r="D134" t="str">
            <v>1</v>
          </cell>
          <cell r="E134" t="str">
            <v>IBEWOUT</v>
          </cell>
          <cell r="F134" t="str">
            <v>47</v>
          </cell>
          <cell r="G134" t="str">
            <v>8</v>
          </cell>
          <cell r="H134">
            <v>0</v>
          </cell>
        </row>
        <row r="135">
          <cell r="B135">
            <v>1871</v>
          </cell>
          <cell r="C135" t="str">
            <v>Blount; Undrae A</v>
          </cell>
          <cell r="D135" t="str">
            <v>1C</v>
          </cell>
          <cell r="E135" t="str">
            <v>IBEWOUT</v>
          </cell>
          <cell r="F135" t="str">
            <v>1049</v>
          </cell>
          <cell r="G135" t="str">
            <v>17</v>
          </cell>
          <cell r="H135">
            <v>0</v>
          </cell>
        </row>
        <row r="136">
          <cell r="B136">
            <v>1940</v>
          </cell>
          <cell r="C136" t="str">
            <v>Bond; Bob M.</v>
          </cell>
          <cell r="D136" t="str">
            <v>1C</v>
          </cell>
          <cell r="E136" t="str">
            <v>IBEWOUT</v>
          </cell>
          <cell r="F136" t="str">
            <v>77</v>
          </cell>
          <cell r="G136" t="str">
            <v>8</v>
          </cell>
          <cell r="H136">
            <v>0</v>
          </cell>
        </row>
        <row r="137">
          <cell r="B137">
            <v>1962</v>
          </cell>
          <cell r="C137" t="str">
            <v>Booker; Chris L</v>
          </cell>
          <cell r="D137" t="str">
            <v>1C</v>
          </cell>
          <cell r="E137" t="str">
            <v>IBEWOUT</v>
          </cell>
          <cell r="F137" t="str">
            <v>1245</v>
          </cell>
          <cell r="G137" t="str">
            <v>8</v>
          </cell>
          <cell r="H137">
            <v>0</v>
          </cell>
        </row>
        <row r="138">
          <cell r="B138">
            <v>1970</v>
          </cell>
          <cell r="C138" t="str">
            <v>Booton; Michael G</v>
          </cell>
          <cell r="D138" t="str">
            <v>1C</v>
          </cell>
          <cell r="E138" t="str">
            <v>IBEWOUT</v>
          </cell>
          <cell r="F138" t="str">
            <v>1245</v>
          </cell>
          <cell r="G138" t="str">
            <v>13</v>
          </cell>
          <cell r="H138">
            <v>0</v>
          </cell>
        </row>
        <row r="139">
          <cell r="B139">
            <v>1980</v>
          </cell>
          <cell r="C139" t="str">
            <v>Borboa; Jose C.</v>
          </cell>
          <cell r="D139" t="str">
            <v>1C</v>
          </cell>
          <cell r="E139" t="str">
            <v>IBEWOUT</v>
          </cell>
          <cell r="F139" t="str">
            <v>769</v>
          </cell>
          <cell r="G139" t="str">
            <v>20</v>
          </cell>
          <cell r="H139">
            <v>0</v>
          </cell>
        </row>
        <row r="140">
          <cell r="B140">
            <v>1981</v>
          </cell>
          <cell r="C140" t="str">
            <v>Borden; James A</v>
          </cell>
          <cell r="D140" t="str">
            <v>1</v>
          </cell>
          <cell r="E140" t="str">
            <v>IBEWOUT</v>
          </cell>
          <cell r="F140" t="str">
            <v>77</v>
          </cell>
          <cell r="G140" t="str">
            <v>13</v>
          </cell>
          <cell r="H140">
            <v>0</v>
          </cell>
        </row>
        <row r="141">
          <cell r="B141">
            <v>2068</v>
          </cell>
          <cell r="C141" t="str">
            <v>Bauder; Craig Richard</v>
          </cell>
          <cell r="D141" t="str">
            <v>1</v>
          </cell>
          <cell r="E141" t="str">
            <v/>
          </cell>
          <cell r="F141" t="str">
            <v/>
          </cell>
          <cell r="G141" t="str">
            <v/>
          </cell>
          <cell r="H141">
            <v>1</v>
          </cell>
        </row>
        <row r="142">
          <cell r="B142">
            <v>2084</v>
          </cell>
          <cell r="C142" t="str">
            <v>Boughamer; Brandon J</v>
          </cell>
          <cell r="D142" t="str">
            <v>1</v>
          </cell>
          <cell r="E142" t="str">
            <v>IBEWOUT</v>
          </cell>
          <cell r="F142" t="str">
            <v>769</v>
          </cell>
          <cell r="G142" t="str">
            <v>14</v>
          </cell>
          <cell r="H142">
            <v>0</v>
          </cell>
        </row>
        <row r="143">
          <cell r="B143">
            <v>2086</v>
          </cell>
          <cell r="C143" t="str">
            <v>Boulden; Alexander A</v>
          </cell>
          <cell r="D143" t="str">
            <v>1C</v>
          </cell>
          <cell r="E143" t="str">
            <v>IBEWOUT</v>
          </cell>
          <cell r="F143" t="str">
            <v>1245</v>
          </cell>
          <cell r="G143" t="str">
            <v>17</v>
          </cell>
          <cell r="H143">
            <v>0</v>
          </cell>
        </row>
        <row r="144">
          <cell r="B144">
            <v>2090</v>
          </cell>
          <cell r="C144" t="str">
            <v>Bourgeois; Russel L</v>
          </cell>
          <cell r="D144" t="str">
            <v>1C</v>
          </cell>
          <cell r="E144" t="str">
            <v>IBEWOUT</v>
          </cell>
          <cell r="F144" t="str">
            <v>77</v>
          </cell>
          <cell r="G144" t="str">
            <v>8</v>
          </cell>
          <cell r="H144">
            <v>0</v>
          </cell>
        </row>
        <row r="145">
          <cell r="B145">
            <v>2114</v>
          </cell>
          <cell r="C145" t="str">
            <v>Bowie; William B</v>
          </cell>
          <cell r="D145" t="str">
            <v>1C</v>
          </cell>
          <cell r="E145" t="str">
            <v>IBEWOUT</v>
          </cell>
          <cell r="F145" t="str">
            <v>1049</v>
          </cell>
          <cell r="G145" t="str">
            <v>8</v>
          </cell>
          <cell r="H145">
            <v>0</v>
          </cell>
        </row>
        <row r="146">
          <cell r="B146">
            <v>2118</v>
          </cell>
          <cell r="C146" t="str">
            <v>Bautista; Hector N.</v>
          </cell>
          <cell r="D146" t="str">
            <v>1C</v>
          </cell>
          <cell r="E146" t="str">
            <v>IBEWOUT</v>
          </cell>
          <cell r="F146" t="str">
            <v>396</v>
          </cell>
          <cell r="G146" t="str">
            <v>8</v>
          </cell>
          <cell r="H146">
            <v>0</v>
          </cell>
        </row>
        <row r="147">
          <cell r="B147">
            <v>2119</v>
          </cell>
          <cell r="C147" t="str">
            <v>Brandt; Travis M</v>
          </cell>
          <cell r="D147" t="str">
            <v>1</v>
          </cell>
          <cell r="E147" t="str">
            <v>IBEWOUT</v>
          </cell>
          <cell r="F147" t="str">
            <v>47</v>
          </cell>
          <cell r="G147" t="str">
            <v>7</v>
          </cell>
          <cell r="H147">
            <v>0</v>
          </cell>
        </row>
        <row r="148">
          <cell r="B148">
            <v>2128</v>
          </cell>
          <cell r="C148" t="str">
            <v>Braaten; Jason W</v>
          </cell>
          <cell r="D148" t="str">
            <v>1C</v>
          </cell>
          <cell r="E148" t="str">
            <v>IBEWOUT</v>
          </cell>
          <cell r="F148" t="str">
            <v>1245</v>
          </cell>
          <cell r="G148" t="str">
            <v>8</v>
          </cell>
          <cell r="H148">
            <v>0</v>
          </cell>
        </row>
        <row r="149">
          <cell r="B149">
            <v>2129</v>
          </cell>
          <cell r="C149" t="str">
            <v>Bradford; Richard</v>
          </cell>
          <cell r="D149" t="str">
            <v>1C</v>
          </cell>
          <cell r="E149" t="str">
            <v>IBEWOUT</v>
          </cell>
          <cell r="F149" t="str">
            <v>602R</v>
          </cell>
          <cell r="G149" t="str">
            <v>7</v>
          </cell>
          <cell r="H149">
            <v>0</v>
          </cell>
        </row>
        <row r="150">
          <cell r="B150">
            <v>2131</v>
          </cell>
          <cell r="C150" t="str">
            <v>Bradley; Michael W.</v>
          </cell>
          <cell r="D150" t="str">
            <v>1C</v>
          </cell>
          <cell r="E150" t="str">
            <v>IBEWOUT</v>
          </cell>
          <cell r="F150" t="str">
            <v>1245</v>
          </cell>
          <cell r="G150" t="str">
            <v>8</v>
          </cell>
          <cell r="H150">
            <v>0</v>
          </cell>
        </row>
        <row r="151">
          <cell r="B151">
            <v>2136</v>
          </cell>
          <cell r="C151" t="str">
            <v>Boyd Jr.; Philip R.</v>
          </cell>
          <cell r="D151" t="str">
            <v>1C</v>
          </cell>
          <cell r="E151" t="str">
            <v>IBEWOUT</v>
          </cell>
          <cell r="F151" t="str">
            <v>1245</v>
          </cell>
          <cell r="G151" t="str">
            <v>8</v>
          </cell>
          <cell r="H151">
            <v>0</v>
          </cell>
        </row>
        <row r="152">
          <cell r="B152">
            <v>2137</v>
          </cell>
          <cell r="C152" t="str">
            <v>Boyd; Joseph M</v>
          </cell>
          <cell r="D152" t="str">
            <v>1</v>
          </cell>
          <cell r="E152" t="str">
            <v>IBEWOUT</v>
          </cell>
          <cell r="F152" t="str">
            <v>77</v>
          </cell>
          <cell r="G152" t="str">
            <v>11</v>
          </cell>
          <cell r="H152">
            <v>0</v>
          </cell>
        </row>
        <row r="153">
          <cell r="B153">
            <v>2138</v>
          </cell>
          <cell r="C153" t="str">
            <v>Boyd; Ethan F</v>
          </cell>
          <cell r="D153" t="str">
            <v>1</v>
          </cell>
          <cell r="E153" t="str">
            <v>IBEWOUT</v>
          </cell>
          <cell r="F153" t="str">
            <v>77</v>
          </cell>
          <cell r="G153" t="str">
            <v>15</v>
          </cell>
          <cell r="H153">
            <v>0</v>
          </cell>
        </row>
        <row r="154">
          <cell r="B154">
            <v>2140</v>
          </cell>
          <cell r="C154" t="str">
            <v>Brant; Justin</v>
          </cell>
          <cell r="D154" t="str">
            <v>1C</v>
          </cell>
          <cell r="E154" t="str">
            <v/>
          </cell>
          <cell r="F154" t="str">
            <v/>
          </cell>
          <cell r="G154" t="str">
            <v/>
          </cell>
          <cell r="H154">
            <v>0</v>
          </cell>
        </row>
        <row r="155">
          <cell r="B155">
            <v>2141</v>
          </cell>
          <cell r="C155" t="str">
            <v>Boyle; Kevin T.</v>
          </cell>
          <cell r="D155" t="str">
            <v>1C</v>
          </cell>
          <cell r="E155" t="str">
            <v>IBEWOUT</v>
          </cell>
          <cell r="F155" t="str">
            <v>125</v>
          </cell>
          <cell r="G155" t="str">
            <v>12</v>
          </cell>
          <cell r="H155">
            <v>0</v>
          </cell>
        </row>
        <row r="156">
          <cell r="B156">
            <v>2144</v>
          </cell>
          <cell r="C156" t="str">
            <v>Brdlik; Michael R</v>
          </cell>
          <cell r="D156" t="str">
            <v>1C</v>
          </cell>
          <cell r="E156" t="str">
            <v>IBEWOUT</v>
          </cell>
          <cell r="F156" t="str">
            <v>1245</v>
          </cell>
          <cell r="G156" t="str">
            <v>8</v>
          </cell>
          <cell r="H156">
            <v>0</v>
          </cell>
        </row>
        <row r="157">
          <cell r="B157">
            <v>2174</v>
          </cell>
          <cell r="C157" t="str">
            <v>Breaux; Derrick J</v>
          </cell>
          <cell r="D157" t="str">
            <v>1</v>
          </cell>
          <cell r="E157" t="str">
            <v/>
          </cell>
          <cell r="F157" t="str">
            <v/>
          </cell>
          <cell r="G157" t="str">
            <v/>
          </cell>
          <cell r="H157">
            <v>0</v>
          </cell>
        </row>
        <row r="158">
          <cell r="B158">
            <v>2188</v>
          </cell>
          <cell r="C158" t="str">
            <v>Brennan; Michael D.</v>
          </cell>
          <cell r="D158" t="str">
            <v>1</v>
          </cell>
          <cell r="E158" t="str">
            <v>IBEWOUT</v>
          </cell>
          <cell r="F158" t="str">
            <v>611</v>
          </cell>
          <cell r="G158" t="str">
            <v>7</v>
          </cell>
          <cell r="H158">
            <v>0</v>
          </cell>
        </row>
        <row r="159">
          <cell r="B159">
            <v>2203</v>
          </cell>
          <cell r="C159" t="str">
            <v>Britt; Mitchell L.</v>
          </cell>
          <cell r="D159" t="str">
            <v>1C</v>
          </cell>
          <cell r="E159" t="str">
            <v>IBEWOUT</v>
          </cell>
          <cell r="F159" t="str">
            <v>1245</v>
          </cell>
          <cell r="G159" t="str">
            <v>8</v>
          </cell>
          <cell r="H159">
            <v>0</v>
          </cell>
        </row>
        <row r="160">
          <cell r="B160">
            <v>2205</v>
          </cell>
          <cell r="C160" t="str">
            <v>Britton; Mark C</v>
          </cell>
          <cell r="D160" t="str">
            <v>1</v>
          </cell>
          <cell r="E160" t="str">
            <v/>
          </cell>
          <cell r="F160" t="str">
            <v/>
          </cell>
          <cell r="G160" t="str">
            <v/>
          </cell>
          <cell r="H160">
            <v>1</v>
          </cell>
        </row>
        <row r="161">
          <cell r="B161">
            <v>2210</v>
          </cell>
          <cell r="C161" t="str">
            <v>Brogdon; Case O</v>
          </cell>
          <cell r="D161" t="str">
            <v>1C</v>
          </cell>
          <cell r="E161" t="str">
            <v>IBEWOUT</v>
          </cell>
          <cell r="F161" t="str">
            <v>611</v>
          </cell>
          <cell r="G161" t="str">
            <v>11</v>
          </cell>
          <cell r="H161">
            <v>0</v>
          </cell>
        </row>
        <row r="162">
          <cell r="B162">
            <v>2213</v>
          </cell>
          <cell r="C162" t="str">
            <v>Bronson; Jeffrey Wayne</v>
          </cell>
          <cell r="D162" t="str">
            <v>1</v>
          </cell>
          <cell r="E162" t="str">
            <v>IBEWOUT</v>
          </cell>
          <cell r="F162" t="str">
            <v>125</v>
          </cell>
          <cell r="G162" t="str">
            <v>1</v>
          </cell>
          <cell r="H162">
            <v>1</v>
          </cell>
        </row>
        <row r="163">
          <cell r="B163">
            <v>2221</v>
          </cell>
          <cell r="C163" t="str">
            <v>Brown; Zebulun M</v>
          </cell>
          <cell r="D163" t="str">
            <v>1</v>
          </cell>
          <cell r="E163" t="str">
            <v>IBEWOUT</v>
          </cell>
          <cell r="F163" t="str">
            <v>1245</v>
          </cell>
          <cell r="G163" t="str">
            <v>16</v>
          </cell>
          <cell r="H163">
            <v>0</v>
          </cell>
        </row>
        <row r="164">
          <cell r="B164">
            <v>2223</v>
          </cell>
          <cell r="C164" t="str">
            <v>Childers; Clayton J</v>
          </cell>
          <cell r="D164" t="str">
            <v>1C</v>
          </cell>
          <cell r="E164" t="str">
            <v>IBEWOUT</v>
          </cell>
          <cell r="F164" t="str">
            <v>77</v>
          </cell>
          <cell r="G164" t="str">
            <v>8</v>
          </cell>
          <cell r="H164">
            <v>0</v>
          </cell>
        </row>
        <row r="165">
          <cell r="B165">
            <v>2243</v>
          </cell>
          <cell r="C165" t="str">
            <v>Brown; Kevin C.</v>
          </cell>
          <cell r="D165" t="str">
            <v>1C</v>
          </cell>
          <cell r="E165" t="str">
            <v>IBEWOUT</v>
          </cell>
          <cell r="F165" t="str">
            <v>1245</v>
          </cell>
          <cell r="G165" t="str">
            <v>7</v>
          </cell>
          <cell r="H165">
            <v>0</v>
          </cell>
        </row>
        <row r="166">
          <cell r="B166">
            <v>2262</v>
          </cell>
          <cell r="C166" t="str">
            <v>Brumfield; Kevin M</v>
          </cell>
          <cell r="D166" t="str">
            <v>1</v>
          </cell>
          <cell r="E166" t="str">
            <v>IBEWOUT</v>
          </cell>
          <cell r="F166" t="str">
            <v>125</v>
          </cell>
          <cell r="G166" t="str">
            <v>13</v>
          </cell>
          <cell r="H166">
            <v>0</v>
          </cell>
        </row>
        <row r="167">
          <cell r="B167">
            <v>2265</v>
          </cell>
          <cell r="C167" t="str">
            <v>Brothers; John W</v>
          </cell>
          <cell r="D167" t="str">
            <v>1</v>
          </cell>
          <cell r="E167" t="str">
            <v/>
          </cell>
          <cell r="F167" t="str">
            <v/>
          </cell>
          <cell r="G167" t="str">
            <v/>
          </cell>
          <cell r="H167">
            <v>0</v>
          </cell>
        </row>
        <row r="168">
          <cell r="B168">
            <v>2268</v>
          </cell>
          <cell r="C168" t="str">
            <v>Brown; Richard R</v>
          </cell>
          <cell r="D168" t="str">
            <v>1C</v>
          </cell>
          <cell r="E168" t="str">
            <v>IBEWOUT</v>
          </cell>
          <cell r="F168" t="str">
            <v>126</v>
          </cell>
          <cell r="G168" t="str">
            <v>16</v>
          </cell>
          <cell r="H168">
            <v>0</v>
          </cell>
        </row>
        <row r="169">
          <cell r="B169">
            <v>2270</v>
          </cell>
          <cell r="C169" t="str">
            <v>Brown; Floyd W</v>
          </cell>
          <cell r="D169" t="str">
            <v>1C</v>
          </cell>
          <cell r="E169" t="str">
            <v>IBEWOUT</v>
          </cell>
          <cell r="F169" t="str">
            <v>769</v>
          </cell>
          <cell r="G169" t="str">
            <v>8</v>
          </cell>
          <cell r="H169">
            <v>0</v>
          </cell>
        </row>
        <row r="170">
          <cell r="B170">
            <v>2273</v>
          </cell>
          <cell r="C170" t="str">
            <v>Brunner; Brian A.</v>
          </cell>
          <cell r="D170" t="str">
            <v>1</v>
          </cell>
          <cell r="E170" t="str">
            <v>IBEWOUT</v>
          </cell>
          <cell r="F170" t="str">
            <v>77</v>
          </cell>
          <cell r="G170" t="str">
            <v>8</v>
          </cell>
          <cell r="H170">
            <v>0</v>
          </cell>
        </row>
        <row r="171">
          <cell r="B171">
            <v>2279</v>
          </cell>
          <cell r="C171" t="str">
            <v>Bruce; Carson L</v>
          </cell>
          <cell r="D171" t="str">
            <v>1C</v>
          </cell>
          <cell r="E171" t="str">
            <v>IBEWOUT</v>
          </cell>
          <cell r="F171" t="str">
            <v>1245</v>
          </cell>
          <cell r="G171" t="str">
            <v>7</v>
          </cell>
          <cell r="H171">
            <v>0</v>
          </cell>
        </row>
        <row r="172">
          <cell r="B172">
            <v>2341</v>
          </cell>
          <cell r="C172" t="str">
            <v>Buchanan; Jerrett S</v>
          </cell>
          <cell r="D172" t="str">
            <v>1C</v>
          </cell>
          <cell r="E172" t="str">
            <v>IBEWOUT</v>
          </cell>
          <cell r="F172" t="str">
            <v>125</v>
          </cell>
          <cell r="G172" t="str">
            <v>11</v>
          </cell>
          <cell r="H172">
            <v>0</v>
          </cell>
        </row>
        <row r="173">
          <cell r="B173">
            <v>2356</v>
          </cell>
          <cell r="C173" t="str">
            <v>Bullard; Richard TL</v>
          </cell>
          <cell r="D173" t="str">
            <v>1</v>
          </cell>
          <cell r="E173" t="str">
            <v>IBEWOUT</v>
          </cell>
          <cell r="F173" t="str">
            <v>1245</v>
          </cell>
          <cell r="G173" t="str">
            <v>8</v>
          </cell>
          <cell r="H173">
            <v>0</v>
          </cell>
        </row>
        <row r="174">
          <cell r="B174">
            <v>2357</v>
          </cell>
          <cell r="C174" t="str">
            <v>Butler; Johnathan L</v>
          </cell>
          <cell r="D174" t="str">
            <v>1</v>
          </cell>
          <cell r="E174" t="str">
            <v>IBEWOUT</v>
          </cell>
          <cell r="F174" t="str">
            <v>77</v>
          </cell>
          <cell r="G174" t="str">
            <v>8</v>
          </cell>
          <cell r="H174">
            <v>0</v>
          </cell>
        </row>
        <row r="175">
          <cell r="B175">
            <v>2360</v>
          </cell>
          <cell r="C175" t="str">
            <v>Bunnell; Gregory L</v>
          </cell>
          <cell r="D175" t="str">
            <v>1C</v>
          </cell>
          <cell r="E175" t="str">
            <v>IBEWOUT</v>
          </cell>
          <cell r="F175" t="str">
            <v>1245</v>
          </cell>
          <cell r="G175" t="str">
            <v>8</v>
          </cell>
          <cell r="H175">
            <v>0</v>
          </cell>
        </row>
        <row r="176">
          <cell r="B176">
            <v>2365</v>
          </cell>
          <cell r="C176" t="str">
            <v>Burkhard; Christopher R</v>
          </cell>
          <cell r="D176" t="str">
            <v>1</v>
          </cell>
          <cell r="E176" t="str">
            <v>IBEWOUT</v>
          </cell>
          <cell r="F176" t="str">
            <v>611</v>
          </cell>
          <cell r="G176" t="str">
            <v>1</v>
          </cell>
          <cell r="H176">
            <v>0</v>
          </cell>
        </row>
        <row r="177">
          <cell r="B177">
            <v>2366</v>
          </cell>
          <cell r="C177" t="str">
            <v>Burchett; Justin D.</v>
          </cell>
          <cell r="D177" t="str">
            <v>1C</v>
          </cell>
          <cell r="E177" t="str">
            <v>IBEWOUT</v>
          </cell>
          <cell r="F177" t="str">
            <v>769</v>
          </cell>
          <cell r="G177" t="str">
            <v>15</v>
          </cell>
          <cell r="H177">
            <v>0</v>
          </cell>
        </row>
        <row r="178">
          <cell r="B178">
            <v>2379</v>
          </cell>
          <cell r="C178" t="str">
            <v>Bush; Jeffrey D</v>
          </cell>
          <cell r="D178" t="str">
            <v>1</v>
          </cell>
          <cell r="E178" t="str">
            <v>IBEWOUT</v>
          </cell>
          <cell r="F178" t="str">
            <v>1245</v>
          </cell>
          <cell r="G178" t="str">
            <v>8</v>
          </cell>
          <cell r="H178">
            <v>0</v>
          </cell>
        </row>
        <row r="179">
          <cell r="B179">
            <v>2380</v>
          </cell>
          <cell r="C179" t="str">
            <v>Bush; Jeffrey W.</v>
          </cell>
          <cell r="D179" t="str">
            <v>1C</v>
          </cell>
          <cell r="E179" t="str">
            <v>IBEWOUT</v>
          </cell>
          <cell r="F179" t="str">
            <v>769</v>
          </cell>
          <cell r="G179" t="str">
            <v>16</v>
          </cell>
          <cell r="H179">
            <v>0</v>
          </cell>
        </row>
        <row r="180">
          <cell r="B180">
            <v>2388</v>
          </cell>
          <cell r="C180" t="str">
            <v>Buswell; Gannon B.</v>
          </cell>
          <cell r="D180" t="str">
            <v>1</v>
          </cell>
          <cell r="E180" t="str">
            <v/>
          </cell>
          <cell r="F180" t="str">
            <v/>
          </cell>
          <cell r="G180" t="str">
            <v/>
          </cell>
          <cell r="H180">
            <v>1</v>
          </cell>
        </row>
        <row r="181">
          <cell r="B181">
            <v>2389</v>
          </cell>
          <cell r="C181" t="str">
            <v>Bustos; Anthony D</v>
          </cell>
          <cell r="D181" t="str">
            <v>1</v>
          </cell>
          <cell r="E181" t="str">
            <v>IBEWOUT</v>
          </cell>
          <cell r="F181" t="str">
            <v>611</v>
          </cell>
          <cell r="G181" t="str">
            <v>8</v>
          </cell>
          <cell r="H181">
            <v>0</v>
          </cell>
        </row>
        <row r="182">
          <cell r="B182">
            <v>2402</v>
          </cell>
          <cell r="C182" t="str">
            <v>Burt; Matthew P</v>
          </cell>
          <cell r="D182" t="str">
            <v>1C</v>
          </cell>
          <cell r="E182" t="str">
            <v>IBEWOUT</v>
          </cell>
          <cell r="F182" t="str">
            <v>47</v>
          </cell>
          <cell r="G182" t="str">
            <v>8</v>
          </cell>
          <cell r="H182">
            <v>0</v>
          </cell>
        </row>
        <row r="183">
          <cell r="B183">
            <v>2408</v>
          </cell>
          <cell r="C183" t="str">
            <v>Burnett; Eva M</v>
          </cell>
          <cell r="D183" t="str">
            <v>1C</v>
          </cell>
          <cell r="E183" t="str">
            <v>IBEWOUT</v>
          </cell>
          <cell r="F183" t="str">
            <v>47</v>
          </cell>
          <cell r="G183" t="str">
            <v>17</v>
          </cell>
          <cell r="H183">
            <v>0</v>
          </cell>
        </row>
        <row r="184">
          <cell r="B184">
            <v>2411</v>
          </cell>
          <cell r="C184" t="str">
            <v>Burnette; Mark S</v>
          </cell>
          <cell r="D184" t="str">
            <v>1</v>
          </cell>
          <cell r="E184" t="str">
            <v>IBEWIN</v>
          </cell>
          <cell r="F184" t="str">
            <v>73</v>
          </cell>
          <cell r="G184" t="str">
            <v>62</v>
          </cell>
          <cell r="H184">
            <v>0</v>
          </cell>
        </row>
        <row r="185">
          <cell r="B185">
            <v>2420</v>
          </cell>
          <cell r="C185" t="str">
            <v>Butcher; Kody A.</v>
          </cell>
          <cell r="D185" t="str">
            <v>1C</v>
          </cell>
          <cell r="E185" t="str">
            <v>IBEWOUT</v>
          </cell>
          <cell r="F185" t="str">
            <v>1319</v>
          </cell>
          <cell r="G185" t="str">
            <v>12</v>
          </cell>
          <cell r="H185">
            <v>0</v>
          </cell>
        </row>
        <row r="186">
          <cell r="B186">
            <v>2425</v>
          </cell>
          <cell r="C186" t="str">
            <v>Bykonen; Shane R</v>
          </cell>
          <cell r="D186" t="str">
            <v>1</v>
          </cell>
          <cell r="E186" t="str">
            <v>IBEWOUT</v>
          </cell>
          <cell r="F186" t="str">
            <v>1245</v>
          </cell>
          <cell r="G186" t="str">
            <v>8</v>
          </cell>
          <cell r="H186">
            <v>0</v>
          </cell>
        </row>
        <row r="187">
          <cell r="B187">
            <v>2551</v>
          </cell>
          <cell r="C187" t="str">
            <v>Calahan; Stephen D</v>
          </cell>
          <cell r="D187" t="str">
            <v>1</v>
          </cell>
          <cell r="E187" t="str">
            <v>IBEWOUT</v>
          </cell>
          <cell r="F187" t="str">
            <v>47</v>
          </cell>
          <cell r="G187" t="str">
            <v>17</v>
          </cell>
          <cell r="H187">
            <v>0</v>
          </cell>
        </row>
        <row r="188">
          <cell r="B188">
            <v>2555</v>
          </cell>
          <cell r="C188" t="str">
            <v>Cain; Jonathan B</v>
          </cell>
          <cell r="D188" t="str">
            <v>1C</v>
          </cell>
          <cell r="E188" t="str">
            <v>IBEWOUT</v>
          </cell>
          <cell r="F188" t="str">
            <v>1245</v>
          </cell>
          <cell r="G188" t="str">
            <v>8</v>
          </cell>
          <cell r="H188">
            <v>0</v>
          </cell>
        </row>
        <row r="189">
          <cell r="B189">
            <v>2556</v>
          </cell>
          <cell r="C189" t="str">
            <v>Calhoun; Anthony R</v>
          </cell>
          <cell r="D189" t="str">
            <v>1C</v>
          </cell>
          <cell r="E189" t="str">
            <v>IBEWOUT</v>
          </cell>
          <cell r="F189" t="str">
            <v>1245</v>
          </cell>
          <cell r="G189" t="str">
            <v>8</v>
          </cell>
          <cell r="H189">
            <v>0</v>
          </cell>
        </row>
        <row r="190">
          <cell r="B190">
            <v>2557</v>
          </cell>
          <cell r="C190" t="str">
            <v>Caldwell; Shawn D.</v>
          </cell>
          <cell r="D190" t="str">
            <v>1</v>
          </cell>
          <cell r="E190" t="str">
            <v/>
          </cell>
          <cell r="F190" t="str">
            <v/>
          </cell>
          <cell r="G190" t="str">
            <v/>
          </cell>
          <cell r="H190">
            <v>1</v>
          </cell>
        </row>
        <row r="191">
          <cell r="B191">
            <v>2558</v>
          </cell>
          <cell r="C191" t="str">
            <v>Calvillo; Ramon C</v>
          </cell>
          <cell r="D191" t="str">
            <v>1C</v>
          </cell>
          <cell r="E191" t="str">
            <v>IBEWOUT</v>
          </cell>
          <cell r="F191" t="str">
            <v>47</v>
          </cell>
          <cell r="G191" t="str">
            <v>17</v>
          </cell>
          <cell r="H191">
            <v>0</v>
          </cell>
        </row>
        <row r="192">
          <cell r="B192">
            <v>2559</v>
          </cell>
          <cell r="C192" t="str">
            <v>Caldwell; Brian J</v>
          </cell>
          <cell r="D192" t="str">
            <v>1C</v>
          </cell>
          <cell r="E192" t="str">
            <v>IBEWOUT</v>
          </cell>
          <cell r="F192" t="str">
            <v>104</v>
          </cell>
          <cell r="G192" t="str">
            <v>8</v>
          </cell>
          <cell r="H192">
            <v>0</v>
          </cell>
        </row>
        <row r="193">
          <cell r="B193">
            <v>2560</v>
          </cell>
          <cell r="C193" t="str">
            <v>Cage; Cody M</v>
          </cell>
          <cell r="D193" t="str">
            <v>1C</v>
          </cell>
          <cell r="E193" t="str">
            <v>IBEWOUT</v>
          </cell>
          <cell r="F193" t="str">
            <v>1245</v>
          </cell>
          <cell r="G193" t="str">
            <v>8</v>
          </cell>
          <cell r="H193">
            <v>0</v>
          </cell>
        </row>
        <row r="194">
          <cell r="B194">
            <v>2561</v>
          </cell>
          <cell r="C194" t="str">
            <v>Caldwell; Randy C</v>
          </cell>
          <cell r="D194" t="str">
            <v>1C</v>
          </cell>
          <cell r="E194" t="str">
            <v>IBEWOUT</v>
          </cell>
          <cell r="F194" t="str">
            <v>1245</v>
          </cell>
          <cell r="G194" t="str">
            <v>8</v>
          </cell>
          <cell r="H194">
            <v>0</v>
          </cell>
        </row>
        <row r="195">
          <cell r="B195">
            <v>2563</v>
          </cell>
          <cell r="C195" t="str">
            <v>Canal; Adam</v>
          </cell>
          <cell r="D195" t="str">
            <v>1C</v>
          </cell>
          <cell r="E195" t="str">
            <v>IBEWOUT</v>
          </cell>
          <cell r="F195" t="str">
            <v>1245</v>
          </cell>
          <cell r="G195" t="str">
            <v>17</v>
          </cell>
          <cell r="H195">
            <v>0</v>
          </cell>
        </row>
        <row r="196">
          <cell r="B196">
            <v>2564</v>
          </cell>
          <cell r="C196" t="str">
            <v>Camp; Travis D</v>
          </cell>
          <cell r="D196" t="str">
            <v>1</v>
          </cell>
          <cell r="E196" t="str">
            <v>IBEWOUT</v>
          </cell>
          <cell r="F196" t="str">
            <v>77</v>
          </cell>
          <cell r="G196" t="str">
            <v>8</v>
          </cell>
          <cell r="H196">
            <v>0</v>
          </cell>
        </row>
        <row r="197">
          <cell r="B197">
            <v>2565</v>
          </cell>
          <cell r="C197" t="str">
            <v>Capeder; Andrew J</v>
          </cell>
          <cell r="D197" t="str">
            <v>1</v>
          </cell>
          <cell r="E197" t="str">
            <v>IBEWOUT</v>
          </cell>
          <cell r="F197" t="str">
            <v>47</v>
          </cell>
          <cell r="G197" t="str">
            <v>8</v>
          </cell>
          <cell r="H197">
            <v>0</v>
          </cell>
        </row>
        <row r="198">
          <cell r="B198">
            <v>2572</v>
          </cell>
          <cell r="C198" t="str">
            <v>Carbajal Jr.; Robert E</v>
          </cell>
          <cell r="D198" t="str">
            <v>1C</v>
          </cell>
          <cell r="E198" t="str">
            <v>IBEWOUT</v>
          </cell>
          <cell r="F198" t="str">
            <v>47</v>
          </cell>
          <cell r="G198" t="str">
            <v>8</v>
          </cell>
          <cell r="H198">
            <v>0</v>
          </cell>
        </row>
        <row r="199">
          <cell r="B199">
            <v>2575</v>
          </cell>
          <cell r="C199" t="str">
            <v>Carlon; Ramy M.</v>
          </cell>
          <cell r="D199" t="str">
            <v>1C</v>
          </cell>
          <cell r="E199" t="str">
            <v>IBEWOUT</v>
          </cell>
          <cell r="F199" t="str">
            <v>769</v>
          </cell>
          <cell r="G199" t="str">
            <v>20</v>
          </cell>
          <cell r="H199">
            <v>0</v>
          </cell>
        </row>
        <row r="200">
          <cell r="B200">
            <v>2584</v>
          </cell>
          <cell r="C200" t="str">
            <v>Campas; Abdullah J.</v>
          </cell>
          <cell r="D200" t="str">
            <v>1C</v>
          </cell>
          <cell r="E200" t="str">
            <v>IBEWOUT</v>
          </cell>
          <cell r="F200" t="str">
            <v>769</v>
          </cell>
          <cell r="G200" t="str">
            <v>13</v>
          </cell>
          <cell r="H200">
            <v>0</v>
          </cell>
        </row>
        <row r="201">
          <cell r="B201">
            <v>2591</v>
          </cell>
          <cell r="C201" t="str">
            <v>Camacho II; Christopher B</v>
          </cell>
          <cell r="D201" t="str">
            <v>1C</v>
          </cell>
          <cell r="E201" t="str">
            <v>IBEWOUT</v>
          </cell>
          <cell r="F201" t="str">
            <v>47</v>
          </cell>
          <cell r="G201" t="str">
            <v>13</v>
          </cell>
          <cell r="H201">
            <v>0</v>
          </cell>
        </row>
        <row r="202">
          <cell r="B202">
            <v>2597</v>
          </cell>
          <cell r="C202" t="str">
            <v>Campos; Hector A.</v>
          </cell>
          <cell r="D202" t="str">
            <v>1C</v>
          </cell>
          <cell r="E202" t="str">
            <v>IBEWOUT</v>
          </cell>
          <cell r="F202" t="str">
            <v>769</v>
          </cell>
          <cell r="G202" t="str">
            <v>16</v>
          </cell>
          <cell r="H202">
            <v>0</v>
          </cell>
        </row>
        <row r="203">
          <cell r="B203">
            <v>2613</v>
          </cell>
          <cell r="C203" t="str">
            <v>Carr; Grant R</v>
          </cell>
          <cell r="D203" t="str">
            <v>1</v>
          </cell>
          <cell r="E203" t="str">
            <v>IBEWOUT</v>
          </cell>
          <cell r="F203" t="str">
            <v>47</v>
          </cell>
          <cell r="G203" t="str">
            <v>17</v>
          </cell>
          <cell r="H203">
            <v>0</v>
          </cell>
        </row>
        <row r="204">
          <cell r="B204">
            <v>2616</v>
          </cell>
          <cell r="C204" t="str">
            <v>Carr; Jeffrey A</v>
          </cell>
          <cell r="D204" t="str">
            <v>1C</v>
          </cell>
          <cell r="E204" t="str">
            <v>IBEWOUT</v>
          </cell>
          <cell r="F204" t="str">
            <v>1245</v>
          </cell>
          <cell r="G204" t="str">
            <v>9</v>
          </cell>
          <cell r="H204">
            <v>0</v>
          </cell>
        </row>
        <row r="205">
          <cell r="B205">
            <v>2617</v>
          </cell>
          <cell r="C205" t="str">
            <v>Carlson; Dina M</v>
          </cell>
          <cell r="D205" t="str">
            <v>1</v>
          </cell>
          <cell r="E205" t="str">
            <v/>
          </cell>
          <cell r="F205" t="str">
            <v/>
          </cell>
          <cell r="G205" t="str">
            <v/>
          </cell>
          <cell r="H205">
            <v>1</v>
          </cell>
        </row>
        <row r="206">
          <cell r="B206">
            <v>2621</v>
          </cell>
          <cell r="C206" t="str">
            <v>Carlton; Ryan W</v>
          </cell>
          <cell r="D206" t="str">
            <v>1C</v>
          </cell>
          <cell r="E206" t="str">
            <v>IBEWOUT</v>
          </cell>
          <cell r="F206" t="str">
            <v>77</v>
          </cell>
          <cell r="G206" t="str">
            <v>8</v>
          </cell>
          <cell r="H206">
            <v>0</v>
          </cell>
        </row>
        <row r="207">
          <cell r="B207">
            <v>2622</v>
          </cell>
          <cell r="C207" t="str">
            <v>Carmona; Jonathan H</v>
          </cell>
          <cell r="D207" t="str">
            <v>1C</v>
          </cell>
          <cell r="E207" t="str">
            <v>IBEWOUT</v>
          </cell>
          <cell r="F207" t="str">
            <v>1245</v>
          </cell>
          <cell r="G207" t="str">
            <v>17</v>
          </cell>
          <cell r="H207">
            <v>0</v>
          </cell>
        </row>
        <row r="208">
          <cell r="B208">
            <v>2623</v>
          </cell>
          <cell r="C208" t="str">
            <v>Carrillo; Kylie Dianne</v>
          </cell>
          <cell r="D208" t="str">
            <v>1C</v>
          </cell>
          <cell r="E208" t="str">
            <v/>
          </cell>
          <cell r="F208" t="str">
            <v/>
          </cell>
          <cell r="G208" t="str">
            <v/>
          </cell>
          <cell r="H208">
            <v>0</v>
          </cell>
        </row>
        <row r="209">
          <cell r="B209">
            <v>2626</v>
          </cell>
          <cell r="C209" t="str">
            <v>Carstensen; Joshua J</v>
          </cell>
          <cell r="D209" t="str">
            <v>1C</v>
          </cell>
          <cell r="E209" t="str">
            <v>IBEWOUT</v>
          </cell>
          <cell r="F209" t="str">
            <v>769</v>
          </cell>
          <cell r="G209" t="str">
            <v>8</v>
          </cell>
          <cell r="H209">
            <v>0</v>
          </cell>
        </row>
        <row r="210">
          <cell r="B210">
            <v>2627</v>
          </cell>
          <cell r="C210" t="str">
            <v>Carter; Andrew R.</v>
          </cell>
          <cell r="D210" t="str">
            <v>1C</v>
          </cell>
          <cell r="E210" t="str">
            <v/>
          </cell>
          <cell r="F210" t="str">
            <v/>
          </cell>
          <cell r="G210" t="str">
            <v/>
          </cell>
          <cell r="H210">
            <v>0</v>
          </cell>
        </row>
        <row r="211">
          <cell r="B211">
            <v>2628</v>
          </cell>
          <cell r="C211" t="str">
            <v>Carter; Craig A</v>
          </cell>
          <cell r="D211" t="str">
            <v>1C</v>
          </cell>
          <cell r="E211" t="str">
            <v>IBEWOUT</v>
          </cell>
          <cell r="F211" t="str">
            <v>602R</v>
          </cell>
          <cell r="G211" t="str">
            <v>10T</v>
          </cell>
          <cell r="H211">
            <v>0</v>
          </cell>
        </row>
        <row r="212">
          <cell r="B212">
            <v>2629</v>
          </cell>
          <cell r="C212" t="str">
            <v>Carrera; Jason E</v>
          </cell>
          <cell r="D212" t="str">
            <v>1</v>
          </cell>
          <cell r="E212" t="str">
            <v>IBEWOUT</v>
          </cell>
          <cell r="F212" t="str">
            <v>769</v>
          </cell>
          <cell r="G212" t="str">
            <v>12</v>
          </cell>
          <cell r="H212">
            <v>0</v>
          </cell>
        </row>
        <row r="213">
          <cell r="B213">
            <v>2630</v>
          </cell>
          <cell r="C213" t="str">
            <v>Carranza; Andrew M</v>
          </cell>
          <cell r="D213" t="str">
            <v>1</v>
          </cell>
          <cell r="E213" t="str">
            <v>IBEWOUT</v>
          </cell>
          <cell r="F213" t="str">
            <v>47</v>
          </cell>
          <cell r="G213" t="str">
            <v>17</v>
          </cell>
          <cell r="H213">
            <v>0</v>
          </cell>
        </row>
        <row r="214">
          <cell r="B214">
            <v>2631</v>
          </cell>
          <cell r="C214" t="str">
            <v>Carter; Richard Ashley</v>
          </cell>
          <cell r="D214" t="str">
            <v>1</v>
          </cell>
          <cell r="E214" t="str">
            <v/>
          </cell>
          <cell r="F214" t="str">
            <v/>
          </cell>
          <cell r="G214" t="str">
            <v/>
          </cell>
          <cell r="H214">
            <v>0</v>
          </cell>
        </row>
        <row r="215">
          <cell r="B215">
            <v>2634</v>
          </cell>
          <cell r="C215" t="str">
            <v>Case; Kory V</v>
          </cell>
          <cell r="D215" t="str">
            <v>1</v>
          </cell>
          <cell r="E215" t="str">
            <v>IBEWOUT</v>
          </cell>
          <cell r="F215" t="str">
            <v>1245</v>
          </cell>
          <cell r="G215" t="str">
            <v>1</v>
          </cell>
          <cell r="H215">
            <v>0</v>
          </cell>
        </row>
        <row r="216">
          <cell r="B216">
            <v>2635</v>
          </cell>
          <cell r="C216" t="str">
            <v>Case; Scott R</v>
          </cell>
          <cell r="D216" t="str">
            <v>1C</v>
          </cell>
          <cell r="E216" t="str">
            <v>IBEWOUT</v>
          </cell>
          <cell r="F216" t="str">
            <v>47</v>
          </cell>
          <cell r="G216" t="str">
            <v>8</v>
          </cell>
          <cell r="H216">
            <v>0</v>
          </cell>
        </row>
        <row r="217">
          <cell r="B217">
            <v>2637</v>
          </cell>
          <cell r="C217" t="str">
            <v>Casey; Justin B</v>
          </cell>
          <cell r="D217" t="str">
            <v>1C</v>
          </cell>
          <cell r="E217" t="str">
            <v>IBEWOUT</v>
          </cell>
          <cell r="F217" t="str">
            <v>1245</v>
          </cell>
          <cell r="G217" t="str">
            <v>12</v>
          </cell>
          <cell r="H217">
            <v>0</v>
          </cell>
        </row>
        <row r="218">
          <cell r="B218">
            <v>2638</v>
          </cell>
          <cell r="C218" t="str">
            <v>Cashman; William Brady</v>
          </cell>
          <cell r="D218" t="str">
            <v>1C</v>
          </cell>
          <cell r="E218" t="str">
            <v/>
          </cell>
          <cell r="F218" t="str">
            <v/>
          </cell>
          <cell r="G218" t="str">
            <v/>
          </cell>
          <cell r="H218">
            <v>0</v>
          </cell>
        </row>
        <row r="219">
          <cell r="B219">
            <v>2640</v>
          </cell>
          <cell r="C219" t="str">
            <v>Cavanaugh; Thomas</v>
          </cell>
          <cell r="D219" t="str">
            <v>1C</v>
          </cell>
          <cell r="E219" t="str">
            <v>IBEWOUT</v>
          </cell>
          <cell r="F219" t="str">
            <v>104</v>
          </cell>
          <cell r="G219" t="str">
            <v>33</v>
          </cell>
          <cell r="H219">
            <v>0</v>
          </cell>
        </row>
        <row r="220">
          <cell r="B220">
            <v>2641</v>
          </cell>
          <cell r="C220" t="str">
            <v>Caves; Dustan L</v>
          </cell>
          <cell r="D220" t="str">
            <v>1C</v>
          </cell>
          <cell r="E220" t="str">
            <v>IBEWOUT</v>
          </cell>
          <cell r="F220" t="str">
            <v>602R</v>
          </cell>
          <cell r="G220" t="str">
            <v>8</v>
          </cell>
          <cell r="H220">
            <v>0</v>
          </cell>
        </row>
        <row r="221">
          <cell r="B221">
            <v>2643</v>
          </cell>
          <cell r="C221" t="str">
            <v>Cedillo; Ceasar A</v>
          </cell>
          <cell r="D221" t="str">
            <v>1C</v>
          </cell>
          <cell r="E221" t="str">
            <v>IBEWOUT</v>
          </cell>
          <cell r="F221" t="str">
            <v>47</v>
          </cell>
          <cell r="G221" t="str">
            <v>15</v>
          </cell>
          <cell r="H221">
            <v>0</v>
          </cell>
        </row>
        <row r="222">
          <cell r="B222">
            <v>2645</v>
          </cell>
          <cell r="C222" t="str">
            <v>Cervantez; Fabian</v>
          </cell>
          <cell r="D222" t="str">
            <v>1</v>
          </cell>
          <cell r="E222" t="str">
            <v>IBEWOUT</v>
          </cell>
          <cell r="F222" t="str">
            <v>1245</v>
          </cell>
          <cell r="G222" t="str">
            <v>14</v>
          </cell>
          <cell r="H222">
            <v>0</v>
          </cell>
        </row>
        <row r="223">
          <cell r="B223">
            <v>2646</v>
          </cell>
          <cell r="C223" t="str">
            <v>Castillo; Rudy Remigio</v>
          </cell>
          <cell r="D223" t="str">
            <v>1C</v>
          </cell>
          <cell r="E223" t="str">
            <v>IBEWOUT</v>
          </cell>
          <cell r="F223" t="str">
            <v>47</v>
          </cell>
          <cell r="G223" t="str">
            <v>8</v>
          </cell>
          <cell r="H223">
            <v>0</v>
          </cell>
        </row>
        <row r="224">
          <cell r="B224">
            <v>2647</v>
          </cell>
          <cell r="C224" t="str">
            <v>Castellon; Luis R</v>
          </cell>
          <cell r="D224" t="str">
            <v>1C</v>
          </cell>
          <cell r="E224" t="str">
            <v>IBEWOUT</v>
          </cell>
          <cell r="F224" t="str">
            <v>1245</v>
          </cell>
          <cell r="G224" t="str">
            <v>17</v>
          </cell>
          <cell r="H224">
            <v>0</v>
          </cell>
        </row>
        <row r="225">
          <cell r="B225">
            <v>2652</v>
          </cell>
          <cell r="C225" t="str">
            <v>Catlin; Jeffrey A</v>
          </cell>
          <cell r="D225" t="str">
            <v>1C</v>
          </cell>
          <cell r="E225" t="str">
            <v>IBEWOUT</v>
          </cell>
          <cell r="F225" t="str">
            <v>1245</v>
          </cell>
          <cell r="G225" t="str">
            <v>16</v>
          </cell>
          <cell r="H225">
            <v>0</v>
          </cell>
        </row>
        <row r="226">
          <cell r="B226">
            <v>2653</v>
          </cell>
          <cell r="C226" t="str">
            <v>Campbell; Aaron D</v>
          </cell>
          <cell r="D226" t="str">
            <v>1C</v>
          </cell>
          <cell r="E226" t="str">
            <v>IBEWOUT</v>
          </cell>
          <cell r="F226" t="str">
            <v>77</v>
          </cell>
          <cell r="G226" t="str">
            <v>8</v>
          </cell>
          <cell r="H226">
            <v>0</v>
          </cell>
        </row>
        <row r="227">
          <cell r="B227">
            <v>2658</v>
          </cell>
          <cell r="C227" t="str">
            <v>Casey; Austin J</v>
          </cell>
          <cell r="D227" t="str">
            <v>1C</v>
          </cell>
          <cell r="E227" t="str">
            <v/>
          </cell>
          <cell r="F227" t="str">
            <v/>
          </cell>
          <cell r="G227" t="str">
            <v/>
          </cell>
          <cell r="H227">
            <v>1</v>
          </cell>
        </row>
        <row r="228">
          <cell r="B228">
            <v>2662</v>
          </cell>
          <cell r="C228" t="str">
            <v>Castle; Nicholas C.</v>
          </cell>
          <cell r="D228" t="str">
            <v>1C</v>
          </cell>
          <cell r="E228" t="str">
            <v>IBEWOUT</v>
          </cell>
          <cell r="F228" t="str">
            <v>47</v>
          </cell>
          <cell r="G228" t="str">
            <v>8</v>
          </cell>
          <cell r="H228">
            <v>0</v>
          </cell>
        </row>
        <row r="229">
          <cell r="B229">
            <v>2663</v>
          </cell>
          <cell r="C229" t="str">
            <v>Cerenzia; Kurk M</v>
          </cell>
          <cell r="D229" t="str">
            <v>1</v>
          </cell>
          <cell r="E229" t="str">
            <v>IBEWOUT</v>
          </cell>
          <cell r="F229" t="str">
            <v>77</v>
          </cell>
          <cell r="G229" t="str">
            <v>7</v>
          </cell>
          <cell r="H229">
            <v>0</v>
          </cell>
        </row>
        <row r="230">
          <cell r="B230">
            <v>2670</v>
          </cell>
          <cell r="C230" t="str">
            <v>Cartwright; Brandon J</v>
          </cell>
          <cell r="D230" t="str">
            <v>1C</v>
          </cell>
          <cell r="E230" t="str">
            <v>IBEWOUT</v>
          </cell>
          <cell r="F230" t="str">
            <v>1245</v>
          </cell>
          <cell r="G230" t="str">
            <v>8</v>
          </cell>
          <cell r="H230">
            <v>0</v>
          </cell>
        </row>
        <row r="231">
          <cell r="B231">
            <v>2688</v>
          </cell>
          <cell r="C231" t="str">
            <v>Chacon; Bill L</v>
          </cell>
          <cell r="D231" t="str">
            <v>1C</v>
          </cell>
          <cell r="E231" t="str">
            <v>IBEWOUT</v>
          </cell>
          <cell r="F231" t="str">
            <v>769</v>
          </cell>
          <cell r="G231" t="str">
            <v>7</v>
          </cell>
          <cell r="H231">
            <v>0</v>
          </cell>
        </row>
        <row r="232">
          <cell r="B232">
            <v>2707</v>
          </cell>
          <cell r="C232" t="str">
            <v>Champion; Rusty D.</v>
          </cell>
          <cell r="D232" t="str">
            <v>1C</v>
          </cell>
          <cell r="E232" t="str">
            <v>IBEWOUT</v>
          </cell>
          <cell r="F232" t="str">
            <v>47</v>
          </cell>
          <cell r="G232" t="str">
            <v>17</v>
          </cell>
          <cell r="H232">
            <v>0</v>
          </cell>
        </row>
        <row r="233">
          <cell r="B233">
            <v>2709</v>
          </cell>
          <cell r="C233" t="str">
            <v>Champagne; Ronald R</v>
          </cell>
          <cell r="D233" t="str">
            <v>1C</v>
          </cell>
          <cell r="E233" t="str">
            <v>IBEWOUT</v>
          </cell>
          <cell r="F233" t="str">
            <v>47</v>
          </cell>
          <cell r="G233" t="str">
            <v>8</v>
          </cell>
          <cell r="H233">
            <v>0</v>
          </cell>
        </row>
        <row r="234">
          <cell r="B234">
            <v>2715</v>
          </cell>
          <cell r="C234" t="str">
            <v>Cheatham; Daryl T.</v>
          </cell>
          <cell r="D234" t="str">
            <v>1C</v>
          </cell>
          <cell r="E234" t="str">
            <v>IBEWOUT</v>
          </cell>
          <cell r="F234" t="str">
            <v>47</v>
          </cell>
          <cell r="G234" t="str">
            <v>8</v>
          </cell>
          <cell r="H234">
            <v>0</v>
          </cell>
        </row>
        <row r="235">
          <cell r="B235">
            <v>2718</v>
          </cell>
          <cell r="C235" t="str">
            <v>Chew; Seth D</v>
          </cell>
          <cell r="D235" t="str">
            <v>1C</v>
          </cell>
          <cell r="E235" t="str">
            <v>IBEWOUT</v>
          </cell>
          <cell r="F235" t="str">
            <v>1245</v>
          </cell>
          <cell r="G235" t="str">
            <v>8</v>
          </cell>
          <cell r="H235">
            <v>0</v>
          </cell>
        </row>
        <row r="236">
          <cell r="B236">
            <v>2722</v>
          </cell>
          <cell r="C236" t="str">
            <v>Chennault; Jacob</v>
          </cell>
          <cell r="D236" t="str">
            <v>1C</v>
          </cell>
          <cell r="E236" t="str">
            <v>IBEWOUT</v>
          </cell>
          <cell r="F236" t="str">
            <v>1245</v>
          </cell>
          <cell r="G236" t="str">
            <v>8</v>
          </cell>
          <cell r="H236">
            <v>0</v>
          </cell>
        </row>
        <row r="237">
          <cell r="B237">
            <v>2724</v>
          </cell>
          <cell r="C237" t="str">
            <v>Choron; Romuald Laurent</v>
          </cell>
          <cell r="D237" t="str">
            <v>1C</v>
          </cell>
          <cell r="E237" t="str">
            <v>IBEWOUT</v>
          </cell>
          <cell r="F237" t="str">
            <v>1245</v>
          </cell>
          <cell r="G237" t="str">
            <v>8</v>
          </cell>
          <cell r="H237">
            <v>0</v>
          </cell>
        </row>
        <row r="238">
          <cell r="B238">
            <v>2726</v>
          </cell>
          <cell r="C238" t="str">
            <v>Ciddio; Perez L</v>
          </cell>
          <cell r="D238" t="str">
            <v>1C</v>
          </cell>
          <cell r="E238" t="str">
            <v>IBEWOUT</v>
          </cell>
          <cell r="F238" t="str">
            <v>611</v>
          </cell>
          <cell r="G238" t="str">
            <v>1</v>
          </cell>
          <cell r="H238">
            <v>0</v>
          </cell>
        </row>
        <row r="239">
          <cell r="B239">
            <v>2751</v>
          </cell>
          <cell r="C239" t="str">
            <v>Clark; Benjamin F</v>
          </cell>
          <cell r="D239" t="str">
            <v>1C</v>
          </cell>
          <cell r="E239" t="str">
            <v>IBEWOUT</v>
          </cell>
          <cell r="F239" t="str">
            <v>1245</v>
          </cell>
          <cell r="G239" t="str">
            <v>8</v>
          </cell>
          <cell r="H239">
            <v>0</v>
          </cell>
        </row>
        <row r="240">
          <cell r="B240">
            <v>2753</v>
          </cell>
          <cell r="C240" t="str">
            <v>Clardy; Ryan R</v>
          </cell>
          <cell r="D240" t="str">
            <v>1C</v>
          </cell>
          <cell r="E240" t="str">
            <v>IBEWOUT</v>
          </cell>
          <cell r="F240" t="str">
            <v>602R</v>
          </cell>
          <cell r="G240" t="str">
            <v>8</v>
          </cell>
          <cell r="H240">
            <v>0</v>
          </cell>
        </row>
        <row r="241">
          <cell r="B241">
            <v>2757</v>
          </cell>
          <cell r="C241" t="str">
            <v>Clark; Milton Jay</v>
          </cell>
          <cell r="D241" t="str">
            <v>1</v>
          </cell>
          <cell r="E241" t="str">
            <v>IBEWOUT</v>
          </cell>
          <cell r="F241" t="str">
            <v>47</v>
          </cell>
          <cell r="G241" t="str">
            <v>1</v>
          </cell>
          <cell r="H241">
            <v>0</v>
          </cell>
        </row>
        <row r="242">
          <cell r="B242">
            <v>2761</v>
          </cell>
          <cell r="C242" t="str">
            <v>Cline; Luke Gordon</v>
          </cell>
          <cell r="D242" t="str">
            <v>1</v>
          </cell>
          <cell r="E242" t="str">
            <v>IBEWOUT</v>
          </cell>
          <cell r="F242" t="str">
            <v>47</v>
          </cell>
          <cell r="G242" t="str">
            <v>7</v>
          </cell>
          <cell r="H242">
            <v>0</v>
          </cell>
        </row>
        <row r="243">
          <cell r="B243">
            <v>2790</v>
          </cell>
          <cell r="C243" t="str">
            <v>Clawson; Robert R.</v>
          </cell>
          <cell r="D243" t="str">
            <v>1C</v>
          </cell>
          <cell r="E243" t="str">
            <v>IBEWOUT</v>
          </cell>
          <cell r="F243" t="str">
            <v>1245</v>
          </cell>
          <cell r="G243" t="str">
            <v>8</v>
          </cell>
          <cell r="H243">
            <v>0</v>
          </cell>
        </row>
        <row r="244">
          <cell r="B244">
            <v>2796</v>
          </cell>
          <cell r="C244" t="str">
            <v>Clay Jr.; Michael R.</v>
          </cell>
          <cell r="D244" t="str">
            <v>1C</v>
          </cell>
          <cell r="E244" t="str">
            <v>IBEWOUT</v>
          </cell>
          <cell r="F244" t="str">
            <v>47</v>
          </cell>
          <cell r="G244" t="str">
            <v>8</v>
          </cell>
          <cell r="H244">
            <v>0</v>
          </cell>
        </row>
        <row r="245">
          <cell r="B245">
            <v>2798</v>
          </cell>
          <cell r="C245" t="str">
            <v>Chesser; Ronnie E</v>
          </cell>
          <cell r="D245" t="str">
            <v>1</v>
          </cell>
          <cell r="E245" t="str">
            <v>IBEWOUT</v>
          </cell>
          <cell r="F245" t="str">
            <v>70</v>
          </cell>
          <cell r="G245" t="str">
            <v>7</v>
          </cell>
          <cell r="H245">
            <v>0</v>
          </cell>
        </row>
        <row r="246">
          <cell r="B246">
            <v>2802</v>
          </cell>
          <cell r="C246" t="str">
            <v>Clements; Joshua J.</v>
          </cell>
          <cell r="D246" t="str">
            <v>1</v>
          </cell>
          <cell r="E246" t="str">
            <v>IBEWOUT</v>
          </cell>
          <cell r="F246" t="str">
            <v>77</v>
          </cell>
          <cell r="G246" t="str">
            <v>7</v>
          </cell>
          <cell r="H246">
            <v>0</v>
          </cell>
        </row>
        <row r="247">
          <cell r="B247">
            <v>2803</v>
          </cell>
          <cell r="C247" t="str">
            <v>Chandler; Allen L</v>
          </cell>
          <cell r="D247" t="str">
            <v>1C</v>
          </cell>
          <cell r="E247" t="str">
            <v>IBEWOUT</v>
          </cell>
          <cell r="F247" t="str">
            <v>77</v>
          </cell>
          <cell r="G247" t="str">
            <v>17</v>
          </cell>
          <cell r="H247">
            <v>0</v>
          </cell>
        </row>
        <row r="248">
          <cell r="B248">
            <v>2805</v>
          </cell>
          <cell r="C248" t="str">
            <v>Chavez; Eugene G</v>
          </cell>
          <cell r="D248" t="str">
            <v>1C</v>
          </cell>
          <cell r="E248" t="str">
            <v>IBEWOUT</v>
          </cell>
          <cell r="F248" t="str">
            <v>611</v>
          </cell>
          <cell r="G248" t="str">
            <v>17</v>
          </cell>
          <cell r="H248">
            <v>0</v>
          </cell>
        </row>
        <row r="249">
          <cell r="B249">
            <v>2807</v>
          </cell>
          <cell r="C249" t="str">
            <v>Chavez Herrara; Jared</v>
          </cell>
          <cell r="D249" t="str">
            <v>1C</v>
          </cell>
          <cell r="E249" t="str">
            <v/>
          </cell>
          <cell r="F249" t="str">
            <v/>
          </cell>
          <cell r="G249" t="str">
            <v/>
          </cell>
          <cell r="H249">
            <v>0</v>
          </cell>
        </row>
        <row r="250">
          <cell r="B250">
            <v>2811</v>
          </cell>
          <cell r="C250" t="str">
            <v>Chantry; Justin L</v>
          </cell>
          <cell r="D250" t="str">
            <v>1</v>
          </cell>
          <cell r="E250" t="str">
            <v>IBEWOUT</v>
          </cell>
          <cell r="F250" t="str">
            <v>77</v>
          </cell>
          <cell r="G250" t="str">
            <v>8</v>
          </cell>
          <cell r="H250">
            <v>0</v>
          </cell>
        </row>
        <row r="251">
          <cell r="B251">
            <v>2815</v>
          </cell>
          <cell r="C251" t="str">
            <v>Christopherson; Stephanie M</v>
          </cell>
          <cell r="D251" t="str">
            <v>1</v>
          </cell>
          <cell r="E251" t="str">
            <v/>
          </cell>
          <cell r="F251" t="str">
            <v/>
          </cell>
          <cell r="G251" t="str">
            <v/>
          </cell>
          <cell r="H251">
            <v>1</v>
          </cell>
        </row>
        <row r="252">
          <cell r="B252">
            <v>2816</v>
          </cell>
          <cell r="C252" t="str">
            <v>Christopherson; Isaac Jo</v>
          </cell>
          <cell r="D252" t="str">
            <v>1</v>
          </cell>
          <cell r="E252" t="str">
            <v>IBEWOUT</v>
          </cell>
          <cell r="F252" t="str">
            <v>125</v>
          </cell>
          <cell r="G252" t="str">
            <v>1</v>
          </cell>
          <cell r="H252">
            <v>0</v>
          </cell>
        </row>
        <row r="253">
          <cell r="B253">
            <v>2817</v>
          </cell>
          <cell r="C253" t="str">
            <v>Christie; John Vincent</v>
          </cell>
          <cell r="D253" t="str">
            <v>1C</v>
          </cell>
          <cell r="E253" t="str">
            <v>IBEWOUT</v>
          </cell>
          <cell r="F253" t="str">
            <v>769</v>
          </cell>
          <cell r="G253" t="str">
            <v>8</v>
          </cell>
          <cell r="H253">
            <v>0</v>
          </cell>
        </row>
        <row r="254">
          <cell r="B254">
            <v>2822</v>
          </cell>
          <cell r="C254" t="str">
            <v>Chaves Jr; Arthur R</v>
          </cell>
          <cell r="D254" t="str">
            <v>1C</v>
          </cell>
          <cell r="E254" t="str">
            <v>IBEWOUT</v>
          </cell>
          <cell r="F254" t="str">
            <v>47</v>
          </cell>
          <cell r="G254" t="str">
            <v>17</v>
          </cell>
          <cell r="H254">
            <v>0</v>
          </cell>
        </row>
        <row r="255">
          <cell r="B255">
            <v>2830</v>
          </cell>
          <cell r="C255" t="str">
            <v>Christensen; Shane M</v>
          </cell>
          <cell r="D255" t="str">
            <v>1</v>
          </cell>
          <cell r="E255" t="str">
            <v>IBEWOUT</v>
          </cell>
          <cell r="F255" t="str">
            <v>47</v>
          </cell>
          <cell r="G255" t="str">
            <v>1</v>
          </cell>
          <cell r="H255">
            <v>0</v>
          </cell>
        </row>
        <row r="256">
          <cell r="B256">
            <v>2834</v>
          </cell>
          <cell r="C256" t="str">
            <v>Clause; Jason James</v>
          </cell>
          <cell r="D256" t="str">
            <v>1C</v>
          </cell>
          <cell r="E256" t="str">
            <v>IBEWOUT</v>
          </cell>
          <cell r="F256" t="str">
            <v>1245</v>
          </cell>
          <cell r="G256" t="str">
            <v>8</v>
          </cell>
          <cell r="H256">
            <v>0</v>
          </cell>
        </row>
        <row r="257">
          <cell r="B257">
            <v>2856</v>
          </cell>
          <cell r="C257" t="str">
            <v>Collins; John C</v>
          </cell>
          <cell r="D257" t="str">
            <v>1C</v>
          </cell>
          <cell r="E257" t="str">
            <v/>
          </cell>
          <cell r="F257" t="str">
            <v/>
          </cell>
          <cell r="G257" t="str">
            <v/>
          </cell>
          <cell r="H257">
            <v>0</v>
          </cell>
        </row>
        <row r="258">
          <cell r="B258">
            <v>2881</v>
          </cell>
          <cell r="C258" t="str">
            <v>Conner; Michael Joseph</v>
          </cell>
          <cell r="D258" t="str">
            <v>1C</v>
          </cell>
          <cell r="E258" t="str">
            <v>IBEWOUT</v>
          </cell>
          <cell r="F258" t="str">
            <v>47</v>
          </cell>
          <cell r="G258" t="str">
            <v>16</v>
          </cell>
          <cell r="H258">
            <v>0</v>
          </cell>
        </row>
        <row r="259">
          <cell r="B259">
            <v>2884</v>
          </cell>
          <cell r="C259" t="str">
            <v>Cohen; Steven J</v>
          </cell>
          <cell r="D259" t="str">
            <v>1C</v>
          </cell>
          <cell r="E259" t="str">
            <v>OPERT ENG</v>
          </cell>
          <cell r="F259" t="str">
            <v>138</v>
          </cell>
          <cell r="G259" t="str">
            <v>34</v>
          </cell>
          <cell r="H259">
            <v>0</v>
          </cell>
        </row>
        <row r="260">
          <cell r="B260">
            <v>2885</v>
          </cell>
          <cell r="C260" t="str">
            <v>Coleman; David L</v>
          </cell>
          <cell r="D260" t="str">
            <v>1C</v>
          </cell>
          <cell r="E260" t="str">
            <v>IBEWOUT</v>
          </cell>
          <cell r="F260" t="str">
            <v>1245</v>
          </cell>
          <cell r="G260" t="str">
            <v>7</v>
          </cell>
          <cell r="H260">
            <v>0</v>
          </cell>
        </row>
        <row r="261">
          <cell r="B261">
            <v>2886</v>
          </cell>
          <cell r="C261" t="str">
            <v>Coleman; David Scott</v>
          </cell>
          <cell r="D261" t="str">
            <v>1C</v>
          </cell>
          <cell r="E261" t="str">
            <v>IBEWOUT</v>
          </cell>
          <cell r="F261" t="str">
            <v>769</v>
          </cell>
          <cell r="G261" t="str">
            <v>16</v>
          </cell>
          <cell r="H261">
            <v>0</v>
          </cell>
        </row>
        <row r="262">
          <cell r="B262">
            <v>2889</v>
          </cell>
          <cell r="C262" t="str">
            <v>Condoll; Brenton K.</v>
          </cell>
          <cell r="D262" t="str">
            <v>1C</v>
          </cell>
          <cell r="E262" t="str">
            <v>IBEWOUT</v>
          </cell>
          <cell r="F262" t="str">
            <v>769</v>
          </cell>
          <cell r="G262" t="str">
            <v>8</v>
          </cell>
          <cell r="H262">
            <v>0</v>
          </cell>
        </row>
        <row r="263">
          <cell r="B263">
            <v>2890</v>
          </cell>
          <cell r="C263" t="str">
            <v>Connor; Phillip A.</v>
          </cell>
          <cell r="D263" t="str">
            <v>1</v>
          </cell>
          <cell r="E263" t="str">
            <v/>
          </cell>
          <cell r="F263" t="str">
            <v/>
          </cell>
          <cell r="G263" t="str">
            <v/>
          </cell>
          <cell r="H263">
            <v>1</v>
          </cell>
        </row>
        <row r="264">
          <cell r="B264">
            <v>2893</v>
          </cell>
          <cell r="C264" t="str">
            <v>Churchman; Garyn M</v>
          </cell>
          <cell r="D264" t="str">
            <v>1C</v>
          </cell>
          <cell r="E264" t="str">
            <v>IBEWOUT</v>
          </cell>
          <cell r="F264" t="str">
            <v>77</v>
          </cell>
          <cell r="G264" t="str">
            <v>11</v>
          </cell>
          <cell r="H264">
            <v>0</v>
          </cell>
        </row>
        <row r="265">
          <cell r="B265">
            <v>2894</v>
          </cell>
          <cell r="C265" t="str">
            <v>Coffelt; Kenneth</v>
          </cell>
          <cell r="D265" t="str">
            <v>1C</v>
          </cell>
          <cell r="E265" t="str">
            <v/>
          </cell>
          <cell r="F265" t="str">
            <v/>
          </cell>
          <cell r="G265" t="str">
            <v/>
          </cell>
          <cell r="H265">
            <v>0</v>
          </cell>
        </row>
        <row r="266">
          <cell r="B266">
            <v>2897</v>
          </cell>
          <cell r="C266" t="str">
            <v>Conrad; Pamela A</v>
          </cell>
          <cell r="D266" t="str">
            <v>1C</v>
          </cell>
          <cell r="E266" t="str">
            <v>IBEWOUT</v>
          </cell>
          <cell r="F266" t="str">
            <v>769</v>
          </cell>
          <cell r="G266" t="str">
            <v>7</v>
          </cell>
          <cell r="H266">
            <v>0</v>
          </cell>
        </row>
        <row r="267">
          <cell r="B267">
            <v>2899</v>
          </cell>
          <cell r="C267" t="str">
            <v>Conrad; Thomas H</v>
          </cell>
          <cell r="D267" t="str">
            <v>1C</v>
          </cell>
          <cell r="E267" t="str">
            <v>IBEWOUT</v>
          </cell>
          <cell r="F267" t="str">
            <v>769</v>
          </cell>
          <cell r="G267" t="str">
            <v>7</v>
          </cell>
          <cell r="H267">
            <v>0</v>
          </cell>
        </row>
        <row r="268">
          <cell r="B268">
            <v>2902</v>
          </cell>
          <cell r="C268" t="str">
            <v>Colvin; Brian M</v>
          </cell>
          <cell r="D268" t="str">
            <v>1C</v>
          </cell>
          <cell r="E268" t="str">
            <v>IBEWOUT</v>
          </cell>
          <cell r="F268" t="str">
            <v>1245</v>
          </cell>
          <cell r="G268" t="str">
            <v>8</v>
          </cell>
          <cell r="H268">
            <v>0</v>
          </cell>
        </row>
        <row r="269">
          <cell r="B269">
            <v>2903</v>
          </cell>
          <cell r="C269" t="str">
            <v>Conde; Carleton John</v>
          </cell>
          <cell r="D269" t="str">
            <v>1C</v>
          </cell>
          <cell r="E269" t="str">
            <v>IBEWOUT</v>
          </cell>
          <cell r="F269" t="str">
            <v>769</v>
          </cell>
          <cell r="G269" t="str">
            <v>22</v>
          </cell>
          <cell r="H269">
            <v>0</v>
          </cell>
        </row>
        <row r="270">
          <cell r="B270">
            <v>2904</v>
          </cell>
          <cell r="C270" t="str">
            <v>Cole Jr.; William C.</v>
          </cell>
          <cell r="D270" t="str">
            <v>1C</v>
          </cell>
          <cell r="E270" t="str">
            <v/>
          </cell>
          <cell r="F270" t="str">
            <v/>
          </cell>
          <cell r="G270" t="str">
            <v/>
          </cell>
          <cell r="H270">
            <v>0</v>
          </cell>
        </row>
        <row r="271">
          <cell r="B271">
            <v>2905</v>
          </cell>
          <cell r="C271" t="str">
            <v>Cocotis; Shayne G.</v>
          </cell>
          <cell r="D271" t="str">
            <v>1C</v>
          </cell>
          <cell r="E271" t="str">
            <v>IBEWOUT</v>
          </cell>
          <cell r="F271" t="str">
            <v>1245</v>
          </cell>
          <cell r="G271" t="str">
            <v>14</v>
          </cell>
          <cell r="H271">
            <v>0</v>
          </cell>
        </row>
        <row r="272">
          <cell r="B272">
            <v>2909</v>
          </cell>
          <cell r="C272" t="str">
            <v>Comer; James S</v>
          </cell>
          <cell r="D272" t="str">
            <v>1C</v>
          </cell>
          <cell r="E272" t="str">
            <v>IBEWOUT</v>
          </cell>
          <cell r="F272" t="str">
            <v>1049</v>
          </cell>
          <cell r="G272" t="str">
            <v>8</v>
          </cell>
          <cell r="H272">
            <v>0</v>
          </cell>
        </row>
        <row r="273">
          <cell r="B273">
            <v>2916</v>
          </cell>
          <cell r="C273" t="str">
            <v>Conro; Keegan W</v>
          </cell>
          <cell r="D273" t="str">
            <v>1</v>
          </cell>
          <cell r="E273" t="str">
            <v>IBEWOUT</v>
          </cell>
          <cell r="F273" t="str">
            <v>1245</v>
          </cell>
          <cell r="G273" t="str">
            <v>8</v>
          </cell>
          <cell r="H273">
            <v>0</v>
          </cell>
        </row>
        <row r="274">
          <cell r="B274">
            <v>2975</v>
          </cell>
          <cell r="C274" t="str">
            <v>Coolbaugh; Brandon S.</v>
          </cell>
          <cell r="D274" t="str">
            <v>1C</v>
          </cell>
          <cell r="E274" t="str">
            <v>IBEWOUT</v>
          </cell>
          <cell r="F274" t="str">
            <v>1319</v>
          </cell>
          <cell r="G274" t="str">
            <v>12</v>
          </cell>
          <cell r="H274">
            <v>0</v>
          </cell>
        </row>
        <row r="275">
          <cell r="B275">
            <v>2977</v>
          </cell>
          <cell r="C275" t="str">
            <v>Cook; Ramsey G</v>
          </cell>
          <cell r="D275" t="str">
            <v>1</v>
          </cell>
          <cell r="E275" t="str">
            <v>IBEWOUT</v>
          </cell>
          <cell r="F275" t="str">
            <v>1245</v>
          </cell>
          <cell r="G275" t="str">
            <v>8</v>
          </cell>
          <cell r="H275">
            <v>0</v>
          </cell>
        </row>
        <row r="276">
          <cell r="B276">
            <v>2978</v>
          </cell>
          <cell r="C276" t="str">
            <v>Coon; Kenneth W</v>
          </cell>
          <cell r="D276" t="str">
            <v>1</v>
          </cell>
          <cell r="E276" t="str">
            <v>IBEWOUT</v>
          </cell>
          <cell r="F276" t="str">
            <v>70</v>
          </cell>
          <cell r="G276" t="str">
            <v>60</v>
          </cell>
          <cell r="H276">
            <v>0</v>
          </cell>
        </row>
        <row r="277">
          <cell r="B277">
            <v>3002</v>
          </cell>
          <cell r="C277" t="str">
            <v>Cooper; Russell L</v>
          </cell>
          <cell r="D277" t="str">
            <v>1</v>
          </cell>
          <cell r="E277" t="str">
            <v/>
          </cell>
          <cell r="F277" t="str">
            <v/>
          </cell>
          <cell r="G277" t="str">
            <v/>
          </cell>
          <cell r="H277">
            <v>1</v>
          </cell>
        </row>
        <row r="278">
          <cell r="B278">
            <v>3004</v>
          </cell>
          <cell r="C278" t="str">
            <v>Cooper; Kelly D</v>
          </cell>
          <cell r="D278" t="str">
            <v>1C</v>
          </cell>
          <cell r="E278" t="str">
            <v>IBEWOUT</v>
          </cell>
          <cell r="F278" t="str">
            <v>1245</v>
          </cell>
          <cell r="G278" t="str">
            <v>17</v>
          </cell>
          <cell r="H278">
            <v>0</v>
          </cell>
        </row>
        <row r="279">
          <cell r="B279">
            <v>3010</v>
          </cell>
          <cell r="C279" t="str">
            <v>Copen; James R</v>
          </cell>
          <cell r="D279" t="str">
            <v>1C</v>
          </cell>
          <cell r="E279" t="str">
            <v>IBEWOUT</v>
          </cell>
          <cell r="F279" t="str">
            <v>1245</v>
          </cell>
          <cell r="G279" t="str">
            <v>8</v>
          </cell>
          <cell r="H279">
            <v>0</v>
          </cell>
        </row>
        <row r="280">
          <cell r="B280">
            <v>3020</v>
          </cell>
          <cell r="C280" t="str">
            <v>Corbin; Aaron</v>
          </cell>
          <cell r="D280" t="str">
            <v>1C</v>
          </cell>
          <cell r="E280" t="str">
            <v>IBEWOUT</v>
          </cell>
          <cell r="F280" t="str">
            <v>1245</v>
          </cell>
          <cell r="G280" t="str">
            <v>8</v>
          </cell>
          <cell r="H280">
            <v>0</v>
          </cell>
        </row>
        <row r="281">
          <cell r="B281">
            <v>3028</v>
          </cell>
          <cell r="C281" t="str">
            <v>Cornett; Michael J</v>
          </cell>
          <cell r="D281" t="str">
            <v>1C</v>
          </cell>
          <cell r="E281" t="str">
            <v>IBEWOUT</v>
          </cell>
          <cell r="F281" t="str">
            <v>47</v>
          </cell>
          <cell r="G281" t="str">
            <v>17</v>
          </cell>
          <cell r="H281">
            <v>0</v>
          </cell>
        </row>
        <row r="282">
          <cell r="B282">
            <v>3029</v>
          </cell>
          <cell r="C282" t="str">
            <v>Cordova; Stephen R</v>
          </cell>
          <cell r="D282" t="str">
            <v>1C</v>
          </cell>
          <cell r="E282" t="str">
            <v>IBEWOUT</v>
          </cell>
          <cell r="F282" t="str">
            <v>1245</v>
          </cell>
          <cell r="G282" t="str">
            <v>8</v>
          </cell>
          <cell r="H282">
            <v>0</v>
          </cell>
        </row>
        <row r="283">
          <cell r="B283">
            <v>3030</v>
          </cell>
          <cell r="C283" t="str">
            <v>Cordova; John J</v>
          </cell>
          <cell r="D283" t="str">
            <v>1C</v>
          </cell>
          <cell r="E283" t="str">
            <v>IBEWOUT</v>
          </cell>
          <cell r="F283" t="str">
            <v>602R</v>
          </cell>
          <cell r="G283" t="str">
            <v>8</v>
          </cell>
          <cell r="H283">
            <v>0</v>
          </cell>
        </row>
        <row r="284">
          <cell r="B284">
            <v>3034</v>
          </cell>
          <cell r="C284" t="str">
            <v>Corsetti; Michael A</v>
          </cell>
          <cell r="D284" t="str">
            <v>1C</v>
          </cell>
          <cell r="E284" t="str">
            <v>IBEWOUT</v>
          </cell>
          <cell r="F284" t="str">
            <v>126</v>
          </cell>
          <cell r="G284" t="str">
            <v>33</v>
          </cell>
          <cell r="H284">
            <v>0</v>
          </cell>
        </row>
        <row r="285">
          <cell r="B285">
            <v>3045</v>
          </cell>
          <cell r="C285" t="str">
            <v>Covey; Lawrence Peter</v>
          </cell>
          <cell r="D285" t="str">
            <v>1C</v>
          </cell>
          <cell r="E285" t="str">
            <v>IBEWOUT</v>
          </cell>
          <cell r="F285" t="str">
            <v>1245</v>
          </cell>
          <cell r="G285" t="str">
            <v>1</v>
          </cell>
          <cell r="H285">
            <v>0</v>
          </cell>
        </row>
        <row r="286">
          <cell r="B286">
            <v>3046</v>
          </cell>
          <cell r="C286" t="str">
            <v>Cozad; Joshua L</v>
          </cell>
          <cell r="D286" t="str">
            <v>1C</v>
          </cell>
          <cell r="E286" t="str">
            <v>IBEWOUT</v>
          </cell>
          <cell r="F286" t="str">
            <v>1245</v>
          </cell>
          <cell r="G286" t="str">
            <v>8</v>
          </cell>
          <cell r="H286">
            <v>0</v>
          </cell>
        </row>
        <row r="287">
          <cell r="B287">
            <v>3047</v>
          </cell>
          <cell r="C287" t="str">
            <v>Coulson; Christopher D</v>
          </cell>
          <cell r="D287" t="str">
            <v>1</v>
          </cell>
          <cell r="E287" t="str">
            <v/>
          </cell>
          <cell r="F287" t="str">
            <v/>
          </cell>
          <cell r="G287" t="str">
            <v/>
          </cell>
          <cell r="H287">
            <v>0</v>
          </cell>
        </row>
        <row r="288">
          <cell r="B288">
            <v>3048</v>
          </cell>
          <cell r="C288" t="str">
            <v>Cousland; Peter D.</v>
          </cell>
          <cell r="D288" t="str">
            <v>1C</v>
          </cell>
          <cell r="E288" t="str">
            <v>IBEWOUT</v>
          </cell>
          <cell r="F288" t="str">
            <v>77</v>
          </cell>
          <cell r="G288" t="str">
            <v>8</v>
          </cell>
          <cell r="H288">
            <v>0</v>
          </cell>
        </row>
        <row r="289">
          <cell r="B289">
            <v>3049</v>
          </cell>
          <cell r="C289" t="str">
            <v>Coury; Andrew A</v>
          </cell>
          <cell r="D289" t="str">
            <v>1C</v>
          </cell>
          <cell r="E289" t="str">
            <v>IBEWOUT</v>
          </cell>
          <cell r="F289" t="str">
            <v>1245</v>
          </cell>
          <cell r="G289" t="str">
            <v>8</v>
          </cell>
          <cell r="H289">
            <v>0</v>
          </cell>
        </row>
        <row r="290">
          <cell r="B290">
            <v>3050</v>
          </cell>
          <cell r="C290" t="str">
            <v>Cortez; Daniel R</v>
          </cell>
          <cell r="D290" t="str">
            <v>1</v>
          </cell>
          <cell r="E290" t="str">
            <v>IBEWOUT</v>
          </cell>
          <cell r="F290" t="str">
            <v>77</v>
          </cell>
          <cell r="G290" t="str">
            <v>8</v>
          </cell>
          <cell r="H290">
            <v>0</v>
          </cell>
        </row>
        <row r="291">
          <cell r="B291">
            <v>3051</v>
          </cell>
          <cell r="C291" t="str">
            <v>Cortez; David Esteban</v>
          </cell>
          <cell r="D291" t="str">
            <v>1</v>
          </cell>
          <cell r="E291" t="str">
            <v>IBEWOUT</v>
          </cell>
          <cell r="F291" t="str">
            <v>77</v>
          </cell>
          <cell r="G291" t="str">
            <v>1</v>
          </cell>
          <cell r="H291">
            <v>0</v>
          </cell>
        </row>
        <row r="292">
          <cell r="B292">
            <v>3052</v>
          </cell>
          <cell r="C292" t="str">
            <v>Coscarart; Juan</v>
          </cell>
          <cell r="D292" t="str">
            <v>1C</v>
          </cell>
          <cell r="E292" t="str">
            <v>IBEWOUT</v>
          </cell>
          <cell r="F292" t="str">
            <v>47</v>
          </cell>
          <cell r="G292" t="str">
            <v>8</v>
          </cell>
          <cell r="H292">
            <v>0</v>
          </cell>
        </row>
        <row r="293">
          <cell r="B293">
            <v>3062</v>
          </cell>
          <cell r="C293" t="str">
            <v>Cox; Jody F.</v>
          </cell>
          <cell r="D293" t="str">
            <v>1C</v>
          </cell>
          <cell r="E293" t="str">
            <v>IBEWOUT</v>
          </cell>
          <cell r="F293" t="str">
            <v>47</v>
          </cell>
          <cell r="G293" t="str">
            <v>7</v>
          </cell>
          <cell r="H293">
            <v>0</v>
          </cell>
        </row>
        <row r="294">
          <cell r="B294">
            <v>3068</v>
          </cell>
          <cell r="C294" t="str">
            <v>Crabtree; Leroy J</v>
          </cell>
          <cell r="D294" t="str">
            <v>1C</v>
          </cell>
          <cell r="E294" t="str">
            <v/>
          </cell>
          <cell r="F294" t="str">
            <v/>
          </cell>
          <cell r="G294" t="str">
            <v/>
          </cell>
          <cell r="H294">
            <v>0</v>
          </cell>
        </row>
        <row r="295">
          <cell r="B295">
            <v>3075</v>
          </cell>
          <cell r="C295" t="str">
            <v>Craver; Adam S</v>
          </cell>
          <cell r="D295" t="str">
            <v>1C</v>
          </cell>
          <cell r="E295" t="str">
            <v>IBEWOUT</v>
          </cell>
          <cell r="F295" t="str">
            <v>77</v>
          </cell>
          <cell r="G295" t="str">
            <v>8</v>
          </cell>
          <cell r="H295">
            <v>0</v>
          </cell>
        </row>
        <row r="296">
          <cell r="B296">
            <v>3079</v>
          </cell>
          <cell r="C296" t="str">
            <v>Creighton; Mark Jeffrey</v>
          </cell>
          <cell r="D296" t="str">
            <v>1C</v>
          </cell>
          <cell r="E296" t="str">
            <v>IBEWOUT</v>
          </cell>
          <cell r="F296" t="str">
            <v>125</v>
          </cell>
          <cell r="G296" t="str">
            <v>33</v>
          </cell>
          <cell r="H296">
            <v>0</v>
          </cell>
        </row>
        <row r="297">
          <cell r="B297">
            <v>3082</v>
          </cell>
          <cell r="C297" t="str">
            <v>Cross; Mitchel Dee</v>
          </cell>
          <cell r="D297" t="str">
            <v>1C</v>
          </cell>
          <cell r="E297" t="str">
            <v>IBEWOUT</v>
          </cell>
          <cell r="F297" t="str">
            <v>769</v>
          </cell>
          <cell r="G297" t="str">
            <v>7</v>
          </cell>
          <cell r="H297">
            <v>0</v>
          </cell>
        </row>
        <row r="298">
          <cell r="B298">
            <v>3084</v>
          </cell>
          <cell r="C298" t="str">
            <v>Crowder; Joseph Dennis</v>
          </cell>
          <cell r="D298" t="str">
            <v>1C</v>
          </cell>
          <cell r="E298" t="str">
            <v>IBEWOUT</v>
          </cell>
          <cell r="F298" t="str">
            <v>47</v>
          </cell>
          <cell r="G298" t="str">
            <v>16</v>
          </cell>
          <cell r="H298">
            <v>0</v>
          </cell>
        </row>
        <row r="299">
          <cell r="B299">
            <v>3085</v>
          </cell>
          <cell r="C299" t="str">
            <v>Crowder; Travis M</v>
          </cell>
          <cell r="D299" t="str">
            <v>1C</v>
          </cell>
          <cell r="E299" t="str">
            <v>IBEWOUT</v>
          </cell>
          <cell r="F299" t="str">
            <v>77</v>
          </cell>
          <cell r="G299" t="str">
            <v>8</v>
          </cell>
          <cell r="H299">
            <v>0</v>
          </cell>
        </row>
        <row r="300">
          <cell r="B300">
            <v>3090</v>
          </cell>
          <cell r="C300" t="str">
            <v>Cressell; David A</v>
          </cell>
          <cell r="D300" t="str">
            <v>1C</v>
          </cell>
          <cell r="E300" t="str">
            <v>IBEWOUT</v>
          </cell>
          <cell r="F300" t="str">
            <v>70</v>
          </cell>
          <cell r="G300" t="str">
            <v>15</v>
          </cell>
          <cell r="H300">
            <v>0</v>
          </cell>
        </row>
        <row r="301">
          <cell r="B301">
            <v>3095</v>
          </cell>
          <cell r="C301" t="str">
            <v>Crites; Eric J</v>
          </cell>
          <cell r="D301" t="str">
            <v>1C</v>
          </cell>
          <cell r="E301" t="str">
            <v>IBEWOUT</v>
          </cell>
          <cell r="F301" t="str">
            <v>1245</v>
          </cell>
          <cell r="G301" t="str">
            <v>60</v>
          </cell>
          <cell r="H301">
            <v>0</v>
          </cell>
        </row>
        <row r="302">
          <cell r="B302">
            <v>3113</v>
          </cell>
          <cell r="C302" t="str">
            <v>Curry; Patrick Michael</v>
          </cell>
          <cell r="D302" t="str">
            <v>1C</v>
          </cell>
          <cell r="E302" t="str">
            <v>IBEWOUT</v>
          </cell>
          <cell r="F302" t="str">
            <v>77</v>
          </cell>
          <cell r="G302" t="str">
            <v>8</v>
          </cell>
          <cell r="H302">
            <v>0</v>
          </cell>
        </row>
        <row r="303">
          <cell r="B303">
            <v>3118</v>
          </cell>
          <cell r="C303" t="str">
            <v>Crupper; David Daniel</v>
          </cell>
          <cell r="D303" t="str">
            <v>1C</v>
          </cell>
          <cell r="E303" t="str">
            <v/>
          </cell>
          <cell r="F303" t="str">
            <v/>
          </cell>
          <cell r="G303" t="str">
            <v/>
          </cell>
          <cell r="H303">
            <v>0</v>
          </cell>
        </row>
        <row r="304">
          <cell r="B304">
            <v>3124</v>
          </cell>
          <cell r="C304" t="str">
            <v>Currie; Dean Anthony</v>
          </cell>
          <cell r="D304" t="str">
            <v>1C</v>
          </cell>
          <cell r="E304" t="str">
            <v>IBEWOUT</v>
          </cell>
          <cell r="F304" t="str">
            <v>77</v>
          </cell>
          <cell r="G304" t="str">
            <v>8</v>
          </cell>
          <cell r="H304">
            <v>0</v>
          </cell>
        </row>
        <row r="305">
          <cell r="B305">
            <v>3125</v>
          </cell>
          <cell r="C305" t="str">
            <v>Crouch; Daniel Jennings</v>
          </cell>
          <cell r="D305" t="str">
            <v>1C</v>
          </cell>
          <cell r="E305" t="str">
            <v>IBEWOUT</v>
          </cell>
          <cell r="F305" t="str">
            <v>47</v>
          </cell>
          <cell r="G305" t="str">
            <v>8</v>
          </cell>
          <cell r="H305">
            <v>0</v>
          </cell>
        </row>
        <row r="306">
          <cell r="B306">
            <v>3127</v>
          </cell>
          <cell r="C306" t="str">
            <v>Cummings; Mark R</v>
          </cell>
          <cell r="D306" t="str">
            <v>1C</v>
          </cell>
          <cell r="E306" t="str">
            <v/>
          </cell>
          <cell r="F306" t="str">
            <v/>
          </cell>
          <cell r="G306" t="str">
            <v/>
          </cell>
          <cell r="H306">
            <v>0</v>
          </cell>
        </row>
        <row r="307">
          <cell r="B307">
            <v>3128</v>
          </cell>
          <cell r="C307" t="str">
            <v>Crouch; Steven J</v>
          </cell>
          <cell r="D307" t="str">
            <v>1C</v>
          </cell>
          <cell r="E307" t="str">
            <v/>
          </cell>
          <cell r="F307" t="str">
            <v/>
          </cell>
          <cell r="G307" t="str">
            <v/>
          </cell>
          <cell r="H307">
            <v>1</v>
          </cell>
        </row>
        <row r="308">
          <cell r="B308">
            <v>3140</v>
          </cell>
          <cell r="C308" t="str">
            <v>Crosby; Paul S.</v>
          </cell>
          <cell r="D308" t="str">
            <v>1C</v>
          </cell>
          <cell r="E308" t="str">
            <v>IBEWOUT</v>
          </cell>
          <cell r="F308" t="str">
            <v>769</v>
          </cell>
          <cell r="G308" t="str">
            <v>16</v>
          </cell>
          <cell r="H308">
            <v>0</v>
          </cell>
        </row>
        <row r="309">
          <cell r="B309">
            <v>3301</v>
          </cell>
          <cell r="C309" t="str">
            <v>Daggett; Travis S.</v>
          </cell>
          <cell r="D309" t="str">
            <v>1C</v>
          </cell>
          <cell r="E309" t="str">
            <v/>
          </cell>
          <cell r="F309" t="str">
            <v/>
          </cell>
          <cell r="G309" t="str">
            <v/>
          </cell>
          <cell r="H309">
            <v>1</v>
          </cell>
        </row>
        <row r="310">
          <cell r="B310">
            <v>3310</v>
          </cell>
          <cell r="C310" t="str">
            <v>Dalman; Jerrod W</v>
          </cell>
          <cell r="D310" t="str">
            <v>1C</v>
          </cell>
          <cell r="E310" t="str">
            <v>IBEWOUT</v>
          </cell>
          <cell r="F310" t="str">
            <v>602R</v>
          </cell>
          <cell r="G310" t="str">
            <v>8</v>
          </cell>
          <cell r="H310">
            <v>0</v>
          </cell>
        </row>
        <row r="311">
          <cell r="B311">
            <v>3311</v>
          </cell>
          <cell r="C311" t="str">
            <v>Damery; William J.</v>
          </cell>
          <cell r="D311" t="str">
            <v>1C</v>
          </cell>
          <cell r="E311" t="str">
            <v>IBEWOUT</v>
          </cell>
          <cell r="F311" t="str">
            <v>47</v>
          </cell>
          <cell r="G311" t="str">
            <v>16</v>
          </cell>
          <cell r="H311">
            <v>0</v>
          </cell>
        </row>
        <row r="312">
          <cell r="B312">
            <v>3317</v>
          </cell>
          <cell r="C312" t="str">
            <v>Daniels; Dustin J.</v>
          </cell>
          <cell r="D312" t="str">
            <v>1C</v>
          </cell>
          <cell r="E312" t="str">
            <v>IBEWOUT</v>
          </cell>
          <cell r="F312" t="str">
            <v>77</v>
          </cell>
          <cell r="G312" t="str">
            <v>8</v>
          </cell>
          <cell r="H312">
            <v>0</v>
          </cell>
        </row>
        <row r="313">
          <cell r="B313">
            <v>3318</v>
          </cell>
          <cell r="C313" t="str">
            <v>Danielson; Ryan G.</v>
          </cell>
          <cell r="D313" t="str">
            <v>1C</v>
          </cell>
          <cell r="E313" t="str">
            <v>IBEWOUT</v>
          </cell>
          <cell r="F313" t="str">
            <v>769</v>
          </cell>
          <cell r="G313" t="str">
            <v>8</v>
          </cell>
          <cell r="H313">
            <v>0</v>
          </cell>
        </row>
        <row r="314">
          <cell r="B314">
            <v>3320</v>
          </cell>
          <cell r="C314" t="str">
            <v>Danner; Joshua S</v>
          </cell>
          <cell r="D314" t="str">
            <v>1C</v>
          </cell>
          <cell r="E314" t="str">
            <v>IBEWOUT</v>
          </cell>
          <cell r="F314" t="str">
            <v>126</v>
          </cell>
          <cell r="G314" t="str">
            <v>16</v>
          </cell>
          <cell r="H314">
            <v>0</v>
          </cell>
        </row>
        <row r="315">
          <cell r="B315">
            <v>3321</v>
          </cell>
          <cell r="C315" t="str">
            <v>Darr; Taylor W</v>
          </cell>
          <cell r="D315" t="str">
            <v>1C</v>
          </cell>
          <cell r="E315" t="str">
            <v>IBEWOUT</v>
          </cell>
          <cell r="F315" t="str">
            <v>1245</v>
          </cell>
          <cell r="G315" t="str">
            <v>8</v>
          </cell>
          <cell r="H315">
            <v>0</v>
          </cell>
        </row>
        <row r="316">
          <cell r="B316">
            <v>3322</v>
          </cell>
          <cell r="C316" t="str">
            <v>Daugs; Matthew J</v>
          </cell>
          <cell r="D316" t="str">
            <v>1C</v>
          </cell>
          <cell r="E316" t="str">
            <v>IBEWOUT</v>
          </cell>
          <cell r="F316" t="str">
            <v>1245</v>
          </cell>
          <cell r="G316" t="str">
            <v>8</v>
          </cell>
          <cell r="H316">
            <v>0</v>
          </cell>
        </row>
        <row r="317">
          <cell r="B317">
            <v>3324</v>
          </cell>
          <cell r="C317" t="str">
            <v>Daugherty; Jerry Lee</v>
          </cell>
          <cell r="D317" t="str">
            <v>1C</v>
          </cell>
          <cell r="E317" t="str">
            <v>IBEWOUT</v>
          </cell>
          <cell r="F317" t="str">
            <v>1245</v>
          </cell>
          <cell r="G317" t="str">
            <v>8</v>
          </cell>
          <cell r="H317">
            <v>0</v>
          </cell>
        </row>
        <row r="318">
          <cell r="B318">
            <v>3342</v>
          </cell>
          <cell r="C318" t="str">
            <v>Davis; Jayson A</v>
          </cell>
          <cell r="D318" t="str">
            <v>1C</v>
          </cell>
          <cell r="E318" t="str">
            <v>IBEWOUT</v>
          </cell>
          <cell r="F318" t="str">
            <v>126</v>
          </cell>
          <cell r="G318" t="str">
            <v>8</v>
          </cell>
          <cell r="H318">
            <v>0</v>
          </cell>
        </row>
        <row r="319">
          <cell r="B319">
            <v>3349</v>
          </cell>
          <cell r="C319" t="str">
            <v>Davis; Daniel J</v>
          </cell>
          <cell r="D319" t="str">
            <v>1C</v>
          </cell>
          <cell r="E319" t="str">
            <v>IBEWOUT</v>
          </cell>
          <cell r="F319" t="str">
            <v>160</v>
          </cell>
          <cell r="G319" t="str">
            <v>15</v>
          </cell>
          <cell r="H319">
            <v>0</v>
          </cell>
        </row>
        <row r="320">
          <cell r="B320">
            <v>3356</v>
          </cell>
          <cell r="C320" t="str">
            <v>Davis; Keane A</v>
          </cell>
          <cell r="D320" t="str">
            <v>1C</v>
          </cell>
          <cell r="E320" t="str">
            <v>IBEWOUT</v>
          </cell>
          <cell r="F320" t="str">
            <v>1245</v>
          </cell>
          <cell r="G320" t="str">
            <v>8</v>
          </cell>
          <cell r="H320">
            <v>0</v>
          </cell>
        </row>
        <row r="321">
          <cell r="B321">
            <v>3367</v>
          </cell>
          <cell r="C321" t="str">
            <v>De La Torre; Filimon V</v>
          </cell>
          <cell r="D321" t="str">
            <v>1C</v>
          </cell>
          <cell r="E321" t="str">
            <v>IBEWOUT</v>
          </cell>
          <cell r="F321" t="str">
            <v>47</v>
          </cell>
          <cell r="G321" t="str">
            <v>17</v>
          </cell>
          <cell r="H321">
            <v>0</v>
          </cell>
        </row>
        <row r="322">
          <cell r="B322">
            <v>3368</v>
          </cell>
          <cell r="C322" t="str">
            <v>Dees; Bradley A</v>
          </cell>
          <cell r="D322" t="str">
            <v>1C</v>
          </cell>
          <cell r="E322" t="str">
            <v>IBEWOUT</v>
          </cell>
          <cell r="F322" t="str">
            <v>1245</v>
          </cell>
          <cell r="G322" t="str">
            <v>8</v>
          </cell>
          <cell r="H322">
            <v>0</v>
          </cell>
        </row>
        <row r="323">
          <cell r="B323">
            <v>3371</v>
          </cell>
          <cell r="C323" t="str">
            <v>DeBon; Mitchell C</v>
          </cell>
          <cell r="D323" t="str">
            <v>1C</v>
          </cell>
          <cell r="E323" t="str">
            <v>IBEWOUT</v>
          </cell>
          <cell r="F323" t="str">
            <v>1245</v>
          </cell>
          <cell r="G323" t="str">
            <v>17</v>
          </cell>
          <cell r="H323">
            <v>0</v>
          </cell>
        </row>
        <row r="324">
          <cell r="B324">
            <v>3372</v>
          </cell>
          <cell r="C324" t="str">
            <v>DeBruler; Daniel</v>
          </cell>
          <cell r="D324" t="str">
            <v>1</v>
          </cell>
          <cell r="E324" t="str">
            <v/>
          </cell>
          <cell r="F324" t="str">
            <v/>
          </cell>
          <cell r="G324" t="str">
            <v/>
          </cell>
          <cell r="H324">
            <v>1</v>
          </cell>
        </row>
        <row r="325">
          <cell r="B325">
            <v>3373</v>
          </cell>
          <cell r="C325" t="str">
            <v>Dearing; Randy E</v>
          </cell>
          <cell r="D325" t="str">
            <v>1C</v>
          </cell>
          <cell r="E325" t="str">
            <v>IBEWOUT</v>
          </cell>
          <cell r="F325" t="str">
            <v>1245</v>
          </cell>
          <cell r="G325" t="str">
            <v>1</v>
          </cell>
          <cell r="H325">
            <v>0</v>
          </cell>
        </row>
        <row r="326">
          <cell r="B326">
            <v>3377</v>
          </cell>
          <cell r="C326" t="str">
            <v>Deal; Nathan W.</v>
          </cell>
          <cell r="D326" t="str">
            <v>1C</v>
          </cell>
          <cell r="E326" t="str">
            <v>IBEWOUT</v>
          </cell>
          <cell r="F326" t="str">
            <v>125</v>
          </cell>
          <cell r="G326" t="str">
            <v>12</v>
          </cell>
          <cell r="H326">
            <v>0</v>
          </cell>
        </row>
        <row r="327">
          <cell r="B327">
            <v>3382</v>
          </cell>
          <cell r="C327" t="str">
            <v>Deitz; Steve Andrew</v>
          </cell>
          <cell r="D327" t="str">
            <v>1C</v>
          </cell>
          <cell r="E327" t="str">
            <v>IBEWOUT</v>
          </cell>
          <cell r="F327" t="str">
            <v>77</v>
          </cell>
          <cell r="G327" t="str">
            <v>16</v>
          </cell>
          <cell r="H327">
            <v>0</v>
          </cell>
        </row>
        <row r="328">
          <cell r="B328">
            <v>3383</v>
          </cell>
          <cell r="C328" t="str">
            <v>Delong; Joseph Henry</v>
          </cell>
          <cell r="D328" t="str">
            <v>1C</v>
          </cell>
          <cell r="E328" t="str">
            <v/>
          </cell>
          <cell r="F328" t="str">
            <v/>
          </cell>
          <cell r="G328" t="str">
            <v/>
          </cell>
          <cell r="H328">
            <v>0</v>
          </cell>
        </row>
        <row r="329">
          <cell r="B329">
            <v>3386</v>
          </cell>
          <cell r="C329" t="str">
            <v>Denestan; Hector</v>
          </cell>
          <cell r="D329" t="str">
            <v>1C</v>
          </cell>
          <cell r="E329" t="str">
            <v>IBEWOUT</v>
          </cell>
          <cell r="F329" t="str">
            <v>602R</v>
          </cell>
          <cell r="G329" t="str">
            <v>8</v>
          </cell>
          <cell r="H329">
            <v>0</v>
          </cell>
        </row>
        <row r="330">
          <cell r="B330">
            <v>3387</v>
          </cell>
          <cell r="C330" t="str">
            <v>DeWitt; Craig R</v>
          </cell>
          <cell r="D330" t="str">
            <v>1</v>
          </cell>
          <cell r="E330" t="str">
            <v/>
          </cell>
          <cell r="F330" t="str">
            <v/>
          </cell>
          <cell r="G330" t="str">
            <v/>
          </cell>
          <cell r="H330">
            <v>1</v>
          </cell>
        </row>
        <row r="331">
          <cell r="B331">
            <v>3388</v>
          </cell>
          <cell r="C331" t="str">
            <v>Del Pizzo; Scott</v>
          </cell>
          <cell r="D331" t="str">
            <v>1</v>
          </cell>
          <cell r="E331" t="str">
            <v>IBEWOUT</v>
          </cell>
          <cell r="F331" t="str">
            <v>125</v>
          </cell>
          <cell r="G331" t="str">
            <v>7</v>
          </cell>
          <cell r="H331">
            <v>0</v>
          </cell>
        </row>
        <row r="332">
          <cell r="B332">
            <v>3389</v>
          </cell>
          <cell r="C332" t="str">
            <v>Deluna; Ricardo</v>
          </cell>
          <cell r="D332" t="str">
            <v>1</v>
          </cell>
          <cell r="E332" t="str">
            <v/>
          </cell>
          <cell r="F332" t="str">
            <v/>
          </cell>
          <cell r="G332" t="str">
            <v/>
          </cell>
          <cell r="H332">
            <v>0</v>
          </cell>
        </row>
        <row r="333">
          <cell r="B333">
            <v>3392</v>
          </cell>
          <cell r="C333" t="str">
            <v>Demond; Kyle D</v>
          </cell>
          <cell r="D333" t="str">
            <v>1</v>
          </cell>
          <cell r="E333" t="str">
            <v>IBEWOUT</v>
          </cell>
          <cell r="F333" t="str">
            <v>1245</v>
          </cell>
          <cell r="G333" t="str">
            <v>7</v>
          </cell>
          <cell r="H333">
            <v>0</v>
          </cell>
        </row>
        <row r="334">
          <cell r="B334">
            <v>3395</v>
          </cell>
          <cell r="C334" t="str">
            <v>Delawder; Dakota M</v>
          </cell>
          <cell r="D334" t="str">
            <v>1C</v>
          </cell>
          <cell r="E334" t="str">
            <v>IBEWOUT</v>
          </cell>
          <cell r="F334" t="str">
            <v>70</v>
          </cell>
          <cell r="G334" t="str">
            <v>18</v>
          </cell>
          <cell r="H334">
            <v>0</v>
          </cell>
        </row>
        <row r="335">
          <cell r="B335">
            <v>3407</v>
          </cell>
          <cell r="C335" t="str">
            <v>Devine; Chad Emery</v>
          </cell>
          <cell r="D335" t="str">
            <v>1</v>
          </cell>
          <cell r="E335" t="str">
            <v>IBEWOUT</v>
          </cell>
          <cell r="F335" t="str">
            <v>77</v>
          </cell>
          <cell r="G335" t="str">
            <v>1</v>
          </cell>
          <cell r="H335">
            <v>1</v>
          </cell>
        </row>
        <row r="336">
          <cell r="B336">
            <v>3408</v>
          </cell>
          <cell r="C336" t="str">
            <v>Desz; Daniel R</v>
          </cell>
          <cell r="D336" t="str">
            <v>1C</v>
          </cell>
          <cell r="E336" t="str">
            <v>IBEWOUT</v>
          </cell>
          <cell r="F336" t="str">
            <v>1049</v>
          </cell>
          <cell r="G336" t="str">
            <v>15</v>
          </cell>
          <cell r="H336">
            <v>0</v>
          </cell>
        </row>
        <row r="337">
          <cell r="B337">
            <v>3413</v>
          </cell>
          <cell r="C337" t="str">
            <v>Denk; Dean L.</v>
          </cell>
          <cell r="D337" t="str">
            <v>1C</v>
          </cell>
          <cell r="E337" t="str">
            <v>IBEWOUT</v>
          </cell>
          <cell r="F337" t="str">
            <v>769</v>
          </cell>
          <cell r="G337" t="str">
            <v>8</v>
          </cell>
          <cell r="H337">
            <v>0</v>
          </cell>
        </row>
        <row r="338">
          <cell r="B338">
            <v>3417</v>
          </cell>
          <cell r="C338" t="str">
            <v>Domenick; James A</v>
          </cell>
          <cell r="D338" t="str">
            <v>1C</v>
          </cell>
          <cell r="E338" t="str">
            <v>IBEWOUT</v>
          </cell>
          <cell r="F338" t="str">
            <v>396</v>
          </cell>
          <cell r="G338" t="str">
            <v>18</v>
          </cell>
          <cell r="H338">
            <v>0</v>
          </cell>
        </row>
        <row r="339">
          <cell r="B339">
            <v>3435</v>
          </cell>
          <cell r="C339" t="str">
            <v>Diaz; Robert H.</v>
          </cell>
          <cell r="D339" t="str">
            <v>1C</v>
          </cell>
          <cell r="E339" t="str">
            <v>IBEWOUT</v>
          </cell>
          <cell r="F339" t="str">
            <v>47</v>
          </cell>
          <cell r="G339" t="str">
            <v>16</v>
          </cell>
          <cell r="H339">
            <v>0</v>
          </cell>
        </row>
        <row r="340">
          <cell r="B340">
            <v>3438</v>
          </cell>
          <cell r="C340" t="str">
            <v>Andrade Diaz; Jose Rolando</v>
          </cell>
          <cell r="D340" t="str">
            <v>1C</v>
          </cell>
          <cell r="E340" t="str">
            <v>IBEWOUT</v>
          </cell>
          <cell r="F340" t="str">
            <v>1245</v>
          </cell>
          <cell r="G340" t="str">
            <v>70</v>
          </cell>
          <cell r="H340">
            <v>0</v>
          </cell>
        </row>
        <row r="341">
          <cell r="B341">
            <v>3443</v>
          </cell>
          <cell r="C341" t="str">
            <v>Dimaano; Joseph R</v>
          </cell>
          <cell r="D341" t="str">
            <v>1</v>
          </cell>
          <cell r="E341" t="str">
            <v>IBEWOUT</v>
          </cell>
          <cell r="F341" t="str">
            <v>47</v>
          </cell>
          <cell r="G341" t="str">
            <v>8</v>
          </cell>
          <cell r="H341">
            <v>0</v>
          </cell>
        </row>
        <row r="342">
          <cell r="B342">
            <v>3465</v>
          </cell>
          <cell r="C342" t="str">
            <v>Dineen; Timothy J.</v>
          </cell>
          <cell r="D342" t="str">
            <v>1C</v>
          </cell>
          <cell r="E342" t="str">
            <v>IBEWOUT</v>
          </cell>
          <cell r="F342" t="str">
            <v>1319</v>
          </cell>
          <cell r="G342" t="str">
            <v>8</v>
          </cell>
          <cell r="H342">
            <v>0</v>
          </cell>
        </row>
        <row r="343">
          <cell r="B343">
            <v>3470</v>
          </cell>
          <cell r="C343" t="str">
            <v>Dixon; Dustin M.</v>
          </cell>
          <cell r="D343" t="str">
            <v>1C</v>
          </cell>
          <cell r="E343" t="str">
            <v>IBEWOUT</v>
          </cell>
          <cell r="F343" t="str">
            <v>1245</v>
          </cell>
          <cell r="G343" t="str">
            <v>8</v>
          </cell>
          <cell r="H343">
            <v>0</v>
          </cell>
        </row>
        <row r="344">
          <cell r="B344">
            <v>3532</v>
          </cell>
          <cell r="C344" t="str">
            <v>Dodd; Richard L</v>
          </cell>
          <cell r="D344" t="str">
            <v>1C</v>
          </cell>
          <cell r="E344" t="str">
            <v>IBEWOUT</v>
          </cell>
          <cell r="F344" t="str">
            <v>77</v>
          </cell>
          <cell r="G344" t="str">
            <v>60</v>
          </cell>
          <cell r="H344">
            <v>0</v>
          </cell>
        </row>
        <row r="345">
          <cell r="B345">
            <v>3537</v>
          </cell>
          <cell r="C345" t="str">
            <v>Dotson; David Lee</v>
          </cell>
          <cell r="D345" t="str">
            <v>1C</v>
          </cell>
          <cell r="E345" t="str">
            <v/>
          </cell>
          <cell r="F345" t="str">
            <v/>
          </cell>
          <cell r="G345" t="str">
            <v/>
          </cell>
          <cell r="H345">
            <v>0</v>
          </cell>
        </row>
        <row r="346">
          <cell r="B346">
            <v>3548</v>
          </cell>
          <cell r="C346" t="str">
            <v>Douglas; Wyatt J</v>
          </cell>
          <cell r="D346" t="str">
            <v>1</v>
          </cell>
          <cell r="E346" t="str">
            <v>IBEWOUT</v>
          </cell>
          <cell r="F346" t="str">
            <v>47LOU</v>
          </cell>
          <cell r="G346" t="str">
            <v>21</v>
          </cell>
          <cell r="H346">
            <v>0</v>
          </cell>
        </row>
        <row r="347">
          <cell r="B347">
            <v>3549</v>
          </cell>
          <cell r="C347" t="str">
            <v>Early; Darren M</v>
          </cell>
          <cell r="D347" t="str">
            <v>1C</v>
          </cell>
          <cell r="E347" t="str">
            <v/>
          </cell>
          <cell r="F347" t="str">
            <v/>
          </cell>
          <cell r="G347" t="str">
            <v/>
          </cell>
          <cell r="H347">
            <v>0</v>
          </cell>
        </row>
        <row r="348">
          <cell r="B348">
            <v>3550</v>
          </cell>
          <cell r="C348" t="str">
            <v>Giles; Martinez A.</v>
          </cell>
          <cell r="D348" t="str">
            <v>1C</v>
          </cell>
          <cell r="E348" t="str">
            <v>IBEWOUT</v>
          </cell>
          <cell r="F348" t="str">
            <v>1245</v>
          </cell>
          <cell r="G348" t="str">
            <v>8</v>
          </cell>
          <cell r="H348">
            <v>0</v>
          </cell>
        </row>
        <row r="349">
          <cell r="B349">
            <v>3583</v>
          </cell>
          <cell r="C349" t="str">
            <v>Duckett; Ryan W</v>
          </cell>
          <cell r="D349" t="str">
            <v>1</v>
          </cell>
          <cell r="E349" t="str">
            <v>IBEWOUT</v>
          </cell>
          <cell r="F349" t="str">
            <v>70</v>
          </cell>
          <cell r="G349" t="str">
            <v>17</v>
          </cell>
          <cell r="H349">
            <v>0</v>
          </cell>
        </row>
        <row r="350">
          <cell r="B350">
            <v>3585</v>
          </cell>
          <cell r="C350" t="str">
            <v>Dudley; Eric L</v>
          </cell>
          <cell r="D350" t="str">
            <v>1C</v>
          </cell>
          <cell r="E350" t="str">
            <v>IBEWOUT</v>
          </cell>
          <cell r="F350" t="str">
            <v>125</v>
          </cell>
          <cell r="G350" t="str">
            <v>16</v>
          </cell>
          <cell r="H350">
            <v>0</v>
          </cell>
        </row>
        <row r="351">
          <cell r="B351">
            <v>3588</v>
          </cell>
          <cell r="C351" t="str">
            <v>Duffer; Taylor L</v>
          </cell>
          <cell r="D351" t="str">
            <v>1C</v>
          </cell>
          <cell r="E351" t="str">
            <v>IBEWOUT</v>
          </cell>
          <cell r="F351" t="str">
            <v>769</v>
          </cell>
          <cell r="G351" t="str">
            <v>8</v>
          </cell>
          <cell r="H351">
            <v>0</v>
          </cell>
        </row>
        <row r="352">
          <cell r="B352">
            <v>3594</v>
          </cell>
          <cell r="C352" t="str">
            <v>Duncan; Jerry</v>
          </cell>
          <cell r="D352" t="str">
            <v>1C</v>
          </cell>
          <cell r="E352" t="str">
            <v>IBEWOUT</v>
          </cell>
          <cell r="F352" t="str">
            <v>126</v>
          </cell>
          <cell r="G352" t="str">
            <v>8</v>
          </cell>
          <cell r="H352">
            <v>0</v>
          </cell>
        </row>
        <row r="353">
          <cell r="B353">
            <v>3595</v>
          </cell>
          <cell r="C353" t="str">
            <v>Dungan; Joshua</v>
          </cell>
          <cell r="D353" t="str">
            <v>1C</v>
          </cell>
          <cell r="E353" t="str">
            <v>IBEWOUT</v>
          </cell>
          <cell r="F353" t="str">
            <v>1245</v>
          </cell>
          <cell r="G353" t="str">
            <v>8</v>
          </cell>
          <cell r="H353">
            <v>0</v>
          </cell>
        </row>
        <row r="354">
          <cell r="B354">
            <v>3596</v>
          </cell>
          <cell r="C354" t="str">
            <v>Dunn; Bradley C</v>
          </cell>
          <cell r="D354" t="str">
            <v>1C</v>
          </cell>
          <cell r="E354" t="str">
            <v>IBEWOUT</v>
          </cell>
          <cell r="F354" t="str">
            <v>611</v>
          </cell>
          <cell r="G354" t="str">
            <v>15</v>
          </cell>
          <cell r="H354">
            <v>0</v>
          </cell>
        </row>
        <row r="355">
          <cell r="B355">
            <v>3597</v>
          </cell>
          <cell r="C355" t="str">
            <v>Duncan Jr.; Ronald B</v>
          </cell>
          <cell r="D355" t="str">
            <v>1C</v>
          </cell>
          <cell r="E355" t="str">
            <v>IBEWOUT</v>
          </cell>
          <cell r="F355" t="str">
            <v>77</v>
          </cell>
          <cell r="G355" t="str">
            <v>8</v>
          </cell>
          <cell r="H355">
            <v>0</v>
          </cell>
        </row>
        <row r="356">
          <cell r="B356">
            <v>3600</v>
          </cell>
          <cell r="C356" t="str">
            <v>Dunlap; Chad J</v>
          </cell>
          <cell r="D356" t="str">
            <v>1C</v>
          </cell>
          <cell r="E356" t="str">
            <v/>
          </cell>
          <cell r="F356" t="str">
            <v/>
          </cell>
          <cell r="G356" t="str">
            <v/>
          </cell>
          <cell r="H356">
            <v>0</v>
          </cell>
        </row>
        <row r="357">
          <cell r="B357">
            <v>3604</v>
          </cell>
          <cell r="C357" t="str">
            <v>Dove; Noah C.</v>
          </cell>
          <cell r="D357" t="str">
            <v>1</v>
          </cell>
          <cell r="E357" t="str">
            <v>IBEWOUT</v>
          </cell>
          <cell r="F357" t="str">
            <v>77</v>
          </cell>
          <cell r="G357" t="str">
            <v>7</v>
          </cell>
          <cell r="H357">
            <v>0</v>
          </cell>
        </row>
        <row r="358">
          <cell r="B358">
            <v>3608</v>
          </cell>
          <cell r="C358" t="str">
            <v>Dovichi; Gregory D</v>
          </cell>
          <cell r="D358" t="str">
            <v>1C</v>
          </cell>
          <cell r="E358" t="str">
            <v>IBEWOUT</v>
          </cell>
          <cell r="F358" t="str">
            <v>1245</v>
          </cell>
          <cell r="G358" t="str">
            <v>8</v>
          </cell>
          <cell r="H358">
            <v>0</v>
          </cell>
        </row>
        <row r="359">
          <cell r="B359">
            <v>3609</v>
          </cell>
          <cell r="C359" t="str">
            <v>Downey; Jessica E</v>
          </cell>
          <cell r="D359" t="str">
            <v>1</v>
          </cell>
          <cell r="E359" t="str">
            <v>IBEWOUT</v>
          </cell>
          <cell r="F359" t="str">
            <v>77</v>
          </cell>
          <cell r="G359" t="str">
            <v>8</v>
          </cell>
          <cell r="H359">
            <v>0</v>
          </cell>
        </row>
        <row r="360">
          <cell r="B360">
            <v>3610</v>
          </cell>
          <cell r="C360" t="str">
            <v>Driver; Kenneth R</v>
          </cell>
          <cell r="D360" t="str">
            <v>1C</v>
          </cell>
          <cell r="E360" t="str">
            <v>IBEWOUT</v>
          </cell>
          <cell r="F360" t="str">
            <v>1245</v>
          </cell>
          <cell r="G360" t="str">
            <v>17</v>
          </cell>
          <cell r="H360">
            <v>0</v>
          </cell>
        </row>
        <row r="361">
          <cell r="B361">
            <v>3612</v>
          </cell>
          <cell r="C361" t="str">
            <v>Drauschak; Joseph D</v>
          </cell>
          <cell r="D361" t="str">
            <v>1C</v>
          </cell>
          <cell r="E361" t="str">
            <v>IBEWOUT</v>
          </cell>
          <cell r="F361" t="str">
            <v>1319</v>
          </cell>
          <cell r="G361" t="str">
            <v>21</v>
          </cell>
          <cell r="H361">
            <v>0</v>
          </cell>
        </row>
        <row r="362">
          <cell r="B362">
            <v>3614</v>
          </cell>
          <cell r="C362" t="str">
            <v>Duncan; Thomas K</v>
          </cell>
          <cell r="D362" t="str">
            <v>1C</v>
          </cell>
          <cell r="E362" t="str">
            <v>IBEWOUT</v>
          </cell>
          <cell r="F362" t="str">
            <v>77</v>
          </cell>
          <cell r="G362" t="str">
            <v>8</v>
          </cell>
          <cell r="H362">
            <v>0</v>
          </cell>
        </row>
        <row r="363">
          <cell r="B363">
            <v>3615</v>
          </cell>
          <cell r="C363" t="str">
            <v>Durkin; Patrick J</v>
          </cell>
          <cell r="D363" t="str">
            <v>1C</v>
          </cell>
          <cell r="E363" t="str">
            <v>IBEWOUT</v>
          </cell>
          <cell r="F363" t="str">
            <v>104</v>
          </cell>
          <cell r="G363" t="str">
            <v>15</v>
          </cell>
          <cell r="H363">
            <v>0</v>
          </cell>
        </row>
        <row r="364">
          <cell r="B364">
            <v>3616</v>
          </cell>
          <cell r="C364" t="str">
            <v>Dobry; Casey A</v>
          </cell>
          <cell r="D364" t="str">
            <v>1C</v>
          </cell>
          <cell r="E364" t="str">
            <v>IBEWOUT</v>
          </cell>
          <cell r="F364" t="str">
            <v>1245</v>
          </cell>
          <cell r="G364" t="str">
            <v>7</v>
          </cell>
          <cell r="H364">
            <v>0</v>
          </cell>
        </row>
        <row r="365">
          <cell r="B365">
            <v>3618</v>
          </cell>
          <cell r="C365" t="str">
            <v>Doan; Christopher P</v>
          </cell>
          <cell r="D365" t="str">
            <v>1C</v>
          </cell>
          <cell r="E365" t="str">
            <v>IBEWOUT</v>
          </cell>
          <cell r="F365" t="str">
            <v>126</v>
          </cell>
          <cell r="G365" t="str">
            <v>33</v>
          </cell>
          <cell r="H365">
            <v>0</v>
          </cell>
        </row>
        <row r="366">
          <cell r="B366">
            <v>3622</v>
          </cell>
          <cell r="C366" t="str">
            <v>Eberhart; Bradley D</v>
          </cell>
          <cell r="D366" t="str">
            <v>1C</v>
          </cell>
          <cell r="E366" t="str">
            <v>IBEWOUT</v>
          </cell>
          <cell r="F366" t="str">
            <v>77</v>
          </cell>
          <cell r="G366" t="str">
            <v>16</v>
          </cell>
          <cell r="H366">
            <v>0</v>
          </cell>
        </row>
        <row r="367">
          <cell r="B367">
            <v>3623</v>
          </cell>
          <cell r="C367" t="str">
            <v>Eckstein; Blake Robert</v>
          </cell>
          <cell r="D367" t="str">
            <v>1C</v>
          </cell>
          <cell r="E367" t="str">
            <v>IBEWOUT</v>
          </cell>
          <cell r="F367" t="str">
            <v>1245</v>
          </cell>
          <cell r="G367" t="str">
            <v>7</v>
          </cell>
          <cell r="H367">
            <v>0</v>
          </cell>
        </row>
        <row r="368">
          <cell r="B368">
            <v>3625</v>
          </cell>
          <cell r="C368" t="str">
            <v>Edwards; Cole</v>
          </cell>
          <cell r="D368" t="str">
            <v>1C</v>
          </cell>
          <cell r="E368" t="str">
            <v>IBEWOUT</v>
          </cell>
          <cell r="F368" t="str">
            <v>1245</v>
          </cell>
          <cell r="G368" t="str">
            <v>12</v>
          </cell>
          <cell r="H368">
            <v>0</v>
          </cell>
        </row>
        <row r="369">
          <cell r="B369">
            <v>3626</v>
          </cell>
          <cell r="C369" t="str">
            <v>Eckhardt; Kenneth R</v>
          </cell>
          <cell r="D369" t="str">
            <v>1</v>
          </cell>
          <cell r="E369" t="str">
            <v>IBEWOUT</v>
          </cell>
          <cell r="F369" t="str">
            <v>47</v>
          </cell>
          <cell r="G369" t="str">
            <v>16</v>
          </cell>
          <cell r="H369">
            <v>0</v>
          </cell>
        </row>
        <row r="370">
          <cell r="B370">
            <v>3629</v>
          </cell>
          <cell r="C370" t="str">
            <v>Durbin; Logan B</v>
          </cell>
          <cell r="D370" t="str">
            <v>1C</v>
          </cell>
          <cell r="E370" t="str">
            <v>IBEWOUT</v>
          </cell>
          <cell r="F370" t="str">
            <v>1245</v>
          </cell>
          <cell r="G370" t="str">
            <v>16</v>
          </cell>
          <cell r="H370">
            <v>0</v>
          </cell>
        </row>
        <row r="371">
          <cell r="B371">
            <v>3630</v>
          </cell>
          <cell r="C371" t="str">
            <v>Egress Jr; Frank</v>
          </cell>
          <cell r="D371" t="str">
            <v>1C</v>
          </cell>
          <cell r="E371" t="str">
            <v>IBEWOUT</v>
          </cell>
          <cell r="F371" t="str">
            <v>1245</v>
          </cell>
          <cell r="G371" t="str">
            <v>8</v>
          </cell>
          <cell r="H371">
            <v>0</v>
          </cell>
        </row>
        <row r="372">
          <cell r="B372">
            <v>3645</v>
          </cell>
          <cell r="C372" t="str">
            <v>Elam; John C</v>
          </cell>
          <cell r="D372" t="str">
            <v>1</v>
          </cell>
          <cell r="E372" t="str">
            <v>IBEWOUT</v>
          </cell>
          <cell r="F372" t="str">
            <v>769</v>
          </cell>
          <cell r="G372" t="str">
            <v>7</v>
          </cell>
          <cell r="H372">
            <v>0</v>
          </cell>
        </row>
        <row r="373">
          <cell r="B373">
            <v>3662</v>
          </cell>
          <cell r="C373" t="str">
            <v>Elder; John J</v>
          </cell>
          <cell r="D373" t="str">
            <v>1C</v>
          </cell>
          <cell r="E373" t="str">
            <v>IBEWOUT</v>
          </cell>
          <cell r="F373" t="str">
            <v>47</v>
          </cell>
          <cell r="G373" t="str">
            <v>8</v>
          </cell>
          <cell r="H373">
            <v>0</v>
          </cell>
        </row>
        <row r="374">
          <cell r="B374">
            <v>3767</v>
          </cell>
          <cell r="C374" t="str">
            <v>Ellis; Shawn P</v>
          </cell>
          <cell r="D374" t="str">
            <v>1C</v>
          </cell>
          <cell r="E374" t="str">
            <v>IBEWOUT</v>
          </cell>
          <cell r="F374" t="str">
            <v>47</v>
          </cell>
          <cell r="G374" t="str">
            <v>8</v>
          </cell>
          <cell r="H374">
            <v>0</v>
          </cell>
        </row>
        <row r="375">
          <cell r="B375">
            <v>3780</v>
          </cell>
          <cell r="C375" t="str">
            <v>Enders; Rodney J.</v>
          </cell>
          <cell r="D375" t="str">
            <v>1</v>
          </cell>
          <cell r="E375" t="str">
            <v/>
          </cell>
          <cell r="F375" t="str">
            <v/>
          </cell>
          <cell r="G375" t="str">
            <v/>
          </cell>
          <cell r="H375">
            <v>0</v>
          </cell>
        </row>
        <row r="376">
          <cell r="B376">
            <v>3785</v>
          </cell>
          <cell r="C376" t="str">
            <v>English; Richard R</v>
          </cell>
          <cell r="D376" t="str">
            <v>1C</v>
          </cell>
          <cell r="E376" t="str">
            <v>IBEWOUT</v>
          </cell>
          <cell r="F376" t="str">
            <v>77</v>
          </cell>
          <cell r="G376" t="str">
            <v>15</v>
          </cell>
          <cell r="H376">
            <v>0</v>
          </cell>
        </row>
        <row r="377">
          <cell r="B377">
            <v>3920</v>
          </cell>
          <cell r="C377" t="str">
            <v>Edgar; Donald G</v>
          </cell>
          <cell r="D377" t="str">
            <v>1C</v>
          </cell>
          <cell r="E377" t="str">
            <v>IBEWOUT</v>
          </cell>
          <cell r="F377" t="str">
            <v>47</v>
          </cell>
          <cell r="G377" t="str">
            <v>8</v>
          </cell>
          <cell r="H377">
            <v>0</v>
          </cell>
        </row>
        <row r="378">
          <cell r="B378">
            <v>3942</v>
          </cell>
          <cell r="C378" t="str">
            <v>Erickson; Clancy W</v>
          </cell>
          <cell r="D378" t="str">
            <v>1C</v>
          </cell>
          <cell r="E378" t="str">
            <v>IBEWOUT</v>
          </cell>
          <cell r="F378" t="str">
            <v>1245</v>
          </cell>
          <cell r="G378" t="str">
            <v>8</v>
          </cell>
          <cell r="H378">
            <v>0</v>
          </cell>
        </row>
        <row r="379">
          <cell r="B379">
            <v>3944</v>
          </cell>
          <cell r="C379" t="str">
            <v>Erickson; Mitchell</v>
          </cell>
          <cell r="D379" t="str">
            <v>1C</v>
          </cell>
          <cell r="E379" t="str">
            <v>IBEWOUT</v>
          </cell>
          <cell r="F379" t="str">
            <v>77</v>
          </cell>
          <cell r="G379" t="str">
            <v>17</v>
          </cell>
          <cell r="H379">
            <v>0</v>
          </cell>
        </row>
        <row r="380">
          <cell r="B380">
            <v>3990</v>
          </cell>
          <cell r="C380" t="str">
            <v>Esparza; Joel S.</v>
          </cell>
          <cell r="D380" t="str">
            <v>1C</v>
          </cell>
          <cell r="E380" t="str">
            <v>IBEWOUT</v>
          </cell>
          <cell r="F380" t="str">
            <v>396</v>
          </cell>
          <cell r="G380" t="str">
            <v>8</v>
          </cell>
          <cell r="H380">
            <v>0</v>
          </cell>
        </row>
        <row r="381">
          <cell r="B381">
            <v>3999</v>
          </cell>
          <cell r="C381" t="str">
            <v>Franks; Billy J</v>
          </cell>
          <cell r="D381" t="str">
            <v>1C</v>
          </cell>
          <cell r="E381" t="str">
            <v>IBEWOUT</v>
          </cell>
          <cell r="F381" t="str">
            <v>1245</v>
          </cell>
          <cell r="G381" t="str">
            <v>8</v>
          </cell>
          <cell r="H381">
            <v>0</v>
          </cell>
        </row>
        <row r="382">
          <cell r="B382">
            <v>4005</v>
          </cell>
          <cell r="C382" t="str">
            <v>Espinoza; Joseph A.</v>
          </cell>
          <cell r="D382" t="str">
            <v>1C</v>
          </cell>
          <cell r="E382" t="str">
            <v>IBEWOUT</v>
          </cell>
          <cell r="F382" t="str">
            <v>47</v>
          </cell>
          <cell r="G382" t="str">
            <v>8</v>
          </cell>
          <cell r="H382">
            <v>0</v>
          </cell>
        </row>
        <row r="383">
          <cell r="B383">
            <v>4016</v>
          </cell>
          <cell r="C383" t="str">
            <v>Everitt; Devin R</v>
          </cell>
          <cell r="D383" t="str">
            <v>1</v>
          </cell>
          <cell r="E383" t="str">
            <v>IBEWOUT</v>
          </cell>
          <cell r="F383" t="str">
            <v>1245</v>
          </cell>
          <cell r="G383" t="str">
            <v>11</v>
          </cell>
          <cell r="H383">
            <v>0</v>
          </cell>
        </row>
        <row r="384">
          <cell r="B384">
            <v>4032</v>
          </cell>
          <cell r="C384" t="str">
            <v>Fahlund; Adam S</v>
          </cell>
          <cell r="D384" t="str">
            <v>1C</v>
          </cell>
          <cell r="E384" t="str">
            <v>IBEWOUT</v>
          </cell>
          <cell r="F384" t="str">
            <v>1049</v>
          </cell>
          <cell r="G384" t="str">
            <v>17</v>
          </cell>
          <cell r="H384">
            <v>0</v>
          </cell>
        </row>
        <row r="385">
          <cell r="B385">
            <v>4051</v>
          </cell>
          <cell r="C385" t="str">
            <v>Farmer; Keith A</v>
          </cell>
          <cell r="D385" t="str">
            <v>1C</v>
          </cell>
          <cell r="E385" t="str">
            <v>IBEWOUT</v>
          </cell>
          <cell r="F385" t="str">
            <v>47</v>
          </cell>
          <cell r="G385" t="str">
            <v>16</v>
          </cell>
          <cell r="H385">
            <v>0</v>
          </cell>
        </row>
        <row r="386">
          <cell r="B386">
            <v>4061</v>
          </cell>
          <cell r="C386" t="str">
            <v>Farris; Christopher J</v>
          </cell>
          <cell r="D386" t="str">
            <v>1C</v>
          </cell>
          <cell r="E386" t="str">
            <v>IBEWOUT</v>
          </cell>
          <cell r="F386" t="str">
            <v>1245</v>
          </cell>
          <cell r="G386" t="str">
            <v>7</v>
          </cell>
          <cell r="H386">
            <v>0</v>
          </cell>
        </row>
        <row r="387">
          <cell r="B387">
            <v>4066</v>
          </cell>
          <cell r="C387" t="str">
            <v>Farias; Jose M</v>
          </cell>
          <cell r="D387" t="str">
            <v>1</v>
          </cell>
          <cell r="E387" t="str">
            <v>IBEWOUT</v>
          </cell>
          <cell r="F387" t="str">
            <v>1245</v>
          </cell>
          <cell r="G387" t="str">
            <v>8</v>
          </cell>
          <cell r="H387">
            <v>0</v>
          </cell>
        </row>
        <row r="388">
          <cell r="B388">
            <v>4067</v>
          </cell>
          <cell r="C388" t="str">
            <v>Fazio; Joseph A.</v>
          </cell>
          <cell r="D388" t="str">
            <v>1C</v>
          </cell>
          <cell r="E388" t="str">
            <v/>
          </cell>
          <cell r="F388" t="str">
            <v/>
          </cell>
          <cell r="G388" t="str">
            <v/>
          </cell>
          <cell r="H388">
            <v>0</v>
          </cell>
        </row>
        <row r="389">
          <cell r="B389">
            <v>4068</v>
          </cell>
          <cell r="C389" t="str">
            <v>Farias; Ramon A</v>
          </cell>
          <cell r="D389" t="str">
            <v>1</v>
          </cell>
          <cell r="E389" t="str">
            <v>IBEWOUT</v>
          </cell>
          <cell r="F389" t="str">
            <v>1245</v>
          </cell>
          <cell r="G389" t="str">
            <v>8</v>
          </cell>
          <cell r="H389">
            <v>0</v>
          </cell>
        </row>
        <row r="390">
          <cell r="B390">
            <v>4071</v>
          </cell>
          <cell r="C390" t="str">
            <v>Fell; Jeffrey C</v>
          </cell>
          <cell r="D390" t="str">
            <v>1C</v>
          </cell>
          <cell r="E390" t="str">
            <v>IBEWOUT</v>
          </cell>
          <cell r="F390" t="str">
            <v>77</v>
          </cell>
          <cell r="G390" t="str">
            <v>7</v>
          </cell>
          <cell r="H390">
            <v>0</v>
          </cell>
        </row>
        <row r="391">
          <cell r="B391">
            <v>4072</v>
          </cell>
          <cell r="C391" t="str">
            <v>Felts; Dallas Z.</v>
          </cell>
          <cell r="D391" t="str">
            <v>1C</v>
          </cell>
          <cell r="E391" t="str">
            <v>IBEWOUT</v>
          </cell>
          <cell r="F391" t="str">
            <v>47</v>
          </cell>
          <cell r="G391" t="str">
            <v>8</v>
          </cell>
          <cell r="H391">
            <v>0</v>
          </cell>
        </row>
        <row r="392">
          <cell r="B392">
            <v>4075</v>
          </cell>
          <cell r="C392" t="str">
            <v>Ferrara; Jeffrey C.</v>
          </cell>
          <cell r="D392" t="str">
            <v>1C</v>
          </cell>
          <cell r="E392" t="str">
            <v>IBEWOUT</v>
          </cell>
          <cell r="F392" t="str">
            <v>47</v>
          </cell>
          <cell r="G392" t="str">
            <v>17</v>
          </cell>
          <cell r="H392">
            <v>0</v>
          </cell>
        </row>
        <row r="393">
          <cell r="B393">
            <v>4076</v>
          </cell>
          <cell r="C393" t="str">
            <v>Ferrari; Michael T</v>
          </cell>
          <cell r="D393" t="str">
            <v>1</v>
          </cell>
          <cell r="E393" t="str">
            <v>IBEWOUT</v>
          </cell>
          <cell r="F393" t="str">
            <v>47</v>
          </cell>
          <cell r="G393" t="str">
            <v>8</v>
          </cell>
          <cell r="H393">
            <v>0</v>
          </cell>
        </row>
        <row r="394">
          <cell r="B394">
            <v>4079</v>
          </cell>
          <cell r="C394" t="str">
            <v>Fergus; Jeffrey</v>
          </cell>
          <cell r="D394" t="str">
            <v>1C</v>
          </cell>
          <cell r="E394" t="str">
            <v>IBEWOUT</v>
          </cell>
          <cell r="F394" t="str">
            <v>47</v>
          </cell>
          <cell r="G394" t="str">
            <v>60</v>
          </cell>
          <cell r="H394">
            <v>0</v>
          </cell>
        </row>
        <row r="395">
          <cell r="B395">
            <v>4080</v>
          </cell>
          <cell r="C395" t="str">
            <v>Federline; Christopher M</v>
          </cell>
          <cell r="D395" t="str">
            <v>1</v>
          </cell>
          <cell r="E395" t="str">
            <v>IBEWOUT</v>
          </cell>
          <cell r="F395" t="str">
            <v>47</v>
          </cell>
          <cell r="G395" t="str">
            <v>7</v>
          </cell>
          <cell r="H395">
            <v>0</v>
          </cell>
        </row>
        <row r="396">
          <cell r="B396">
            <v>4081</v>
          </cell>
          <cell r="C396" t="str">
            <v>Fenstermaker; Marshall D</v>
          </cell>
          <cell r="D396" t="str">
            <v>1</v>
          </cell>
          <cell r="E396" t="str">
            <v>IBEWOUT</v>
          </cell>
          <cell r="F396" t="str">
            <v>47</v>
          </cell>
          <cell r="G396" t="str">
            <v>8</v>
          </cell>
          <cell r="H396">
            <v>0</v>
          </cell>
        </row>
        <row r="397">
          <cell r="B397">
            <v>4098</v>
          </cell>
          <cell r="C397" t="str">
            <v>Fitzgerald; Thomas L.</v>
          </cell>
          <cell r="D397" t="str">
            <v>1</v>
          </cell>
          <cell r="E397" t="str">
            <v>IBEWOUT</v>
          </cell>
          <cell r="F397" t="str">
            <v>77</v>
          </cell>
          <cell r="G397" t="str">
            <v>7</v>
          </cell>
          <cell r="H397">
            <v>0</v>
          </cell>
        </row>
        <row r="398">
          <cell r="B398">
            <v>4103</v>
          </cell>
          <cell r="C398" t="str">
            <v>Fitzpatrick; John Michael</v>
          </cell>
          <cell r="D398" t="str">
            <v>1C</v>
          </cell>
          <cell r="E398" t="str">
            <v>IBEWOUT</v>
          </cell>
          <cell r="F398" t="str">
            <v>1245</v>
          </cell>
          <cell r="G398" t="str">
            <v>7</v>
          </cell>
          <cell r="H398">
            <v>0</v>
          </cell>
        </row>
        <row r="399">
          <cell r="B399">
            <v>4107</v>
          </cell>
          <cell r="C399" t="str">
            <v>Fisher; Lucas M.</v>
          </cell>
          <cell r="D399" t="str">
            <v>1</v>
          </cell>
          <cell r="E399" t="str">
            <v>IBEWOUT</v>
          </cell>
          <cell r="F399" t="str">
            <v>77</v>
          </cell>
          <cell r="G399" t="str">
            <v>7</v>
          </cell>
          <cell r="H399">
            <v>0</v>
          </cell>
        </row>
        <row r="400">
          <cell r="B400">
            <v>4110</v>
          </cell>
          <cell r="C400" t="str">
            <v>Flanagan; Christopher M</v>
          </cell>
          <cell r="D400" t="str">
            <v>1C</v>
          </cell>
          <cell r="E400" t="str">
            <v>IBEWOUT</v>
          </cell>
          <cell r="F400" t="str">
            <v>47</v>
          </cell>
          <cell r="G400" t="str">
            <v>17</v>
          </cell>
          <cell r="H400">
            <v>0</v>
          </cell>
        </row>
        <row r="401">
          <cell r="B401">
            <v>4115</v>
          </cell>
          <cell r="C401" t="str">
            <v>Flores; Raul D</v>
          </cell>
          <cell r="D401" t="str">
            <v>1</v>
          </cell>
          <cell r="E401" t="str">
            <v>IBEWOUT</v>
          </cell>
          <cell r="F401" t="str">
            <v>1245</v>
          </cell>
          <cell r="G401" t="str">
            <v>8</v>
          </cell>
          <cell r="H401">
            <v>0</v>
          </cell>
        </row>
        <row r="402">
          <cell r="B402">
            <v>4119</v>
          </cell>
          <cell r="C402" t="str">
            <v>Flores; Jose M</v>
          </cell>
          <cell r="D402" t="str">
            <v>1</v>
          </cell>
          <cell r="E402" t="str">
            <v>IBEWOUT</v>
          </cell>
          <cell r="F402" t="str">
            <v>1245</v>
          </cell>
          <cell r="G402" t="str">
            <v>11</v>
          </cell>
          <cell r="H402">
            <v>0</v>
          </cell>
        </row>
        <row r="403">
          <cell r="B403">
            <v>4122</v>
          </cell>
          <cell r="C403" t="str">
            <v>Fierro; Anthony</v>
          </cell>
          <cell r="D403" t="str">
            <v>1C</v>
          </cell>
          <cell r="E403" t="str">
            <v>IBEWOUT</v>
          </cell>
          <cell r="F403" t="str">
            <v>1245</v>
          </cell>
          <cell r="G403" t="str">
            <v>8</v>
          </cell>
          <cell r="H403">
            <v>0</v>
          </cell>
        </row>
        <row r="404">
          <cell r="B404">
            <v>4123</v>
          </cell>
          <cell r="C404" t="str">
            <v>Fierro; Abraham M.</v>
          </cell>
          <cell r="D404" t="str">
            <v>1C</v>
          </cell>
          <cell r="E404" t="str">
            <v>IBEWOUT</v>
          </cell>
          <cell r="F404" t="str">
            <v>47</v>
          </cell>
          <cell r="G404" t="str">
            <v>8</v>
          </cell>
          <cell r="H404">
            <v>0</v>
          </cell>
        </row>
        <row r="405">
          <cell r="B405">
            <v>4127</v>
          </cell>
          <cell r="C405" t="str">
            <v>Filkins; Shane K</v>
          </cell>
          <cell r="D405" t="str">
            <v>1C</v>
          </cell>
          <cell r="E405" t="str">
            <v>IBEWOUT</v>
          </cell>
          <cell r="F405" t="str">
            <v>1245</v>
          </cell>
          <cell r="G405" t="str">
            <v>8</v>
          </cell>
          <cell r="H405">
            <v>0</v>
          </cell>
        </row>
        <row r="406">
          <cell r="B406">
            <v>4129</v>
          </cell>
          <cell r="C406" t="str">
            <v>Flynn; Daniel T.</v>
          </cell>
          <cell r="D406" t="str">
            <v>1C</v>
          </cell>
          <cell r="E406" t="str">
            <v>IBEWOUT</v>
          </cell>
          <cell r="F406" t="str">
            <v>47</v>
          </cell>
          <cell r="G406" t="str">
            <v>8</v>
          </cell>
          <cell r="H406">
            <v>0</v>
          </cell>
        </row>
        <row r="407">
          <cell r="B407">
            <v>4130</v>
          </cell>
          <cell r="C407" t="str">
            <v>Filippini; Lucas V</v>
          </cell>
          <cell r="D407" t="str">
            <v>1C</v>
          </cell>
          <cell r="E407" t="str">
            <v>IBEWOUT</v>
          </cell>
          <cell r="F407" t="str">
            <v>47</v>
          </cell>
          <cell r="G407" t="str">
            <v>15</v>
          </cell>
          <cell r="H407">
            <v>0</v>
          </cell>
        </row>
        <row r="408">
          <cell r="B408">
            <v>4135</v>
          </cell>
          <cell r="C408" t="str">
            <v>Fernandez; Jose A.</v>
          </cell>
          <cell r="D408" t="str">
            <v>1C</v>
          </cell>
          <cell r="E408" t="str">
            <v>IBEWOUT</v>
          </cell>
          <cell r="F408" t="str">
            <v>47</v>
          </cell>
          <cell r="G408" t="str">
            <v>8</v>
          </cell>
          <cell r="H408">
            <v>0</v>
          </cell>
        </row>
        <row r="409">
          <cell r="B409">
            <v>4141</v>
          </cell>
          <cell r="C409" t="str">
            <v>Fitzpatrick; Ryan C.</v>
          </cell>
          <cell r="D409" t="str">
            <v>1C</v>
          </cell>
          <cell r="E409" t="str">
            <v>IBEWOUT</v>
          </cell>
          <cell r="F409" t="str">
            <v>77</v>
          </cell>
          <cell r="G409" t="str">
            <v>10</v>
          </cell>
          <cell r="H409">
            <v>0</v>
          </cell>
        </row>
        <row r="410">
          <cell r="B410">
            <v>4142</v>
          </cell>
          <cell r="C410" t="str">
            <v>Finley; Jerry L</v>
          </cell>
          <cell r="D410" t="str">
            <v>1C</v>
          </cell>
          <cell r="E410" t="str">
            <v>IBEWOUT</v>
          </cell>
          <cell r="F410" t="str">
            <v>602R</v>
          </cell>
          <cell r="G410" t="str">
            <v>18</v>
          </cell>
          <cell r="H410">
            <v>0</v>
          </cell>
        </row>
        <row r="411">
          <cell r="B411">
            <v>4145</v>
          </cell>
          <cell r="C411" t="str">
            <v>Floyd; Jarrod M</v>
          </cell>
          <cell r="D411" t="str">
            <v>1</v>
          </cell>
          <cell r="E411" t="str">
            <v>IBEWOUT</v>
          </cell>
          <cell r="F411" t="str">
            <v>77</v>
          </cell>
          <cell r="G411" t="str">
            <v>15</v>
          </cell>
          <cell r="H411">
            <v>0</v>
          </cell>
        </row>
        <row r="412">
          <cell r="B412">
            <v>4146</v>
          </cell>
          <cell r="C412" t="str">
            <v>Filmore; Andrew R</v>
          </cell>
          <cell r="D412" t="str">
            <v>1</v>
          </cell>
          <cell r="E412" t="str">
            <v>IBEWOUT</v>
          </cell>
          <cell r="F412" t="str">
            <v>77</v>
          </cell>
          <cell r="G412" t="str">
            <v>14</v>
          </cell>
          <cell r="H412">
            <v>0</v>
          </cell>
        </row>
        <row r="413">
          <cell r="B413">
            <v>4153</v>
          </cell>
          <cell r="C413" t="str">
            <v>Foreman; Shane M</v>
          </cell>
          <cell r="D413" t="str">
            <v>1C</v>
          </cell>
          <cell r="E413" t="str">
            <v>IBEWOUT</v>
          </cell>
          <cell r="F413" t="str">
            <v>769</v>
          </cell>
          <cell r="G413" t="str">
            <v>9</v>
          </cell>
          <cell r="H413">
            <v>0</v>
          </cell>
        </row>
        <row r="414">
          <cell r="B414">
            <v>4155</v>
          </cell>
          <cell r="C414" t="str">
            <v>Fondon; John W</v>
          </cell>
          <cell r="D414" t="str">
            <v>1C</v>
          </cell>
          <cell r="E414" t="str">
            <v>IBEWOUT</v>
          </cell>
          <cell r="F414" t="str">
            <v>1245</v>
          </cell>
          <cell r="G414" t="str">
            <v>8</v>
          </cell>
          <cell r="H414">
            <v>0</v>
          </cell>
        </row>
        <row r="415">
          <cell r="B415">
            <v>4158</v>
          </cell>
          <cell r="C415" t="str">
            <v>Forester; Gilbert R</v>
          </cell>
          <cell r="D415" t="str">
            <v>1C</v>
          </cell>
          <cell r="E415" t="str">
            <v>IBEWOUT</v>
          </cell>
          <cell r="F415" t="str">
            <v>602R</v>
          </cell>
          <cell r="G415" t="str">
            <v>33</v>
          </cell>
          <cell r="H415">
            <v>0</v>
          </cell>
        </row>
        <row r="416">
          <cell r="B416">
            <v>4179</v>
          </cell>
          <cell r="C416" t="str">
            <v>Foster; Kyle A.</v>
          </cell>
          <cell r="D416" t="str">
            <v>1C</v>
          </cell>
          <cell r="E416" t="str">
            <v>IBEWOUT</v>
          </cell>
          <cell r="F416" t="str">
            <v>1245</v>
          </cell>
          <cell r="G416" t="str">
            <v>17</v>
          </cell>
          <cell r="H416">
            <v>0</v>
          </cell>
        </row>
        <row r="417">
          <cell r="B417">
            <v>4194</v>
          </cell>
          <cell r="C417" t="str">
            <v>Francis; Adam J</v>
          </cell>
          <cell r="D417" t="str">
            <v>1C</v>
          </cell>
          <cell r="E417" t="str">
            <v>IBEWOUT</v>
          </cell>
          <cell r="F417" t="str">
            <v>47</v>
          </cell>
          <cell r="G417" t="str">
            <v>7</v>
          </cell>
          <cell r="H417">
            <v>0</v>
          </cell>
        </row>
        <row r="418">
          <cell r="B418">
            <v>4196</v>
          </cell>
          <cell r="C418" t="str">
            <v>Francis; Jonathan P</v>
          </cell>
          <cell r="D418" t="str">
            <v>1</v>
          </cell>
          <cell r="E418" t="str">
            <v/>
          </cell>
          <cell r="F418" t="str">
            <v/>
          </cell>
          <cell r="G418" t="str">
            <v/>
          </cell>
          <cell r="H418">
            <v>1</v>
          </cell>
        </row>
        <row r="419">
          <cell r="B419">
            <v>4200</v>
          </cell>
          <cell r="C419" t="str">
            <v>Franks; Curtis A.</v>
          </cell>
          <cell r="D419" t="str">
            <v>1</v>
          </cell>
          <cell r="E419" t="str">
            <v>IBEWOUT</v>
          </cell>
          <cell r="F419" t="str">
            <v>1245</v>
          </cell>
          <cell r="G419" t="str">
            <v>8</v>
          </cell>
          <cell r="H419">
            <v>0</v>
          </cell>
        </row>
        <row r="420">
          <cell r="B420">
            <v>4232</v>
          </cell>
          <cell r="C420" t="str">
            <v>Frederiksen; Shawn A.</v>
          </cell>
          <cell r="D420" t="str">
            <v>1C</v>
          </cell>
          <cell r="E420" t="str">
            <v>IBEWOUT</v>
          </cell>
          <cell r="F420" t="str">
            <v>396</v>
          </cell>
          <cell r="G420" t="str">
            <v>8</v>
          </cell>
          <cell r="H420">
            <v>0</v>
          </cell>
        </row>
        <row r="421">
          <cell r="B421">
            <v>4239</v>
          </cell>
          <cell r="C421" t="str">
            <v>Frazee; Darren R</v>
          </cell>
          <cell r="D421" t="str">
            <v>1C</v>
          </cell>
          <cell r="E421" t="str">
            <v>IBEWOUT</v>
          </cell>
          <cell r="F421" t="str">
            <v>602R</v>
          </cell>
          <cell r="G421" t="str">
            <v>33</v>
          </cell>
          <cell r="H421">
            <v>0</v>
          </cell>
        </row>
        <row r="422">
          <cell r="B422">
            <v>4240</v>
          </cell>
          <cell r="C422" t="str">
            <v>Frazier; Brad L.</v>
          </cell>
          <cell r="D422" t="str">
            <v>1</v>
          </cell>
          <cell r="E422" t="str">
            <v>IBEWOUT</v>
          </cell>
          <cell r="F422" t="str">
            <v>77</v>
          </cell>
          <cell r="G422" t="str">
            <v>1</v>
          </cell>
          <cell r="H422">
            <v>1</v>
          </cell>
        </row>
        <row r="423">
          <cell r="B423">
            <v>4241</v>
          </cell>
          <cell r="C423" t="str">
            <v>Freeman; Christopher Shane</v>
          </cell>
          <cell r="D423" t="str">
            <v>1C</v>
          </cell>
          <cell r="E423" t="str">
            <v>IBEWOUT</v>
          </cell>
          <cell r="F423" t="str">
            <v>769</v>
          </cell>
          <cell r="G423" t="str">
            <v>8</v>
          </cell>
          <cell r="H423">
            <v>0</v>
          </cell>
        </row>
        <row r="424">
          <cell r="B424">
            <v>4242</v>
          </cell>
          <cell r="C424" t="str">
            <v>Freeman Jr.; Bryce A.</v>
          </cell>
          <cell r="D424" t="str">
            <v>1C</v>
          </cell>
          <cell r="E424" t="str">
            <v>IBEWOUT</v>
          </cell>
          <cell r="F424" t="str">
            <v>769</v>
          </cell>
          <cell r="G424" t="str">
            <v>8</v>
          </cell>
          <cell r="H424">
            <v>0</v>
          </cell>
        </row>
        <row r="425">
          <cell r="B425">
            <v>4243</v>
          </cell>
          <cell r="C425" t="str">
            <v>Frazier; Forrest F</v>
          </cell>
          <cell r="D425" t="str">
            <v>1</v>
          </cell>
          <cell r="E425" t="str">
            <v/>
          </cell>
          <cell r="F425" t="str">
            <v/>
          </cell>
          <cell r="G425" t="str">
            <v/>
          </cell>
          <cell r="H425">
            <v>0</v>
          </cell>
        </row>
        <row r="426">
          <cell r="B426">
            <v>4249</v>
          </cell>
          <cell r="C426" t="str">
            <v>Hudson; Freeman L.</v>
          </cell>
          <cell r="D426" t="str">
            <v>1C</v>
          </cell>
          <cell r="E426" t="str">
            <v>IBEWOUT</v>
          </cell>
          <cell r="F426" t="str">
            <v>47</v>
          </cell>
          <cell r="G426" t="str">
            <v>8</v>
          </cell>
          <cell r="H426">
            <v>0</v>
          </cell>
        </row>
        <row r="427">
          <cell r="B427">
            <v>4250</v>
          </cell>
          <cell r="C427" t="str">
            <v>French; Steve K</v>
          </cell>
          <cell r="D427" t="str">
            <v>1</v>
          </cell>
          <cell r="E427" t="str">
            <v>IBEWOUT</v>
          </cell>
          <cell r="F427" t="str">
            <v>77</v>
          </cell>
          <cell r="G427" t="str">
            <v>1</v>
          </cell>
          <cell r="H427">
            <v>0</v>
          </cell>
        </row>
        <row r="428">
          <cell r="B428">
            <v>4251</v>
          </cell>
          <cell r="C428" t="str">
            <v>Freismuth; Edward J</v>
          </cell>
          <cell r="D428" t="str">
            <v>1C</v>
          </cell>
          <cell r="E428" t="str">
            <v>IBEWOUT</v>
          </cell>
          <cell r="F428" t="str">
            <v>769</v>
          </cell>
          <cell r="G428" t="str">
            <v>8</v>
          </cell>
          <cell r="H428">
            <v>0</v>
          </cell>
        </row>
        <row r="429">
          <cell r="B429">
            <v>4254</v>
          </cell>
          <cell r="C429" t="str">
            <v>French ll; Thomas E</v>
          </cell>
          <cell r="D429" t="str">
            <v>1C</v>
          </cell>
          <cell r="E429" t="str">
            <v>IBEWOUT</v>
          </cell>
          <cell r="F429" t="str">
            <v>1049</v>
          </cell>
          <cell r="G429" t="str">
            <v>15</v>
          </cell>
          <cell r="H429">
            <v>0</v>
          </cell>
        </row>
        <row r="430">
          <cell r="B430">
            <v>4259</v>
          </cell>
          <cell r="C430" t="str">
            <v>Frias; Ronald</v>
          </cell>
          <cell r="D430" t="str">
            <v>1C</v>
          </cell>
          <cell r="E430" t="str">
            <v>IBEWOUT</v>
          </cell>
          <cell r="F430" t="str">
            <v>47</v>
          </cell>
          <cell r="G430" t="str">
            <v>17</v>
          </cell>
          <cell r="H430">
            <v>0</v>
          </cell>
        </row>
        <row r="431">
          <cell r="B431">
            <v>4270</v>
          </cell>
          <cell r="C431" t="str">
            <v>Fuge; Daniel S</v>
          </cell>
          <cell r="D431" t="str">
            <v>1</v>
          </cell>
          <cell r="E431" t="str">
            <v/>
          </cell>
          <cell r="F431" t="str">
            <v/>
          </cell>
          <cell r="G431" t="str">
            <v/>
          </cell>
          <cell r="H431">
            <v>0</v>
          </cell>
        </row>
        <row r="432">
          <cell r="B432">
            <v>4284</v>
          </cell>
          <cell r="C432" t="str">
            <v>Fulton; Ross A</v>
          </cell>
          <cell r="D432" t="str">
            <v>1</v>
          </cell>
          <cell r="E432" t="str">
            <v>IBEWOUT</v>
          </cell>
          <cell r="F432" t="str">
            <v>769</v>
          </cell>
          <cell r="G432" t="str">
            <v>21</v>
          </cell>
          <cell r="H432">
            <v>0</v>
          </cell>
        </row>
        <row r="433">
          <cell r="B433">
            <v>4285</v>
          </cell>
          <cell r="C433" t="str">
            <v>Funez; Marcial</v>
          </cell>
          <cell r="D433" t="str">
            <v>1C</v>
          </cell>
          <cell r="E433" t="str">
            <v>IBEWOUT</v>
          </cell>
          <cell r="F433" t="str">
            <v>769</v>
          </cell>
          <cell r="G433" t="str">
            <v>22</v>
          </cell>
          <cell r="H433">
            <v>0</v>
          </cell>
        </row>
        <row r="434">
          <cell r="B434">
            <v>4286</v>
          </cell>
          <cell r="C434" t="str">
            <v>Garcia; Edith G</v>
          </cell>
          <cell r="D434" t="str">
            <v>1</v>
          </cell>
          <cell r="E434" t="str">
            <v/>
          </cell>
          <cell r="F434" t="str">
            <v/>
          </cell>
          <cell r="G434" t="str">
            <v/>
          </cell>
          <cell r="H434">
            <v>0</v>
          </cell>
        </row>
        <row r="435">
          <cell r="B435">
            <v>4330</v>
          </cell>
          <cell r="C435" t="str">
            <v>Gameng; Marlon G.</v>
          </cell>
          <cell r="D435" t="str">
            <v>1C</v>
          </cell>
          <cell r="E435" t="str">
            <v>IBEWOUT</v>
          </cell>
          <cell r="F435" t="str">
            <v>47</v>
          </cell>
          <cell r="G435" t="str">
            <v>60</v>
          </cell>
          <cell r="H435">
            <v>0</v>
          </cell>
        </row>
        <row r="436">
          <cell r="B436">
            <v>4331</v>
          </cell>
          <cell r="C436" t="str">
            <v>Galindo Muniz; Julio C</v>
          </cell>
          <cell r="D436" t="str">
            <v>1</v>
          </cell>
          <cell r="E436" t="str">
            <v/>
          </cell>
          <cell r="F436" t="str">
            <v/>
          </cell>
          <cell r="G436" t="str">
            <v/>
          </cell>
          <cell r="H436">
            <v>0</v>
          </cell>
        </row>
        <row r="437">
          <cell r="B437">
            <v>4336</v>
          </cell>
          <cell r="C437" t="str">
            <v>Gandy; Douglas John</v>
          </cell>
          <cell r="D437" t="str">
            <v>1C</v>
          </cell>
          <cell r="E437" t="str">
            <v>IBEWOUT</v>
          </cell>
          <cell r="F437" t="str">
            <v>47</v>
          </cell>
          <cell r="G437" t="str">
            <v>16</v>
          </cell>
          <cell r="H437">
            <v>0</v>
          </cell>
        </row>
        <row r="438">
          <cell r="B438">
            <v>4339</v>
          </cell>
          <cell r="C438" t="str">
            <v>Gabbert; Jarid D</v>
          </cell>
          <cell r="D438" t="str">
            <v>1</v>
          </cell>
          <cell r="E438" t="str">
            <v>IBEWOUT</v>
          </cell>
          <cell r="F438" t="str">
            <v>77</v>
          </cell>
          <cell r="G438" t="str">
            <v>7</v>
          </cell>
          <cell r="H438">
            <v>0</v>
          </cell>
        </row>
        <row r="439">
          <cell r="B439">
            <v>4340</v>
          </cell>
          <cell r="C439" t="str">
            <v>Garcia; John A</v>
          </cell>
          <cell r="D439" t="str">
            <v>1C</v>
          </cell>
          <cell r="E439" t="str">
            <v>IBEWOUT</v>
          </cell>
          <cell r="F439" t="str">
            <v>611</v>
          </cell>
          <cell r="G439" t="str">
            <v>18</v>
          </cell>
          <cell r="H439">
            <v>0</v>
          </cell>
        </row>
        <row r="440">
          <cell r="B440">
            <v>4341</v>
          </cell>
          <cell r="C440" t="str">
            <v>Fyfe; Dusty John</v>
          </cell>
          <cell r="D440" t="str">
            <v>1</v>
          </cell>
          <cell r="E440" t="str">
            <v>IBEWOUT</v>
          </cell>
          <cell r="F440" t="str">
            <v>125</v>
          </cell>
          <cell r="G440" t="str">
            <v>1</v>
          </cell>
          <cell r="H440">
            <v>0</v>
          </cell>
        </row>
        <row r="441">
          <cell r="B441">
            <v>4342</v>
          </cell>
          <cell r="C441" t="str">
            <v>Fye; Scott R</v>
          </cell>
          <cell r="D441" t="str">
            <v>1C</v>
          </cell>
          <cell r="E441" t="str">
            <v>IBEWOUT</v>
          </cell>
          <cell r="F441" t="str">
            <v>1245</v>
          </cell>
          <cell r="G441" t="str">
            <v>8</v>
          </cell>
          <cell r="H441">
            <v>0</v>
          </cell>
        </row>
        <row r="442">
          <cell r="B442">
            <v>4345</v>
          </cell>
          <cell r="C442" t="str">
            <v>Frolov; Gleb</v>
          </cell>
          <cell r="D442" t="str">
            <v>1C</v>
          </cell>
          <cell r="E442" t="str">
            <v>IBEWOUT</v>
          </cell>
          <cell r="F442" t="str">
            <v>47</v>
          </cell>
          <cell r="G442" t="str">
            <v>8</v>
          </cell>
          <cell r="H442">
            <v>0</v>
          </cell>
        </row>
        <row r="443">
          <cell r="B443">
            <v>4346</v>
          </cell>
          <cell r="C443" t="str">
            <v>Frost; Joston T</v>
          </cell>
          <cell r="D443" t="str">
            <v>1C</v>
          </cell>
          <cell r="E443" t="str">
            <v>IBEWOUT</v>
          </cell>
          <cell r="F443" t="str">
            <v>1245</v>
          </cell>
          <cell r="G443" t="str">
            <v>70</v>
          </cell>
          <cell r="H443">
            <v>0</v>
          </cell>
        </row>
        <row r="444">
          <cell r="B444">
            <v>4348</v>
          </cell>
          <cell r="C444" t="str">
            <v>Fuhs; Kirt R.</v>
          </cell>
          <cell r="D444" t="str">
            <v>1</v>
          </cell>
          <cell r="E444" t="str">
            <v/>
          </cell>
          <cell r="F444" t="str">
            <v/>
          </cell>
          <cell r="G444" t="str">
            <v/>
          </cell>
          <cell r="H444">
            <v>0</v>
          </cell>
        </row>
        <row r="445">
          <cell r="B445">
            <v>4350</v>
          </cell>
          <cell r="C445" t="str">
            <v>Full; Laramie M</v>
          </cell>
          <cell r="D445" t="str">
            <v>1C</v>
          </cell>
          <cell r="E445" t="str">
            <v>IBEWOUT</v>
          </cell>
          <cell r="F445" t="str">
            <v>47</v>
          </cell>
          <cell r="G445" t="str">
            <v>8</v>
          </cell>
          <cell r="H445">
            <v>0</v>
          </cell>
        </row>
        <row r="446">
          <cell r="B446">
            <v>4357</v>
          </cell>
          <cell r="C446" t="str">
            <v>Gage; Matthew Loren</v>
          </cell>
          <cell r="D446" t="str">
            <v>1C</v>
          </cell>
          <cell r="E446" t="str">
            <v>IBEWOUT</v>
          </cell>
          <cell r="F446" t="str">
            <v>125</v>
          </cell>
          <cell r="G446" t="str">
            <v>8</v>
          </cell>
          <cell r="H446">
            <v>0</v>
          </cell>
        </row>
        <row r="447">
          <cell r="B447">
            <v>4358</v>
          </cell>
          <cell r="C447" t="str">
            <v>Gadsby; Terrence P</v>
          </cell>
          <cell r="D447" t="str">
            <v>1C</v>
          </cell>
          <cell r="E447" t="str">
            <v>IBEWOUT</v>
          </cell>
          <cell r="F447" t="str">
            <v>126</v>
          </cell>
          <cell r="G447" t="str">
            <v>10</v>
          </cell>
          <cell r="H447">
            <v>0</v>
          </cell>
        </row>
        <row r="448">
          <cell r="B448">
            <v>4359</v>
          </cell>
          <cell r="C448" t="str">
            <v>Gannon; Jon B.</v>
          </cell>
          <cell r="D448" t="str">
            <v>1</v>
          </cell>
          <cell r="E448" t="str">
            <v>IBEWOUT</v>
          </cell>
          <cell r="F448" t="str">
            <v>77</v>
          </cell>
          <cell r="G448" t="str">
            <v>1</v>
          </cell>
          <cell r="H448">
            <v>0</v>
          </cell>
        </row>
        <row r="449">
          <cell r="B449">
            <v>4370</v>
          </cell>
          <cell r="C449" t="str">
            <v>Gardner; Michael Lynn</v>
          </cell>
          <cell r="D449" t="str">
            <v>1C</v>
          </cell>
          <cell r="E449" t="str">
            <v>IBEWOUT</v>
          </cell>
          <cell r="F449" t="str">
            <v>125</v>
          </cell>
          <cell r="G449" t="str">
            <v>33</v>
          </cell>
          <cell r="H449">
            <v>0</v>
          </cell>
        </row>
        <row r="450">
          <cell r="B450">
            <v>4371</v>
          </cell>
          <cell r="C450" t="str">
            <v>Garcia; Nathan M.</v>
          </cell>
          <cell r="D450" t="str">
            <v>1C</v>
          </cell>
          <cell r="E450" t="str">
            <v>IBEWOUT</v>
          </cell>
          <cell r="F450" t="str">
            <v>611</v>
          </cell>
          <cell r="G450" t="str">
            <v>17</v>
          </cell>
          <cell r="H450">
            <v>0</v>
          </cell>
        </row>
        <row r="451">
          <cell r="B451">
            <v>4372</v>
          </cell>
          <cell r="C451" t="str">
            <v>Gardapee; Cory D</v>
          </cell>
          <cell r="D451" t="str">
            <v>1C</v>
          </cell>
          <cell r="E451" t="str">
            <v>IBEWOUT</v>
          </cell>
          <cell r="F451" t="str">
            <v>160</v>
          </cell>
          <cell r="G451" t="str">
            <v>8</v>
          </cell>
          <cell r="H451">
            <v>0</v>
          </cell>
        </row>
        <row r="452">
          <cell r="B452">
            <v>4373</v>
          </cell>
          <cell r="C452" t="str">
            <v>Gardner; Mitchell T.</v>
          </cell>
          <cell r="D452" t="str">
            <v>1C</v>
          </cell>
          <cell r="E452" t="str">
            <v>IBEWOUT</v>
          </cell>
          <cell r="F452" t="str">
            <v>1245</v>
          </cell>
          <cell r="G452" t="str">
            <v>8</v>
          </cell>
          <cell r="H452">
            <v>0</v>
          </cell>
        </row>
        <row r="453">
          <cell r="B453">
            <v>4375</v>
          </cell>
          <cell r="C453" t="str">
            <v>Gardner; Jacob W.</v>
          </cell>
          <cell r="D453" t="str">
            <v>1C</v>
          </cell>
          <cell r="E453" t="str">
            <v>IBEWOUT</v>
          </cell>
          <cell r="F453" t="str">
            <v>602R</v>
          </cell>
          <cell r="G453" t="str">
            <v>8</v>
          </cell>
          <cell r="H453">
            <v>0</v>
          </cell>
        </row>
        <row r="454">
          <cell r="B454">
            <v>4381</v>
          </cell>
          <cell r="C454" t="str">
            <v>Garcia; David D.</v>
          </cell>
          <cell r="D454" t="str">
            <v>1C</v>
          </cell>
          <cell r="E454" t="str">
            <v>IBEWOUT</v>
          </cell>
          <cell r="F454" t="str">
            <v>769</v>
          </cell>
          <cell r="G454" t="str">
            <v>8</v>
          </cell>
          <cell r="H454">
            <v>0</v>
          </cell>
        </row>
        <row r="455">
          <cell r="B455">
            <v>4382</v>
          </cell>
          <cell r="C455" t="str">
            <v>Garcia; Edmundo</v>
          </cell>
          <cell r="D455" t="str">
            <v>1C</v>
          </cell>
          <cell r="E455" t="str">
            <v>IBEWOUT</v>
          </cell>
          <cell r="F455" t="str">
            <v>160</v>
          </cell>
          <cell r="G455" t="str">
            <v>8</v>
          </cell>
          <cell r="H455">
            <v>0</v>
          </cell>
        </row>
        <row r="456">
          <cell r="B456">
            <v>4387</v>
          </cell>
          <cell r="C456" t="str">
            <v>Gallegos; Jose I</v>
          </cell>
          <cell r="D456" t="str">
            <v>1C</v>
          </cell>
          <cell r="E456" t="str">
            <v>IBEWOUT</v>
          </cell>
          <cell r="F456" t="str">
            <v>602R</v>
          </cell>
          <cell r="G456" t="str">
            <v>11T</v>
          </cell>
          <cell r="H456">
            <v>0</v>
          </cell>
        </row>
        <row r="457">
          <cell r="B457">
            <v>4388</v>
          </cell>
          <cell r="C457" t="str">
            <v>Gallegos; Patrick A</v>
          </cell>
          <cell r="D457" t="str">
            <v>1</v>
          </cell>
          <cell r="E457" t="str">
            <v>IBEWOUT</v>
          </cell>
          <cell r="F457" t="str">
            <v>611</v>
          </cell>
          <cell r="G457" t="str">
            <v>16</v>
          </cell>
          <cell r="H457">
            <v>0</v>
          </cell>
        </row>
        <row r="458">
          <cell r="B458">
            <v>4389</v>
          </cell>
          <cell r="C458" t="str">
            <v>Garceau; Tristan J</v>
          </cell>
          <cell r="D458" t="str">
            <v>1C</v>
          </cell>
          <cell r="E458" t="str">
            <v>IBEWOUT</v>
          </cell>
          <cell r="F458" t="str">
            <v>1245</v>
          </cell>
          <cell r="G458" t="str">
            <v>8</v>
          </cell>
          <cell r="H458">
            <v>0</v>
          </cell>
        </row>
        <row r="459">
          <cell r="B459">
            <v>4390</v>
          </cell>
          <cell r="C459" t="str">
            <v>Gallaher; Adam C</v>
          </cell>
          <cell r="D459" t="str">
            <v>1C</v>
          </cell>
          <cell r="E459" t="str">
            <v>IBEWOUT</v>
          </cell>
          <cell r="F459" t="str">
            <v>126</v>
          </cell>
          <cell r="G459" t="str">
            <v>8</v>
          </cell>
          <cell r="H459">
            <v>0</v>
          </cell>
        </row>
        <row r="460">
          <cell r="B460">
            <v>4392</v>
          </cell>
          <cell r="C460" t="str">
            <v>Garcia; Albert A</v>
          </cell>
          <cell r="D460" t="str">
            <v>1C</v>
          </cell>
          <cell r="E460" t="str">
            <v>IBEWOUT</v>
          </cell>
          <cell r="F460" t="str">
            <v>47</v>
          </cell>
          <cell r="G460" t="str">
            <v>12</v>
          </cell>
          <cell r="H460">
            <v>0</v>
          </cell>
        </row>
        <row r="461">
          <cell r="B461">
            <v>4394</v>
          </cell>
          <cell r="C461" t="str">
            <v>Garcia; Kris</v>
          </cell>
          <cell r="D461" t="str">
            <v>1C</v>
          </cell>
          <cell r="E461" t="str">
            <v>IBEWOUT</v>
          </cell>
          <cell r="F461" t="str">
            <v>611</v>
          </cell>
          <cell r="G461" t="str">
            <v>10</v>
          </cell>
          <cell r="H461">
            <v>0</v>
          </cell>
        </row>
        <row r="462">
          <cell r="B462">
            <v>4398</v>
          </cell>
          <cell r="C462" t="str">
            <v>Garcia; Hafid</v>
          </cell>
          <cell r="D462" t="str">
            <v>1C</v>
          </cell>
          <cell r="E462" t="str">
            <v>IBEWOUT</v>
          </cell>
          <cell r="F462" t="str">
            <v>1245</v>
          </cell>
          <cell r="G462" t="str">
            <v>8</v>
          </cell>
          <cell r="H462">
            <v>0</v>
          </cell>
        </row>
        <row r="463">
          <cell r="B463">
            <v>4402</v>
          </cell>
          <cell r="C463" t="str">
            <v>Garcia; Israel J</v>
          </cell>
          <cell r="D463" t="str">
            <v>1C</v>
          </cell>
          <cell r="E463" t="str">
            <v>IBEWOUT</v>
          </cell>
          <cell r="F463" t="str">
            <v>611</v>
          </cell>
          <cell r="G463" t="str">
            <v>13</v>
          </cell>
          <cell r="H463">
            <v>0</v>
          </cell>
        </row>
        <row r="464">
          <cell r="B464">
            <v>4420</v>
          </cell>
          <cell r="C464" t="str">
            <v>Garcia; Leonel V.</v>
          </cell>
          <cell r="D464" t="str">
            <v>1C</v>
          </cell>
          <cell r="E464" t="str">
            <v>IBEWOUT</v>
          </cell>
          <cell r="F464" t="str">
            <v>47</v>
          </cell>
          <cell r="G464" t="str">
            <v>8</v>
          </cell>
          <cell r="H464">
            <v>0</v>
          </cell>
        </row>
        <row r="465">
          <cell r="B465">
            <v>4423</v>
          </cell>
          <cell r="C465" t="str">
            <v>Garrett; Skyler A</v>
          </cell>
          <cell r="D465" t="str">
            <v>1</v>
          </cell>
          <cell r="E465" t="str">
            <v>IBEWOUT</v>
          </cell>
          <cell r="F465" t="str">
            <v>77</v>
          </cell>
          <cell r="G465" t="str">
            <v>15</v>
          </cell>
          <cell r="H465">
            <v>0</v>
          </cell>
        </row>
        <row r="466">
          <cell r="B466">
            <v>4424</v>
          </cell>
          <cell r="C466" t="str">
            <v>Garner; David C</v>
          </cell>
          <cell r="D466" t="str">
            <v>1C</v>
          </cell>
          <cell r="E466" t="str">
            <v>IBEWOUT</v>
          </cell>
          <cell r="F466" t="str">
            <v>396</v>
          </cell>
          <cell r="G466" t="str">
            <v>8</v>
          </cell>
          <cell r="H466">
            <v>0</v>
          </cell>
        </row>
        <row r="467">
          <cell r="B467">
            <v>4431</v>
          </cell>
          <cell r="C467" t="str">
            <v>Gebhart; Tanner A</v>
          </cell>
          <cell r="D467" t="str">
            <v>1C</v>
          </cell>
          <cell r="E467" t="str">
            <v>IBEWOUT</v>
          </cell>
          <cell r="F467" t="str">
            <v>602R</v>
          </cell>
          <cell r="G467" t="str">
            <v>8</v>
          </cell>
          <cell r="H467">
            <v>0</v>
          </cell>
        </row>
        <row r="468">
          <cell r="B468">
            <v>4432</v>
          </cell>
          <cell r="C468" t="str">
            <v>Ghering; Tadd P</v>
          </cell>
          <cell r="D468" t="str">
            <v>1C</v>
          </cell>
          <cell r="E468" t="str">
            <v>IBEWOUT</v>
          </cell>
          <cell r="F468" t="str">
            <v>1245</v>
          </cell>
          <cell r="G468" t="str">
            <v>8</v>
          </cell>
          <cell r="H468">
            <v>0</v>
          </cell>
        </row>
        <row r="469">
          <cell r="B469">
            <v>4433</v>
          </cell>
          <cell r="C469" t="str">
            <v>Gednalske; Colton R</v>
          </cell>
          <cell r="D469" t="str">
            <v>1</v>
          </cell>
          <cell r="E469" t="str">
            <v>IBEWOUT</v>
          </cell>
          <cell r="F469" t="str">
            <v>77</v>
          </cell>
          <cell r="G469" t="str">
            <v>9</v>
          </cell>
          <cell r="H469">
            <v>0</v>
          </cell>
        </row>
        <row r="470">
          <cell r="B470">
            <v>4440</v>
          </cell>
          <cell r="C470" t="str">
            <v>Gerber Jr; Christian</v>
          </cell>
          <cell r="D470" t="str">
            <v>1C</v>
          </cell>
          <cell r="E470" t="str">
            <v>IBEWOUT</v>
          </cell>
          <cell r="F470" t="str">
            <v>126</v>
          </cell>
          <cell r="G470" t="str">
            <v>14</v>
          </cell>
          <cell r="H470">
            <v>0</v>
          </cell>
        </row>
        <row r="471">
          <cell r="B471">
            <v>4441</v>
          </cell>
          <cell r="C471" t="str">
            <v>Germany; Micah K</v>
          </cell>
          <cell r="D471" t="str">
            <v>1C</v>
          </cell>
          <cell r="E471" t="str">
            <v>IBEWOUT</v>
          </cell>
          <cell r="F471" t="str">
            <v>1245</v>
          </cell>
          <cell r="G471" t="str">
            <v>16</v>
          </cell>
          <cell r="H471">
            <v>0</v>
          </cell>
        </row>
        <row r="472">
          <cell r="B472">
            <v>4442</v>
          </cell>
          <cell r="C472" t="str">
            <v>Germany; Sammy R</v>
          </cell>
          <cell r="D472" t="str">
            <v>1C</v>
          </cell>
          <cell r="E472" t="str">
            <v>IBEWOUT</v>
          </cell>
          <cell r="F472" t="str">
            <v>1245</v>
          </cell>
          <cell r="G472" t="str">
            <v>8</v>
          </cell>
          <cell r="H472">
            <v>0</v>
          </cell>
        </row>
        <row r="473">
          <cell r="B473">
            <v>4445</v>
          </cell>
          <cell r="C473" t="str">
            <v>Geronimo; Dionicio</v>
          </cell>
          <cell r="D473" t="str">
            <v>1C</v>
          </cell>
          <cell r="E473" t="str">
            <v>IBEWOUT</v>
          </cell>
          <cell r="F473" t="str">
            <v>1245</v>
          </cell>
          <cell r="G473" t="str">
            <v>8</v>
          </cell>
          <cell r="H473">
            <v>0</v>
          </cell>
        </row>
        <row r="474">
          <cell r="B474">
            <v>4446</v>
          </cell>
          <cell r="C474" t="str">
            <v>Gerhards; Emrick</v>
          </cell>
          <cell r="D474" t="str">
            <v>1</v>
          </cell>
          <cell r="E474" t="str">
            <v/>
          </cell>
          <cell r="F474" t="str">
            <v/>
          </cell>
          <cell r="G474" t="str">
            <v/>
          </cell>
          <cell r="H474">
            <v>0</v>
          </cell>
        </row>
        <row r="475">
          <cell r="B475">
            <v>4500</v>
          </cell>
          <cell r="C475" t="str">
            <v>Gesiriech; Gustin W</v>
          </cell>
          <cell r="D475" t="str">
            <v>1C</v>
          </cell>
          <cell r="E475" t="str">
            <v>IBEWOUT</v>
          </cell>
          <cell r="F475" t="str">
            <v>1245</v>
          </cell>
          <cell r="G475" t="str">
            <v>8</v>
          </cell>
          <cell r="H475">
            <v>0</v>
          </cell>
        </row>
        <row r="476">
          <cell r="B476">
            <v>4521</v>
          </cell>
          <cell r="C476" t="str">
            <v>Goforth; Kaden R</v>
          </cell>
          <cell r="D476" t="str">
            <v>1</v>
          </cell>
          <cell r="E476" t="str">
            <v>IBEWOUT</v>
          </cell>
          <cell r="F476" t="str">
            <v>1245</v>
          </cell>
          <cell r="G476" t="str">
            <v>15</v>
          </cell>
          <cell r="H476">
            <v>0</v>
          </cell>
        </row>
        <row r="477">
          <cell r="B477">
            <v>4522</v>
          </cell>
          <cell r="C477" t="str">
            <v>Gochenouer; Jacob C</v>
          </cell>
          <cell r="D477" t="str">
            <v>1</v>
          </cell>
          <cell r="E477" t="str">
            <v>IBEWOUT</v>
          </cell>
          <cell r="F477" t="str">
            <v>47</v>
          </cell>
          <cell r="G477" t="str">
            <v>12</v>
          </cell>
          <cell r="H477">
            <v>0</v>
          </cell>
        </row>
        <row r="478">
          <cell r="B478">
            <v>4525</v>
          </cell>
          <cell r="C478" t="str">
            <v>Gnall Jr.; John A</v>
          </cell>
          <cell r="D478" t="str">
            <v>1C</v>
          </cell>
          <cell r="E478" t="str">
            <v>IBEWOUT</v>
          </cell>
          <cell r="F478" t="str">
            <v>1319</v>
          </cell>
          <cell r="G478" t="str">
            <v>8</v>
          </cell>
          <cell r="H478">
            <v>0</v>
          </cell>
        </row>
        <row r="479">
          <cell r="B479">
            <v>4526</v>
          </cell>
          <cell r="C479" t="str">
            <v>Godeke; Joel</v>
          </cell>
          <cell r="D479" t="str">
            <v>1C</v>
          </cell>
          <cell r="E479" t="str">
            <v>IBEWOUT</v>
          </cell>
          <cell r="F479" t="str">
            <v>47</v>
          </cell>
          <cell r="G479" t="str">
            <v>60</v>
          </cell>
          <cell r="H479">
            <v>0</v>
          </cell>
        </row>
        <row r="480">
          <cell r="B480">
            <v>4528</v>
          </cell>
          <cell r="C480" t="str">
            <v>Gollehon; Nolan B</v>
          </cell>
          <cell r="D480" t="str">
            <v>1C</v>
          </cell>
          <cell r="E480" t="str">
            <v>IBEWOUT</v>
          </cell>
          <cell r="F480" t="str">
            <v>47</v>
          </cell>
          <cell r="G480" t="str">
            <v>13</v>
          </cell>
          <cell r="H480">
            <v>0</v>
          </cell>
        </row>
        <row r="481">
          <cell r="B481">
            <v>4535</v>
          </cell>
          <cell r="C481" t="str">
            <v>Goodrich; Thadeus J.</v>
          </cell>
          <cell r="D481" t="str">
            <v>1C</v>
          </cell>
          <cell r="E481" t="str">
            <v>IBEWOUT</v>
          </cell>
          <cell r="F481" t="str">
            <v>77</v>
          </cell>
          <cell r="G481" t="str">
            <v>17</v>
          </cell>
          <cell r="H481">
            <v>0</v>
          </cell>
        </row>
        <row r="482">
          <cell r="B482">
            <v>4538</v>
          </cell>
          <cell r="C482" t="str">
            <v>Goodman; Timothy L</v>
          </cell>
          <cell r="D482" t="str">
            <v>1</v>
          </cell>
          <cell r="E482" t="str">
            <v>IBEWOUT</v>
          </cell>
          <cell r="F482" t="str">
            <v>611</v>
          </cell>
          <cell r="G482" t="str">
            <v>8</v>
          </cell>
          <cell r="H482">
            <v>0</v>
          </cell>
        </row>
        <row r="483">
          <cell r="B483">
            <v>4542</v>
          </cell>
          <cell r="C483" t="str">
            <v>Gordon; Robert S</v>
          </cell>
          <cell r="D483" t="str">
            <v>1C</v>
          </cell>
          <cell r="E483" t="str">
            <v>IBEWOUT</v>
          </cell>
          <cell r="F483" t="str">
            <v>1245</v>
          </cell>
          <cell r="G483" t="str">
            <v>17</v>
          </cell>
          <cell r="H483">
            <v>0</v>
          </cell>
        </row>
        <row r="484">
          <cell r="B484">
            <v>4556</v>
          </cell>
          <cell r="C484" t="str">
            <v>Gonzales; Isaiah C.</v>
          </cell>
          <cell r="D484" t="str">
            <v>1C</v>
          </cell>
          <cell r="E484" t="str">
            <v>IBEWOUT</v>
          </cell>
          <cell r="F484" t="str">
            <v>769</v>
          </cell>
          <cell r="G484" t="str">
            <v>14</v>
          </cell>
          <cell r="H484">
            <v>0</v>
          </cell>
        </row>
        <row r="485">
          <cell r="B485">
            <v>4557</v>
          </cell>
          <cell r="C485" t="str">
            <v>Gordon; Austin K</v>
          </cell>
          <cell r="D485" t="str">
            <v>1C</v>
          </cell>
          <cell r="E485" t="str">
            <v/>
          </cell>
          <cell r="F485" t="str">
            <v/>
          </cell>
          <cell r="G485" t="str">
            <v/>
          </cell>
          <cell r="H485">
            <v>0</v>
          </cell>
        </row>
        <row r="486">
          <cell r="B486">
            <v>4558</v>
          </cell>
          <cell r="C486" t="str">
            <v>Gordon; Cody Richard</v>
          </cell>
          <cell r="D486" t="str">
            <v>1C</v>
          </cell>
          <cell r="E486" t="str">
            <v>IBEWOUT</v>
          </cell>
          <cell r="F486" t="str">
            <v>1245</v>
          </cell>
          <cell r="G486" t="str">
            <v>8</v>
          </cell>
          <cell r="H486">
            <v>0</v>
          </cell>
        </row>
        <row r="487">
          <cell r="B487">
            <v>4563</v>
          </cell>
          <cell r="C487" t="str">
            <v>Gordon; Seth</v>
          </cell>
          <cell r="D487" t="str">
            <v>1C</v>
          </cell>
          <cell r="E487" t="str">
            <v/>
          </cell>
          <cell r="F487" t="str">
            <v/>
          </cell>
          <cell r="G487" t="str">
            <v/>
          </cell>
          <cell r="H487">
            <v>1</v>
          </cell>
        </row>
        <row r="488">
          <cell r="B488">
            <v>4564</v>
          </cell>
          <cell r="C488" t="str">
            <v>Gomez; Angel S.</v>
          </cell>
          <cell r="D488" t="str">
            <v>1C</v>
          </cell>
          <cell r="E488" t="str">
            <v>IBEWOUT</v>
          </cell>
          <cell r="F488" t="str">
            <v>1319</v>
          </cell>
          <cell r="G488" t="str">
            <v>20</v>
          </cell>
          <cell r="H488">
            <v>0</v>
          </cell>
        </row>
        <row r="489">
          <cell r="B489">
            <v>4565</v>
          </cell>
          <cell r="C489" t="str">
            <v>Gorst; Quinn R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8</v>
          </cell>
          <cell r="H489">
            <v>0</v>
          </cell>
        </row>
        <row r="490">
          <cell r="B490">
            <v>4566</v>
          </cell>
          <cell r="C490" t="str">
            <v>Gomez; Javier A</v>
          </cell>
          <cell r="D490" t="str">
            <v>1</v>
          </cell>
          <cell r="E490" t="str">
            <v>IBEWOUT</v>
          </cell>
          <cell r="F490" t="str">
            <v>47</v>
          </cell>
          <cell r="G490" t="str">
            <v>10</v>
          </cell>
          <cell r="H490">
            <v>0</v>
          </cell>
        </row>
        <row r="491">
          <cell r="B491">
            <v>4567</v>
          </cell>
          <cell r="C491" t="str">
            <v>Gonzales; Francisco</v>
          </cell>
          <cell r="D491" t="str">
            <v>1C</v>
          </cell>
          <cell r="E491" t="str">
            <v>IBEWOUT</v>
          </cell>
          <cell r="F491" t="str">
            <v>769</v>
          </cell>
          <cell r="G491" t="str">
            <v>22</v>
          </cell>
          <cell r="H491">
            <v>0</v>
          </cell>
        </row>
        <row r="492">
          <cell r="B492">
            <v>4568</v>
          </cell>
          <cell r="C492" t="str">
            <v>Gonzales; Danny S</v>
          </cell>
          <cell r="D492" t="str">
            <v>1C</v>
          </cell>
          <cell r="E492" t="str">
            <v>IBEWOUT</v>
          </cell>
          <cell r="F492" t="str">
            <v>47</v>
          </cell>
          <cell r="G492" t="str">
            <v>17</v>
          </cell>
          <cell r="H492">
            <v>0</v>
          </cell>
        </row>
        <row r="493">
          <cell r="B493">
            <v>4571</v>
          </cell>
          <cell r="C493" t="str">
            <v>Gonzales; Mark A</v>
          </cell>
          <cell r="D493" t="str">
            <v>1</v>
          </cell>
          <cell r="E493" t="str">
            <v/>
          </cell>
          <cell r="F493" t="str">
            <v/>
          </cell>
          <cell r="G493" t="str">
            <v/>
          </cell>
          <cell r="H493">
            <v>0</v>
          </cell>
        </row>
        <row r="494">
          <cell r="B494">
            <v>4576</v>
          </cell>
          <cell r="C494" t="str">
            <v>Gonzalez; Joshua A.</v>
          </cell>
          <cell r="D494" t="str">
            <v>1C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4590</v>
          </cell>
          <cell r="C495" t="str">
            <v>Gowdy; Arthur S.</v>
          </cell>
          <cell r="D495" t="str">
            <v>1C</v>
          </cell>
          <cell r="E495" t="str">
            <v>IBEWOUT</v>
          </cell>
          <cell r="F495" t="str">
            <v>77</v>
          </cell>
          <cell r="G495" t="str">
            <v>33</v>
          </cell>
          <cell r="H495">
            <v>0</v>
          </cell>
        </row>
        <row r="496">
          <cell r="B496">
            <v>4630</v>
          </cell>
          <cell r="C496" t="str">
            <v>Gibby; Geoffrey S.</v>
          </cell>
          <cell r="D496" t="str">
            <v>1C</v>
          </cell>
          <cell r="E496" t="str">
            <v>IBEWOUT</v>
          </cell>
          <cell r="F496" t="str">
            <v>47</v>
          </cell>
          <cell r="G496" t="str">
            <v>8</v>
          </cell>
          <cell r="H496">
            <v>0</v>
          </cell>
        </row>
        <row r="497">
          <cell r="B497">
            <v>4640</v>
          </cell>
          <cell r="C497" t="str">
            <v>Gilman Jr.; David G.</v>
          </cell>
          <cell r="D497" t="str">
            <v>1</v>
          </cell>
          <cell r="E497" t="str">
            <v>IBEWOUT</v>
          </cell>
          <cell r="F497" t="str">
            <v>611</v>
          </cell>
          <cell r="G497" t="str">
            <v>7</v>
          </cell>
          <cell r="H497">
            <v>0</v>
          </cell>
        </row>
        <row r="498">
          <cell r="B498">
            <v>4643</v>
          </cell>
          <cell r="C498" t="str">
            <v>Gillmore; Jesse E</v>
          </cell>
          <cell r="D498" t="str">
            <v>1</v>
          </cell>
          <cell r="E498" t="str">
            <v>IBEWOUT</v>
          </cell>
          <cell r="F498" t="str">
            <v>1245</v>
          </cell>
          <cell r="G498" t="str">
            <v>7</v>
          </cell>
          <cell r="H498">
            <v>0</v>
          </cell>
        </row>
        <row r="499">
          <cell r="B499">
            <v>4644</v>
          </cell>
          <cell r="C499" t="str">
            <v>Gill; Grant D</v>
          </cell>
          <cell r="D499" t="str">
            <v>1</v>
          </cell>
          <cell r="E499" t="str">
            <v>IBEWOUT</v>
          </cell>
          <cell r="F499" t="str">
            <v>47</v>
          </cell>
          <cell r="G499" t="str">
            <v>16</v>
          </cell>
          <cell r="H499">
            <v>0</v>
          </cell>
        </row>
        <row r="500">
          <cell r="B500">
            <v>4645</v>
          </cell>
          <cell r="C500" t="str">
            <v>Gilkison; Glen W.</v>
          </cell>
          <cell r="D500" t="str">
            <v>1</v>
          </cell>
          <cell r="E500" t="str">
            <v/>
          </cell>
          <cell r="F500" t="str">
            <v/>
          </cell>
          <cell r="G500" t="str">
            <v/>
          </cell>
          <cell r="H500">
            <v>1</v>
          </cell>
        </row>
        <row r="501">
          <cell r="B501">
            <v>4646</v>
          </cell>
          <cell r="C501" t="str">
            <v>Gillmore; Thomas J</v>
          </cell>
          <cell r="D501" t="str">
            <v>1</v>
          </cell>
          <cell r="E501" t="str">
            <v>IBEWOUT</v>
          </cell>
          <cell r="F501" t="str">
            <v>125</v>
          </cell>
          <cell r="G501" t="str">
            <v>8</v>
          </cell>
          <cell r="H501">
            <v>0</v>
          </cell>
        </row>
        <row r="502">
          <cell r="B502">
            <v>4671</v>
          </cell>
          <cell r="C502" t="str">
            <v>Giancola; Jacob F</v>
          </cell>
          <cell r="D502" t="str">
            <v>1C</v>
          </cell>
          <cell r="E502" t="str">
            <v>IBEWOUT</v>
          </cell>
          <cell r="F502" t="str">
            <v>1319</v>
          </cell>
          <cell r="G502" t="str">
            <v>8</v>
          </cell>
          <cell r="H502">
            <v>0</v>
          </cell>
        </row>
        <row r="503">
          <cell r="B503">
            <v>4673</v>
          </cell>
          <cell r="C503" t="str">
            <v>Gibbs; Bruce Everett</v>
          </cell>
          <cell r="D503" t="str">
            <v>1C</v>
          </cell>
          <cell r="E503" t="str">
            <v>IBEWOUT</v>
          </cell>
          <cell r="F503" t="str">
            <v>396</v>
          </cell>
          <cell r="G503" t="str">
            <v>33</v>
          </cell>
          <cell r="H503">
            <v>0</v>
          </cell>
        </row>
        <row r="504">
          <cell r="B504">
            <v>4674</v>
          </cell>
          <cell r="C504" t="str">
            <v>George; Benjamin A</v>
          </cell>
          <cell r="D504" t="str">
            <v>1C</v>
          </cell>
          <cell r="E504" t="str">
            <v/>
          </cell>
          <cell r="F504" t="str">
            <v/>
          </cell>
          <cell r="G504" t="str">
            <v/>
          </cell>
          <cell r="H504">
            <v>0</v>
          </cell>
        </row>
        <row r="505">
          <cell r="B505">
            <v>4675</v>
          </cell>
          <cell r="C505" t="str">
            <v>George; Marcus</v>
          </cell>
          <cell r="D505" t="str">
            <v>1C</v>
          </cell>
          <cell r="E505" t="str">
            <v>IBEWOUT</v>
          </cell>
          <cell r="F505" t="str">
            <v>769</v>
          </cell>
          <cell r="G505" t="str">
            <v>22</v>
          </cell>
          <cell r="H505">
            <v>0</v>
          </cell>
        </row>
        <row r="506">
          <cell r="B506">
            <v>4680</v>
          </cell>
          <cell r="C506" t="str">
            <v>Gibson; Nicholas A</v>
          </cell>
          <cell r="D506" t="str">
            <v>1</v>
          </cell>
          <cell r="E506" t="str">
            <v/>
          </cell>
          <cell r="F506" t="str">
            <v/>
          </cell>
          <cell r="G506" t="str">
            <v/>
          </cell>
          <cell r="H506">
            <v>1</v>
          </cell>
        </row>
        <row r="507">
          <cell r="B507">
            <v>4682</v>
          </cell>
          <cell r="C507" t="str">
            <v>Gibson; Chase E</v>
          </cell>
          <cell r="D507" t="str">
            <v>1</v>
          </cell>
          <cell r="E507" t="str">
            <v>IBEWOUT</v>
          </cell>
          <cell r="F507" t="str">
            <v>47</v>
          </cell>
          <cell r="G507" t="str">
            <v>11</v>
          </cell>
          <cell r="H507">
            <v>0</v>
          </cell>
        </row>
        <row r="508">
          <cell r="B508">
            <v>4683</v>
          </cell>
          <cell r="C508" t="str">
            <v>Girtman; Zakary M</v>
          </cell>
          <cell r="D508" t="str">
            <v>1</v>
          </cell>
          <cell r="E508" t="str">
            <v/>
          </cell>
          <cell r="F508" t="str">
            <v/>
          </cell>
          <cell r="G508" t="str">
            <v/>
          </cell>
          <cell r="H508">
            <v>0</v>
          </cell>
        </row>
        <row r="509">
          <cell r="B509">
            <v>4694</v>
          </cell>
          <cell r="C509" t="str">
            <v>Gitts; Gary W</v>
          </cell>
          <cell r="D509" t="str">
            <v>1</v>
          </cell>
          <cell r="E509" t="str">
            <v/>
          </cell>
          <cell r="F509" t="str">
            <v/>
          </cell>
          <cell r="G509" t="str">
            <v/>
          </cell>
          <cell r="H509">
            <v>0</v>
          </cell>
        </row>
        <row r="510">
          <cell r="B510">
            <v>4695</v>
          </cell>
          <cell r="C510" t="str">
            <v>Givens; David N</v>
          </cell>
          <cell r="D510" t="str">
            <v>1C</v>
          </cell>
          <cell r="E510" t="str">
            <v>IBEWOUT</v>
          </cell>
          <cell r="F510" t="str">
            <v>1049</v>
          </cell>
          <cell r="G510" t="str">
            <v>11</v>
          </cell>
          <cell r="H510">
            <v>0</v>
          </cell>
        </row>
        <row r="511">
          <cell r="B511">
            <v>4698</v>
          </cell>
          <cell r="C511" t="str">
            <v>Giguere; Jacob Robert</v>
          </cell>
          <cell r="D511" t="str">
            <v>1</v>
          </cell>
          <cell r="E511" t="str">
            <v>IBEWOUT</v>
          </cell>
          <cell r="F511" t="str">
            <v>77</v>
          </cell>
          <cell r="G511" t="str">
            <v>7</v>
          </cell>
          <cell r="H511">
            <v>0</v>
          </cell>
        </row>
        <row r="512">
          <cell r="B512">
            <v>4709</v>
          </cell>
          <cell r="C512" t="str">
            <v>Glasser; James T</v>
          </cell>
          <cell r="D512" t="str">
            <v>1C</v>
          </cell>
          <cell r="E512" t="str">
            <v>IBEWOUT</v>
          </cell>
          <cell r="F512" t="str">
            <v>47</v>
          </cell>
          <cell r="G512" t="str">
            <v>16</v>
          </cell>
          <cell r="H512">
            <v>0</v>
          </cell>
        </row>
        <row r="513">
          <cell r="B513">
            <v>4718</v>
          </cell>
          <cell r="C513" t="str">
            <v>Gravos; Jason D.</v>
          </cell>
          <cell r="D513" t="str">
            <v>1C</v>
          </cell>
          <cell r="E513" t="str">
            <v>IBEWOUT</v>
          </cell>
          <cell r="F513" t="str">
            <v>77</v>
          </cell>
          <cell r="G513" t="str">
            <v>8</v>
          </cell>
          <cell r="H513">
            <v>0</v>
          </cell>
        </row>
        <row r="514">
          <cell r="B514">
            <v>4719</v>
          </cell>
          <cell r="C514" t="str">
            <v>Grams; Rodney R.</v>
          </cell>
          <cell r="D514" t="str">
            <v>1</v>
          </cell>
          <cell r="E514" t="str">
            <v>IBEWOUT</v>
          </cell>
          <cell r="F514" t="str">
            <v>125</v>
          </cell>
          <cell r="G514" t="str">
            <v>8</v>
          </cell>
          <cell r="H514">
            <v>0</v>
          </cell>
        </row>
        <row r="515">
          <cell r="B515">
            <v>4721</v>
          </cell>
          <cell r="C515" t="str">
            <v>Graham; Zachary T</v>
          </cell>
          <cell r="D515" t="str">
            <v>1C</v>
          </cell>
          <cell r="E515" t="str">
            <v>IBEWOUT</v>
          </cell>
          <cell r="F515" t="str">
            <v>47</v>
          </cell>
          <cell r="G515" t="str">
            <v>8</v>
          </cell>
          <cell r="H515">
            <v>0</v>
          </cell>
        </row>
        <row r="516">
          <cell r="B516">
            <v>4722</v>
          </cell>
          <cell r="C516" t="str">
            <v>Graham; Wesley D</v>
          </cell>
          <cell r="D516" t="str">
            <v>1C</v>
          </cell>
          <cell r="E516" t="str">
            <v>IBEWOUT</v>
          </cell>
          <cell r="F516" t="str">
            <v>1245</v>
          </cell>
          <cell r="G516" t="str">
            <v>1</v>
          </cell>
          <cell r="H516">
            <v>0</v>
          </cell>
        </row>
        <row r="517">
          <cell r="B517">
            <v>4723</v>
          </cell>
          <cell r="C517" t="str">
            <v>Graebel; Pascal Ferling</v>
          </cell>
          <cell r="D517" t="str">
            <v>1C</v>
          </cell>
          <cell r="E517" t="str">
            <v>IBEWOUT</v>
          </cell>
          <cell r="F517" t="str">
            <v>1245</v>
          </cell>
          <cell r="G517" t="str">
            <v>8</v>
          </cell>
          <cell r="H517">
            <v>0</v>
          </cell>
        </row>
        <row r="518">
          <cell r="B518">
            <v>4724</v>
          </cell>
          <cell r="C518" t="str">
            <v>Grantham; Joshua O</v>
          </cell>
          <cell r="D518" t="str">
            <v>1C</v>
          </cell>
          <cell r="E518" t="str">
            <v>IBEWOUT</v>
          </cell>
          <cell r="F518" t="str">
            <v>1245</v>
          </cell>
          <cell r="G518" t="str">
            <v>8</v>
          </cell>
          <cell r="H518">
            <v>0</v>
          </cell>
        </row>
        <row r="519">
          <cell r="B519">
            <v>4725</v>
          </cell>
          <cell r="C519" t="str">
            <v>Grantham; Benjamin</v>
          </cell>
          <cell r="D519" t="str">
            <v>1C</v>
          </cell>
          <cell r="E519" t="str">
            <v>IBEWOUT</v>
          </cell>
          <cell r="F519" t="str">
            <v>1245</v>
          </cell>
          <cell r="G519" t="str">
            <v>8</v>
          </cell>
          <cell r="H519">
            <v>0</v>
          </cell>
        </row>
        <row r="520">
          <cell r="B520">
            <v>4727</v>
          </cell>
          <cell r="C520" t="str">
            <v>Graff; Scott A</v>
          </cell>
          <cell r="D520" t="str">
            <v>1</v>
          </cell>
          <cell r="E520" t="str">
            <v>IBEWOUT</v>
          </cell>
          <cell r="F520" t="str">
            <v>125</v>
          </cell>
          <cell r="G520" t="str">
            <v>7</v>
          </cell>
          <cell r="H520">
            <v>0</v>
          </cell>
        </row>
        <row r="521">
          <cell r="B521">
            <v>4729</v>
          </cell>
          <cell r="C521" t="str">
            <v>Grant; Jacob A</v>
          </cell>
          <cell r="D521" t="str">
            <v>1C</v>
          </cell>
          <cell r="E521" t="str">
            <v>IBEWOUT</v>
          </cell>
          <cell r="F521" t="str">
            <v>1245</v>
          </cell>
          <cell r="G521" t="str">
            <v>17</v>
          </cell>
          <cell r="H521">
            <v>0</v>
          </cell>
        </row>
        <row r="522">
          <cell r="B522">
            <v>4730</v>
          </cell>
          <cell r="C522" t="str">
            <v>Graft; Jeremy D</v>
          </cell>
          <cell r="D522" t="str">
            <v>1</v>
          </cell>
          <cell r="E522" t="str">
            <v>IBEWOUT</v>
          </cell>
          <cell r="F522" t="str">
            <v>70</v>
          </cell>
          <cell r="G522" t="str">
            <v>17</v>
          </cell>
          <cell r="H522">
            <v>0</v>
          </cell>
        </row>
        <row r="523">
          <cell r="B523">
            <v>4733</v>
          </cell>
          <cell r="C523" t="str">
            <v>Gray; Michael W</v>
          </cell>
          <cell r="D523" t="str">
            <v>1C</v>
          </cell>
          <cell r="E523" t="str">
            <v>IBEWOUT</v>
          </cell>
          <cell r="F523" t="str">
            <v>1245</v>
          </cell>
          <cell r="G523" t="str">
            <v>7</v>
          </cell>
          <cell r="H523">
            <v>0</v>
          </cell>
        </row>
        <row r="524">
          <cell r="B524">
            <v>4735</v>
          </cell>
          <cell r="C524" t="str">
            <v>Gray; Christopher N</v>
          </cell>
          <cell r="D524" t="str">
            <v>1C</v>
          </cell>
          <cell r="E524" t="str">
            <v>IBEWOUT</v>
          </cell>
          <cell r="F524" t="str">
            <v>1245</v>
          </cell>
          <cell r="G524" t="str">
            <v>8</v>
          </cell>
          <cell r="H524">
            <v>0</v>
          </cell>
        </row>
        <row r="525">
          <cell r="B525">
            <v>4736</v>
          </cell>
          <cell r="C525" t="str">
            <v>Gravelle; Joshua A</v>
          </cell>
          <cell r="D525" t="str">
            <v>1C</v>
          </cell>
          <cell r="E525" t="str">
            <v>IBEWOUT</v>
          </cell>
          <cell r="F525" t="str">
            <v>160</v>
          </cell>
          <cell r="G525" t="str">
            <v>8</v>
          </cell>
          <cell r="H525">
            <v>0</v>
          </cell>
        </row>
        <row r="526">
          <cell r="B526">
            <v>4737</v>
          </cell>
          <cell r="C526" t="str">
            <v>Gravil II; James F</v>
          </cell>
          <cell r="D526" t="str">
            <v>1C</v>
          </cell>
          <cell r="E526" t="str">
            <v>IBEWOUT</v>
          </cell>
          <cell r="F526" t="str">
            <v>1245</v>
          </cell>
          <cell r="G526" t="str">
            <v>8</v>
          </cell>
          <cell r="H526">
            <v>0</v>
          </cell>
        </row>
        <row r="527">
          <cell r="B527">
            <v>4739</v>
          </cell>
          <cell r="C527" t="str">
            <v>Green; David R</v>
          </cell>
          <cell r="D527" t="str">
            <v>1C</v>
          </cell>
          <cell r="E527" t="str">
            <v>IBEWOUT</v>
          </cell>
          <cell r="F527" t="str">
            <v>1245</v>
          </cell>
          <cell r="G527" t="str">
            <v>8</v>
          </cell>
          <cell r="H527">
            <v>0</v>
          </cell>
        </row>
        <row r="528">
          <cell r="B528">
            <v>4745</v>
          </cell>
          <cell r="C528" t="str">
            <v>Green; Christopher A</v>
          </cell>
          <cell r="D528" t="str">
            <v>1C</v>
          </cell>
          <cell r="E528" t="str">
            <v>IBEWOUT</v>
          </cell>
          <cell r="F528" t="str">
            <v>47</v>
          </cell>
          <cell r="G528" t="str">
            <v>14</v>
          </cell>
          <cell r="H528">
            <v>0</v>
          </cell>
        </row>
        <row r="529">
          <cell r="B529">
            <v>4746</v>
          </cell>
          <cell r="C529" t="str">
            <v>Green; Michael R</v>
          </cell>
          <cell r="D529" t="str">
            <v>1C</v>
          </cell>
          <cell r="E529" t="str">
            <v>IBEWOUT</v>
          </cell>
          <cell r="F529" t="str">
            <v>77</v>
          </cell>
          <cell r="G529" t="str">
            <v>9</v>
          </cell>
          <cell r="H529">
            <v>0</v>
          </cell>
        </row>
        <row r="530">
          <cell r="B530">
            <v>4749</v>
          </cell>
          <cell r="C530" t="str">
            <v>Green; Jacob E.</v>
          </cell>
          <cell r="D530" t="str">
            <v>1C</v>
          </cell>
          <cell r="E530" t="str">
            <v>IBEWOUT</v>
          </cell>
          <cell r="F530" t="str">
            <v>1245</v>
          </cell>
          <cell r="G530" t="str">
            <v>8</v>
          </cell>
          <cell r="H530">
            <v>0</v>
          </cell>
        </row>
        <row r="531">
          <cell r="B531">
            <v>4752</v>
          </cell>
          <cell r="C531" t="str">
            <v>Gutierrez; Fernando N</v>
          </cell>
          <cell r="D531" t="str">
            <v>1C</v>
          </cell>
          <cell r="E531" t="str">
            <v>IBEWOUT</v>
          </cell>
          <cell r="F531" t="str">
            <v>1245</v>
          </cell>
          <cell r="G531" t="str">
            <v>8</v>
          </cell>
          <cell r="H531">
            <v>0</v>
          </cell>
        </row>
        <row r="532">
          <cell r="B532">
            <v>4753</v>
          </cell>
          <cell r="C532" t="str">
            <v>Green; Douglas V</v>
          </cell>
          <cell r="D532" t="str">
            <v>1C</v>
          </cell>
          <cell r="E532" t="str">
            <v>IBEWOUT</v>
          </cell>
          <cell r="F532" t="str">
            <v>1245</v>
          </cell>
          <cell r="G532" t="str">
            <v>8</v>
          </cell>
          <cell r="H532">
            <v>0</v>
          </cell>
        </row>
        <row r="533">
          <cell r="B533">
            <v>4754</v>
          </cell>
          <cell r="C533" t="str">
            <v>Greer; Rebecca J.</v>
          </cell>
          <cell r="D533" t="str">
            <v>1C</v>
          </cell>
          <cell r="E533" t="str">
            <v/>
          </cell>
          <cell r="F533" t="str">
            <v/>
          </cell>
          <cell r="G533" t="str">
            <v/>
          </cell>
          <cell r="H533">
            <v>1</v>
          </cell>
        </row>
        <row r="534">
          <cell r="B534">
            <v>4755</v>
          </cell>
          <cell r="C534" t="str">
            <v>Gutierrez; Luis G</v>
          </cell>
          <cell r="D534" t="str">
            <v>1C</v>
          </cell>
          <cell r="E534" t="str">
            <v>IBEWOUT</v>
          </cell>
          <cell r="F534" t="str">
            <v>47</v>
          </cell>
          <cell r="G534" t="str">
            <v>17</v>
          </cell>
          <cell r="H534">
            <v>0</v>
          </cell>
        </row>
        <row r="535">
          <cell r="B535">
            <v>4758</v>
          </cell>
          <cell r="C535" t="str">
            <v>Green; Joshua G</v>
          </cell>
          <cell r="D535" t="str">
            <v>1C</v>
          </cell>
          <cell r="E535" t="str">
            <v>IBEWOUT</v>
          </cell>
          <cell r="F535" t="str">
            <v>1245</v>
          </cell>
          <cell r="G535" t="str">
            <v>8</v>
          </cell>
          <cell r="H535">
            <v>0</v>
          </cell>
        </row>
        <row r="536">
          <cell r="B536">
            <v>4759</v>
          </cell>
          <cell r="C536" t="str">
            <v>Green; Jesse D</v>
          </cell>
          <cell r="D536" t="str">
            <v>1</v>
          </cell>
          <cell r="E536" t="str">
            <v>IBEWOUT</v>
          </cell>
          <cell r="F536" t="str">
            <v>1245</v>
          </cell>
          <cell r="G536" t="str">
            <v>8</v>
          </cell>
          <cell r="H536">
            <v>0</v>
          </cell>
        </row>
        <row r="537">
          <cell r="B537">
            <v>4764</v>
          </cell>
          <cell r="C537" t="str">
            <v>Greer; Arnold Joseph Jay</v>
          </cell>
          <cell r="D537" t="str">
            <v>1C</v>
          </cell>
          <cell r="E537" t="str">
            <v>IBEWOUT</v>
          </cell>
          <cell r="F537" t="str">
            <v>1245</v>
          </cell>
          <cell r="G537" t="str">
            <v>8</v>
          </cell>
          <cell r="H537">
            <v>0</v>
          </cell>
        </row>
        <row r="538">
          <cell r="B538">
            <v>4765</v>
          </cell>
          <cell r="C538" t="str">
            <v>Gregory; Corey J</v>
          </cell>
          <cell r="D538" t="str">
            <v>1C</v>
          </cell>
          <cell r="E538" t="str">
            <v>IBEWOUT</v>
          </cell>
          <cell r="F538" t="str">
            <v>125</v>
          </cell>
          <cell r="G538" t="str">
            <v>12</v>
          </cell>
          <cell r="H538">
            <v>0</v>
          </cell>
        </row>
        <row r="539">
          <cell r="B539">
            <v>4780</v>
          </cell>
          <cell r="C539" t="str">
            <v>Grobe; Blake A</v>
          </cell>
          <cell r="D539" t="str">
            <v>1</v>
          </cell>
          <cell r="E539" t="str">
            <v>IBEWOUT</v>
          </cell>
          <cell r="F539" t="str">
            <v>1245</v>
          </cell>
          <cell r="G539" t="str">
            <v>8</v>
          </cell>
          <cell r="H539">
            <v>0</v>
          </cell>
        </row>
        <row r="540">
          <cell r="B540">
            <v>4782</v>
          </cell>
          <cell r="C540" t="str">
            <v>Grose; Robert Douglas</v>
          </cell>
          <cell r="D540" t="str">
            <v>1C</v>
          </cell>
          <cell r="E540" t="str">
            <v>IBEWOUT</v>
          </cell>
          <cell r="F540" t="str">
            <v>125</v>
          </cell>
          <cell r="G540" t="str">
            <v>16</v>
          </cell>
          <cell r="H540">
            <v>0</v>
          </cell>
        </row>
        <row r="541">
          <cell r="B541">
            <v>4785</v>
          </cell>
          <cell r="C541" t="str">
            <v>Gross; Michael B</v>
          </cell>
          <cell r="D541" t="str">
            <v>1C</v>
          </cell>
          <cell r="E541" t="str">
            <v>IBEWOUT</v>
          </cell>
          <cell r="F541" t="str">
            <v>602R</v>
          </cell>
          <cell r="G541" t="str">
            <v>8</v>
          </cell>
          <cell r="H541">
            <v>0</v>
          </cell>
        </row>
        <row r="542">
          <cell r="B542">
            <v>4787</v>
          </cell>
          <cell r="C542" t="str">
            <v>Gross; Kacy E</v>
          </cell>
          <cell r="D542" t="str">
            <v>1</v>
          </cell>
          <cell r="E542" t="str">
            <v>IBEWOUT</v>
          </cell>
          <cell r="F542" t="str">
            <v>77</v>
          </cell>
          <cell r="G542" t="str">
            <v>10</v>
          </cell>
          <cell r="H542">
            <v>0</v>
          </cell>
        </row>
        <row r="543">
          <cell r="B543">
            <v>4807</v>
          </cell>
          <cell r="C543" t="str">
            <v>Gummig; Zechariah A</v>
          </cell>
          <cell r="D543" t="str">
            <v>1C</v>
          </cell>
          <cell r="E543" t="str">
            <v>IBEWOUT</v>
          </cell>
          <cell r="F543" t="str">
            <v>47</v>
          </cell>
          <cell r="G543" t="str">
            <v>8</v>
          </cell>
          <cell r="H543">
            <v>0</v>
          </cell>
        </row>
        <row r="544">
          <cell r="B544">
            <v>4815</v>
          </cell>
          <cell r="C544" t="str">
            <v>Gunderson; Eric C</v>
          </cell>
          <cell r="D544" t="str">
            <v>1C</v>
          </cell>
          <cell r="E544" t="str">
            <v>IBEWOUT</v>
          </cell>
          <cell r="F544" t="str">
            <v>77</v>
          </cell>
          <cell r="G544" t="str">
            <v>16</v>
          </cell>
          <cell r="H544">
            <v>0</v>
          </cell>
        </row>
        <row r="545">
          <cell r="B545">
            <v>4817</v>
          </cell>
          <cell r="C545" t="str">
            <v>Grunst; Gary C.</v>
          </cell>
          <cell r="D545" t="str">
            <v>1</v>
          </cell>
          <cell r="E545" t="str">
            <v/>
          </cell>
          <cell r="F545" t="str">
            <v/>
          </cell>
          <cell r="G545" t="str">
            <v/>
          </cell>
          <cell r="H545">
            <v>1</v>
          </cell>
        </row>
        <row r="546">
          <cell r="B546">
            <v>4821</v>
          </cell>
          <cell r="C546" t="str">
            <v>Gunn; Larry O</v>
          </cell>
          <cell r="D546" t="str">
            <v>1</v>
          </cell>
          <cell r="E546" t="str">
            <v/>
          </cell>
          <cell r="F546" t="str">
            <v/>
          </cell>
          <cell r="G546" t="str">
            <v/>
          </cell>
          <cell r="H546">
            <v>1</v>
          </cell>
        </row>
        <row r="547">
          <cell r="B547">
            <v>4829</v>
          </cell>
          <cell r="C547" t="str">
            <v>Haase; Eric N</v>
          </cell>
          <cell r="D547" t="str">
            <v>1C</v>
          </cell>
          <cell r="E547" t="str">
            <v>IBEWOUT</v>
          </cell>
          <cell r="F547" t="str">
            <v>125</v>
          </cell>
          <cell r="G547" t="str">
            <v>16</v>
          </cell>
          <cell r="H547">
            <v>0</v>
          </cell>
        </row>
        <row r="548">
          <cell r="B548">
            <v>4830</v>
          </cell>
          <cell r="C548" t="str">
            <v>Guevara; Ruben</v>
          </cell>
          <cell r="D548" t="str">
            <v>1</v>
          </cell>
          <cell r="E548" t="str">
            <v>IBEWOUT</v>
          </cell>
          <cell r="F548" t="str">
            <v>1245</v>
          </cell>
          <cell r="G548" t="str">
            <v>7</v>
          </cell>
          <cell r="H548">
            <v>0</v>
          </cell>
        </row>
        <row r="549">
          <cell r="B549">
            <v>4832</v>
          </cell>
          <cell r="C549" t="str">
            <v>Guffey; Jess B</v>
          </cell>
          <cell r="D549" t="str">
            <v>1C</v>
          </cell>
          <cell r="E549" t="str">
            <v>IBEWOUT</v>
          </cell>
          <cell r="F549" t="str">
            <v>47</v>
          </cell>
          <cell r="G549" t="str">
            <v>15</v>
          </cell>
          <cell r="H549">
            <v>0</v>
          </cell>
        </row>
        <row r="550">
          <cell r="B550">
            <v>4833</v>
          </cell>
          <cell r="C550" t="str">
            <v>Gunia; Michael D</v>
          </cell>
          <cell r="D550" t="str">
            <v>1C</v>
          </cell>
          <cell r="E550" t="str">
            <v>IBEWOUT</v>
          </cell>
          <cell r="F550" t="str">
            <v>47</v>
          </cell>
          <cell r="G550" t="str">
            <v>8</v>
          </cell>
          <cell r="H550">
            <v>0</v>
          </cell>
        </row>
        <row r="551">
          <cell r="B551">
            <v>4834</v>
          </cell>
          <cell r="C551" t="str">
            <v>Hacker; Travis K</v>
          </cell>
          <cell r="D551" t="str">
            <v>1C</v>
          </cell>
          <cell r="E551" t="str">
            <v>IBEWOUT</v>
          </cell>
          <cell r="F551" t="str">
            <v>47</v>
          </cell>
          <cell r="G551" t="str">
            <v>8</v>
          </cell>
          <cell r="H551">
            <v>0</v>
          </cell>
        </row>
        <row r="552">
          <cell r="B552">
            <v>4836</v>
          </cell>
          <cell r="C552" t="str">
            <v>Guerrero; Rene J</v>
          </cell>
          <cell r="D552" t="str">
            <v>1C</v>
          </cell>
          <cell r="E552" t="str">
            <v>IBEWOUT</v>
          </cell>
          <cell r="F552" t="str">
            <v>47</v>
          </cell>
          <cell r="G552" t="str">
            <v>17</v>
          </cell>
          <cell r="H552">
            <v>0</v>
          </cell>
        </row>
        <row r="553">
          <cell r="B553">
            <v>4837</v>
          </cell>
          <cell r="C553" t="str">
            <v>Guy; Nicholas M</v>
          </cell>
          <cell r="D553" t="str">
            <v>1C</v>
          </cell>
          <cell r="E553" t="str">
            <v>IBEWOUT</v>
          </cell>
          <cell r="F553" t="str">
            <v>77</v>
          </cell>
          <cell r="G553" t="str">
            <v>10</v>
          </cell>
          <cell r="H553">
            <v>0</v>
          </cell>
        </row>
        <row r="554">
          <cell r="B554">
            <v>4846</v>
          </cell>
          <cell r="C554" t="str">
            <v>Haldiman; Zachary J</v>
          </cell>
          <cell r="D554" t="str">
            <v>1</v>
          </cell>
          <cell r="E554" t="str">
            <v>IBEWOUT</v>
          </cell>
          <cell r="F554" t="str">
            <v>769</v>
          </cell>
          <cell r="G554" t="str">
            <v>8</v>
          </cell>
          <cell r="H554">
            <v>0</v>
          </cell>
        </row>
        <row r="555">
          <cell r="B555">
            <v>4876</v>
          </cell>
          <cell r="C555" t="str">
            <v>Hall; Peter Joe</v>
          </cell>
          <cell r="D555" t="str">
            <v>1</v>
          </cell>
          <cell r="E555" t="str">
            <v/>
          </cell>
          <cell r="F555" t="str">
            <v/>
          </cell>
          <cell r="G555" t="str">
            <v/>
          </cell>
          <cell r="H555">
            <v>1</v>
          </cell>
        </row>
        <row r="556">
          <cell r="B556">
            <v>4882</v>
          </cell>
          <cell r="C556" t="str">
            <v>Hankins; Austin Allan</v>
          </cell>
          <cell r="D556" t="str">
            <v>1C</v>
          </cell>
          <cell r="E556" t="str">
            <v>IBEWOUT</v>
          </cell>
          <cell r="F556" t="str">
            <v>769</v>
          </cell>
          <cell r="G556" t="str">
            <v>22</v>
          </cell>
          <cell r="H556">
            <v>0</v>
          </cell>
        </row>
        <row r="557">
          <cell r="B557">
            <v>4891</v>
          </cell>
          <cell r="C557" t="str">
            <v>Hall; Cody R</v>
          </cell>
          <cell r="D557" t="str">
            <v>1C</v>
          </cell>
          <cell r="E557" t="str">
            <v>IBEWOUT</v>
          </cell>
          <cell r="F557" t="str">
            <v>77</v>
          </cell>
          <cell r="G557" t="str">
            <v>9</v>
          </cell>
          <cell r="H557">
            <v>0</v>
          </cell>
        </row>
        <row r="558">
          <cell r="B558">
            <v>4892</v>
          </cell>
          <cell r="C558" t="str">
            <v>Hall; Adam J</v>
          </cell>
          <cell r="D558" t="str">
            <v>1C</v>
          </cell>
          <cell r="E558" t="str">
            <v>IBEWOUT</v>
          </cell>
          <cell r="F558" t="str">
            <v>160</v>
          </cell>
          <cell r="G558" t="str">
            <v>8</v>
          </cell>
          <cell r="H558">
            <v>0</v>
          </cell>
        </row>
        <row r="559">
          <cell r="B559">
            <v>4895</v>
          </cell>
          <cell r="C559" t="str">
            <v>Harding; Grant l</v>
          </cell>
          <cell r="D559" t="str">
            <v>1C</v>
          </cell>
          <cell r="E559" t="str">
            <v>IBEWOUT</v>
          </cell>
          <cell r="F559" t="str">
            <v>47</v>
          </cell>
          <cell r="G559" t="str">
            <v>8</v>
          </cell>
          <cell r="H559">
            <v>0</v>
          </cell>
        </row>
        <row r="560">
          <cell r="B560">
            <v>4898</v>
          </cell>
          <cell r="C560" t="str">
            <v>Hall; Levi R</v>
          </cell>
          <cell r="D560" t="str">
            <v>1C</v>
          </cell>
          <cell r="E560" t="str">
            <v>IBEWOUT</v>
          </cell>
          <cell r="F560" t="str">
            <v>125</v>
          </cell>
          <cell r="G560" t="str">
            <v>10</v>
          </cell>
          <cell r="H560">
            <v>0</v>
          </cell>
        </row>
        <row r="561">
          <cell r="B561">
            <v>4899</v>
          </cell>
          <cell r="C561" t="str">
            <v>Hamelin; Kenneth L</v>
          </cell>
          <cell r="D561" t="str">
            <v>1C</v>
          </cell>
          <cell r="E561" t="str">
            <v>IBEWOUT</v>
          </cell>
          <cell r="F561" t="str">
            <v>77</v>
          </cell>
          <cell r="G561" t="str">
            <v>7</v>
          </cell>
          <cell r="H561">
            <v>0</v>
          </cell>
        </row>
        <row r="562">
          <cell r="B562">
            <v>4901</v>
          </cell>
          <cell r="C562" t="str">
            <v>Hall; Erik S</v>
          </cell>
          <cell r="D562" t="str">
            <v>1C</v>
          </cell>
          <cell r="E562" t="str">
            <v>IBEWOUT</v>
          </cell>
          <cell r="F562" t="str">
            <v>1245</v>
          </cell>
          <cell r="G562" t="str">
            <v>8</v>
          </cell>
          <cell r="H562">
            <v>0</v>
          </cell>
        </row>
        <row r="563">
          <cell r="B563">
            <v>4902</v>
          </cell>
          <cell r="C563" t="str">
            <v>Hamner; Brant S</v>
          </cell>
          <cell r="D563" t="str">
            <v>1C</v>
          </cell>
          <cell r="E563" t="str">
            <v>IBEWOUT</v>
          </cell>
          <cell r="F563" t="str">
            <v>1245</v>
          </cell>
          <cell r="G563" t="str">
            <v>15</v>
          </cell>
          <cell r="H563">
            <v>0</v>
          </cell>
        </row>
        <row r="564">
          <cell r="B564">
            <v>4904</v>
          </cell>
          <cell r="C564" t="str">
            <v>Hammon; Jake B</v>
          </cell>
          <cell r="D564" t="str">
            <v>1</v>
          </cell>
          <cell r="E564" t="str">
            <v>IBEWOUT</v>
          </cell>
          <cell r="F564" t="str">
            <v>47</v>
          </cell>
          <cell r="G564" t="str">
            <v>16</v>
          </cell>
          <cell r="H564">
            <v>0</v>
          </cell>
        </row>
        <row r="565">
          <cell r="B565">
            <v>4905</v>
          </cell>
          <cell r="C565" t="str">
            <v>Hancock; James A</v>
          </cell>
          <cell r="D565" t="str">
            <v>1C</v>
          </cell>
          <cell r="E565" t="str">
            <v>IBEWOUT</v>
          </cell>
          <cell r="F565" t="str">
            <v>125</v>
          </cell>
          <cell r="G565" t="str">
            <v>8</v>
          </cell>
          <cell r="H565">
            <v>0</v>
          </cell>
        </row>
        <row r="566">
          <cell r="B566">
            <v>4930</v>
          </cell>
          <cell r="C566" t="str">
            <v>Hathaway; Phillip J</v>
          </cell>
          <cell r="D566" t="str">
            <v>1C</v>
          </cell>
          <cell r="E566" t="str">
            <v>IBEWOUT</v>
          </cell>
          <cell r="F566" t="str">
            <v>769</v>
          </cell>
          <cell r="G566" t="str">
            <v>8</v>
          </cell>
          <cell r="H566">
            <v>0</v>
          </cell>
        </row>
        <row r="567">
          <cell r="B567">
            <v>4946</v>
          </cell>
          <cell r="C567" t="str">
            <v>Hawkins; Christopher D.</v>
          </cell>
          <cell r="D567" t="str">
            <v>1C</v>
          </cell>
          <cell r="E567" t="str">
            <v>IBEWOUT</v>
          </cell>
          <cell r="F567" t="str">
            <v>1245</v>
          </cell>
          <cell r="G567" t="str">
            <v>8</v>
          </cell>
          <cell r="H567">
            <v>0</v>
          </cell>
        </row>
        <row r="568">
          <cell r="B568">
            <v>4950</v>
          </cell>
          <cell r="C568" t="str">
            <v>Hawkins; Shawn C.</v>
          </cell>
          <cell r="D568" t="str">
            <v>1C</v>
          </cell>
          <cell r="E568" t="str">
            <v>IBEWOUT</v>
          </cell>
          <cell r="F568" t="str">
            <v>47</v>
          </cell>
          <cell r="G568" t="str">
            <v>8</v>
          </cell>
          <cell r="H568">
            <v>0</v>
          </cell>
        </row>
        <row r="569">
          <cell r="B569">
            <v>4963</v>
          </cell>
          <cell r="C569" t="str">
            <v>Hairell; Ronald W</v>
          </cell>
          <cell r="D569" t="str">
            <v>1C</v>
          </cell>
          <cell r="E569" t="str">
            <v>IBEWOUT</v>
          </cell>
          <cell r="F569" t="str">
            <v>1245</v>
          </cell>
          <cell r="G569" t="str">
            <v>17</v>
          </cell>
          <cell r="H569">
            <v>0</v>
          </cell>
        </row>
        <row r="570">
          <cell r="B570">
            <v>4967</v>
          </cell>
          <cell r="C570" t="str">
            <v>Hansen; David L</v>
          </cell>
          <cell r="D570" t="str">
            <v>1C</v>
          </cell>
          <cell r="E570" t="str">
            <v>IBEWOUT</v>
          </cell>
          <cell r="F570" t="str">
            <v>47</v>
          </cell>
          <cell r="G570" t="str">
            <v>17</v>
          </cell>
          <cell r="H570">
            <v>0</v>
          </cell>
        </row>
        <row r="571">
          <cell r="B571">
            <v>4969</v>
          </cell>
          <cell r="C571" t="str">
            <v>Hartman; Matthew J.</v>
          </cell>
          <cell r="D571" t="str">
            <v>1C</v>
          </cell>
          <cell r="E571" t="str">
            <v>IBEWOUT</v>
          </cell>
          <cell r="F571" t="str">
            <v>125</v>
          </cell>
          <cell r="G571" t="str">
            <v>13</v>
          </cell>
          <cell r="H571">
            <v>0</v>
          </cell>
        </row>
        <row r="572">
          <cell r="B572">
            <v>4972</v>
          </cell>
          <cell r="C572" t="str">
            <v>Hayman; Cody A</v>
          </cell>
          <cell r="D572" t="str">
            <v>1C</v>
          </cell>
          <cell r="E572" t="str">
            <v>IBEWOUT</v>
          </cell>
          <cell r="F572" t="str">
            <v>1319</v>
          </cell>
          <cell r="G572" t="str">
            <v>17</v>
          </cell>
          <cell r="H572">
            <v>0</v>
          </cell>
        </row>
        <row r="573">
          <cell r="B573">
            <v>4973</v>
          </cell>
          <cell r="C573" t="str">
            <v>Harroun; Steven C</v>
          </cell>
          <cell r="D573" t="str">
            <v>1C</v>
          </cell>
          <cell r="E573" t="str">
            <v>IBEWOUT</v>
          </cell>
          <cell r="F573" t="str">
            <v>611</v>
          </cell>
          <cell r="G573" t="str">
            <v>13</v>
          </cell>
          <cell r="H573">
            <v>0</v>
          </cell>
        </row>
        <row r="574">
          <cell r="B574">
            <v>4974</v>
          </cell>
          <cell r="C574" t="str">
            <v>Hartley; Walter M</v>
          </cell>
          <cell r="D574" t="str">
            <v>1C</v>
          </cell>
          <cell r="E574" t="str">
            <v>IBEWOUT</v>
          </cell>
          <cell r="F574" t="str">
            <v>1245</v>
          </cell>
          <cell r="G574" t="str">
            <v>7</v>
          </cell>
          <cell r="H574">
            <v>0</v>
          </cell>
        </row>
        <row r="575">
          <cell r="B575">
            <v>4979</v>
          </cell>
          <cell r="C575" t="str">
            <v>Hathcock; Steven Heath</v>
          </cell>
          <cell r="D575" t="str">
            <v>1C</v>
          </cell>
          <cell r="E575" t="str">
            <v>IBEWOUT</v>
          </cell>
          <cell r="F575" t="str">
            <v>769</v>
          </cell>
          <cell r="G575" t="str">
            <v>7</v>
          </cell>
          <cell r="H575">
            <v>0</v>
          </cell>
        </row>
        <row r="576">
          <cell r="B576">
            <v>4981</v>
          </cell>
          <cell r="C576" t="str">
            <v>Hivner; Nicholas S</v>
          </cell>
          <cell r="D576" t="str">
            <v>1C</v>
          </cell>
          <cell r="E576" t="str">
            <v>IBEWOUT</v>
          </cell>
          <cell r="F576" t="str">
            <v>126</v>
          </cell>
          <cell r="G576" t="str">
            <v>15</v>
          </cell>
          <cell r="H576">
            <v>0</v>
          </cell>
        </row>
        <row r="577">
          <cell r="B577">
            <v>4983</v>
          </cell>
          <cell r="C577" t="str">
            <v>Harmon; Darren L</v>
          </cell>
          <cell r="D577" t="str">
            <v>1C</v>
          </cell>
          <cell r="E577" t="str">
            <v>IBEWOUT</v>
          </cell>
          <cell r="F577" t="str">
            <v>396</v>
          </cell>
          <cell r="G577" t="str">
            <v>7</v>
          </cell>
          <cell r="H577">
            <v>0</v>
          </cell>
        </row>
        <row r="578">
          <cell r="B578">
            <v>4989</v>
          </cell>
          <cell r="C578" t="str">
            <v>Hankins; Clifford Lee</v>
          </cell>
          <cell r="D578" t="str">
            <v>1C</v>
          </cell>
          <cell r="E578" t="str">
            <v>IBEWOUT</v>
          </cell>
          <cell r="F578" t="str">
            <v>769</v>
          </cell>
          <cell r="G578" t="str">
            <v>8</v>
          </cell>
          <cell r="H578">
            <v>0</v>
          </cell>
        </row>
        <row r="579">
          <cell r="B579">
            <v>4993</v>
          </cell>
          <cell r="C579" t="str">
            <v>Harkins; Michael J</v>
          </cell>
          <cell r="D579" t="str">
            <v>1C</v>
          </cell>
          <cell r="E579" t="str">
            <v>IBEWOUT</v>
          </cell>
          <cell r="F579" t="str">
            <v>1319</v>
          </cell>
          <cell r="G579" t="str">
            <v>16</v>
          </cell>
          <cell r="H579">
            <v>0</v>
          </cell>
        </row>
        <row r="580">
          <cell r="B580">
            <v>4995</v>
          </cell>
          <cell r="C580" t="str">
            <v>Hinch; Anthony T.</v>
          </cell>
          <cell r="D580" t="str">
            <v>1C</v>
          </cell>
          <cell r="E580" t="str">
            <v>IBEWOUT</v>
          </cell>
          <cell r="F580" t="str">
            <v>1245</v>
          </cell>
          <cell r="G580" t="str">
            <v>8</v>
          </cell>
          <cell r="H580">
            <v>0</v>
          </cell>
        </row>
        <row r="581">
          <cell r="B581">
            <v>4998</v>
          </cell>
          <cell r="C581" t="str">
            <v>Geiser; Robert A</v>
          </cell>
          <cell r="D581" t="str">
            <v>1C</v>
          </cell>
          <cell r="E581" t="str">
            <v>IBEWOUT</v>
          </cell>
          <cell r="F581" t="str">
            <v>602R</v>
          </cell>
          <cell r="G581" t="str">
            <v>8</v>
          </cell>
          <cell r="H581">
            <v>0</v>
          </cell>
        </row>
        <row r="582">
          <cell r="B582">
            <v>4999</v>
          </cell>
          <cell r="C582" t="str">
            <v>Geyer; Tyler W</v>
          </cell>
          <cell r="D582" t="str">
            <v>1</v>
          </cell>
          <cell r="E582" t="str">
            <v>IBEWOUT</v>
          </cell>
          <cell r="F582" t="str">
            <v>125</v>
          </cell>
          <cell r="G582" t="str">
            <v>7</v>
          </cell>
          <cell r="H582">
            <v>0</v>
          </cell>
        </row>
        <row r="583">
          <cell r="B583">
            <v>5011</v>
          </cell>
          <cell r="C583" t="str">
            <v>Harris; Guy A</v>
          </cell>
          <cell r="D583" t="str">
            <v>1C</v>
          </cell>
          <cell r="E583" t="str">
            <v>IBEWOUT</v>
          </cell>
          <cell r="F583" t="str">
            <v>47</v>
          </cell>
          <cell r="G583" t="str">
            <v>8</v>
          </cell>
          <cell r="H583">
            <v>0</v>
          </cell>
        </row>
        <row r="584">
          <cell r="B584">
            <v>5012</v>
          </cell>
          <cell r="C584" t="str">
            <v>Haagen; Adam E</v>
          </cell>
          <cell r="D584" t="str">
            <v>1C</v>
          </cell>
          <cell r="E584" t="str">
            <v>IBEWOUT</v>
          </cell>
          <cell r="F584" t="str">
            <v>77</v>
          </cell>
          <cell r="G584" t="str">
            <v>11</v>
          </cell>
          <cell r="H584">
            <v>0</v>
          </cell>
        </row>
        <row r="585">
          <cell r="B585">
            <v>5013</v>
          </cell>
          <cell r="C585" t="str">
            <v>Harrah; Robert Fred</v>
          </cell>
          <cell r="D585" t="str">
            <v>1C</v>
          </cell>
          <cell r="E585" t="str">
            <v/>
          </cell>
          <cell r="F585" t="str">
            <v/>
          </cell>
          <cell r="G585" t="str">
            <v/>
          </cell>
          <cell r="H585">
            <v>1</v>
          </cell>
        </row>
        <row r="586">
          <cell r="B586">
            <v>5016</v>
          </cell>
          <cell r="C586" t="str">
            <v>Harris; Jason B</v>
          </cell>
          <cell r="D586" t="str">
            <v>1C</v>
          </cell>
          <cell r="E586" t="str">
            <v>IBEWOUT</v>
          </cell>
          <cell r="F586" t="str">
            <v>126</v>
          </cell>
          <cell r="G586" t="str">
            <v>8</v>
          </cell>
          <cell r="H586">
            <v>0</v>
          </cell>
        </row>
        <row r="587">
          <cell r="B587">
            <v>5017</v>
          </cell>
          <cell r="C587" t="str">
            <v>Harrison; John Wesley</v>
          </cell>
          <cell r="D587" t="str">
            <v>1C</v>
          </cell>
          <cell r="E587" t="str">
            <v>IBEWOUT</v>
          </cell>
          <cell r="F587" t="str">
            <v>1245</v>
          </cell>
          <cell r="G587" t="str">
            <v>8</v>
          </cell>
          <cell r="H587">
            <v>0</v>
          </cell>
        </row>
        <row r="588">
          <cell r="B588">
            <v>5023</v>
          </cell>
          <cell r="C588" t="str">
            <v>Harrison; Chase L</v>
          </cell>
          <cell r="D588" t="str">
            <v>1</v>
          </cell>
          <cell r="E588" t="str">
            <v>IBEWOUT</v>
          </cell>
          <cell r="F588" t="str">
            <v>77</v>
          </cell>
          <cell r="G588" t="str">
            <v>8</v>
          </cell>
          <cell r="H588">
            <v>0</v>
          </cell>
        </row>
        <row r="589">
          <cell r="B589">
            <v>5024</v>
          </cell>
          <cell r="C589" t="str">
            <v>Harrison; Scott R</v>
          </cell>
          <cell r="D589" t="str">
            <v>1</v>
          </cell>
          <cell r="E589" t="str">
            <v>IBEWOUT</v>
          </cell>
          <cell r="F589" t="str">
            <v>1245</v>
          </cell>
          <cell r="G589" t="str">
            <v>8</v>
          </cell>
          <cell r="H589">
            <v>0</v>
          </cell>
        </row>
        <row r="590">
          <cell r="B590">
            <v>5040</v>
          </cell>
          <cell r="C590" t="str">
            <v>Hauff; James FL</v>
          </cell>
          <cell r="D590" t="str">
            <v>1C</v>
          </cell>
          <cell r="E590" t="str">
            <v>IBEWOUT</v>
          </cell>
          <cell r="F590" t="str">
            <v>77</v>
          </cell>
          <cell r="G590" t="str">
            <v>8</v>
          </cell>
          <cell r="H590">
            <v>0</v>
          </cell>
        </row>
        <row r="591">
          <cell r="B591">
            <v>5056</v>
          </cell>
          <cell r="C591" t="str">
            <v>Hatchett; Terry V</v>
          </cell>
          <cell r="D591" t="str">
            <v>1C</v>
          </cell>
          <cell r="E591" t="str">
            <v>IBEWOUT</v>
          </cell>
          <cell r="F591" t="str">
            <v>769</v>
          </cell>
          <cell r="G591" t="str">
            <v>8</v>
          </cell>
          <cell r="H591">
            <v>0</v>
          </cell>
        </row>
        <row r="592">
          <cell r="B592">
            <v>5067</v>
          </cell>
          <cell r="C592" t="str">
            <v>Heller; Erik C</v>
          </cell>
          <cell r="D592" t="str">
            <v>1C</v>
          </cell>
          <cell r="E592" t="str">
            <v>IBEWOUT</v>
          </cell>
          <cell r="F592" t="str">
            <v>47</v>
          </cell>
          <cell r="G592" t="str">
            <v>8</v>
          </cell>
          <cell r="H592">
            <v>0</v>
          </cell>
        </row>
        <row r="593">
          <cell r="B593">
            <v>5070</v>
          </cell>
          <cell r="C593" t="str">
            <v>Henderson; James R</v>
          </cell>
          <cell r="D593" t="str">
            <v>1</v>
          </cell>
          <cell r="E593" t="str">
            <v>IBEWOUT</v>
          </cell>
          <cell r="F593" t="str">
            <v>77</v>
          </cell>
          <cell r="G593" t="str">
            <v>7</v>
          </cell>
          <cell r="H593">
            <v>0</v>
          </cell>
        </row>
        <row r="594">
          <cell r="B594">
            <v>5071</v>
          </cell>
          <cell r="C594" t="str">
            <v>Henderson; Steven M.</v>
          </cell>
          <cell r="D594" t="str">
            <v>1C</v>
          </cell>
          <cell r="E594" t="str">
            <v>IBEWOUT</v>
          </cell>
          <cell r="F594" t="str">
            <v>1245</v>
          </cell>
          <cell r="G594" t="str">
            <v>8</v>
          </cell>
          <cell r="H594">
            <v>0</v>
          </cell>
        </row>
        <row r="595">
          <cell r="B595">
            <v>5072</v>
          </cell>
          <cell r="C595" t="str">
            <v>Henderson; Andrew T</v>
          </cell>
          <cell r="D595" t="str">
            <v>1</v>
          </cell>
          <cell r="E595" t="str">
            <v>IBEWIN</v>
          </cell>
          <cell r="F595" t="str">
            <v>112</v>
          </cell>
          <cell r="G595" t="str">
            <v>42</v>
          </cell>
          <cell r="H595">
            <v>0</v>
          </cell>
        </row>
        <row r="596">
          <cell r="B596">
            <v>5073</v>
          </cell>
          <cell r="C596" t="str">
            <v>Henderson; Evann L</v>
          </cell>
          <cell r="D596" t="str">
            <v>1C</v>
          </cell>
          <cell r="E596" t="str">
            <v>IBEWOUT</v>
          </cell>
          <cell r="F596" t="str">
            <v>47</v>
          </cell>
          <cell r="G596" t="str">
            <v>8</v>
          </cell>
          <cell r="H596">
            <v>0</v>
          </cell>
        </row>
        <row r="597">
          <cell r="B597">
            <v>5076</v>
          </cell>
          <cell r="C597" t="str">
            <v>Henderson; Levi A</v>
          </cell>
          <cell r="D597" t="str">
            <v>1C</v>
          </cell>
          <cell r="E597" t="str">
            <v>IBEWOUT</v>
          </cell>
          <cell r="F597" t="str">
            <v>47</v>
          </cell>
          <cell r="G597" t="str">
            <v>8</v>
          </cell>
          <cell r="H597">
            <v>0</v>
          </cell>
        </row>
        <row r="598">
          <cell r="B598">
            <v>5089</v>
          </cell>
          <cell r="C598" t="str">
            <v>Haught; James E</v>
          </cell>
          <cell r="D598" t="str">
            <v>1C</v>
          </cell>
          <cell r="E598" t="str">
            <v>IBEWOUT</v>
          </cell>
          <cell r="F598" t="str">
            <v>611</v>
          </cell>
          <cell r="G598" t="str">
            <v>15</v>
          </cell>
          <cell r="H598">
            <v>0</v>
          </cell>
        </row>
        <row r="599">
          <cell r="B599">
            <v>5091</v>
          </cell>
          <cell r="C599" t="str">
            <v>Hendrickson; Scott D</v>
          </cell>
          <cell r="D599" t="str">
            <v>1C</v>
          </cell>
          <cell r="E599" t="str">
            <v>IBEWOUT</v>
          </cell>
          <cell r="F599" t="str">
            <v>77</v>
          </cell>
          <cell r="G599" t="str">
            <v>7</v>
          </cell>
          <cell r="H599">
            <v>0</v>
          </cell>
        </row>
        <row r="600">
          <cell r="B600">
            <v>5100</v>
          </cell>
          <cell r="C600" t="str">
            <v>Hegdahl; Andres J</v>
          </cell>
          <cell r="D600" t="str">
            <v>1C</v>
          </cell>
          <cell r="E600" t="str">
            <v>IBEWOUT</v>
          </cell>
          <cell r="F600" t="str">
            <v>125</v>
          </cell>
          <cell r="G600" t="str">
            <v>16</v>
          </cell>
          <cell r="H600">
            <v>0</v>
          </cell>
        </row>
        <row r="601">
          <cell r="B601">
            <v>5102</v>
          </cell>
          <cell r="C601" t="str">
            <v>Heil; Allen A.</v>
          </cell>
          <cell r="D601" t="str">
            <v>1C</v>
          </cell>
          <cell r="E601" t="str">
            <v>IBEWOUT</v>
          </cell>
          <cell r="F601" t="str">
            <v>1245</v>
          </cell>
          <cell r="G601" t="str">
            <v>8</v>
          </cell>
          <cell r="H601">
            <v>0</v>
          </cell>
        </row>
        <row r="602">
          <cell r="B602">
            <v>5105</v>
          </cell>
          <cell r="C602" t="str">
            <v>Healy; Justin M.</v>
          </cell>
          <cell r="D602" t="str">
            <v>1C</v>
          </cell>
          <cell r="E602" t="str">
            <v>IBEWOUT</v>
          </cell>
          <cell r="F602" t="str">
            <v>125</v>
          </cell>
          <cell r="G602" t="str">
            <v>8</v>
          </cell>
          <cell r="H602">
            <v>0</v>
          </cell>
        </row>
        <row r="603">
          <cell r="B603">
            <v>5107</v>
          </cell>
          <cell r="C603" t="str">
            <v>Hedburg; Arthur J</v>
          </cell>
          <cell r="D603" t="str">
            <v>1C</v>
          </cell>
          <cell r="E603" t="str">
            <v>IBEWOUT</v>
          </cell>
          <cell r="F603" t="str">
            <v>47</v>
          </cell>
          <cell r="G603" t="str">
            <v>8</v>
          </cell>
          <cell r="H603">
            <v>0</v>
          </cell>
        </row>
        <row r="604">
          <cell r="B604">
            <v>5115</v>
          </cell>
          <cell r="C604" t="str">
            <v>Heredia; Marco A</v>
          </cell>
          <cell r="D604" t="str">
            <v>1C</v>
          </cell>
          <cell r="E604" t="str">
            <v>IBEWOUT</v>
          </cell>
          <cell r="F604" t="str">
            <v>47</v>
          </cell>
          <cell r="G604" t="str">
            <v>17</v>
          </cell>
          <cell r="H604">
            <v>0</v>
          </cell>
        </row>
        <row r="605">
          <cell r="B605">
            <v>5116</v>
          </cell>
          <cell r="C605" t="str">
            <v>Heuer; Jordan P</v>
          </cell>
          <cell r="D605" t="str">
            <v>1C</v>
          </cell>
          <cell r="E605" t="str">
            <v>IBEWOUT</v>
          </cell>
          <cell r="F605" t="str">
            <v>126</v>
          </cell>
          <cell r="G605" t="str">
            <v>16</v>
          </cell>
          <cell r="H605">
            <v>0</v>
          </cell>
        </row>
        <row r="606">
          <cell r="B606">
            <v>5119</v>
          </cell>
          <cell r="C606" t="str">
            <v>Herron; Gregory W.</v>
          </cell>
          <cell r="D606" t="str">
            <v>1C</v>
          </cell>
          <cell r="E606" t="str">
            <v>IBEWOUT</v>
          </cell>
          <cell r="F606" t="str">
            <v>1319</v>
          </cell>
          <cell r="G606" t="str">
            <v>33</v>
          </cell>
          <cell r="H606">
            <v>0</v>
          </cell>
        </row>
        <row r="607">
          <cell r="B607">
            <v>5124</v>
          </cell>
          <cell r="C607" t="str">
            <v>Hernandez Orozco; David</v>
          </cell>
          <cell r="D607" t="str">
            <v>1</v>
          </cell>
          <cell r="E607" t="str">
            <v/>
          </cell>
          <cell r="F607" t="str">
            <v/>
          </cell>
          <cell r="G607" t="str">
            <v/>
          </cell>
          <cell r="H607">
            <v>0</v>
          </cell>
        </row>
        <row r="608">
          <cell r="B608">
            <v>5125</v>
          </cell>
          <cell r="C608" t="str">
            <v>Hernandez; Ramiro</v>
          </cell>
          <cell r="D608" t="str">
            <v>1C</v>
          </cell>
          <cell r="E608" t="str">
            <v/>
          </cell>
          <cell r="F608" t="str">
            <v/>
          </cell>
          <cell r="G608" t="str">
            <v/>
          </cell>
          <cell r="H608">
            <v>0</v>
          </cell>
        </row>
        <row r="609">
          <cell r="B609">
            <v>5127</v>
          </cell>
          <cell r="C609" t="str">
            <v>Hester; John Calvin</v>
          </cell>
          <cell r="D609" t="str">
            <v>1C</v>
          </cell>
          <cell r="E609" t="str">
            <v>IBEWOUT</v>
          </cell>
          <cell r="F609" t="str">
            <v>396</v>
          </cell>
          <cell r="G609" t="str">
            <v>8</v>
          </cell>
          <cell r="H609">
            <v>0</v>
          </cell>
        </row>
        <row r="610">
          <cell r="B610">
            <v>5128</v>
          </cell>
          <cell r="C610" t="str">
            <v>Hernandez; Ignacio L</v>
          </cell>
          <cell r="D610" t="str">
            <v>1</v>
          </cell>
          <cell r="E610" t="str">
            <v>IBEWOUT</v>
          </cell>
          <cell r="F610" t="str">
            <v>1245</v>
          </cell>
          <cell r="G610" t="str">
            <v>8</v>
          </cell>
          <cell r="H610">
            <v>0</v>
          </cell>
        </row>
        <row r="611">
          <cell r="B611">
            <v>5129</v>
          </cell>
          <cell r="C611" t="str">
            <v>Hickman; Ira Q</v>
          </cell>
          <cell r="D611" t="str">
            <v>1C</v>
          </cell>
          <cell r="E611" t="str">
            <v>IBEWOUT</v>
          </cell>
          <cell r="F611" t="str">
            <v>611</v>
          </cell>
          <cell r="G611" t="str">
            <v>8</v>
          </cell>
          <cell r="H611">
            <v>0</v>
          </cell>
        </row>
        <row r="612">
          <cell r="B612">
            <v>5131</v>
          </cell>
          <cell r="C612" t="str">
            <v>Hernandez; Alejandro</v>
          </cell>
          <cell r="D612" t="str">
            <v>1C</v>
          </cell>
          <cell r="E612" t="str">
            <v/>
          </cell>
          <cell r="F612" t="str">
            <v/>
          </cell>
          <cell r="G612" t="str">
            <v/>
          </cell>
          <cell r="H612">
            <v>1</v>
          </cell>
        </row>
        <row r="613">
          <cell r="B613">
            <v>5139</v>
          </cell>
          <cell r="C613" t="str">
            <v>Hidalgo; Cody B.</v>
          </cell>
          <cell r="D613" t="str">
            <v>1</v>
          </cell>
          <cell r="E613" t="str">
            <v>IBEWOUT</v>
          </cell>
          <cell r="F613" t="str">
            <v>611</v>
          </cell>
          <cell r="G613" t="str">
            <v>8</v>
          </cell>
          <cell r="H613">
            <v>0</v>
          </cell>
        </row>
        <row r="614">
          <cell r="B614">
            <v>5140</v>
          </cell>
          <cell r="C614" t="str">
            <v>Hidalgo; Francisco R.</v>
          </cell>
          <cell r="D614" t="str">
            <v>1C</v>
          </cell>
          <cell r="E614" t="str">
            <v>IBEWOUT</v>
          </cell>
          <cell r="F614" t="str">
            <v>47</v>
          </cell>
          <cell r="G614" t="str">
            <v>8</v>
          </cell>
          <cell r="H614">
            <v>0</v>
          </cell>
        </row>
        <row r="615">
          <cell r="B615">
            <v>5165</v>
          </cell>
          <cell r="C615" t="str">
            <v>Hippensteel; Thomas A</v>
          </cell>
          <cell r="D615" t="str">
            <v>1C</v>
          </cell>
          <cell r="E615" t="str">
            <v>IBEWOUT</v>
          </cell>
          <cell r="F615" t="str">
            <v>125</v>
          </cell>
          <cell r="G615" t="str">
            <v>8</v>
          </cell>
          <cell r="H615">
            <v>0</v>
          </cell>
        </row>
        <row r="616">
          <cell r="B616">
            <v>5166</v>
          </cell>
          <cell r="C616" t="str">
            <v>Hildebrand; Scott Alan</v>
          </cell>
          <cell r="D616" t="str">
            <v>1C</v>
          </cell>
          <cell r="E616" t="str">
            <v>IBEWOUT</v>
          </cell>
          <cell r="F616" t="str">
            <v>77</v>
          </cell>
          <cell r="G616" t="str">
            <v>7</v>
          </cell>
          <cell r="H616">
            <v>0</v>
          </cell>
        </row>
        <row r="617">
          <cell r="B617">
            <v>5168</v>
          </cell>
          <cell r="C617" t="str">
            <v>Hills; Jeremy S.</v>
          </cell>
          <cell r="D617" t="str">
            <v>1C</v>
          </cell>
          <cell r="E617" t="str">
            <v>IBEWOUT</v>
          </cell>
          <cell r="F617" t="str">
            <v>77</v>
          </cell>
          <cell r="G617" t="str">
            <v>8</v>
          </cell>
          <cell r="H617">
            <v>0</v>
          </cell>
        </row>
        <row r="618">
          <cell r="B618">
            <v>5175</v>
          </cell>
          <cell r="C618" t="str">
            <v>Hess; Jared A.</v>
          </cell>
          <cell r="D618" t="str">
            <v>1C</v>
          </cell>
          <cell r="E618" t="str">
            <v>IBEWOUT</v>
          </cell>
          <cell r="F618" t="str">
            <v>1245</v>
          </cell>
          <cell r="G618" t="str">
            <v>8</v>
          </cell>
          <cell r="H618">
            <v>0</v>
          </cell>
        </row>
        <row r="619">
          <cell r="B619">
            <v>5176</v>
          </cell>
          <cell r="C619" t="str">
            <v>Hicks; Andrew D</v>
          </cell>
          <cell r="D619" t="str">
            <v>1C</v>
          </cell>
          <cell r="E619" t="str">
            <v>IBEWOUT</v>
          </cell>
          <cell r="F619" t="str">
            <v>77</v>
          </cell>
          <cell r="G619" t="str">
            <v>8</v>
          </cell>
          <cell r="H619">
            <v>0</v>
          </cell>
        </row>
        <row r="620">
          <cell r="B620">
            <v>5179</v>
          </cell>
          <cell r="C620" t="str">
            <v>Hicks; Rush N</v>
          </cell>
          <cell r="D620" t="str">
            <v>1C</v>
          </cell>
          <cell r="E620" t="str">
            <v>IBEWOUT</v>
          </cell>
          <cell r="F620" t="str">
            <v>125</v>
          </cell>
          <cell r="G620" t="str">
            <v>16</v>
          </cell>
          <cell r="H620">
            <v>0</v>
          </cell>
        </row>
        <row r="621">
          <cell r="B621">
            <v>5181</v>
          </cell>
          <cell r="C621" t="str">
            <v>Hoy; Turner A</v>
          </cell>
          <cell r="D621" t="str">
            <v>1C</v>
          </cell>
          <cell r="E621" t="str">
            <v>IBEWOUT</v>
          </cell>
          <cell r="F621" t="str">
            <v>769</v>
          </cell>
          <cell r="G621" t="str">
            <v>8</v>
          </cell>
          <cell r="H621">
            <v>0</v>
          </cell>
        </row>
        <row r="622">
          <cell r="B622">
            <v>5182</v>
          </cell>
          <cell r="C622" t="str">
            <v>Hill; Joshua K</v>
          </cell>
          <cell r="D622" t="str">
            <v>1C</v>
          </cell>
          <cell r="E622" t="str">
            <v>IBEWOUT</v>
          </cell>
          <cell r="F622" t="str">
            <v>1245</v>
          </cell>
          <cell r="G622" t="str">
            <v>8</v>
          </cell>
          <cell r="H622">
            <v>0</v>
          </cell>
        </row>
        <row r="623">
          <cell r="B623">
            <v>5183</v>
          </cell>
          <cell r="C623" t="str">
            <v>Hill; Anthony D</v>
          </cell>
          <cell r="D623" t="str">
            <v>1C</v>
          </cell>
          <cell r="E623" t="str">
            <v>IBEWOUT</v>
          </cell>
          <cell r="F623" t="str">
            <v>1245</v>
          </cell>
          <cell r="G623" t="str">
            <v>8</v>
          </cell>
          <cell r="H623">
            <v>0</v>
          </cell>
        </row>
        <row r="624">
          <cell r="B624">
            <v>5186</v>
          </cell>
          <cell r="C624" t="str">
            <v>Hill; Jared M</v>
          </cell>
          <cell r="D624" t="str">
            <v>1C</v>
          </cell>
          <cell r="E624" t="str">
            <v>IBEWOUT</v>
          </cell>
          <cell r="F624" t="str">
            <v>104</v>
          </cell>
          <cell r="G624" t="str">
            <v>7</v>
          </cell>
          <cell r="H624">
            <v>0</v>
          </cell>
        </row>
        <row r="625">
          <cell r="B625">
            <v>5187</v>
          </cell>
          <cell r="C625" t="str">
            <v>Hill; Daniel A</v>
          </cell>
          <cell r="D625" t="str">
            <v>1</v>
          </cell>
          <cell r="E625" t="str">
            <v>IBEWOUT</v>
          </cell>
          <cell r="F625" t="str">
            <v>77</v>
          </cell>
          <cell r="G625" t="str">
            <v>7</v>
          </cell>
          <cell r="H625">
            <v>0</v>
          </cell>
        </row>
        <row r="626">
          <cell r="B626">
            <v>5197</v>
          </cell>
          <cell r="C626" t="str">
            <v>Hill; Brian M</v>
          </cell>
          <cell r="D626" t="str">
            <v>1C</v>
          </cell>
          <cell r="E626" t="str">
            <v>IBEWOUT</v>
          </cell>
          <cell r="F626" t="str">
            <v>70</v>
          </cell>
          <cell r="G626" t="str">
            <v>18</v>
          </cell>
          <cell r="H626">
            <v>0</v>
          </cell>
        </row>
        <row r="627">
          <cell r="B627">
            <v>5198</v>
          </cell>
          <cell r="C627" t="str">
            <v>Hoch; Spencer W</v>
          </cell>
          <cell r="D627" t="str">
            <v>1</v>
          </cell>
          <cell r="E627" t="str">
            <v>IBEWOUT</v>
          </cell>
          <cell r="F627" t="str">
            <v>77</v>
          </cell>
          <cell r="G627" t="str">
            <v>13</v>
          </cell>
          <cell r="H627">
            <v>0</v>
          </cell>
        </row>
        <row r="628">
          <cell r="B628">
            <v>5301</v>
          </cell>
          <cell r="C628" t="str">
            <v>Hopkins; Joseph E</v>
          </cell>
          <cell r="D628" t="str">
            <v>1C</v>
          </cell>
          <cell r="E628" t="str">
            <v>IBEWOUT</v>
          </cell>
          <cell r="F628" t="str">
            <v>125</v>
          </cell>
          <cell r="G628" t="str">
            <v>8</v>
          </cell>
          <cell r="H628">
            <v>0</v>
          </cell>
        </row>
        <row r="629">
          <cell r="B629">
            <v>5302</v>
          </cell>
          <cell r="C629" t="str">
            <v>Hopson; Jesse B</v>
          </cell>
          <cell r="D629" t="str">
            <v>1</v>
          </cell>
          <cell r="E629" t="str">
            <v>IBEWOUT</v>
          </cell>
          <cell r="F629" t="str">
            <v>47</v>
          </cell>
          <cell r="G629" t="str">
            <v>8</v>
          </cell>
          <cell r="H629">
            <v>0</v>
          </cell>
        </row>
        <row r="630">
          <cell r="B630">
            <v>5319</v>
          </cell>
          <cell r="C630" t="str">
            <v>Holbrook; Jeremiah M</v>
          </cell>
          <cell r="D630" t="str">
            <v>1C</v>
          </cell>
          <cell r="E630" t="str">
            <v>IBEWOUT</v>
          </cell>
          <cell r="F630" t="str">
            <v>1245</v>
          </cell>
          <cell r="G630" t="str">
            <v>8</v>
          </cell>
          <cell r="H630">
            <v>0</v>
          </cell>
        </row>
        <row r="631">
          <cell r="B631">
            <v>5329</v>
          </cell>
          <cell r="C631" t="str">
            <v>Hodge; Tyler D</v>
          </cell>
          <cell r="D631" t="str">
            <v>1</v>
          </cell>
          <cell r="E631" t="str">
            <v>IBEWOUT</v>
          </cell>
          <cell r="F631" t="str">
            <v>77</v>
          </cell>
          <cell r="G631" t="str">
            <v>15</v>
          </cell>
          <cell r="H631">
            <v>0</v>
          </cell>
        </row>
        <row r="632">
          <cell r="B632">
            <v>5331</v>
          </cell>
          <cell r="C632" t="str">
            <v>Hoefler; Trevor B</v>
          </cell>
          <cell r="D632" t="str">
            <v>1C</v>
          </cell>
          <cell r="E632" t="str">
            <v>IBEWOUT</v>
          </cell>
          <cell r="F632" t="str">
            <v>77</v>
          </cell>
          <cell r="G632" t="str">
            <v>10</v>
          </cell>
          <cell r="H632">
            <v>0</v>
          </cell>
        </row>
        <row r="633">
          <cell r="B633">
            <v>5332</v>
          </cell>
          <cell r="C633" t="str">
            <v>Hogue III; Johnny K</v>
          </cell>
          <cell r="D633" t="str">
            <v>1C</v>
          </cell>
          <cell r="E633" t="str">
            <v>IBEWOUT</v>
          </cell>
          <cell r="F633" t="str">
            <v>126</v>
          </cell>
          <cell r="G633" t="str">
            <v>15</v>
          </cell>
          <cell r="H633">
            <v>0</v>
          </cell>
        </row>
        <row r="634">
          <cell r="B634">
            <v>5337</v>
          </cell>
          <cell r="C634" t="str">
            <v>Hoffman; Ryan S</v>
          </cell>
          <cell r="D634" t="str">
            <v>1</v>
          </cell>
          <cell r="E634" t="str">
            <v>IBEWOUT</v>
          </cell>
          <cell r="F634" t="str">
            <v>47</v>
          </cell>
          <cell r="G634" t="str">
            <v>17</v>
          </cell>
          <cell r="H634">
            <v>0</v>
          </cell>
        </row>
        <row r="635">
          <cell r="B635">
            <v>5340</v>
          </cell>
          <cell r="C635" t="str">
            <v>Holt; Derek H</v>
          </cell>
          <cell r="D635" t="str">
            <v>1C</v>
          </cell>
          <cell r="E635" t="str">
            <v>IBEWOUT</v>
          </cell>
          <cell r="F635" t="str">
            <v>1245</v>
          </cell>
          <cell r="G635" t="str">
            <v>8</v>
          </cell>
          <cell r="H635">
            <v>0</v>
          </cell>
        </row>
        <row r="636">
          <cell r="B636">
            <v>5345</v>
          </cell>
          <cell r="C636" t="str">
            <v>Holland Jr; Terrell S</v>
          </cell>
          <cell r="D636" t="str">
            <v>1C</v>
          </cell>
          <cell r="E636" t="str">
            <v>IBEWOUT</v>
          </cell>
          <cell r="F636" t="str">
            <v>1245</v>
          </cell>
          <cell r="G636" t="str">
            <v>8</v>
          </cell>
          <cell r="H636">
            <v>0</v>
          </cell>
        </row>
        <row r="637">
          <cell r="B637">
            <v>5349</v>
          </cell>
          <cell r="C637" t="str">
            <v>Holland; Kyle J</v>
          </cell>
          <cell r="D637" t="str">
            <v>1</v>
          </cell>
          <cell r="E637" t="str">
            <v>IBEWOUT</v>
          </cell>
          <cell r="F637" t="str">
            <v>77</v>
          </cell>
          <cell r="G637" t="str">
            <v>8</v>
          </cell>
          <cell r="H637">
            <v>0</v>
          </cell>
        </row>
        <row r="638">
          <cell r="B638">
            <v>5357</v>
          </cell>
          <cell r="C638" t="str">
            <v>Honorato; Armando</v>
          </cell>
          <cell r="D638" t="str">
            <v>1C</v>
          </cell>
          <cell r="E638" t="str">
            <v>IBEWOUT</v>
          </cell>
          <cell r="F638" t="str">
            <v>47</v>
          </cell>
          <cell r="G638" t="str">
            <v>17</v>
          </cell>
          <cell r="H638">
            <v>0</v>
          </cell>
        </row>
        <row r="639">
          <cell r="B639">
            <v>5372</v>
          </cell>
          <cell r="C639" t="str">
            <v>Hook; Alan P</v>
          </cell>
          <cell r="D639" t="str">
            <v>1C</v>
          </cell>
          <cell r="E639" t="str">
            <v>IBEWOUT</v>
          </cell>
          <cell r="F639" t="str">
            <v>1245</v>
          </cell>
          <cell r="G639" t="str">
            <v>15</v>
          </cell>
          <cell r="H639">
            <v>0</v>
          </cell>
        </row>
        <row r="640">
          <cell r="B640">
            <v>5380</v>
          </cell>
          <cell r="C640" t="str">
            <v>Horlacher; Jared Lee</v>
          </cell>
          <cell r="D640" t="str">
            <v>1C</v>
          </cell>
          <cell r="E640" t="str">
            <v>IBEWOUT</v>
          </cell>
          <cell r="F640" t="str">
            <v>77</v>
          </cell>
          <cell r="G640" t="str">
            <v>8</v>
          </cell>
          <cell r="H640">
            <v>0</v>
          </cell>
        </row>
        <row r="641">
          <cell r="B641">
            <v>5401</v>
          </cell>
          <cell r="C641" t="str">
            <v>Horton; Johnny L</v>
          </cell>
          <cell r="D641" t="str">
            <v>1C</v>
          </cell>
          <cell r="E641" t="str">
            <v>IBEWOUT</v>
          </cell>
          <cell r="F641" t="str">
            <v>47</v>
          </cell>
          <cell r="G641" t="str">
            <v>17</v>
          </cell>
          <cell r="H641">
            <v>0</v>
          </cell>
        </row>
        <row r="642">
          <cell r="B642">
            <v>5445</v>
          </cell>
          <cell r="C642" t="str">
            <v>Horn III; Ellis I</v>
          </cell>
          <cell r="D642" t="str">
            <v>1</v>
          </cell>
          <cell r="E642" t="str">
            <v>IBEWOUT</v>
          </cell>
          <cell r="F642" t="str">
            <v>769</v>
          </cell>
          <cell r="G642" t="str">
            <v>9</v>
          </cell>
          <cell r="H642">
            <v>0</v>
          </cell>
        </row>
        <row r="643">
          <cell r="B643">
            <v>5446</v>
          </cell>
          <cell r="C643" t="str">
            <v>Hornbeck; Dennis Andrew</v>
          </cell>
          <cell r="D643" t="str">
            <v>1C</v>
          </cell>
          <cell r="E643" t="str">
            <v>IBEWOUT</v>
          </cell>
          <cell r="F643" t="str">
            <v>1245</v>
          </cell>
          <cell r="G643" t="str">
            <v>7</v>
          </cell>
          <cell r="H643">
            <v>0</v>
          </cell>
        </row>
        <row r="644">
          <cell r="B644">
            <v>5449</v>
          </cell>
          <cell r="C644" t="str">
            <v>Hostetler; Travis L</v>
          </cell>
          <cell r="D644" t="str">
            <v>1C</v>
          </cell>
          <cell r="E644" t="str">
            <v>IBEWOUT</v>
          </cell>
          <cell r="F644" t="str">
            <v>126</v>
          </cell>
          <cell r="G644" t="str">
            <v>33</v>
          </cell>
          <cell r="H644">
            <v>0</v>
          </cell>
        </row>
        <row r="645">
          <cell r="B645">
            <v>5456</v>
          </cell>
          <cell r="C645" t="str">
            <v>Houser; Jacob J</v>
          </cell>
          <cell r="D645" t="str">
            <v>1</v>
          </cell>
          <cell r="E645" t="str">
            <v/>
          </cell>
          <cell r="F645" t="str">
            <v/>
          </cell>
          <cell r="G645" t="str">
            <v/>
          </cell>
          <cell r="H645">
            <v>0</v>
          </cell>
        </row>
        <row r="646">
          <cell r="B646">
            <v>5458</v>
          </cell>
          <cell r="C646" t="str">
            <v>House; Christopher M</v>
          </cell>
          <cell r="D646" t="str">
            <v>1C</v>
          </cell>
          <cell r="E646" t="str">
            <v>IBEWOUT</v>
          </cell>
          <cell r="F646" t="str">
            <v>1245</v>
          </cell>
          <cell r="G646" t="str">
            <v>8</v>
          </cell>
          <cell r="H646">
            <v>0</v>
          </cell>
        </row>
        <row r="647">
          <cell r="B647">
            <v>5571</v>
          </cell>
          <cell r="C647" t="str">
            <v>Howard; Edward D</v>
          </cell>
          <cell r="D647" t="str">
            <v>1C</v>
          </cell>
          <cell r="E647" t="str">
            <v>IBEWOUT</v>
          </cell>
          <cell r="F647" t="str">
            <v>126</v>
          </cell>
          <cell r="G647" t="str">
            <v>8</v>
          </cell>
          <cell r="H647">
            <v>0</v>
          </cell>
        </row>
        <row r="648">
          <cell r="B648">
            <v>5574</v>
          </cell>
          <cell r="C648" t="str">
            <v>Howard; Eli P</v>
          </cell>
          <cell r="D648" t="str">
            <v>1</v>
          </cell>
          <cell r="E648" t="str">
            <v/>
          </cell>
          <cell r="F648" t="str">
            <v/>
          </cell>
          <cell r="G648" t="str">
            <v/>
          </cell>
          <cell r="H648">
            <v>0</v>
          </cell>
        </row>
        <row r="649">
          <cell r="B649">
            <v>5580</v>
          </cell>
          <cell r="C649" t="str">
            <v>Howell Jr.; Thomas W.</v>
          </cell>
          <cell r="D649" t="str">
            <v>1</v>
          </cell>
          <cell r="E649" t="str">
            <v>IBEWOUT</v>
          </cell>
          <cell r="F649" t="str">
            <v>769</v>
          </cell>
          <cell r="G649" t="str">
            <v>1</v>
          </cell>
          <cell r="H649">
            <v>0</v>
          </cell>
        </row>
        <row r="650">
          <cell r="B650">
            <v>5620</v>
          </cell>
          <cell r="C650" t="str">
            <v>Hubbard; Jason C.</v>
          </cell>
          <cell r="D650" t="str">
            <v>1C</v>
          </cell>
          <cell r="E650" t="str">
            <v>IBEWOUT</v>
          </cell>
          <cell r="F650" t="str">
            <v>1245</v>
          </cell>
          <cell r="G650" t="str">
            <v>8</v>
          </cell>
          <cell r="H650">
            <v>0</v>
          </cell>
        </row>
        <row r="651">
          <cell r="B651">
            <v>5621</v>
          </cell>
          <cell r="C651" t="str">
            <v>Hubbard; Marcus W</v>
          </cell>
          <cell r="D651" t="str">
            <v>1C</v>
          </cell>
          <cell r="E651" t="str">
            <v>IBEWOUT</v>
          </cell>
          <cell r="F651" t="str">
            <v>47</v>
          </cell>
          <cell r="G651" t="str">
            <v>17</v>
          </cell>
          <cell r="H651">
            <v>0</v>
          </cell>
        </row>
        <row r="652">
          <cell r="B652">
            <v>5625</v>
          </cell>
          <cell r="C652" t="str">
            <v>Hunt; Terry L.</v>
          </cell>
          <cell r="D652" t="str">
            <v>1C</v>
          </cell>
          <cell r="E652" t="str">
            <v>IBEWOUT</v>
          </cell>
          <cell r="F652" t="str">
            <v>47</v>
          </cell>
          <cell r="G652" t="str">
            <v>8</v>
          </cell>
          <cell r="H652">
            <v>0</v>
          </cell>
        </row>
        <row r="653">
          <cell r="B653">
            <v>5626</v>
          </cell>
          <cell r="C653" t="str">
            <v>Hunt; Everett L</v>
          </cell>
          <cell r="D653" t="str">
            <v>1C</v>
          </cell>
          <cell r="E653" t="str">
            <v>IBEWOUT</v>
          </cell>
          <cell r="F653" t="str">
            <v>1245</v>
          </cell>
          <cell r="G653" t="str">
            <v>8</v>
          </cell>
          <cell r="H653">
            <v>0</v>
          </cell>
        </row>
        <row r="654">
          <cell r="B654">
            <v>5630</v>
          </cell>
          <cell r="C654" t="str">
            <v>Huravitch; Duane L.</v>
          </cell>
          <cell r="D654" t="str">
            <v>1C</v>
          </cell>
          <cell r="E654" t="str">
            <v>IBEWOUT</v>
          </cell>
          <cell r="F654" t="str">
            <v>47</v>
          </cell>
          <cell r="G654" t="str">
            <v>8</v>
          </cell>
          <cell r="H654">
            <v>0</v>
          </cell>
        </row>
        <row r="655">
          <cell r="B655">
            <v>5631</v>
          </cell>
          <cell r="C655" t="str">
            <v>Hurst; Christopher T</v>
          </cell>
          <cell r="D655" t="str">
            <v>1C</v>
          </cell>
          <cell r="E655" t="str">
            <v>IBEWOUT</v>
          </cell>
          <cell r="F655" t="str">
            <v>125</v>
          </cell>
          <cell r="G655" t="str">
            <v>9</v>
          </cell>
          <cell r="H655">
            <v>0</v>
          </cell>
        </row>
        <row r="656">
          <cell r="B656">
            <v>5643</v>
          </cell>
          <cell r="C656" t="str">
            <v>Humlick; Adam J</v>
          </cell>
          <cell r="D656" t="str">
            <v>1C</v>
          </cell>
          <cell r="E656" t="str">
            <v>IBEWOUT</v>
          </cell>
          <cell r="F656" t="str">
            <v>1245</v>
          </cell>
          <cell r="G656" t="str">
            <v>16</v>
          </cell>
          <cell r="H656">
            <v>0</v>
          </cell>
        </row>
        <row r="657">
          <cell r="B657">
            <v>5644</v>
          </cell>
          <cell r="C657" t="str">
            <v>Huck; Anthony</v>
          </cell>
          <cell r="D657" t="str">
            <v>1C</v>
          </cell>
          <cell r="E657" t="str">
            <v>IBEWOUT</v>
          </cell>
          <cell r="F657" t="str">
            <v>1245</v>
          </cell>
          <cell r="G657" t="str">
            <v>8</v>
          </cell>
          <cell r="H657">
            <v>0</v>
          </cell>
        </row>
        <row r="658">
          <cell r="B658">
            <v>5645</v>
          </cell>
          <cell r="C658" t="str">
            <v>Humphries; Daniel A</v>
          </cell>
          <cell r="D658" t="str">
            <v>1C</v>
          </cell>
          <cell r="E658" t="str">
            <v>IBEWOUT</v>
          </cell>
          <cell r="F658" t="str">
            <v>1245</v>
          </cell>
          <cell r="G658" t="str">
            <v>8</v>
          </cell>
          <cell r="H658">
            <v>0</v>
          </cell>
        </row>
        <row r="659">
          <cell r="B659">
            <v>5647</v>
          </cell>
          <cell r="C659" t="str">
            <v>Hubbard; Bryce Keaton</v>
          </cell>
          <cell r="D659" t="str">
            <v>1C</v>
          </cell>
          <cell r="E659" t="str">
            <v>IBEWOUT</v>
          </cell>
          <cell r="F659" t="str">
            <v>769</v>
          </cell>
          <cell r="G659" t="str">
            <v>8</v>
          </cell>
          <cell r="H659">
            <v>0</v>
          </cell>
        </row>
        <row r="660">
          <cell r="B660">
            <v>5655</v>
          </cell>
          <cell r="C660" t="str">
            <v>Hughes; Christopher John</v>
          </cell>
          <cell r="D660" t="str">
            <v>1</v>
          </cell>
          <cell r="E660" t="str">
            <v>IBEWOUT</v>
          </cell>
          <cell r="F660" t="str">
            <v>77</v>
          </cell>
          <cell r="G660" t="str">
            <v>1</v>
          </cell>
          <cell r="H660">
            <v>0</v>
          </cell>
        </row>
        <row r="661">
          <cell r="B661">
            <v>5667</v>
          </cell>
          <cell r="C661" t="str">
            <v>Hudson; Terry Wayne</v>
          </cell>
          <cell r="D661" t="str">
            <v>1C</v>
          </cell>
          <cell r="E661" t="str">
            <v>IBEWOUT</v>
          </cell>
          <cell r="F661" t="str">
            <v>125</v>
          </cell>
          <cell r="G661" t="str">
            <v>16</v>
          </cell>
          <cell r="H661">
            <v>0</v>
          </cell>
        </row>
        <row r="662">
          <cell r="B662">
            <v>5668</v>
          </cell>
          <cell r="C662" t="str">
            <v>Huling; James Everett</v>
          </cell>
          <cell r="D662" t="str">
            <v>1C</v>
          </cell>
          <cell r="E662" t="str">
            <v>IBEWOUT</v>
          </cell>
          <cell r="F662" t="str">
            <v>77</v>
          </cell>
          <cell r="G662" t="str">
            <v>8</v>
          </cell>
          <cell r="H662">
            <v>0</v>
          </cell>
        </row>
        <row r="663">
          <cell r="B663">
            <v>5669</v>
          </cell>
          <cell r="C663" t="str">
            <v>Collette; Hannah E</v>
          </cell>
          <cell r="D663" t="str">
            <v>1</v>
          </cell>
          <cell r="E663" t="str">
            <v/>
          </cell>
          <cell r="F663" t="str">
            <v/>
          </cell>
          <cell r="G663" t="str">
            <v/>
          </cell>
          <cell r="H663">
            <v>0</v>
          </cell>
        </row>
        <row r="664">
          <cell r="B664">
            <v>5673</v>
          </cell>
          <cell r="C664" t="str">
            <v>Hutson; David J</v>
          </cell>
          <cell r="D664" t="str">
            <v>1C</v>
          </cell>
          <cell r="E664" t="str">
            <v>IBEWOUT</v>
          </cell>
          <cell r="F664" t="str">
            <v>77</v>
          </cell>
          <cell r="G664" t="str">
            <v>8</v>
          </cell>
          <cell r="H664">
            <v>0</v>
          </cell>
        </row>
        <row r="665">
          <cell r="B665">
            <v>5674</v>
          </cell>
          <cell r="C665" t="str">
            <v>Hutter; Peter E</v>
          </cell>
          <cell r="D665" t="str">
            <v>1</v>
          </cell>
          <cell r="E665" t="str">
            <v>IBEWOUT</v>
          </cell>
          <cell r="F665" t="str">
            <v>77</v>
          </cell>
          <cell r="G665" t="str">
            <v>8</v>
          </cell>
          <cell r="H665">
            <v>0</v>
          </cell>
        </row>
        <row r="666">
          <cell r="B666">
            <v>5677</v>
          </cell>
          <cell r="C666" t="str">
            <v>Hutchens; Joseph Scott</v>
          </cell>
          <cell r="D666" t="str">
            <v>1</v>
          </cell>
          <cell r="E666" t="str">
            <v/>
          </cell>
          <cell r="F666" t="str">
            <v/>
          </cell>
          <cell r="G666" t="str">
            <v/>
          </cell>
          <cell r="H666">
            <v>0</v>
          </cell>
        </row>
        <row r="667">
          <cell r="B667">
            <v>5680</v>
          </cell>
          <cell r="C667" t="str">
            <v>Hughes; Ryan W</v>
          </cell>
          <cell r="D667" t="str">
            <v>1C</v>
          </cell>
          <cell r="E667" t="str">
            <v>IBEWOUT</v>
          </cell>
          <cell r="F667" t="str">
            <v>1245</v>
          </cell>
          <cell r="G667" t="str">
            <v>8</v>
          </cell>
          <cell r="H667">
            <v>0</v>
          </cell>
        </row>
        <row r="668">
          <cell r="B668">
            <v>5688</v>
          </cell>
          <cell r="C668" t="str">
            <v>Iloilo; Adam M</v>
          </cell>
          <cell r="D668" t="str">
            <v>1C</v>
          </cell>
          <cell r="E668" t="str">
            <v>IBEWOUT</v>
          </cell>
          <cell r="F668" t="str">
            <v>1245</v>
          </cell>
          <cell r="G668" t="str">
            <v>12</v>
          </cell>
          <cell r="H668">
            <v>0</v>
          </cell>
        </row>
        <row r="669">
          <cell r="B669">
            <v>5689</v>
          </cell>
          <cell r="C669" t="str">
            <v>Iannone; Emil P</v>
          </cell>
          <cell r="D669" t="str">
            <v>1C</v>
          </cell>
          <cell r="E669" t="str">
            <v>IBEWOUT</v>
          </cell>
          <cell r="F669" t="str">
            <v>1049</v>
          </cell>
          <cell r="G669" t="str">
            <v>15</v>
          </cell>
          <cell r="H669">
            <v>0</v>
          </cell>
        </row>
        <row r="670">
          <cell r="B670">
            <v>5690</v>
          </cell>
          <cell r="C670" t="str">
            <v>Icenhour; Clayton O</v>
          </cell>
          <cell r="D670" t="str">
            <v>1</v>
          </cell>
          <cell r="E670" t="str">
            <v>IBEWOUT</v>
          </cell>
          <cell r="F670" t="str">
            <v>769</v>
          </cell>
          <cell r="G670" t="str">
            <v>8</v>
          </cell>
          <cell r="H670">
            <v>0</v>
          </cell>
        </row>
        <row r="671">
          <cell r="B671">
            <v>5700</v>
          </cell>
          <cell r="C671" t="str">
            <v>Ibarra; Carlos</v>
          </cell>
          <cell r="D671" t="str">
            <v>1</v>
          </cell>
          <cell r="E671" t="str">
            <v>IBEWOUT</v>
          </cell>
          <cell r="F671" t="str">
            <v>611</v>
          </cell>
          <cell r="G671" t="str">
            <v>8</v>
          </cell>
          <cell r="H671">
            <v>0</v>
          </cell>
        </row>
        <row r="672">
          <cell r="B672">
            <v>5706</v>
          </cell>
          <cell r="C672" t="str">
            <v>Impastato; Clark D</v>
          </cell>
          <cell r="D672" t="str">
            <v>1</v>
          </cell>
          <cell r="E672" t="str">
            <v/>
          </cell>
          <cell r="F672" t="str">
            <v/>
          </cell>
          <cell r="G672" t="str">
            <v/>
          </cell>
          <cell r="H672">
            <v>1</v>
          </cell>
        </row>
        <row r="673">
          <cell r="B673">
            <v>5710</v>
          </cell>
          <cell r="C673" t="str">
            <v>Irzyk; Austin J</v>
          </cell>
          <cell r="D673" t="str">
            <v>1C</v>
          </cell>
          <cell r="E673" t="str">
            <v>IBEWOUT</v>
          </cell>
          <cell r="F673" t="str">
            <v>1245</v>
          </cell>
          <cell r="G673" t="str">
            <v>8</v>
          </cell>
          <cell r="H673">
            <v>0</v>
          </cell>
        </row>
        <row r="674">
          <cell r="B674">
            <v>5712</v>
          </cell>
          <cell r="C674" t="str">
            <v>Istanbouly; Edmond</v>
          </cell>
          <cell r="D674" t="str">
            <v>1C</v>
          </cell>
          <cell r="E674" t="str">
            <v>IBEWOUT</v>
          </cell>
          <cell r="F674" t="str">
            <v>47</v>
          </cell>
          <cell r="G674" t="str">
            <v>60</v>
          </cell>
          <cell r="H674">
            <v>0</v>
          </cell>
        </row>
        <row r="675">
          <cell r="B675">
            <v>5713</v>
          </cell>
          <cell r="C675" t="str">
            <v>Isitt; Kyle W</v>
          </cell>
          <cell r="D675" t="str">
            <v>1</v>
          </cell>
          <cell r="E675" t="str">
            <v>IBEWOUT</v>
          </cell>
          <cell r="F675" t="str">
            <v>77</v>
          </cell>
          <cell r="G675" t="str">
            <v>8</v>
          </cell>
          <cell r="H675">
            <v>0</v>
          </cell>
        </row>
        <row r="676">
          <cell r="B676">
            <v>5714</v>
          </cell>
          <cell r="C676" t="str">
            <v>Isley; Brennan M</v>
          </cell>
          <cell r="D676" t="str">
            <v>1C</v>
          </cell>
          <cell r="E676" t="str">
            <v>IBEWOUT</v>
          </cell>
          <cell r="F676" t="str">
            <v>77</v>
          </cell>
          <cell r="G676" t="str">
            <v>8</v>
          </cell>
          <cell r="H676">
            <v>0</v>
          </cell>
        </row>
        <row r="677">
          <cell r="B677">
            <v>5721</v>
          </cell>
          <cell r="C677" t="str">
            <v>Ingram; Ryan M</v>
          </cell>
          <cell r="D677" t="str">
            <v>1C</v>
          </cell>
          <cell r="E677" t="str">
            <v>IBEWOUT</v>
          </cell>
          <cell r="F677" t="str">
            <v>1245</v>
          </cell>
          <cell r="G677" t="str">
            <v>8</v>
          </cell>
          <cell r="H677">
            <v>0</v>
          </cell>
        </row>
        <row r="678">
          <cell r="B678">
            <v>5722</v>
          </cell>
          <cell r="C678" t="str">
            <v>Inskeep; Alexander K</v>
          </cell>
          <cell r="D678" t="str">
            <v>1C</v>
          </cell>
          <cell r="E678" t="str">
            <v>IBEWOUT</v>
          </cell>
          <cell r="F678" t="str">
            <v>1245</v>
          </cell>
          <cell r="G678" t="str">
            <v>17</v>
          </cell>
          <cell r="H678">
            <v>0</v>
          </cell>
        </row>
        <row r="679">
          <cell r="B679">
            <v>5724</v>
          </cell>
          <cell r="C679" t="str">
            <v>Jenkins; Terry R</v>
          </cell>
          <cell r="D679" t="str">
            <v>1C</v>
          </cell>
          <cell r="E679" t="str">
            <v>IBEWOUT</v>
          </cell>
          <cell r="F679" t="str">
            <v>47</v>
          </cell>
          <cell r="G679" t="str">
            <v>16</v>
          </cell>
          <cell r="H679">
            <v>0</v>
          </cell>
        </row>
        <row r="680">
          <cell r="B680">
            <v>5725</v>
          </cell>
          <cell r="C680" t="str">
            <v>Jenkins; Chase B</v>
          </cell>
          <cell r="D680" t="str">
            <v>1C</v>
          </cell>
          <cell r="E680" t="str">
            <v>IBEWOUT</v>
          </cell>
          <cell r="F680" t="str">
            <v>1245</v>
          </cell>
          <cell r="G680" t="str">
            <v>11</v>
          </cell>
          <cell r="H680">
            <v>0</v>
          </cell>
        </row>
        <row r="681">
          <cell r="B681">
            <v>5726</v>
          </cell>
          <cell r="C681" t="str">
            <v>Jenkins; Daytri</v>
          </cell>
          <cell r="D681" t="str">
            <v>1C</v>
          </cell>
          <cell r="E681" t="str">
            <v>IBEWOUT</v>
          </cell>
          <cell r="F681" t="str">
            <v>47</v>
          </cell>
          <cell r="G681" t="str">
            <v>8</v>
          </cell>
          <cell r="H681">
            <v>0</v>
          </cell>
        </row>
        <row r="682">
          <cell r="B682">
            <v>5727</v>
          </cell>
          <cell r="C682" t="str">
            <v>Jansen; Jon A.</v>
          </cell>
          <cell r="D682" t="str">
            <v>1C</v>
          </cell>
          <cell r="E682" t="str">
            <v>IBEWOUT</v>
          </cell>
          <cell r="F682" t="str">
            <v>47</v>
          </cell>
          <cell r="G682" t="str">
            <v>8</v>
          </cell>
          <cell r="H682">
            <v>0</v>
          </cell>
        </row>
        <row r="683">
          <cell r="B683">
            <v>5732</v>
          </cell>
          <cell r="C683" t="str">
            <v>Jante; Kevin D</v>
          </cell>
          <cell r="D683" t="str">
            <v>1C</v>
          </cell>
          <cell r="E683" t="str">
            <v>IBEWOUT</v>
          </cell>
          <cell r="F683" t="str">
            <v>160</v>
          </cell>
          <cell r="G683" t="str">
            <v>8</v>
          </cell>
          <cell r="H683">
            <v>0</v>
          </cell>
        </row>
        <row r="684">
          <cell r="B684">
            <v>5735</v>
          </cell>
          <cell r="C684" t="str">
            <v>James; Joseph Ryan</v>
          </cell>
          <cell r="D684" t="str">
            <v>1C</v>
          </cell>
          <cell r="E684" t="str">
            <v>IBEWOUT</v>
          </cell>
          <cell r="F684" t="str">
            <v>769</v>
          </cell>
          <cell r="G684" t="str">
            <v>16</v>
          </cell>
          <cell r="H684">
            <v>0</v>
          </cell>
        </row>
        <row r="685">
          <cell r="B685">
            <v>5740</v>
          </cell>
          <cell r="C685" t="str">
            <v>Jackson; Cody Wayne</v>
          </cell>
          <cell r="D685" t="str">
            <v>1</v>
          </cell>
          <cell r="E685" t="str">
            <v>IBEWOUT</v>
          </cell>
          <cell r="F685" t="str">
            <v>47</v>
          </cell>
          <cell r="G685" t="str">
            <v>1</v>
          </cell>
          <cell r="H685">
            <v>0</v>
          </cell>
        </row>
        <row r="686">
          <cell r="B686">
            <v>5742</v>
          </cell>
          <cell r="C686" t="str">
            <v>Jackson; Joseph W</v>
          </cell>
          <cell r="D686" t="str">
            <v>1C</v>
          </cell>
          <cell r="E686" t="str">
            <v>IBEWOUT</v>
          </cell>
          <cell r="F686" t="str">
            <v>1245</v>
          </cell>
          <cell r="G686" t="str">
            <v>8</v>
          </cell>
          <cell r="H686">
            <v>0</v>
          </cell>
        </row>
        <row r="687">
          <cell r="B687">
            <v>5743</v>
          </cell>
          <cell r="C687" t="str">
            <v>Jameson; Thomas A.</v>
          </cell>
          <cell r="D687" t="str">
            <v>1</v>
          </cell>
          <cell r="E687" t="str">
            <v>IBEWOUT</v>
          </cell>
          <cell r="F687" t="str">
            <v>611</v>
          </cell>
          <cell r="G687" t="str">
            <v>7</v>
          </cell>
          <cell r="H687">
            <v>0</v>
          </cell>
        </row>
        <row r="688">
          <cell r="B688">
            <v>5747</v>
          </cell>
          <cell r="C688" t="str">
            <v>Jardine; Kaleb</v>
          </cell>
          <cell r="D688" t="str">
            <v>1C</v>
          </cell>
          <cell r="E688" t="str">
            <v>IBEWOUT</v>
          </cell>
          <cell r="F688" t="str">
            <v>1186</v>
          </cell>
          <cell r="G688" t="str">
            <v>17</v>
          </cell>
          <cell r="H688">
            <v>0</v>
          </cell>
        </row>
        <row r="689">
          <cell r="B689">
            <v>5755</v>
          </cell>
          <cell r="C689" t="str">
            <v>Jedrzejewski; Benjamin</v>
          </cell>
          <cell r="D689" t="str">
            <v>1C</v>
          </cell>
          <cell r="E689" t="str">
            <v/>
          </cell>
          <cell r="F689" t="str">
            <v/>
          </cell>
          <cell r="G689" t="str">
            <v/>
          </cell>
          <cell r="H689">
            <v>0</v>
          </cell>
        </row>
        <row r="690">
          <cell r="B690">
            <v>5758</v>
          </cell>
          <cell r="C690" t="str">
            <v>Jackson; Dane W</v>
          </cell>
          <cell r="D690" t="str">
            <v>1</v>
          </cell>
          <cell r="E690" t="str">
            <v>IBEWOUT</v>
          </cell>
          <cell r="F690" t="str">
            <v>47</v>
          </cell>
          <cell r="G690" t="str">
            <v>7</v>
          </cell>
          <cell r="H690">
            <v>0</v>
          </cell>
        </row>
        <row r="691">
          <cell r="B691">
            <v>5760</v>
          </cell>
          <cell r="C691" t="str">
            <v>Jean; Cody B</v>
          </cell>
          <cell r="D691" t="str">
            <v>1</v>
          </cell>
          <cell r="E691" t="str">
            <v>IBEWOUT</v>
          </cell>
          <cell r="F691" t="str">
            <v>125</v>
          </cell>
          <cell r="G691" t="str">
            <v>8</v>
          </cell>
          <cell r="H691">
            <v>0</v>
          </cell>
        </row>
        <row r="692">
          <cell r="B692">
            <v>5761</v>
          </cell>
          <cell r="C692" t="str">
            <v>Jeffords; Connor M</v>
          </cell>
          <cell r="D692" t="str">
            <v>1</v>
          </cell>
          <cell r="E692" t="str">
            <v>IBEWOUT</v>
          </cell>
          <cell r="F692" t="str">
            <v>70</v>
          </cell>
          <cell r="G692" t="str">
            <v>14</v>
          </cell>
          <cell r="H692">
            <v>0</v>
          </cell>
        </row>
        <row r="693">
          <cell r="B693">
            <v>5770</v>
          </cell>
          <cell r="C693" t="str">
            <v>Jewell; Michael W.</v>
          </cell>
          <cell r="D693" t="str">
            <v>1C</v>
          </cell>
          <cell r="E693" t="str">
            <v>IBEWOUT</v>
          </cell>
          <cell r="F693" t="str">
            <v>1245</v>
          </cell>
          <cell r="G693" t="str">
            <v>60</v>
          </cell>
          <cell r="H693">
            <v>0</v>
          </cell>
        </row>
        <row r="694">
          <cell r="B694">
            <v>5772</v>
          </cell>
          <cell r="C694" t="str">
            <v>Jennings; Colton Z</v>
          </cell>
          <cell r="D694" t="str">
            <v>1</v>
          </cell>
          <cell r="E694" t="str">
            <v>IBEWOUT</v>
          </cell>
          <cell r="F694" t="str">
            <v>77</v>
          </cell>
          <cell r="G694" t="str">
            <v>15</v>
          </cell>
          <cell r="H694">
            <v>0</v>
          </cell>
        </row>
        <row r="695">
          <cell r="B695">
            <v>5773</v>
          </cell>
          <cell r="C695" t="str">
            <v>Jernigan; Raymond C</v>
          </cell>
          <cell r="D695" t="str">
            <v>1C</v>
          </cell>
          <cell r="E695" t="str">
            <v/>
          </cell>
          <cell r="F695" t="str">
            <v/>
          </cell>
          <cell r="G695" t="str">
            <v/>
          </cell>
          <cell r="H695">
            <v>0</v>
          </cell>
        </row>
        <row r="696">
          <cell r="B696">
            <v>5775</v>
          </cell>
          <cell r="C696" t="str">
            <v>Jinks;  Joseph D</v>
          </cell>
          <cell r="D696" t="str">
            <v>1</v>
          </cell>
          <cell r="E696" t="str">
            <v>IBEWOUT</v>
          </cell>
          <cell r="F696" t="str">
            <v>769</v>
          </cell>
          <cell r="G696" t="str">
            <v>16</v>
          </cell>
          <cell r="H696">
            <v>0</v>
          </cell>
        </row>
        <row r="697">
          <cell r="B697">
            <v>5813</v>
          </cell>
          <cell r="C697" t="str">
            <v>Johnson; Jay M</v>
          </cell>
          <cell r="D697" t="str">
            <v>1C</v>
          </cell>
          <cell r="E697" t="str">
            <v>IBEWOUT</v>
          </cell>
          <cell r="F697" t="str">
            <v>77</v>
          </cell>
          <cell r="G697" t="str">
            <v>17</v>
          </cell>
          <cell r="H697">
            <v>0</v>
          </cell>
        </row>
        <row r="698">
          <cell r="B698">
            <v>5814</v>
          </cell>
          <cell r="C698" t="str">
            <v>Johnson; Caleb T</v>
          </cell>
          <cell r="D698" t="str">
            <v>1C</v>
          </cell>
          <cell r="E698" t="str">
            <v>IBEWOUT</v>
          </cell>
          <cell r="F698" t="str">
            <v>47</v>
          </cell>
          <cell r="G698" t="str">
            <v>17</v>
          </cell>
          <cell r="H698">
            <v>0</v>
          </cell>
        </row>
        <row r="699">
          <cell r="B699">
            <v>5815</v>
          </cell>
          <cell r="C699" t="str">
            <v>Johnson; Robert V</v>
          </cell>
          <cell r="D699" t="str">
            <v>1C</v>
          </cell>
          <cell r="E699" t="str">
            <v>IBEWOUT</v>
          </cell>
          <cell r="F699" t="str">
            <v>769</v>
          </cell>
          <cell r="G699" t="str">
            <v>11</v>
          </cell>
          <cell r="H699">
            <v>0</v>
          </cell>
        </row>
        <row r="700">
          <cell r="B700">
            <v>5817</v>
          </cell>
          <cell r="C700" t="str">
            <v>Johnson; Jacob S</v>
          </cell>
          <cell r="D700" t="str">
            <v>1</v>
          </cell>
          <cell r="E700" t="str">
            <v>IBEWOUT</v>
          </cell>
          <cell r="F700" t="str">
            <v>125</v>
          </cell>
          <cell r="G700" t="str">
            <v>8</v>
          </cell>
          <cell r="H700">
            <v>0</v>
          </cell>
        </row>
        <row r="701">
          <cell r="B701">
            <v>5818</v>
          </cell>
          <cell r="C701" t="str">
            <v>Jones; Theodore Nicklas</v>
          </cell>
          <cell r="D701" t="str">
            <v>1C</v>
          </cell>
          <cell r="E701" t="str">
            <v>IBEWOUT</v>
          </cell>
          <cell r="F701" t="str">
            <v>611</v>
          </cell>
          <cell r="G701" t="str">
            <v>8</v>
          </cell>
          <cell r="H701">
            <v>0</v>
          </cell>
        </row>
        <row r="702">
          <cell r="B702">
            <v>5823</v>
          </cell>
          <cell r="C702" t="str">
            <v>Johnson; Cameron R</v>
          </cell>
          <cell r="D702" t="str">
            <v>1C</v>
          </cell>
          <cell r="E702" t="str">
            <v>IBEWOUT</v>
          </cell>
          <cell r="F702" t="str">
            <v>602R</v>
          </cell>
          <cell r="G702" t="str">
            <v>8</v>
          </cell>
          <cell r="H702">
            <v>0</v>
          </cell>
        </row>
        <row r="703">
          <cell r="B703">
            <v>5825</v>
          </cell>
          <cell r="C703" t="str">
            <v>Johnson; Dean R</v>
          </cell>
          <cell r="D703" t="str">
            <v>1C</v>
          </cell>
          <cell r="E703" t="str">
            <v>IBEWOUT</v>
          </cell>
          <cell r="F703" t="str">
            <v>47</v>
          </cell>
          <cell r="G703" t="str">
            <v>7</v>
          </cell>
          <cell r="H703">
            <v>0</v>
          </cell>
        </row>
        <row r="704">
          <cell r="B704">
            <v>5826</v>
          </cell>
          <cell r="C704" t="str">
            <v>Johnson; Brett A.</v>
          </cell>
          <cell r="D704" t="str">
            <v>1C</v>
          </cell>
          <cell r="E704" t="str">
            <v>IBEWOUT</v>
          </cell>
          <cell r="F704" t="str">
            <v>125</v>
          </cell>
          <cell r="G704" t="str">
            <v>8</v>
          </cell>
          <cell r="H704">
            <v>0</v>
          </cell>
        </row>
        <row r="705">
          <cell r="B705">
            <v>5827</v>
          </cell>
          <cell r="C705" t="str">
            <v>Johnson; Devon L</v>
          </cell>
          <cell r="D705" t="str">
            <v>1</v>
          </cell>
          <cell r="E705" t="str">
            <v/>
          </cell>
          <cell r="F705" t="str">
            <v/>
          </cell>
          <cell r="G705" t="str">
            <v/>
          </cell>
          <cell r="H705">
            <v>1</v>
          </cell>
        </row>
        <row r="706">
          <cell r="B706">
            <v>5833</v>
          </cell>
          <cell r="C706" t="str">
            <v>Johnson; Jon Wayne</v>
          </cell>
          <cell r="D706" t="str">
            <v>1C</v>
          </cell>
          <cell r="E706" t="str">
            <v>IBEWOUT</v>
          </cell>
          <cell r="F706" t="str">
            <v>125</v>
          </cell>
          <cell r="G706" t="str">
            <v>1</v>
          </cell>
          <cell r="H706">
            <v>1</v>
          </cell>
        </row>
        <row r="707">
          <cell r="B707">
            <v>5834</v>
          </cell>
          <cell r="C707" t="str">
            <v>Johnson; Justin R</v>
          </cell>
          <cell r="D707" t="str">
            <v>1C</v>
          </cell>
          <cell r="E707" t="str">
            <v>IBEWOUT</v>
          </cell>
          <cell r="F707" t="str">
            <v>47</v>
          </cell>
          <cell r="G707" t="str">
            <v>8</v>
          </cell>
          <cell r="H707">
            <v>0</v>
          </cell>
        </row>
        <row r="708">
          <cell r="B708">
            <v>5835</v>
          </cell>
          <cell r="C708" t="str">
            <v>Johnson; Joseph A</v>
          </cell>
          <cell r="D708" t="str">
            <v>1C</v>
          </cell>
          <cell r="E708" t="str">
            <v>IBEWOUT</v>
          </cell>
          <cell r="F708" t="str">
            <v>47</v>
          </cell>
          <cell r="G708" t="str">
            <v>7</v>
          </cell>
          <cell r="H708">
            <v>0</v>
          </cell>
        </row>
        <row r="709">
          <cell r="B709">
            <v>5840</v>
          </cell>
          <cell r="C709" t="str">
            <v>Johnson; Thomas D.</v>
          </cell>
          <cell r="D709" t="str">
            <v>1C</v>
          </cell>
          <cell r="E709" t="str">
            <v>IBEWOUT</v>
          </cell>
          <cell r="F709" t="str">
            <v>47</v>
          </cell>
          <cell r="G709" t="str">
            <v>8</v>
          </cell>
          <cell r="H709">
            <v>0</v>
          </cell>
        </row>
        <row r="710">
          <cell r="B710">
            <v>5843</v>
          </cell>
          <cell r="C710" t="str">
            <v>Jimenez; Dean R</v>
          </cell>
          <cell r="D710" t="str">
            <v>1C</v>
          </cell>
          <cell r="E710" t="str">
            <v>IBEWOUT</v>
          </cell>
          <cell r="F710" t="str">
            <v>769</v>
          </cell>
          <cell r="G710" t="str">
            <v>17</v>
          </cell>
          <cell r="H710">
            <v>0</v>
          </cell>
        </row>
        <row r="711">
          <cell r="B711">
            <v>5844</v>
          </cell>
          <cell r="C711" t="str">
            <v>Johnson; Cliff Daniel</v>
          </cell>
          <cell r="D711" t="str">
            <v>1C</v>
          </cell>
          <cell r="E711" t="str">
            <v>IBEWOUT</v>
          </cell>
          <cell r="F711" t="str">
            <v>77</v>
          </cell>
          <cell r="G711" t="str">
            <v>7</v>
          </cell>
          <cell r="H711">
            <v>0</v>
          </cell>
        </row>
        <row r="712">
          <cell r="B712">
            <v>5845</v>
          </cell>
          <cell r="C712" t="str">
            <v>Johns; Warren Patrick</v>
          </cell>
          <cell r="D712" t="str">
            <v>1</v>
          </cell>
          <cell r="E712" t="str">
            <v>IBEWOUT</v>
          </cell>
          <cell r="F712" t="str">
            <v>125</v>
          </cell>
          <cell r="G712" t="str">
            <v>8</v>
          </cell>
          <cell r="H712">
            <v>0</v>
          </cell>
        </row>
        <row r="713">
          <cell r="B713">
            <v>5846</v>
          </cell>
          <cell r="C713" t="str">
            <v>Jauregui; Jaime</v>
          </cell>
          <cell r="D713" t="str">
            <v>1</v>
          </cell>
          <cell r="E713" t="str">
            <v/>
          </cell>
          <cell r="F713" t="str">
            <v/>
          </cell>
          <cell r="G713" t="str">
            <v/>
          </cell>
          <cell r="H713">
            <v>1</v>
          </cell>
        </row>
        <row r="714">
          <cell r="B714">
            <v>5850</v>
          </cell>
          <cell r="C714" t="str">
            <v>Jones; Michael M</v>
          </cell>
          <cell r="D714" t="str">
            <v>1C</v>
          </cell>
          <cell r="E714" t="str">
            <v>IBEWOUT</v>
          </cell>
          <cell r="F714" t="str">
            <v>1245</v>
          </cell>
          <cell r="G714" t="str">
            <v>12</v>
          </cell>
          <cell r="H714">
            <v>0</v>
          </cell>
        </row>
        <row r="715">
          <cell r="B715">
            <v>5856</v>
          </cell>
          <cell r="C715" t="str">
            <v>Jones; Jered P</v>
          </cell>
          <cell r="D715" t="str">
            <v>1C</v>
          </cell>
          <cell r="E715" t="str">
            <v/>
          </cell>
          <cell r="F715" t="str">
            <v/>
          </cell>
          <cell r="G715" t="str">
            <v/>
          </cell>
          <cell r="H715">
            <v>1</v>
          </cell>
        </row>
        <row r="716">
          <cell r="B716">
            <v>5862</v>
          </cell>
          <cell r="C716" t="str">
            <v>Johnson; Taylor S.</v>
          </cell>
          <cell r="D716" t="str">
            <v>1C</v>
          </cell>
          <cell r="E716" t="str">
            <v>IBEWOUT</v>
          </cell>
          <cell r="F716" t="str">
            <v>77</v>
          </cell>
          <cell r="G716" t="str">
            <v>17</v>
          </cell>
          <cell r="H716">
            <v>0</v>
          </cell>
        </row>
        <row r="717">
          <cell r="B717">
            <v>5863</v>
          </cell>
          <cell r="C717" t="str">
            <v>Jimenez; Salvador</v>
          </cell>
          <cell r="D717" t="str">
            <v>1C</v>
          </cell>
          <cell r="E717" t="str">
            <v>IBEWOUT</v>
          </cell>
          <cell r="F717" t="str">
            <v>769</v>
          </cell>
          <cell r="G717" t="str">
            <v>13</v>
          </cell>
          <cell r="H717">
            <v>0</v>
          </cell>
        </row>
        <row r="718">
          <cell r="B718">
            <v>5864</v>
          </cell>
          <cell r="C718" t="str">
            <v>Johnson; Nicholas J</v>
          </cell>
          <cell r="D718" t="str">
            <v>1C</v>
          </cell>
          <cell r="E718" t="str">
            <v>IBEWOUT</v>
          </cell>
          <cell r="F718" t="str">
            <v>77</v>
          </cell>
          <cell r="G718" t="str">
            <v>8</v>
          </cell>
          <cell r="H718">
            <v>0</v>
          </cell>
        </row>
        <row r="719">
          <cell r="B719">
            <v>5865</v>
          </cell>
          <cell r="C719" t="str">
            <v>Johnson; Edward J</v>
          </cell>
          <cell r="D719" t="str">
            <v>1C</v>
          </cell>
          <cell r="E719" t="str">
            <v>IBEWOUT</v>
          </cell>
          <cell r="F719" t="str">
            <v>769</v>
          </cell>
          <cell r="G719" t="str">
            <v>16</v>
          </cell>
          <cell r="H719">
            <v>0</v>
          </cell>
        </row>
        <row r="720">
          <cell r="B720">
            <v>5866</v>
          </cell>
          <cell r="C720" t="str">
            <v>Johnson; Earl</v>
          </cell>
          <cell r="D720" t="str">
            <v>1C</v>
          </cell>
          <cell r="E720" t="str">
            <v>IBEWOUT</v>
          </cell>
          <cell r="F720" t="str">
            <v>769</v>
          </cell>
          <cell r="G720" t="str">
            <v>8</v>
          </cell>
          <cell r="H720">
            <v>0</v>
          </cell>
        </row>
        <row r="721">
          <cell r="B721">
            <v>5868</v>
          </cell>
          <cell r="C721" t="str">
            <v>Johnson; Hunter A</v>
          </cell>
          <cell r="D721" t="str">
            <v>1C</v>
          </cell>
          <cell r="E721" t="str">
            <v/>
          </cell>
          <cell r="F721" t="str">
            <v/>
          </cell>
          <cell r="G721" t="str">
            <v/>
          </cell>
          <cell r="H721">
            <v>0</v>
          </cell>
        </row>
        <row r="722">
          <cell r="B722">
            <v>5870</v>
          </cell>
          <cell r="C722" t="str">
            <v>Johnson; Heath E.</v>
          </cell>
          <cell r="D722" t="str">
            <v>1C</v>
          </cell>
          <cell r="E722" t="str">
            <v>IBEWOUT</v>
          </cell>
          <cell r="F722" t="str">
            <v>769</v>
          </cell>
          <cell r="G722" t="str">
            <v>12</v>
          </cell>
          <cell r="H722">
            <v>0</v>
          </cell>
        </row>
        <row r="723">
          <cell r="B723">
            <v>5876</v>
          </cell>
          <cell r="C723" t="str">
            <v>Johnston; Bryan T.</v>
          </cell>
          <cell r="D723" t="str">
            <v>1C</v>
          </cell>
          <cell r="E723" t="str">
            <v>IBEWOUT</v>
          </cell>
          <cell r="F723" t="str">
            <v>602R</v>
          </cell>
          <cell r="G723" t="str">
            <v>8</v>
          </cell>
          <cell r="H723">
            <v>0</v>
          </cell>
        </row>
        <row r="724">
          <cell r="B724">
            <v>5878</v>
          </cell>
          <cell r="C724" t="str">
            <v>Johnson; Tyler</v>
          </cell>
          <cell r="D724" t="str">
            <v>1</v>
          </cell>
          <cell r="E724" t="str">
            <v>IBEWOUT</v>
          </cell>
          <cell r="F724" t="str">
            <v>77</v>
          </cell>
          <cell r="G724" t="str">
            <v>16</v>
          </cell>
          <cell r="H724">
            <v>0</v>
          </cell>
        </row>
        <row r="725">
          <cell r="B725">
            <v>5879</v>
          </cell>
          <cell r="C725" t="str">
            <v>Johnson; Sameka S</v>
          </cell>
          <cell r="D725" t="str">
            <v>1</v>
          </cell>
          <cell r="E725" t="str">
            <v/>
          </cell>
          <cell r="F725" t="str">
            <v/>
          </cell>
          <cell r="G725" t="str">
            <v/>
          </cell>
          <cell r="H725">
            <v>1</v>
          </cell>
        </row>
        <row r="726">
          <cell r="B726">
            <v>5905</v>
          </cell>
          <cell r="C726" t="str">
            <v>Jones; Kenneth A.</v>
          </cell>
          <cell r="D726" t="str">
            <v>1C</v>
          </cell>
          <cell r="E726" t="str">
            <v/>
          </cell>
          <cell r="F726" t="str">
            <v/>
          </cell>
          <cell r="G726" t="str">
            <v/>
          </cell>
          <cell r="H726">
            <v>1</v>
          </cell>
        </row>
        <row r="727">
          <cell r="B727">
            <v>5910</v>
          </cell>
          <cell r="C727" t="str">
            <v>Jones; James</v>
          </cell>
          <cell r="D727" t="str">
            <v>1C</v>
          </cell>
          <cell r="E727" t="str">
            <v>IBEWOUT</v>
          </cell>
          <cell r="F727" t="str">
            <v>396</v>
          </cell>
          <cell r="G727" t="str">
            <v>21</v>
          </cell>
          <cell r="H727">
            <v>0</v>
          </cell>
        </row>
        <row r="728">
          <cell r="B728">
            <v>5920</v>
          </cell>
          <cell r="C728" t="str">
            <v>Justice; Kaleb K.</v>
          </cell>
          <cell r="D728" t="str">
            <v>1C</v>
          </cell>
          <cell r="E728" t="str">
            <v>IBEWOUT</v>
          </cell>
          <cell r="F728" t="str">
            <v>1245</v>
          </cell>
          <cell r="G728" t="str">
            <v>8</v>
          </cell>
          <cell r="H728">
            <v>0</v>
          </cell>
        </row>
        <row r="729">
          <cell r="B729">
            <v>5921</v>
          </cell>
          <cell r="C729" t="str">
            <v>Johnson; Carpenter L</v>
          </cell>
          <cell r="D729" t="str">
            <v>1C</v>
          </cell>
          <cell r="E729" t="str">
            <v>IBEWOUT</v>
          </cell>
          <cell r="F729" t="str">
            <v>1245</v>
          </cell>
          <cell r="G729" t="str">
            <v>17</v>
          </cell>
          <cell r="H729">
            <v>0</v>
          </cell>
        </row>
        <row r="730">
          <cell r="B730">
            <v>5924</v>
          </cell>
          <cell r="C730" t="str">
            <v>Jonte; Kleet K</v>
          </cell>
          <cell r="D730" t="str">
            <v>1C</v>
          </cell>
          <cell r="E730" t="str">
            <v>IBEWOUT</v>
          </cell>
          <cell r="F730" t="str">
            <v>1245</v>
          </cell>
          <cell r="G730" t="str">
            <v>8</v>
          </cell>
          <cell r="H730">
            <v>0</v>
          </cell>
        </row>
        <row r="731">
          <cell r="B731">
            <v>5925</v>
          </cell>
          <cell r="C731" t="str">
            <v>Joy; Shane S</v>
          </cell>
          <cell r="D731" t="str">
            <v>1C</v>
          </cell>
          <cell r="E731" t="str">
            <v>IBEWOUT</v>
          </cell>
          <cell r="F731" t="str">
            <v>125</v>
          </cell>
          <cell r="G731" t="str">
            <v>17</v>
          </cell>
          <cell r="H731">
            <v>0</v>
          </cell>
        </row>
        <row r="732">
          <cell r="B732">
            <v>5928</v>
          </cell>
          <cell r="C732" t="str">
            <v>Jones; Acil B.</v>
          </cell>
          <cell r="D732" t="str">
            <v>1C</v>
          </cell>
          <cell r="E732" t="str">
            <v>IBEWOUT</v>
          </cell>
          <cell r="F732" t="str">
            <v>769</v>
          </cell>
          <cell r="G732" t="str">
            <v>8</v>
          </cell>
          <cell r="H732">
            <v>0</v>
          </cell>
        </row>
        <row r="733">
          <cell r="B733">
            <v>5929</v>
          </cell>
          <cell r="C733" t="str">
            <v>Judd; Brian R.</v>
          </cell>
          <cell r="D733" t="str">
            <v>1C</v>
          </cell>
          <cell r="E733" t="str">
            <v>IBEWOUT</v>
          </cell>
          <cell r="F733" t="str">
            <v>1245</v>
          </cell>
          <cell r="G733" t="str">
            <v>8</v>
          </cell>
          <cell r="H733">
            <v>0</v>
          </cell>
        </row>
        <row r="734">
          <cell r="B734">
            <v>5930</v>
          </cell>
          <cell r="C734" t="str">
            <v>Joshi; Ajay B</v>
          </cell>
          <cell r="D734" t="str">
            <v>1</v>
          </cell>
          <cell r="E734" t="str">
            <v/>
          </cell>
          <cell r="F734" t="str">
            <v/>
          </cell>
          <cell r="G734" t="str">
            <v/>
          </cell>
          <cell r="H734">
            <v>0</v>
          </cell>
        </row>
        <row r="735">
          <cell r="B735">
            <v>5931</v>
          </cell>
          <cell r="C735" t="str">
            <v>Juarez; Carlos G.</v>
          </cell>
          <cell r="D735" t="str">
            <v>1C</v>
          </cell>
          <cell r="E735" t="str">
            <v>IBEWOUT</v>
          </cell>
          <cell r="F735" t="str">
            <v>1245</v>
          </cell>
          <cell r="G735" t="str">
            <v>17</v>
          </cell>
          <cell r="H735">
            <v>0</v>
          </cell>
        </row>
        <row r="736">
          <cell r="B736">
            <v>5932</v>
          </cell>
          <cell r="C736" t="str">
            <v>Juarez Duran; Angelo De</v>
          </cell>
          <cell r="D736" t="str">
            <v>1</v>
          </cell>
          <cell r="E736" t="str">
            <v/>
          </cell>
          <cell r="F736" t="str">
            <v/>
          </cell>
          <cell r="G736" t="str">
            <v/>
          </cell>
          <cell r="H736">
            <v>0</v>
          </cell>
        </row>
        <row r="737">
          <cell r="B737">
            <v>5934</v>
          </cell>
          <cell r="C737" t="str">
            <v>Juenke; David P</v>
          </cell>
          <cell r="D737" t="str">
            <v>1C</v>
          </cell>
          <cell r="E737" t="str">
            <v>IBEWOUT</v>
          </cell>
          <cell r="F737" t="str">
            <v>1245</v>
          </cell>
          <cell r="G737" t="str">
            <v>8</v>
          </cell>
          <cell r="H737">
            <v>0</v>
          </cell>
        </row>
        <row r="738">
          <cell r="B738">
            <v>5935</v>
          </cell>
          <cell r="C738" t="str">
            <v>Jordan; Nicholas J</v>
          </cell>
          <cell r="D738" t="str">
            <v>1C</v>
          </cell>
          <cell r="E738" t="str">
            <v>IBEWOUT</v>
          </cell>
          <cell r="F738" t="str">
            <v>77</v>
          </cell>
          <cell r="G738" t="str">
            <v>8</v>
          </cell>
          <cell r="H738">
            <v>0</v>
          </cell>
        </row>
        <row r="739">
          <cell r="B739">
            <v>5937</v>
          </cell>
          <cell r="C739" t="str">
            <v>Justice; Luke</v>
          </cell>
          <cell r="D739" t="str">
            <v>1C</v>
          </cell>
          <cell r="E739" t="str">
            <v>IBEWOUT</v>
          </cell>
          <cell r="F739" t="str">
            <v>1245</v>
          </cell>
          <cell r="G739" t="str">
            <v>8</v>
          </cell>
          <cell r="H739">
            <v>0</v>
          </cell>
        </row>
        <row r="740">
          <cell r="B740">
            <v>5938</v>
          </cell>
          <cell r="C740" t="str">
            <v>Justus; Daniel J</v>
          </cell>
          <cell r="D740" t="str">
            <v>1C</v>
          </cell>
          <cell r="E740" t="str">
            <v>IBEWOUT</v>
          </cell>
          <cell r="F740" t="str">
            <v>1245</v>
          </cell>
          <cell r="G740" t="str">
            <v>8</v>
          </cell>
          <cell r="H740">
            <v>0</v>
          </cell>
        </row>
        <row r="741">
          <cell r="B741">
            <v>5942</v>
          </cell>
          <cell r="C741" t="str">
            <v>Johnson; Adam L.</v>
          </cell>
          <cell r="D741" t="str">
            <v>1C</v>
          </cell>
          <cell r="E741" t="str">
            <v>IBEWOUT</v>
          </cell>
          <cell r="F741" t="str">
            <v>1245</v>
          </cell>
          <cell r="G741" t="str">
            <v>8</v>
          </cell>
          <cell r="H741">
            <v>0</v>
          </cell>
        </row>
        <row r="742">
          <cell r="B742">
            <v>5943</v>
          </cell>
          <cell r="C742" t="str">
            <v>Johnston; Bryan A</v>
          </cell>
          <cell r="D742" t="str">
            <v>1C</v>
          </cell>
          <cell r="E742" t="str">
            <v>IBEWOUT</v>
          </cell>
          <cell r="F742" t="str">
            <v>602R</v>
          </cell>
          <cell r="G742" t="str">
            <v>16</v>
          </cell>
          <cell r="H742">
            <v>0</v>
          </cell>
        </row>
        <row r="743">
          <cell r="B743">
            <v>5945</v>
          </cell>
          <cell r="C743" t="str">
            <v>Johnson; Aaron R.</v>
          </cell>
          <cell r="D743" t="str">
            <v>1</v>
          </cell>
          <cell r="E743" t="str">
            <v>IBEWOUT</v>
          </cell>
          <cell r="F743" t="str">
            <v>47</v>
          </cell>
          <cell r="G743" t="str">
            <v>7</v>
          </cell>
          <cell r="H743">
            <v>0</v>
          </cell>
        </row>
        <row r="744">
          <cell r="B744">
            <v>5948</v>
          </cell>
          <cell r="C744" t="str">
            <v>Kaestner; Cole R</v>
          </cell>
          <cell r="D744" t="str">
            <v>1</v>
          </cell>
          <cell r="E744" t="str">
            <v>IBEWOUT</v>
          </cell>
          <cell r="F744" t="str">
            <v>77</v>
          </cell>
          <cell r="G744" t="str">
            <v>8</v>
          </cell>
          <cell r="H744">
            <v>0</v>
          </cell>
        </row>
        <row r="745">
          <cell r="B745">
            <v>5951</v>
          </cell>
          <cell r="C745" t="str">
            <v>Kent; Adam J.</v>
          </cell>
          <cell r="D745" t="str">
            <v>1C</v>
          </cell>
          <cell r="E745" t="str">
            <v>IBEWOUT</v>
          </cell>
          <cell r="F745" t="str">
            <v>125</v>
          </cell>
          <cell r="G745" t="str">
            <v>8</v>
          </cell>
          <cell r="H745">
            <v>0</v>
          </cell>
        </row>
        <row r="746">
          <cell r="B746">
            <v>5954</v>
          </cell>
          <cell r="C746" t="str">
            <v>Kash; Korey C.</v>
          </cell>
          <cell r="D746" t="str">
            <v>1C</v>
          </cell>
          <cell r="E746" t="str">
            <v>IBEWOUT</v>
          </cell>
          <cell r="F746" t="str">
            <v>769</v>
          </cell>
          <cell r="G746" t="str">
            <v>20</v>
          </cell>
          <cell r="H746">
            <v>0</v>
          </cell>
        </row>
        <row r="747">
          <cell r="B747">
            <v>5955</v>
          </cell>
          <cell r="C747" t="str">
            <v>Katzer; Brandon P</v>
          </cell>
          <cell r="D747" t="str">
            <v>1C</v>
          </cell>
          <cell r="E747" t="str">
            <v>IBEWOUT</v>
          </cell>
          <cell r="F747" t="str">
            <v>77</v>
          </cell>
          <cell r="G747" t="str">
            <v>8</v>
          </cell>
          <cell r="H747">
            <v>0</v>
          </cell>
        </row>
        <row r="748">
          <cell r="B748">
            <v>5957</v>
          </cell>
          <cell r="C748" t="str">
            <v>Kane; Rick A</v>
          </cell>
          <cell r="D748" t="str">
            <v>1C</v>
          </cell>
          <cell r="E748" t="str">
            <v>IBEWOUT</v>
          </cell>
          <cell r="F748" t="str">
            <v>1245</v>
          </cell>
          <cell r="G748" t="str">
            <v>8</v>
          </cell>
          <cell r="H748">
            <v>0</v>
          </cell>
        </row>
        <row r="749">
          <cell r="B749">
            <v>5958</v>
          </cell>
          <cell r="C749" t="str">
            <v>Kamrar; William D</v>
          </cell>
          <cell r="D749" t="str">
            <v>1C</v>
          </cell>
          <cell r="E749" t="str">
            <v>IBEWOUT</v>
          </cell>
          <cell r="F749" t="str">
            <v>769</v>
          </cell>
          <cell r="G749" t="str">
            <v>7</v>
          </cell>
          <cell r="H749">
            <v>0</v>
          </cell>
        </row>
        <row r="750">
          <cell r="B750">
            <v>5959</v>
          </cell>
          <cell r="C750" t="str">
            <v>Kautzman; Eugene Joseph</v>
          </cell>
          <cell r="D750" t="str">
            <v>1C</v>
          </cell>
          <cell r="E750" t="str">
            <v/>
          </cell>
          <cell r="F750" t="str">
            <v/>
          </cell>
          <cell r="G750" t="str">
            <v/>
          </cell>
          <cell r="H750">
            <v>0</v>
          </cell>
        </row>
        <row r="751">
          <cell r="B751">
            <v>5960</v>
          </cell>
          <cell r="C751" t="str">
            <v>Kaufer; Chester</v>
          </cell>
          <cell r="D751" t="str">
            <v>1C</v>
          </cell>
          <cell r="E751" t="str">
            <v>IBEWOUT</v>
          </cell>
          <cell r="F751" t="str">
            <v>1319</v>
          </cell>
          <cell r="G751" t="str">
            <v>7S</v>
          </cell>
          <cell r="H751">
            <v>0</v>
          </cell>
        </row>
        <row r="752">
          <cell r="B752">
            <v>5963</v>
          </cell>
          <cell r="C752" t="str">
            <v>Kendall; Benjamin C</v>
          </cell>
          <cell r="D752" t="str">
            <v>1C</v>
          </cell>
          <cell r="E752" t="str">
            <v>IBEWOUT</v>
          </cell>
          <cell r="F752" t="str">
            <v>769</v>
          </cell>
          <cell r="G752" t="str">
            <v>8</v>
          </cell>
          <cell r="H752">
            <v>0</v>
          </cell>
        </row>
        <row r="753">
          <cell r="B753">
            <v>5965</v>
          </cell>
          <cell r="C753" t="str">
            <v>Keene; Brandon J</v>
          </cell>
          <cell r="D753" t="str">
            <v>1C</v>
          </cell>
          <cell r="E753" t="str">
            <v>IBEWOUT</v>
          </cell>
          <cell r="F753" t="str">
            <v>77</v>
          </cell>
          <cell r="G753" t="str">
            <v>8</v>
          </cell>
          <cell r="H753">
            <v>0</v>
          </cell>
        </row>
        <row r="754">
          <cell r="B754">
            <v>5967</v>
          </cell>
          <cell r="C754" t="str">
            <v>Kegley; Michael J</v>
          </cell>
          <cell r="D754" t="str">
            <v>1C</v>
          </cell>
          <cell r="E754" t="str">
            <v>IBEWOUT</v>
          </cell>
          <cell r="F754" t="str">
            <v>1245</v>
          </cell>
          <cell r="G754" t="str">
            <v>8</v>
          </cell>
          <cell r="H754">
            <v>0</v>
          </cell>
        </row>
        <row r="755">
          <cell r="B755">
            <v>5969</v>
          </cell>
          <cell r="C755" t="str">
            <v>Kelley; Weldon W</v>
          </cell>
          <cell r="D755" t="str">
            <v>1C</v>
          </cell>
          <cell r="E755" t="str">
            <v>IBEWOUT</v>
          </cell>
          <cell r="F755" t="str">
            <v>1245</v>
          </cell>
          <cell r="G755" t="str">
            <v>16</v>
          </cell>
          <cell r="H755">
            <v>0</v>
          </cell>
        </row>
        <row r="756">
          <cell r="B756">
            <v>5972</v>
          </cell>
          <cell r="C756" t="str">
            <v>Kair; Shane M</v>
          </cell>
          <cell r="D756" t="str">
            <v>1C</v>
          </cell>
          <cell r="E756" t="str">
            <v>IBEWOUT</v>
          </cell>
          <cell r="F756" t="str">
            <v>47</v>
          </cell>
          <cell r="G756" t="str">
            <v>8</v>
          </cell>
          <cell r="H756">
            <v>0</v>
          </cell>
        </row>
        <row r="757">
          <cell r="B757">
            <v>5974</v>
          </cell>
          <cell r="C757" t="str">
            <v>Kerber; Christopher R.</v>
          </cell>
          <cell r="D757" t="str">
            <v>1</v>
          </cell>
          <cell r="E757" t="str">
            <v>IBEWOUT</v>
          </cell>
          <cell r="F757" t="str">
            <v>769</v>
          </cell>
          <cell r="G757" t="str">
            <v>1</v>
          </cell>
          <cell r="H757">
            <v>1</v>
          </cell>
        </row>
        <row r="758">
          <cell r="B758">
            <v>5985</v>
          </cell>
          <cell r="C758" t="str">
            <v>Johnston; Jake E</v>
          </cell>
          <cell r="D758" t="str">
            <v>1</v>
          </cell>
          <cell r="E758" t="str">
            <v>IBEWOUT</v>
          </cell>
          <cell r="F758" t="str">
            <v>1245</v>
          </cell>
          <cell r="G758" t="str">
            <v>7</v>
          </cell>
          <cell r="H758">
            <v>0</v>
          </cell>
        </row>
        <row r="759">
          <cell r="B759">
            <v>5988</v>
          </cell>
          <cell r="C759" t="str">
            <v>Keough; Joel D</v>
          </cell>
          <cell r="D759" t="str">
            <v>1</v>
          </cell>
          <cell r="E759" t="str">
            <v>IBEWOUT</v>
          </cell>
          <cell r="F759" t="str">
            <v>769</v>
          </cell>
          <cell r="G759" t="str">
            <v>14</v>
          </cell>
          <cell r="H759">
            <v>0</v>
          </cell>
        </row>
        <row r="760">
          <cell r="B760">
            <v>5990</v>
          </cell>
          <cell r="C760" t="str">
            <v>Kennedy; Alexander X</v>
          </cell>
          <cell r="D760" t="str">
            <v>1</v>
          </cell>
          <cell r="E760" t="str">
            <v>IBEWOUT</v>
          </cell>
          <cell r="F760" t="str">
            <v>769</v>
          </cell>
          <cell r="G760" t="str">
            <v>11</v>
          </cell>
          <cell r="H760">
            <v>0</v>
          </cell>
        </row>
        <row r="761">
          <cell r="B761">
            <v>5991</v>
          </cell>
          <cell r="C761" t="str">
            <v>Kelley; William L</v>
          </cell>
          <cell r="D761" t="str">
            <v>1</v>
          </cell>
          <cell r="E761" t="str">
            <v>IBEWOUT</v>
          </cell>
          <cell r="F761" t="str">
            <v>70</v>
          </cell>
          <cell r="G761" t="str">
            <v>9</v>
          </cell>
          <cell r="H761">
            <v>0</v>
          </cell>
        </row>
        <row r="762">
          <cell r="B762">
            <v>5996</v>
          </cell>
          <cell r="C762" t="str">
            <v>Keune; Trevor M.</v>
          </cell>
          <cell r="D762" t="str">
            <v>1C</v>
          </cell>
          <cell r="E762" t="str">
            <v>IBEWOUT</v>
          </cell>
          <cell r="F762" t="str">
            <v>47</v>
          </cell>
          <cell r="G762" t="str">
            <v>8</v>
          </cell>
          <cell r="H762">
            <v>0</v>
          </cell>
        </row>
        <row r="763">
          <cell r="B763">
            <v>5998</v>
          </cell>
          <cell r="C763" t="str">
            <v>Kagarise ll; Jack N</v>
          </cell>
          <cell r="D763" t="str">
            <v>1</v>
          </cell>
          <cell r="E763" t="str">
            <v>IBEWOUT</v>
          </cell>
          <cell r="F763" t="str">
            <v>47</v>
          </cell>
          <cell r="G763" t="str">
            <v>7</v>
          </cell>
          <cell r="H763">
            <v>0</v>
          </cell>
        </row>
        <row r="764">
          <cell r="B764">
            <v>5999</v>
          </cell>
          <cell r="C764" t="str">
            <v>Ketchum; Seth F</v>
          </cell>
          <cell r="D764" t="str">
            <v>1</v>
          </cell>
          <cell r="E764" t="str">
            <v>IBEWOUT</v>
          </cell>
          <cell r="F764" t="str">
            <v>77</v>
          </cell>
          <cell r="G764" t="str">
            <v>8</v>
          </cell>
          <cell r="H764">
            <v>0</v>
          </cell>
        </row>
        <row r="765">
          <cell r="B765">
            <v>6001</v>
          </cell>
          <cell r="C765" t="str">
            <v>Kelly; Justin J</v>
          </cell>
          <cell r="D765" t="str">
            <v>1C</v>
          </cell>
          <cell r="E765" t="str">
            <v>IBEWOUT</v>
          </cell>
          <cell r="F765" t="str">
            <v>1245</v>
          </cell>
          <cell r="G765" t="str">
            <v>8</v>
          </cell>
          <cell r="H765">
            <v>0</v>
          </cell>
        </row>
        <row r="766">
          <cell r="B766">
            <v>6002</v>
          </cell>
          <cell r="C766" t="str">
            <v>Kemper; Zachary T</v>
          </cell>
          <cell r="D766" t="str">
            <v>1C</v>
          </cell>
          <cell r="E766" t="str">
            <v>IBEWOUT</v>
          </cell>
          <cell r="F766" t="str">
            <v>1245</v>
          </cell>
          <cell r="G766" t="str">
            <v>8</v>
          </cell>
          <cell r="H766">
            <v>0</v>
          </cell>
        </row>
        <row r="767">
          <cell r="B767">
            <v>6005</v>
          </cell>
          <cell r="C767" t="str">
            <v>Kelly; Ezra N</v>
          </cell>
          <cell r="D767" t="str">
            <v>1C</v>
          </cell>
          <cell r="E767" t="str">
            <v>IBEWOUT</v>
          </cell>
          <cell r="F767" t="str">
            <v>47</v>
          </cell>
          <cell r="G767" t="str">
            <v>16</v>
          </cell>
          <cell r="H767">
            <v>0</v>
          </cell>
        </row>
        <row r="768">
          <cell r="B768">
            <v>6090</v>
          </cell>
          <cell r="C768" t="str">
            <v>King; Kyle M.</v>
          </cell>
          <cell r="D768" t="str">
            <v>1C</v>
          </cell>
          <cell r="E768" t="str">
            <v>IBEWOUT</v>
          </cell>
          <cell r="F768" t="str">
            <v>1319</v>
          </cell>
          <cell r="G768" t="str">
            <v>11</v>
          </cell>
          <cell r="H768">
            <v>0</v>
          </cell>
        </row>
        <row r="769">
          <cell r="B769">
            <v>6100</v>
          </cell>
          <cell r="C769" t="str">
            <v>Kintz; Kyle W</v>
          </cell>
          <cell r="D769" t="str">
            <v>1</v>
          </cell>
          <cell r="E769" t="str">
            <v/>
          </cell>
          <cell r="F769" t="str">
            <v/>
          </cell>
          <cell r="G769" t="str">
            <v/>
          </cell>
          <cell r="H769">
            <v>1</v>
          </cell>
        </row>
        <row r="770">
          <cell r="B770">
            <v>6101</v>
          </cell>
          <cell r="C770" t="str">
            <v>Kemp; Michael B.</v>
          </cell>
          <cell r="D770" t="str">
            <v>1C</v>
          </cell>
          <cell r="E770" t="str">
            <v>IBEWOUT</v>
          </cell>
          <cell r="F770" t="str">
            <v>47</v>
          </cell>
          <cell r="G770" t="str">
            <v>8</v>
          </cell>
          <cell r="H770">
            <v>0</v>
          </cell>
        </row>
        <row r="771">
          <cell r="B771">
            <v>6105</v>
          </cell>
          <cell r="C771" t="str">
            <v>Kilby; Kyle G</v>
          </cell>
          <cell r="D771" t="str">
            <v>1</v>
          </cell>
          <cell r="E771" t="str">
            <v/>
          </cell>
          <cell r="F771" t="str">
            <v/>
          </cell>
          <cell r="G771" t="str">
            <v/>
          </cell>
          <cell r="H771">
            <v>1</v>
          </cell>
        </row>
        <row r="772">
          <cell r="B772">
            <v>6108</v>
          </cell>
          <cell r="C772" t="str">
            <v>Kelsch; Nathan B.</v>
          </cell>
          <cell r="D772" t="str">
            <v>1C</v>
          </cell>
          <cell r="E772" t="str">
            <v>IBEWOUT</v>
          </cell>
          <cell r="F772" t="str">
            <v>47</v>
          </cell>
          <cell r="G772" t="str">
            <v>70</v>
          </cell>
          <cell r="H772">
            <v>0</v>
          </cell>
        </row>
        <row r="773">
          <cell r="B773">
            <v>6110</v>
          </cell>
          <cell r="C773" t="str">
            <v>King; Carl D</v>
          </cell>
          <cell r="D773" t="str">
            <v>1C</v>
          </cell>
          <cell r="E773" t="str">
            <v>IBEWOUT</v>
          </cell>
          <cell r="F773" t="str">
            <v>1319</v>
          </cell>
          <cell r="G773" t="str">
            <v>1</v>
          </cell>
          <cell r="H773">
            <v>0</v>
          </cell>
        </row>
        <row r="774">
          <cell r="B774">
            <v>6112</v>
          </cell>
          <cell r="C774" t="str">
            <v>Kirk; Robert E</v>
          </cell>
          <cell r="D774" t="str">
            <v>1C</v>
          </cell>
          <cell r="E774" t="str">
            <v>IBEWOUT</v>
          </cell>
          <cell r="F774" t="str">
            <v>1245</v>
          </cell>
          <cell r="G774" t="str">
            <v>8</v>
          </cell>
          <cell r="H774">
            <v>0</v>
          </cell>
        </row>
        <row r="775">
          <cell r="B775">
            <v>6114</v>
          </cell>
          <cell r="C775" t="str">
            <v>King; Gale L</v>
          </cell>
          <cell r="D775" t="str">
            <v>1C</v>
          </cell>
          <cell r="E775" t="str">
            <v>IBEWOUT</v>
          </cell>
          <cell r="F775" t="str">
            <v>602R</v>
          </cell>
          <cell r="G775" t="str">
            <v>33</v>
          </cell>
          <cell r="H775">
            <v>0</v>
          </cell>
        </row>
        <row r="776">
          <cell r="B776">
            <v>6117</v>
          </cell>
          <cell r="C776" t="str">
            <v>Kimmel; Daryl M.</v>
          </cell>
          <cell r="D776" t="str">
            <v>1C</v>
          </cell>
          <cell r="E776" t="str">
            <v>IBEWOUT</v>
          </cell>
          <cell r="F776" t="str">
            <v>77</v>
          </cell>
          <cell r="G776" t="str">
            <v>8</v>
          </cell>
          <cell r="H776">
            <v>0</v>
          </cell>
        </row>
        <row r="777">
          <cell r="B777">
            <v>6118</v>
          </cell>
          <cell r="C777" t="str">
            <v>Kimberly; Michael D</v>
          </cell>
          <cell r="D777" t="str">
            <v>1C</v>
          </cell>
          <cell r="E777" t="str">
            <v/>
          </cell>
          <cell r="F777" t="str">
            <v/>
          </cell>
          <cell r="G777" t="str">
            <v/>
          </cell>
          <cell r="H777">
            <v>0</v>
          </cell>
        </row>
        <row r="778">
          <cell r="B778">
            <v>6119</v>
          </cell>
          <cell r="C778" t="str">
            <v>Kiourkas; Cody G</v>
          </cell>
          <cell r="D778" t="str">
            <v>1C</v>
          </cell>
          <cell r="E778" t="str">
            <v>IBEWOUT</v>
          </cell>
          <cell r="F778" t="str">
            <v>1245</v>
          </cell>
          <cell r="G778" t="str">
            <v>15</v>
          </cell>
          <cell r="H778">
            <v>0</v>
          </cell>
        </row>
        <row r="779">
          <cell r="B779">
            <v>6121</v>
          </cell>
          <cell r="C779" t="str">
            <v>Kirkpatrick; Gary L</v>
          </cell>
          <cell r="D779" t="str">
            <v>1C</v>
          </cell>
          <cell r="E779" t="str">
            <v>IBEWOUT</v>
          </cell>
          <cell r="F779" t="str">
            <v>47</v>
          </cell>
          <cell r="G779" t="str">
            <v>8</v>
          </cell>
          <cell r="H779">
            <v>0</v>
          </cell>
        </row>
        <row r="780">
          <cell r="B780">
            <v>6122</v>
          </cell>
          <cell r="C780" t="str">
            <v>Kemmsies; Kenneth C</v>
          </cell>
          <cell r="D780" t="str">
            <v>1</v>
          </cell>
          <cell r="E780" t="str">
            <v>IBEWOUT</v>
          </cell>
          <cell r="F780" t="str">
            <v>47</v>
          </cell>
          <cell r="G780" t="str">
            <v>16</v>
          </cell>
          <cell r="H780">
            <v>0</v>
          </cell>
        </row>
        <row r="781">
          <cell r="B781">
            <v>6123</v>
          </cell>
          <cell r="C781" t="str">
            <v>Kilgore; Logan T</v>
          </cell>
          <cell r="D781" t="str">
            <v>1</v>
          </cell>
          <cell r="E781" t="str">
            <v>IBEWOUT</v>
          </cell>
          <cell r="F781" t="str">
            <v>70</v>
          </cell>
          <cell r="G781" t="str">
            <v>17</v>
          </cell>
          <cell r="H781">
            <v>0</v>
          </cell>
        </row>
        <row r="782">
          <cell r="B782">
            <v>6129</v>
          </cell>
          <cell r="C782" t="str">
            <v>King; Mathew Edward</v>
          </cell>
          <cell r="D782" t="str">
            <v>1C</v>
          </cell>
          <cell r="E782" t="str">
            <v>IBEWOUT</v>
          </cell>
          <cell r="F782" t="str">
            <v>1245</v>
          </cell>
          <cell r="G782" t="str">
            <v>11</v>
          </cell>
          <cell r="H782">
            <v>0</v>
          </cell>
        </row>
        <row r="783">
          <cell r="B783">
            <v>6132</v>
          </cell>
          <cell r="C783" t="str">
            <v>Kingdon; Colton R</v>
          </cell>
          <cell r="D783" t="str">
            <v>1C</v>
          </cell>
          <cell r="E783" t="str">
            <v>IBEWOUT</v>
          </cell>
          <cell r="F783" t="str">
            <v>1245</v>
          </cell>
          <cell r="G783" t="str">
            <v>11</v>
          </cell>
          <cell r="H783">
            <v>0</v>
          </cell>
        </row>
        <row r="784">
          <cell r="B784">
            <v>6134</v>
          </cell>
          <cell r="C784" t="str">
            <v>Klein III; Darrell D</v>
          </cell>
          <cell r="D784" t="str">
            <v>1</v>
          </cell>
          <cell r="E784" t="str">
            <v>IBEWIN</v>
          </cell>
          <cell r="F784" t="str">
            <v>73</v>
          </cell>
          <cell r="G784" t="str">
            <v>62D</v>
          </cell>
          <cell r="H784">
            <v>0</v>
          </cell>
        </row>
        <row r="785">
          <cell r="B785">
            <v>6151</v>
          </cell>
          <cell r="C785" t="str">
            <v>Knapp; Carl William</v>
          </cell>
          <cell r="D785" t="str">
            <v>1</v>
          </cell>
          <cell r="E785" t="str">
            <v>IBEWOUT</v>
          </cell>
          <cell r="F785" t="str">
            <v>1245</v>
          </cell>
          <cell r="G785" t="str">
            <v>16</v>
          </cell>
          <cell r="H785">
            <v>0</v>
          </cell>
        </row>
        <row r="786">
          <cell r="B786">
            <v>6152</v>
          </cell>
          <cell r="C786" t="str">
            <v>Knifong; Joseph A</v>
          </cell>
          <cell r="D786" t="str">
            <v>1C</v>
          </cell>
          <cell r="E786" t="str">
            <v>IBEWOUT</v>
          </cell>
          <cell r="F786" t="str">
            <v>77</v>
          </cell>
          <cell r="G786" t="str">
            <v>8</v>
          </cell>
          <cell r="H786">
            <v>0</v>
          </cell>
        </row>
        <row r="787">
          <cell r="B787">
            <v>6155</v>
          </cell>
          <cell r="C787" t="str">
            <v>Knoll; Thomas E</v>
          </cell>
          <cell r="D787" t="str">
            <v>1C</v>
          </cell>
          <cell r="E787" t="str">
            <v>IBEWOUT</v>
          </cell>
          <cell r="F787" t="str">
            <v>77</v>
          </cell>
          <cell r="G787" t="str">
            <v>8</v>
          </cell>
          <cell r="H787">
            <v>0</v>
          </cell>
        </row>
        <row r="788">
          <cell r="B788">
            <v>6157</v>
          </cell>
          <cell r="C788" t="str">
            <v>Knight; Garrett W</v>
          </cell>
          <cell r="D788" t="str">
            <v>1</v>
          </cell>
          <cell r="E788" t="str">
            <v>IBEWOUT</v>
          </cell>
          <cell r="F788" t="str">
            <v>125</v>
          </cell>
          <cell r="G788" t="str">
            <v>14</v>
          </cell>
          <cell r="H788">
            <v>0</v>
          </cell>
        </row>
        <row r="789">
          <cell r="B789">
            <v>6158</v>
          </cell>
          <cell r="C789" t="str">
            <v>Knowland; Brandon S</v>
          </cell>
          <cell r="D789" t="str">
            <v>1</v>
          </cell>
          <cell r="E789" t="str">
            <v>IBEWOUT</v>
          </cell>
          <cell r="F789" t="str">
            <v>77</v>
          </cell>
          <cell r="G789" t="str">
            <v>11</v>
          </cell>
          <cell r="H789">
            <v>0</v>
          </cell>
        </row>
        <row r="790">
          <cell r="B790">
            <v>6159</v>
          </cell>
          <cell r="C790" t="str">
            <v>Kohtz; Kyle G</v>
          </cell>
          <cell r="D790" t="str">
            <v>1C</v>
          </cell>
          <cell r="E790" t="str">
            <v>IBEWOUT</v>
          </cell>
          <cell r="F790" t="str">
            <v>47</v>
          </cell>
          <cell r="G790" t="str">
            <v>8</v>
          </cell>
          <cell r="H790">
            <v>0</v>
          </cell>
        </row>
        <row r="791">
          <cell r="B791">
            <v>6165</v>
          </cell>
          <cell r="C791" t="str">
            <v>Kolvek; Michael A</v>
          </cell>
          <cell r="D791" t="str">
            <v>1C</v>
          </cell>
          <cell r="E791" t="str">
            <v>IBEWOUT</v>
          </cell>
          <cell r="F791" t="str">
            <v>126</v>
          </cell>
          <cell r="G791" t="str">
            <v>8</v>
          </cell>
          <cell r="H791">
            <v>0</v>
          </cell>
        </row>
        <row r="792">
          <cell r="B792">
            <v>6169</v>
          </cell>
          <cell r="C792" t="str">
            <v>Kobler; Jason S</v>
          </cell>
          <cell r="D792" t="str">
            <v>1</v>
          </cell>
          <cell r="E792" t="str">
            <v>IBEWOUT</v>
          </cell>
          <cell r="F792" t="str">
            <v>47</v>
          </cell>
          <cell r="G792" t="str">
            <v>8</v>
          </cell>
          <cell r="H792">
            <v>0</v>
          </cell>
        </row>
        <row r="793">
          <cell r="B793">
            <v>6170</v>
          </cell>
          <cell r="C793" t="str">
            <v>Koehn; Jacob A</v>
          </cell>
          <cell r="D793" t="str">
            <v>1C</v>
          </cell>
          <cell r="E793" t="str">
            <v>IBEWOUT</v>
          </cell>
          <cell r="F793" t="str">
            <v>47</v>
          </cell>
          <cell r="G793" t="str">
            <v>8</v>
          </cell>
          <cell r="H793">
            <v>0</v>
          </cell>
        </row>
        <row r="794">
          <cell r="B794">
            <v>6192</v>
          </cell>
          <cell r="C794" t="str">
            <v>Kramer; David W</v>
          </cell>
          <cell r="D794" t="str">
            <v>1C</v>
          </cell>
          <cell r="E794" t="str">
            <v>IBEWOUT</v>
          </cell>
          <cell r="F794" t="str">
            <v>1245</v>
          </cell>
          <cell r="G794" t="str">
            <v>8</v>
          </cell>
          <cell r="H794">
            <v>0</v>
          </cell>
        </row>
        <row r="795">
          <cell r="B795">
            <v>6194</v>
          </cell>
          <cell r="C795" t="str">
            <v>Kruger; Matthew J</v>
          </cell>
          <cell r="D795" t="str">
            <v>1C</v>
          </cell>
          <cell r="E795" t="str">
            <v>IBEWOUT</v>
          </cell>
          <cell r="F795" t="str">
            <v>160</v>
          </cell>
          <cell r="G795" t="str">
            <v>8</v>
          </cell>
          <cell r="H795">
            <v>0</v>
          </cell>
        </row>
        <row r="796">
          <cell r="B796">
            <v>6196</v>
          </cell>
          <cell r="C796" t="str">
            <v>Kokel; Joel R</v>
          </cell>
          <cell r="D796" t="str">
            <v>1C</v>
          </cell>
          <cell r="E796" t="str">
            <v/>
          </cell>
          <cell r="F796" t="str">
            <v/>
          </cell>
          <cell r="G796" t="str">
            <v/>
          </cell>
          <cell r="H796">
            <v>0</v>
          </cell>
        </row>
        <row r="797">
          <cell r="B797">
            <v>6200</v>
          </cell>
          <cell r="C797" t="str">
            <v>Kumi; Richard A</v>
          </cell>
          <cell r="D797" t="str">
            <v>1C</v>
          </cell>
          <cell r="E797" t="str">
            <v>IBEWOUT</v>
          </cell>
          <cell r="F797" t="str">
            <v>1245</v>
          </cell>
          <cell r="G797" t="str">
            <v>8</v>
          </cell>
          <cell r="H797">
            <v>0</v>
          </cell>
        </row>
        <row r="798">
          <cell r="B798">
            <v>6202</v>
          </cell>
          <cell r="C798" t="str">
            <v>Kokrine; Sage D</v>
          </cell>
          <cell r="D798" t="str">
            <v>1C</v>
          </cell>
          <cell r="E798" t="str">
            <v>IBEWOUT</v>
          </cell>
          <cell r="F798" t="str">
            <v>125</v>
          </cell>
          <cell r="G798" t="str">
            <v>8</v>
          </cell>
          <cell r="H798">
            <v>0</v>
          </cell>
        </row>
        <row r="799">
          <cell r="B799">
            <v>6203</v>
          </cell>
          <cell r="C799" t="str">
            <v>Konchar; Nicholas A.</v>
          </cell>
          <cell r="D799" t="str">
            <v>1C</v>
          </cell>
          <cell r="E799" t="str">
            <v>IBEWOUT</v>
          </cell>
          <cell r="F799" t="str">
            <v>1245</v>
          </cell>
          <cell r="G799" t="str">
            <v>8</v>
          </cell>
          <cell r="H799">
            <v>0</v>
          </cell>
        </row>
        <row r="800">
          <cell r="B800">
            <v>6205</v>
          </cell>
          <cell r="C800" t="str">
            <v>Korpi; Matthew A.</v>
          </cell>
          <cell r="D800" t="str">
            <v>1C</v>
          </cell>
          <cell r="E800" t="str">
            <v>IBEWOUT</v>
          </cell>
          <cell r="F800" t="str">
            <v>1245</v>
          </cell>
          <cell r="G800" t="str">
            <v>8</v>
          </cell>
          <cell r="H800">
            <v>0</v>
          </cell>
        </row>
        <row r="801">
          <cell r="B801">
            <v>6206</v>
          </cell>
          <cell r="C801" t="str">
            <v>Konopaski; Kevin</v>
          </cell>
          <cell r="D801" t="str">
            <v>1C</v>
          </cell>
          <cell r="E801" t="str">
            <v>IBEWOUT</v>
          </cell>
          <cell r="F801" t="str">
            <v>77</v>
          </cell>
          <cell r="G801" t="str">
            <v>9</v>
          </cell>
          <cell r="H801">
            <v>0</v>
          </cell>
        </row>
        <row r="802">
          <cell r="B802">
            <v>6207</v>
          </cell>
          <cell r="C802" t="str">
            <v>Kraft; Jerry L.</v>
          </cell>
          <cell r="D802" t="str">
            <v>1C</v>
          </cell>
          <cell r="E802" t="str">
            <v/>
          </cell>
          <cell r="F802" t="str">
            <v/>
          </cell>
          <cell r="G802" t="str">
            <v/>
          </cell>
          <cell r="H802">
            <v>0</v>
          </cell>
        </row>
        <row r="803">
          <cell r="B803">
            <v>6209</v>
          </cell>
          <cell r="C803" t="str">
            <v>Krassa; Keith W.</v>
          </cell>
          <cell r="D803" t="str">
            <v>1</v>
          </cell>
          <cell r="E803" t="str">
            <v>IBEWOUT</v>
          </cell>
          <cell r="F803" t="str">
            <v>769</v>
          </cell>
          <cell r="G803" t="str">
            <v>16</v>
          </cell>
          <cell r="H803">
            <v>0</v>
          </cell>
        </row>
        <row r="804">
          <cell r="B804">
            <v>6210</v>
          </cell>
          <cell r="C804" t="str">
            <v>Kranzusch; Ray F</v>
          </cell>
          <cell r="D804" t="str">
            <v>1</v>
          </cell>
          <cell r="E804" t="str">
            <v>IBEWOUT</v>
          </cell>
          <cell r="F804" t="str">
            <v>1245</v>
          </cell>
          <cell r="G804" t="str">
            <v>7</v>
          </cell>
          <cell r="H804">
            <v>0</v>
          </cell>
        </row>
        <row r="805">
          <cell r="B805">
            <v>6211</v>
          </cell>
          <cell r="C805" t="str">
            <v>Konkright; Kyle E</v>
          </cell>
          <cell r="D805" t="str">
            <v>1C</v>
          </cell>
          <cell r="E805" t="str">
            <v>IBEWOUT</v>
          </cell>
          <cell r="F805" t="str">
            <v>77</v>
          </cell>
          <cell r="G805" t="str">
            <v>8</v>
          </cell>
          <cell r="H805">
            <v>0</v>
          </cell>
        </row>
        <row r="806">
          <cell r="B806">
            <v>6213</v>
          </cell>
          <cell r="C806" t="str">
            <v>Klinger; Timothy J.</v>
          </cell>
          <cell r="D806" t="str">
            <v>1C</v>
          </cell>
          <cell r="E806" t="str">
            <v>IBEWOUT</v>
          </cell>
          <cell r="F806" t="str">
            <v>396</v>
          </cell>
          <cell r="G806" t="str">
            <v>18</v>
          </cell>
          <cell r="H806">
            <v>0</v>
          </cell>
        </row>
        <row r="807">
          <cell r="B807">
            <v>6214</v>
          </cell>
          <cell r="C807" t="str">
            <v>Kingsbury; Andrew J.</v>
          </cell>
          <cell r="D807" t="str">
            <v>1C</v>
          </cell>
          <cell r="E807" t="str">
            <v>IBEWOUT</v>
          </cell>
          <cell r="F807" t="str">
            <v>1319</v>
          </cell>
          <cell r="G807" t="str">
            <v>8</v>
          </cell>
          <cell r="H807">
            <v>0</v>
          </cell>
        </row>
        <row r="808">
          <cell r="B808">
            <v>6215</v>
          </cell>
          <cell r="C808" t="str">
            <v>Kwake; Stanley J.</v>
          </cell>
          <cell r="D808" t="str">
            <v>1C</v>
          </cell>
          <cell r="E808" t="str">
            <v/>
          </cell>
          <cell r="F808" t="str">
            <v/>
          </cell>
          <cell r="G808" t="str">
            <v/>
          </cell>
          <cell r="H808">
            <v>0</v>
          </cell>
        </row>
        <row r="809">
          <cell r="B809">
            <v>6217</v>
          </cell>
          <cell r="C809" t="str">
            <v>Kravchenko; Illya</v>
          </cell>
          <cell r="D809" t="str">
            <v>1C</v>
          </cell>
          <cell r="E809" t="str">
            <v>IBEWOUT</v>
          </cell>
          <cell r="F809" t="str">
            <v>77</v>
          </cell>
          <cell r="G809" t="str">
            <v>13</v>
          </cell>
          <cell r="H809">
            <v>0</v>
          </cell>
        </row>
        <row r="810">
          <cell r="B810">
            <v>6218</v>
          </cell>
          <cell r="C810" t="str">
            <v>Koretz; Samuel J</v>
          </cell>
          <cell r="D810" t="str">
            <v>1C</v>
          </cell>
          <cell r="E810" t="str">
            <v>IBEWOUT</v>
          </cell>
          <cell r="F810" t="str">
            <v>396</v>
          </cell>
          <cell r="G810" t="str">
            <v>33</v>
          </cell>
          <cell r="H810">
            <v>0</v>
          </cell>
        </row>
        <row r="811">
          <cell r="B811">
            <v>6219</v>
          </cell>
          <cell r="C811" t="str">
            <v>Kwiatkowski; Patrick J</v>
          </cell>
          <cell r="D811" t="str">
            <v>1C</v>
          </cell>
          <cell r="E811" t="str">
            <v>IBEWOUT</v>
          </cell>
          <cell r="F811" t="str">
            <v>1319</v>
          </cell>
          <cell r="G811" t="str">
            <v>20</v>
          </cell>
          <cell r="H811">
            <v>0</v>
          </cell>
        </row>
        <row r="812">
          <cell r="B812">
            <v>6220</v>
          </cell>
          <cell r="C812" t="str">
            <v>Koutnik; Ryan L.</v>
          </cell>
          <cell r="D812" t="str">
            <v>1C</v>
          </cell>
          <cell r="E812" t="str">
            <v>IBEWOUT</v>
          </cell>
          <cell r="F812" t="str">
            <v>125</v>
          </cell>
          <cell r="G812" t="str">
            <v>8</v>
          </cell>
          <cell r="H812">
            <v>0</v>
          </cell>
        </row>
        <row r="813">
          <cell r="B813">
            <v>6221</v>
          </cell>
          <cell r="C813" t="str">
            <v>Kwaad; Kyle R</v>
          </cell>
          <cell r="D813" t="str">
            <v>1C</v>
          </cell>
          <cell r="E813" t="str">
            <v>IBEWOUT</v>
          </cell>
          <cell r="F813" t="str">
            <v>769</v>
          </cell>
          <cell r="G813" t="str">
            <v>13</v>
          </cell>
          <cell r="H813">
            <v>0</v>
          </cell>
        </row>
        <row r="814">
          <cell r="B814">
            <v>6222</v>
          </cell>
          <cell r="C814" t="str">
            <v>Kimball; Frank H.</v>
          </cell>
          <cell r="D814" t="str">
            <v>1C</v>
          </cell>
          <cell r="E814" t="str">
            <v>IBEWOUT</v>
          </cell>
          <cell r="F814" t="str">
            <v>396</v>
          </cell>
          <cell r="G814" t="str">
            <v>21</v>
          </cell>
          <cell r="H814">
            <v>0</v>
          </cell>
        </row>
        <row r="815">
          <cell r="B815">
            <v>6224</v>
          </cell>
          <cell r="C815" t="str">
            <v>Kress; Paul M</v>
          </cell>
          <cell r="D815" t="str">
            <v>1C</v>
          </cell>
          <cell r="E815" t="str">
            <v>IBEWOUT</v>
          </cell>
          <cell r="F815" t="str">
            <v>611</v>
          </cell>
          <cell r="G815" t="str">
            <v>20</v>
          </cell>
          <cell r="H815">
            <v>0</v>
          </cell>
        </row>
        <row r="816">
          <cell r="B816">
            <v>6225</v>
          </cell>
          <cell r="C816" t="str">
            <v>Kuniski; Roger L</v>
          </cell>
          <cell r="D816" t="str">
            <v>1C</v>
          </cell>
          <cell r="E816" t="str">
            <v>IBEWOUT</v>
          </cell>
          <cell r="F816" t="str">
            <v>1245</v>
          </cell>
          <cell r="G816" t="str">
            <v>8</v>
          </cell>
          <cell r="H816">
            <v>0</v>
          </cell>
        </row>
        <row r="817">
          <cell r="B817">
            <v>6227</v>
          </cell>
          <cell r="C817" t="str">
            <v>Kovacs; Zolton I</v>
          </cell>
          <cell r="D817" t="str">
            <v>1C</v>
          </cell>
          <cell r="E817" t="str">
            <v>IBEWOUT</v>
          </cell>
          <cell r="F817" t="str">
            <v>47</v>
          </cell>
          <cell r="G817" t="str">
            <v>17</v>
          </cell>
          <cell r="H817">
            <v>0</v>
          </cell>
        </row>
        <row r="818">
          <cell r="B818">
            <v>6230</v>
          </cell>
          <cell r="C818" t="str">
            <v>Kingsbury; Craig W</v>
          </cell>
          <cell r="D818" t="str">
            <v>1</v>
          </cell>
          <cell r="E818" t="str">
            <v>IBEWOUT</v>
          </cell>
          <cell r="F818" t="str">
            <v>77</v>
          </cell>
          <cell r="G818" t="str">
            <v>10</v>
          </cell>
          <cell r="H818">
            <v>0</v>
          </cell>
        </row>
        <row r="819">
          <cell r="B819">
            <v>6232</v>
          </cell>
          <cell r="C819" t="str">
            <v>Koleszar; Dakota R</v>
          </cell>
          <cell r="D819" t="str">
            <v>1</v>
          </cell>
          <cell r="E819" t="str">
            <v>IBEWOUT</v>
          </cell>
          <cell r="F819" t="str">
            <v>70</v>
          </cell>
          <cell r="G819" t="str">
            <v>17</v>
          </cell>
          <cell r="H819">
            <v>0</v>
          </cell>
        </row>
        <row r="820">
          <cell r="B820">
            <v>6234</v>
          </cell>
          <cell r="C820" t="str">
            <v>Kuykendall; Colton R</v>
          </cell>
          <cell r="D820" t="str">
            <v>1</v>
          </cell>
          <cell r="E820" t="str">
            <v>IBEWOUT</v>
          </cell>
          <cell r="F820" t="str">
            <v>77</v>
          </cell>
          <cell r="G820" t="str">
            <v>8</v>
          </cell>
          <cell r="H820">
            <v>0</v>
          </cell>
        </row>
        <row r="821">
          <cell r="B821">
            <v>6235</v>
          </cell>
          <cell r="C821" t="str">
            <v>Lachcik; Shaun M</v>
          </cell>
          <cell r="D821" t="str">
            <v>1C</v>
          </cell>
          <cell r="E821" t="str">
            <v>IBEWOUT</v>
          </cell>
          <cell r="F821" t="str">
            <v>769</v>
          </cell>
          <cell r="G821" t="str">
            <v>8</v>
          </cell>
          <cell r="H821">
            <v>0</v>
          </cell>
        </row>
        <row r="822">
          <cell r="B822">
            <v>6236</v>
          </cell>
          <cell r="C822" t="str">
            <v>Lay Jr; Richard D</v>
          </cell>
          <cell r="D822" t="str">
            <v>1C</v>
          </cell>
          <cell r="E822" t="str">
            <v>IBEWIN</v>
          </cell>
          <cell r="F822" t="str">
            <v>280</v>
          </cell>
          <cell r="G822" t="str">
            <v>61</v>
          </cell>
          <cell r="H822">
            <v>0</v>
          </cell>
        </row>
        <row r="823">
          <cell r="B823">
            <v>6238</v>
          </cell>
          <cell r="C823" t="str">
            <v>La Fuente; Timothy</v>
          </cell>
          <cell r="D823" t="str">
            <v>1C</v>
          </cell>
          <cell r="E823" t="str">
            <v>IBEWOUT</v>
          </cell>
          <cell r="F823" t="str">
            <v>1245</v>
          </cell>
          <cell r="G823" t="str">
            <v>8</v>
          </cell>
          <cell r="H823">
            <v>0</v>
          </cell>
        </row>
        <row r="824">
          <cell r="B824">
            <v>6239</v>
          </cell>
          <cell r="C824" t="str">
            <v>Lacy; Russell J.</v>
          </cell>
          <cell r="D824" t="str">
            <v>1</v>
          </cell>
          <cell r="E824" t="str">
            <v>IBEWOUT</v>
          </cell>
          <cell r="F824" t="str">
            <v>611</v>
          </cell>
          <cell r="G824" t="str">
            <v>1</v>
          </cell>
          <cell r="H824">
            <v>0</v>
          </cell>
        </row>
        <row r="825">
          <cell r="B825">
            <v>6240</v>
          </cell>
          <cell r="C825" t="str">
            <v>Lazaron; Kyle M</v>
          </cell>
          <cell r="D825" t="str">
            <v>1C</v>
          </cell>
          <cell r="E825" t="str">
            <v>IBEWOUT</v>
          </cell>
          <cell r="F825" t="str">
            <v>104</v>
          </cell>
          <cell r="G825" t="str">
            <v>8</v>
          </cell>
          <cell r="H825">
            <v>0</v>
          </cell>
        </row>
        <row r="826">
          <cell r="B826">
            <v>6242</v>
          </cell>
          <cell r="C826" t="str">
            <v>LaJocies; William C</v>
          </cell>
          <cell r="D826" t="str">
            <v>1</v>
          </cell>
          <cell r="E826" t="str">
            <v>IBEWOUT</v>
          </cell>
          <cell r="F826" t="str">
            <v>1245</v>
          </cell>
          <cell r="G826" t="str">
            <v>10</v>
          </cell>
          <cell r="H826">
            <v>0</v>
          </cell>
        </row>
        <row r="827">
          <cell r="B827">
            <v>6243</v>
          </cell>
          <cell r="C827" t="str">
            <v>Kutchera Jr.; Michael R</v>
          </cell>
          <cell r="D827" t="str">
            <v>1</v>
          </cell>
          <cell r="E827" t="str">
            <v>IBEWOUT</v>
          </cell>
          <cell r="F827" t="str">
            <v>1245</v>
          </cell>
          <cell r="G827" t="str">
            <v>10</v>
          </cell>
          <cell r="H827">
            <v>0</v>
          </cell>
        </row>
        <row r="828">
          <cell r="B828">
            <v>6257</v>
          </cell>
          <cell r="C828" t="str">
            <v>Landers; Jacie A</v>
          </cell>
          <cell r="D828" t="str">
            <v>1C</v>
          </cell>
          <cell r="E828" t="str">
            <v/>
          </cell>
          <cell r="F828" t="str">
            <v/>
          </cell>
          <cell r="G828" t="str">
            <v/>
          </cell>
          <cell r="H828">
            <v>0</v>
          </cell>
        </row>
        <row r="829">
          <cell r="B829">
            <v>6270</v>
          </cell>
          <cell r="C829" t="str">
            <v>Landon; Lance A</v>
          </cell>
          <cell r="D829" t="str">
            <v>1C</v>
          </cell>
          <cell r="E829" t="str">
            <v>IBEWOUT</v>
          </cell>
          <cell r="F829" t="str">
            <v>1245</v>
          </cell>
          <cell r="G829" t="str">
            <v>8</v>
          </cell>
          <cell r="H829">
            <v>0</v>
          </cell>
        </row>
        <row r="830">
          <cell r="B830">
            <v>6273</v>
          </cell>
          <cell r="C830" t="str">
            <v>Langston Jr.; James Keith</v>
          </cell>
          <cell r="D830" t="str">
            <v>1</v>
          </cell>
          <cell r="E830" t="str">
            <v>IBEWOUT</v>
          </cell>
          <cell r="F830" t="str">
            <v>769</v>
          </cell>
          <cell r="G830" t="str">
            <v>21</v>
          </cell>
          <cell r="H830">
            <v>0</v>
          </cell>
        </row>
        <row r="831">
          <cell r="B831">
            <v>6274</v>
          </cell>
          <cell r="C831" t="str">
            <v>Lange; Anthony R.</v>
          </cell>
          <cell r="D831" t="str">
            <v>1C</v>
          </cell>
          <cell r="E831" t="str">
            <v>IBEWOUT</v>
          </cell>
          <cell r="F831" t="str">
            <v>160</v>
          </cell>
          <cell r="G831" t="str">
            <v>8</v>
          </cell>
          <cell r="H831">
            <v>0</v>
          </cell>
        </row>
        <row r="832">
          <cell r="B832">
            <v>6281</v>
          </cell>
          <cell r="C832" t="str">
            <v>Lamb; Robert C</v>
          </cell>
          <cell r="D832" t="str">
            <v>1C</v>
          </cell>
          <cell r="E832" t="str">
            <v>IBEWOUT</v>
          </cell>
          <cell r="F832" t="str">
            <v>1245</v>
          </cell>
          <cell r="G832" t="str">
            <v>8</v>
          </cell>
          <cell r="H832">
            <v>0</v>
          </cell>
        </row>
        <row r="833">
          <cell r="B833">
            <v>6284</v>
          </cell>
          <cell r="C833" t="str">
            <v>Lantau; Kenneth A.</v>
          </cell>
          <cell r="D833" t="str">
            <v>1C</v>
          </cell>
          <cell r="E833" t="str">
            <v>IBEWOUT</v>
          </cell>
          <cell r="F833" t="str">
            <v>77</v>
          </cell>
          <cell r="G833" t="str">
            <v>7</v>
          </cell>
          <cell r="H833">
            <v>0</v>
          </cell>
        </row>
        <row r="834">
          <cell r="B834">
            <v>6289</v>
          </cell>
          <cell r="C834" t="str">
            <v>Lamb III; Ted O</v>
          </cell>
          <cell r="D834" t="str">
            <v>1</v>
          </cell>
          <cell r="E834" t="str">
            <v>IBEWOUT</v>
          </cell>
          <cell r="F834" t="str">
            <v>47</v>
          </cell>
          <cell r="G834" t="str">
            <v>8</v>
          </cell>
          <cell r="H834">
            <v>0</v>
          </cell>
        </row>
        <row r="835">
          <cell r="B835">
            <v>6294</v>
          </cell>
          <cell r="C835" t="str">
            <v>LaRock; Aaron M</v>
          </cell>
          <cell r="D835" t="str">
            <v>1C</v>
          </cell>
          <cell r="E835" t="str">
            <v>IBEWOUT</v>
          </cell>
          <cell r="F835" t="str">
            <v>1319</v>
          </cell>
          <cell r="G835" t="str">
            <v>8</v>
          </cell>
          <cell r="H835">
            <v>0</v>
          </cell>
        </row>
        <row r="836">
          <cell r="B836">
            <v>6295</v>
          </cell>
          <cell r="C836" t="str">
            <v>Larkin; William B.</v>
          </cell>
          <cell r="D836" t="str">
            <v>1</v>
          </cell>
          <cell r="E836" t="str">
            <v>IBEWOUT</v>
          </cell>
          <cell r="F836" t="str">
            <v>77</v>
          </cell>
          <cell r="G836" t="str">
            <v>7</v>
          </cell>
          <cell r="H836">
            <v>0</v>
          </cell>
        </row>
        <row r="837">
          <cell r="B837">
            <v>6296</v>
          </cell>
          <cell r="C837" t="str">
            <v>Larson; Blaze A</v>
          </cell>
          <cell r="D837" t="str">
            <v>1C</v>
          </cell>
          <cell r="E837" t="str">
            <v>IBEWOUT</v>
          </cell>
          <cell r="F837" t="str">
            <v>125</v>
          </cell>
          <cell r="G837" t="str">
            <v>12</v>
          </cell>
          <cell r="H837">
            <v>0</v>
          </cell>
        </row>
        <row r="838">
          <cell r="B838">
            <v>6297</v>
          </cell>
          <cell r="C838" t="str">
            <v>Larsen; Devin Brett</v>
          </cell>
          <cell r="D838" t="str">
            <v>1</v>
          </cell>
          <cell r="E838" t="str">
            <v>IBEWOUT</v>
          </cell>
          <cell r="F838" t="str">
            <v>125</v>
          </cell>
          <cell r="G838" t="str">
            <v>7</v>
          </cell>
          <cell r="H838">
            <v>0</v>
          </cell>
        </row>
        <row r="839">
          <cell r="B839">
            <v>6298</v>
          </cell>
          <cell r="C839" t="str">
            <v>Larsen; Jason P.</v>
          </cell>
          <cell r="D839" t="str">
            <v>1C</v>
          </cell>
          <cell r="E839" t="str">
            <v>IBEWOUT</v>
          </cell>
          <cell r="F839" t="str">
            <v>77</v>
          </cell>
          <cell r="G839" t="str">
            <v>8</v>
          </cell>
          <cell r="H839">
            <v>0</v>
          </cell>
        </row>
        <row r="840">
          <cell r="B840">
            <v>6300</v>
          </cell>
          <cell r="C840" t="str">
            <v>McCaul-Larson; Tyler L</v>
          </cell>
          <cell r="D840" t="str">
            <v>1C</v>
          </cell>
          <cell r="E840" t="str">
            <v>IBEWOUT</v>
          </cell>
          <cell r="F840" t="str">
            <v>1245</v>
          </cell>
          <cell r="G840" t="str">
            <v>8</v>
          </cell>
          <cell r="H840">
            <v>0</v>
          </cell>
        </row>
        <row r="841">
          <cell r="B841">
            <v>6314</v>
          </cell>
          <cell r="C841" t="str">
            <v>Laskowsky; Mark A</v>
          </cell>
          <cell r="D841" t="str">
            <v>1C</v>
          </cell>
          <cell r="E841" t="str">
            <v>IBEWOUT</v>
          </cell>
          <cell r="F841" t="str">
            <v>126</v>
          </cell>
          <cell r="G841" t="str">
            <v>8</v>
          </cell>
          <cell r="H841">
            <v>0</v>
          </cell>
        </row>
        <row r="842">
          <cell r="B842">
            <v>6317</v>
          </cell>
          <cell r="C842" t="str">
            <v>Lauer; Mason S</v>
          </cell>
          <cell r="D842" t="str">
            <v>1</v>
          </cell>
          <cell r="E842" t="str">
            <v/>
          </cell>
          <cell r="F842" t="str">
            <v/>
          </cell>
          <cell r="G842" t="str">
            <v/>
          </cell>
          <cell r="H842">
            <v>0</v>
          </cell>
        </row>
        <row r="843">
          <cell r="B843">
            <v>6321</v>
          </cell>
          <cell r="C843" t="str">
            <v>Lavin; Jared M</v>
          </cell>
          <cell r="D843" t="str">
            <v>1</v>
          </cell>
          <cell r="E843" t="str">
            <v>IBEWOUT</v>
          </cell>
          <cell r="F843" t="str">
            <v>77</v>
          </cell>
          <cell r="G843" t="str">
            <v>8</v>
          </cell>
          <cell r="H843">
            <v>0</v>
          </cell>
        </row>
        <row r="844">
          <cell r="B844">
            <v>6322</v>
          </cell>
          <cell r="C844" t="str">
            <v>Lecompte; Patrick M</v>
          </cell>
          <cell r="D844" t="str">
            <v>1C</v>
          </cell>
          <cell r="E844" t="str">
            <v>IBEWOUT</v>
          </cell>
          <cell r="F844" t="str">
            <v>1245</v>
          </cell>
          <cell r="G844" t="str">
            <v>8</v>
          </cell>
          <cell r="H844">
            <v>0</v>
          </cell>
        </row>
        <row r="845">
          <cell r="B845">
            <v>6323</v>
          </cell>
          <cell r="C845" t="str">
            <v>Lawson; Aaron M</v>
          </cell>
          <cell r="D845" t="str">
            <v>1</v>
          </cell>
          <cell r="E845" t="str">
            <v>IBEWOUT</v>
          </cell>
          <cell r="F845" t="str">
            <v>1245</v>
          </cell>
          <cell r="G845" t="str">
            <v>8</v>
          </cell>
          <cell r="H845">
            <v>0</v>
          </cell>
        </row>
        <row r="846">
          <cell r="B846">
            <v>6329</v>
          </cell>
          <cell r="C846" t="str">
            <v>Lee; Laurence Cooper</v>
          </cell>
          <cell r="D846" t="str">
            <v>1</v>
          </cell>
          <cell r="E846" t="str">
            <v>IBEWOUT</v>
          </cell>
          <cell r="F846" t="str">
            <v>77</v>
          </cell>
          <cell r="G846" t="str">
            <v>8</v>
          </cell>
          <cell r="H846">
            <v>0</v>
          </cell>
        </row>
        <row r="847">
          <cell r="B847">
            <v>6341</v>
          </cell>
          <cell r="C847" t="str">
            <v>Lee; David</v>
          </cell>
          <cell r="D847" t="str">
            <v>1C</v>
          </cell>
          <cell r="E847" t="str">
            <v>IBEWOUT</v>
          </cell>
          <cell r="F847" t="str">
            <v>1245</v>
          </cell>
          <cell r="G847" t="str">
            <v>60</v>
          </cell>
          <cell r="H847">
            <v>0</v>
          </cell>
        </row>
        <row r="848">
          <cell r="B848">
            <v>6471</v>
          </cell>
          <cell r="C848" t="str">
            <v>Leahy; Benjamin C</v>
          </cell>
          <cell r="D848" t="str">
            <v>1</v>
          </cell>
          <cell r="E848" t="str">
            <v>IBEWOUT</v>
          </cell>
          <cell r="F848" t="str">
            <v>77</v>
          </cell>
          <cell r="G848" t="str">
            <v>10</v>
          </cell>
          <cell r="H848">
            <v>0</v>
          </cell>
        </row>
        <row r="849">
          <cell r="B849">
            <v>6476</v>
          </cell>
          <cell r="C849" t="str">
            <v>Leon Ramirez; Jose</v>
          </cell>
          <cell r="D849" t="str">
            <v>1C</v>
          </cell>
          <cell r="E849" t="str">
            <v>IBEWOUT</v>
          </cell>
          <cell r="F849" t="str">
            <v>47</v>
          </cell>
          <cell r="G849" t="str">
            <v>7</v>
          </cell>
          <cell r="H849">
            <v>0</v>
          </cell>
        </row>
        <row r="850">
          <cell r="B850">
            <v>6479</v>
          </cell>
          <cell r="C850" t="str">
            <v>Leiv; Kendell Jonathan</v>
          </cell>
          <cell r="D850" t="str">
            <v>1C</v>
          </cell>
          <cell r="E850" t="str">
            <v/>
          </cell>
          <cell r="F850" t="str">
            <v/>
          </cell>
          <cell r="G850" t="str">
            <v/>
          </cell>
          <cell r="H850">
            <v>0</v>
          </cell>
        </row>
        <row r="851">
          <cell r="B851">
            <v>6480</v>
          </cell>
          <cell r="C851" t="str">
            <v>Leanos; Daniel G</v>
          </cell>
          <cell r="D851" t="str">
            <v>1C</v>
          </cell>
          <cell r="E851" t="str">
            <v>IBEWOUT</v>
          </cell>
          <cell r="F851" t="str">
            <v>47</v>
          </cell>
          <cell r="G851" t="str">
            <v>17</v>
          </cell>
          <cell r="H851">
            <v>0</v>
          </cell>
        </row>
        <row r="852">
          <cell r="B852">
            <v>6482</v>
          </cell>
          <cell r="C852" t="str">
            <v>Ledoux; Walter W</v>
          </cell>
          <cell r="D852" t="str">
            <v>1C</v>
          </cell>
          <cell r="E852" t="str">
            <v>IBEWOUT</v>
          </cell>
          <cell r="F852" t="str">
            <v>1245</v>
          </cell>
          <cell r="G852" t="str">
            <v>8</v>
          </cell>
          <cell r="H852">
            <v>0</v>
          </cell>
        </row>
        <row r="853">
          <cell r="B853">
            <v>6485</v>
          </cell>
          <cell r="C853" t="str">
            <v>Lege; Kevin J</v>
          </cell>
          <cell r="D853" t="str">
            <v>1C</v>
          </cell>
          <cell r="E853" t="str">
            <v>IBEWOUT</v>
          </cell>
          <cell r="F853" t="str">
            <v>1245</v>
          </cell>
          <cell r="G853" t="str">
            <v>8</v>
          </cell>
          <cell r="H853">
            <v>0</v>
          </cell>
        </row>
        <row r="854">
          <cell r="B854">
            <v>6487</v>
          </cell>
          <cell r="C854" t="str">
            <v>Lemus; Edward</v>
          </cell>
          <cell r="D854" t="str">
            <v>1C</v>
          </cell>
          <cell r="E854" t="str">
            <v>IBEWOUT</v>
          </cell>
          <cell r="F854" t="str">
            <v>47</v>
          </cell>
          <cell r="G854" t="str">
            <v>17</v>
          </cell>
          <cell r="H854">
            <v>0</v>
          </cell>
        </row>
        <row r="855">
          <cell r="B855">
            <v>6497</v>
          </cell>
          <cell r="C855" t="str">
            <v>Leineke; Theodore A.</v>
          </cell>
          <cell r="D855" t="str">
            <v>1</v>
          </cell>
          <cell r="E855" t="str">
            <v/>
          </cell>
          <cell r="F855" t="str">
            <v/>
          </cell>
          <cell r="G855" t="str">
            <v/>
          </cell>
          <cell r="H855">
            <v>0</v>
          </cell>
        </row>
        <row r="856">
          <cell r="B856">
            <v>6498</v>
          </cell>
          <cell r="C856" t="str">
            <v>Lenardo; Bradley J</v>
          </cell>
          <cell r="D856" t="str">
            <v>1C</v>
          </cell>
          <cell r="E856" t="str">
            <v>IBEWOUT</v>
          </cell>
          <cell r="F856" t="str">
            <v>1245</v>
          </cell>
          <cell r="G856" t="str">
            <v>8</v>
          </cell>
          <cell r="H856">
            <v>0</v>
          </cell>
        </row>
        <row r="857">
          <cell r="B857">
            <v>6499</v>
          </cell>
          <cell r="C857" t="str">
            <v>Lenoir Jr.; Leo M.</v>
          </cell>
          <cell r="D857" t="str">
            <v>1</v>
          </cell>
          <cell r="E857" t="str">
            <v>IBEWOUT</v>
          </cell>
          <cell r="F857" t="str">
            <v>47</v>
          </cell>
          <cell r="G857" t="str">
            <v>7</v>
          </cell>
          <cell r="H857">
            <v>0</v>
          </cell>
        </row>
        <row r="858">
          <cell r="B858">
            <v>6520</v>
          </cell>
          <cell r="C858" t="str">
            <v>Leuthner; Paul A</v>
          </cell>
          <cell r="D858" t="str">
            <v>1C</v>
          </cell>
          <cell r="E858" t="str">
            <v>IBEWOUT</v>
          </cell>
          <cell r="F858" t="str">
            <v>1319</v>
          </cell>
          <cell r="G858" t="str">
            <v>7</v>
          </cell>
          <cell r="H858">
            <v>0</v>
          </cell>
        </row>
        <row r="859">
          <cell r="B859">
            <v>6539</v>
          </cell>
          <cell r="C859" t="str">
            <v>Lewis; Slone E.</v>
          </cell>
          <cell r="D859" t="str">
            <v>1C</v>
          </cell>
          <cell r="E859" t="str">
            <v>IBEWOUT</v>
          </cell>
          <cell r="F859" t="str">
            <v>77</v>
          </cell>
          <cell r="G859" t="str">
            <v>12</v>
          </cell>
          <cell r="H859">
            <v>0</v>
          </cell>
        </row>
        <row r="860">
          <cell r="B860">
            <v>6541</v>
          </cell>
          <cell r="C860" t="str">
            <v>Lewis; Jacob L.</v>
          </cell>
          <cell r="D860" t="str">
            <v>1C</v>
          </cell>
          <cell r="E860" t="str">
            <v>IBEWOUT</v>
          </cell>
          <cell r="F860" t="str">
            <v>1245</v>
          </cell>
          <cell r="G860" t="str">
            <v>70T</v>
          </cell>
          <cell r="H860">
            <v>0</v>
          </cell>
        </row>
        <row r="861">
          <cell r="B861">
            <v>6559</v>
          </cell>
          <cell r="C861" t="str">
            <v>Liles; Jack V</v>
          </cell>
          <cell r="D861" t="str">
            <v>1C</v>
          </cell>
          <cell r="E861" t="str">
            <v/>
          </cell>
          <cell r="F861" t="str">
            <v/>
          </cell>
          <cell r="G861" t="str">
            <v/>
          </cell>
          <cell r="H861">
            <v>0</v>
          </cell>
        </row>
        <row r="862">
          <cell r="B862">
            <v>6560</v>
          </cell>
          <cell r="C862" t="str">
            <v>Lightfoot; Gregory W</v>
          </cell>
          <cell r="D862" t="str">
            <v>1C</v>
          </cell>
          <cell r="E862" t="str">
            <v>IBEWOUT</v>
          </cell>
          <cell r="F862" t="str">
            <v>77</v>
          </cell>
          <cell r="G862" t="str">
            <v>8</v>
          </cell>
          <cell r="H862">
            <v>0</v>
          </cell>
        </row>
        <row r="863">
          <cell r="B863">
            <v>6564</v>
          </cell>
          <cell r="C863" t="str">
            <v>Lieurance; Joshua T</v>
          </cell>
          <cell r="D863" t="str">
            <v>1C</v>
          </cell>
          <cell r="E863" t="str">
            <v/>
          </cell>
          <cell r="F863" t="str">
            <v/>
          </cell>
          <cell r="G863" t="str">
            <v/>
          </cell>
          <cell r="H863">
            <v>0</v>
          </cell>
        </row>
        <row r="864">
          <cell r="B864">
            <v>6576</v>
          </cell>
          <cell r="C864" t="str">
            <v>Lindsay; Cassidy L.</v>
          </cell>
          <cell r="D864" t="str">
            <v>1C</v>
          </cell>
          <cell r="E864" t="str">
            <v>IBEWOUT</v>
          </cell>
          <cell r="F864" t="str">
            <v>1245</v>
          </cell>
          <cell r="G864" t="str">
            <v>16</v>
          </cell>
          <cell r="H864">
            <v>0</v>
          </cell>
        </row>
        <row r="865">
          <cell r="B865">
            <v>6579</v>
          </cell>
          <cell r="C865" t="str">
            <v>Little; Jerry S</v>
          </cell>
          <cell r="D865" t="str">
            <v>1C</v>
          </cell>
          <cell r="E865" t="str">
            <v>IBEWOUT</v>
          </cell>
          <cell r="F865" t="str">
            <v>1245</v>
          </cell>
          <cell r="G865" t="str">
            <v>8</v>
          </cell>
          <cell r="H865">
            <v>0</v>
          </cell>
        </row>
        <row r="866">
          <cell r="B866">
            <v>6582</v>
          </cell>
          <cell r="C866" t="str">
            <v>Little; Richard K</v>
          </cell>
          <cell r="D866" t="str">
            <v>1C</v>
          </cell>
          <cell r="E866" t="str">
            <v>IBEWOUT</v>
          </cell>
          <cell r="F866" t="str">
            <v>47</v>
          </cell>
          <cell r="G866" t="str">
            <v>59</v>
          </cell>
          <cell r="H866">
            <v>0</v>
          </cell>
        </row>
        <row r="867">
          <cell r="B867">
            <v>6584</v>
          </cell>
          <cell r="C867" t="str">
            <v>Livingston; Christian D.</v>
          </cell>
          <cell r="D867" t="str">
            <v>1C</v>
          </cell>
          <cell r="E867" t="str">
            <v>IBEWOUT</v>
          </cell>
          <cell r="F867" t="str">
            <v>47</v>
          </cell>
          <cell r="G867" t="str">
            <v>17</v>
          </cell>
          <cell r="H867">
            <v>0</v>
          </cell>
        </row>
        <row r="868">
          <cell r="B868">
            <v>6585</v>
          </cell>
          <cell r="C868" t="str">
            <v>Lindley; Jeffrey S</v>
          </cell>
          <cell r="D868" t="str">
            <v>1C</v>
          </cell>
          <cell r="E868" t="str">
            <v>IBEWOUT</v>
          </cell>
          <cell r="F868" t="str">
            <v>47</v>
          </cell>
          <cell r="G868" t="str">
            <v>16</v>
          </cell>
          <cell r="H868">
            <v>0</v>
          </cell>
        </row>
        <row r="869">
          <cell r="B869">
            <v>6586</v>
          </cell>
          <cell r="C869" t="str">
            <v>Livengood; Justin N.</v>
          </cell>
          <cell r="D869" t="str">
            <v>1C</v>
          </cell>
          <cell r="E869" t="str">
            <v>IBEWOUT</v>
          </cell>
          <cell r="F869" t="str">
            <v>47</v>
          </cell>
          <cell r="G869" t="str">
            <v>60</v>
          </cell>
          <cell r="H869">
            <v>0</v>
          </cell>
        </row>
        <row r="870">
          <cell r="B870">
            <v>6591</v>
          </cell>
          <cell r="C870" t="str">
            <v>Lipka; Glen J</v>
          </cell>
          <cell r="D870" t="str">
            <v>1</v>
          </cell>
          <cell r="E870" t="str">
            <v>IBEWOUT</v>
          </cell>
          <cell r="F870" t="str">
            <v>125</v>
          </cell>
          <cell r="G870" t="str">
            <v>11</v>
          </cell>
          <cell r="H870">
            <v>0</v>
          </cell>
        </row>
        <row r="871">
          <cell r="B871">
            <v>6592</v>
          </cell>
          <cell r="C871" t="str">
            <v>Linton; Eric R</v>
          </cell>
          <cell r="D871" t="str">
            <v>1</v>
          </cell>
          <cell r="E871" t="str">
            <v/>
          </cell>
          <cell r="F871" t="str">
            <v/>
          </cell>
          <cell r="G871" t="str">
            <v/>
          </cell>
          <cell r="H871">
            <v>0</v>
          </cell>
        </row>
        <row r="872">
          <cell r="B872">
            <v>6597</v>
          </cell>
          <cell r="C872" t="str">
            <v>LLamas; Oscar J.</v>
          </cell>
          <cell r="D872" t="str">
            <v>1C</v>
          </cell>
          <cell r="E872" t="str">
            <v>IBEWOUT</v>
          </cell>
          <cell r="F872" t="str">
            <v>47</v>
          </cell>
          <cell r="G872" t="str">
            <v>8</v>
          </cell>
          <cell r="H872">
            <v>0</v>
          </cell>
        </row>
        <row r="873">
          <cell r="B873">
            <v>6605</v>
          </cell>
          <cell r="C873" t="str">
            <v>Llorca; John D</v>
          </cell>
          <cell r="D873" t="str">
            <v>1C</v>
          </cell>
          <cell r="E873" t="str">
            <v>IBEWOUT</v>
          </cell>
          <cell r="F873" t="str">
            <v>47</v>
          </cell>
          <cell r="G873" t="str">
            <v>8</v>
          </cell>
          <cell r="H873">
            <v>0</v>
          </cell>
        </row>
        <row r="874">
          <cell r="B874">
            <v>6609</v>
          </cell>
          <cell r="C874" t="str">
            <v>Lloyd; Mikel B</v>
          </cell>
          <cell r="D874" t="str">
            <v>1</v>
          </cell>
          <cell r="E874" t="str">
            <v>IBEWOUT</v>
          </cell>
          <cell r="F874" t="str">
            <v>1245</v>
          </cell>
          <cell r="G874" t="str">
            <v>15</v>
          </cell>
          <cell r="H874">
            <v>0</v>
          </cell>
        </row>
        <row r="875">
          <cell r="B875">
            <v>6611</v>
          </cell>
          <cell r="C875" t="str">
            <v>Lock; Shane R</v>
          </cell>
          <cell r="D875" t="str">
            <v>1C</v>
          </cell>
          <cell r="E875" t="str">
            <v>IBEWOUT</v>
          </cell>
          <cell r="F875" t="str">
            <v>1245</v>
          </cell>
          <cell r="G875" t="str">
            <v>7</v>
          </cell>
          <cell r="H875">
            <v>0</v>
          </cell>
        </row>
        <row r="876">
          <cell r="B876">
            <v>6613</v>
          </cell>
          <cell r="C876" t="str">
            <v>Lougee; Thomas G</v>
          </cell>
          <cell r="D876" t="str">
            <v>1C</v>
          </cell>
          <cell r="E876" t="str">
            <v>IBEWOUT</v>
          </cell>
          <cell r="F876" t="str">
            <v>1245</v>
          </cell>
          <cell r="G876" t="str">
            <v>8</v>
          </cell>
          <cell r="H876">
            <v>0</v>
          </cell>
        </row>
        <row r="877">
          <cell r="B877">
            <v>6614</v>
          </cell>
          <cell r="C877" t="str">
            <v>Loera; Francisco</v>
          </cell>
          <cell r="D877" t="str">
            <v>1C</v>
          </cell>
          <cell r="E877" t="str">
            <v>IBEWOUT</v>
          </cell>
          <cell r="F877" t="str">
            <v>1245</v>
          </cell>
          <cell r="G877" t="str">
            <v>60</v>
          </cell>
          <cell r="H877">
            <v>0</v>
          </cell>
        </row>
        <row r="878">
          <cell r="B878">
            <v>6661</v>
          </cell>
          <cell r="C878" t="str">
            <v>Long; Scott A.</v>
          </cell>
          <cell r="D878" t="str">
            <v>1C</v>
          </cell>
          <cell r="E878" t="str">
            <v>IBEWOUT</v>
          </cell>
          <cell r="F878" t="str">
            <v>1245</v>
          </cell>
          <cell r="G878" t="str">
            <v>17</v>
          </cell>
          <cell r="H878">
            <v>0</v>
          </cell>
        </row>
        <row r="879">
          <cell r="B879">
            <v>6663</v>
          </cell>
          <cell r="C879" t="str">
            <v>Long; William K</v>
          </cell>
          <cell r="D879" t="str">
            <v>1C</v>
          </cell>
          <cell r="E879" t="str">
            <v>IBEWOUT</v>
          </cell>
          <cell r="F879" t="str">
            <v>47</v>
          </cell>
          <cell r="G879" t="str">
            <v>16</v>
          </cell>
          <cell r="H879">
            <v>0</v>
          </cell>
        </row>
        <row r="880">
          <cell r="B880">
            <v>6665</v>
          </cell>
          <cell r="C880" t="str">
            <v>Long; Gerald</v>
          </cell>
          <cell r="D880" t="str">
            <v>1C</v>
          </cell>
          <cell r="E880" t="str">
            <v>IBEWOUT</v>
          </cell>
          <cell r="F880" t="str">
            <v>611</v>
          </cell>
          <cell r="G880" t="str">
            <v>7</v>
          </cell>
          <cell r="H880">
            <v>0</v>
          </cell>
        </row>
        <row r="881">
          <cell r="B881">
            <v>6668</v>
          </cell>
          <cell r="C881" t="str">
            <v>Long; Richard L</v>
          </cell>
          <cell r="D881" t="str">
            <v>1</v>
          </cell>
          <cell r="E881" t="str">
            <v>IBEWOUT</v>
          </cell>
          <cell r="F881" t="str">
            <v>769</v>
          </cell>
          <cell r="G881" t="str">
            <v>8</v>
          </cell>
          <cell r="H881">
            <v>0</v>
          </cell>
        </row>
        <row r="882">
          <cell r="B882">
            <v>6672</v>
          </cell>
          <cell r="C882" t="str">
            <v>Lopez; Hector M</v>
          </cell>
          <cell r="D882" t="str">
            <v>1C</v>
          </cell>
          <cell r="E882" t="str">
            <v>IBEWOUT</v>
          </cell>
          <cell r="F882" t="str">
            <v>1245</v>
          </cell>
          <cell r="G882" t="str">
            <v>13</v>
          </cell>
          <cell r="H882">
            <v>0</v>
          </cell>
        </row>
        <row r="883">
          <cell r="B883">
            <v>6674</v>
          </cell>
          <cell r="C883" t="str">
            <v>Longtin; Eric S</v>
          </cell>
          <cell r="D883" t="str">
            <v>1C</v>
          </cell>
          <cell r="E883" t="str">
            <v>IBEWOUT</v>
          </cell>
          <cell r="F883" t="str">
            <v>126</v>
          </cell>
          <cell r="G883" t="str">
            <v>8</v>
          </cell>
          <cell r="H883">
            <v>0</v>
          </cell>
        </row>
        <row r="884">
          <cell r="B884">
            <v>6675</v>
          </cell>
          <cell r="C884" t="str">
            <v>Longtin; Eric Z</v>
          </cell>
          <cell r="D884" t="str">
            <v>1C</v>
          </cell>
          <cell r="E884" t="str">
            <v>IBEWOUT</v>
          </cell>
          <cell r="F884" t="str">
            <v>126</v>
          </cell>
          <cell r="G884" t="str">
            <v>18</v>
          </cell>
          <cell r="H884">
            <v>0</v>
          </cell>
        </row>
        <row r="885">
          <cell r="B885">
            <v>6678</v>
          </cell>
          <cell r="C885" t="str">
            <v>Lopez; Joseph Kelly</v>
          </cell>
          <cell r="D885" t="str">
            <v>1C</v>
          </cell>
          <cell r="E885" t="str">
            <v>IBEWOUT</v>
          </cell>
          <cell r="F885" t="str">
            <v>769</v>
          </cell>
          <cell r="G885" t="str">
            <v>8</v>
          </cell>
          <cell r="H885">
            <v>0</v>
          </cell>
        </row>
        <row r="886">
          <cell r="B886">
            <v>6679</v>
          </cell>
          <cell r="C886" t="str">
            <v>Loomis; Jerald A</v>
          </cell>
          <cell r="D886" t="str">
            <v>1C</v>
          </cell>
          <cell r="E886" t="str">
            <v>IBEWOUT</v>
          </cell>
          <cell r="F886" t="str">
            <v>77</v>
          </cell>
          <cell r="G886" t="str">
            <v>8</v>
          </cell>
          <cell r="H886">
            <v>0</v>
          </cell>
        </row>
        <row r="887">
          <cell r="B887">
            <v>6702</v>
          </cell>
          <cell r="C887" t="str">
            <v>Love; David A</v>
          </cell>
          <cell r="D887" t="str">
            <v>1C</v>
          </cell>
          <cell r="E887" t="str">
            <v>IBEWOUT</v>
          </cell>
          <cell r="F887" t="str">
            <v>47</v>
          </cell>
          <cell r="G887" t="str">
            <v>8</v>
          </cell>
          <cell r="H887">
            <v>0</v>
          </cell>
        </row>
        <row r="888">
          <cell r="B888">
            <v>6703</v>
          </cell>
          <cell r="C888" t="str">
            <v>Lovelady; Brian B</v>
          </cell>
          <cell r="D888" t="str">
            <v>1C</v>
          </cell>
          <cell r="E888" t="str">
            <v>IBEWOUT</v>
          </cell>
          <cell r="F888" t="str">
            <v>1245</v>
          </cell>
          <cell r="G888" t="str">
            <v>60</v>
          </cell>
          <cell r="H888">
            <v>0</v>
          </cell>
        </row>
        <row r="889">
          <cell r="B889">
            <v>6706</v>
          </cell>
          <cell r="C889" t="str">
            <v>Loucks; Tammi Louise</v>
          </cell>
          <cell r="D889" t="str">
            <v>1C</v>
          </cell>
          <cell r="E889" t="str">
            <v/>
          </cell>
          <cell r="F889" t="str">
            <v/>
          </cell>
          <cell r="G889" t="str">
            <v/>
          </cell>
          <cell r="H889">
            <v>0</v>
          </cell>
        </row>
        <row r="890">
          <cell r="B890">
            <v>6711</v>
          </cell>
          <cell r="C890" t="str">
            <v>Lowerison; William David</v>
          </cell>
          <cell r="D890" t="str">
            <v>1</v>
          </cell>
          <cell r="E890" t="str">
            <v/>
          </cell>
          <cell r="F890" t="str">
            <v/>
          </cell>
          <cell r="G890" t="str">
            <v/>
          </cell>
          <cell r="H890">
            <v>0</v>
          </cell>
        </row>
        <row r="891">
          <cell r="B891">
            <v>6712</v>
          </cell>
          <cell r="C891" t="str">
            <v>Lucero; Dominic L</v>
          </cell>
          <cell r="D891" t="str">
            <v>1C</v>
          </cell>
          <cell r="E891" t="str">
            <v>IBEWOUT</v>
          </cell>
          <cell r="F891" t="str">
            <v>611</v>
          </cell>
          <cell r="G891" t="str">
            <v>12</v>
          </cell>
          <cell r="H891">
            <v>0</v>
          </cell>
        </row>
        <row r="892">
          <cell r="B892">
            <v>6725</v>
          </cell>
          <cell r="C892" t="str">
            <v>Loucks; Robert L.</v>
          </cell>
          <cell r="D892" t="str">
            <v>1C</v>
          </cell>
          <cell r="E892" t="str">
            <v/>
          </cell>
          <cell r="F892" t="str">
            <v/>
          </cell>
          <cell r="G892" t="str">
            <v/>
          </cell>
          <cell r="H892">
            <v>0</v>
          </cell>
        </row>
        <row r="893">
          <cell r="B893">
            <v>6729</v>
          </cell>
          <cell r="C893" t="str">
            <v>Lowen; Elijah S</v>
          </cell>
          <cell r="D893" t="str">
            <v>1C</v>
          </cell>
          <cell r="E893" t="str">
            <v>IBEWOUT</v>
          </cell>
          <cell r="F893" t="str">
            <v>160</v>
          </cell>
          <cell r="G893" t="str">
            <v>17</v>
          </cell>
          <cell r="H893">
            <v>0</v>
          </cell>
        </row>
        <row r="894">
          <cell r="B894">
            <v>6730</v>
          </cell>
          <cell r="C894" t="str">
            <v>Loya; James S.</v>
          </cell>
          <cell r="D894" t="str">
            <v>1C</v>
          </cell>
          <cell r="E894" t="str">
            <v>IBEWOUT</v>
          </cell>
          <cell r="F894" t="str">
            <v>47</v>
          </cell>
          <cell r="G894" t="str">
            <v>8</v>
          </cell>
          <cell r="H894">
            <v>0</v>
          </cell>
        </row>
        <row r="895">
          <cell r="B895">
            <v>6737</v>
          </cell>
          <cell r="C895" t="str">
            <v>Luna; Matthew P</v>
          </cell>
          <cell r="D895" t="str">
            <v>1</v>
          </cell>
          <cell r="E895" t="str">
            <v>IBEWOUT</v>
          </cell>
          <cell r="F895" t="str">
            <v>47</v>
          </cell>
          <cell r="G895" t="str">
            <v>8</v>
          </cell>
          <cell r="H895">
            <v>0</v>
          </cell>
        </row>
        <row r="896">
          <cell r="B896">
            <v>6745</v>
          </cell>
          <cell r="C896" t="str">
            <v>Lynch; Andrew J.</v>
          </cell>
          <cell r="D896" t="str">
            <v>1C</v>
          </cell>
          <cell r="E896" t="str">
            <v>IBEWOUT</v>
          </cell>
          <cell r="F896" t="str">
            <v>77</v>
          </cell>
          <cell r="G896" t="str">
            <v>8</v>
          </cell>
          <cell r="H896">
            <v>0</v>
          </cell>
        </row>
        <row r="897">
          <cell r="B897">
            <v>6755</v>
          </cell>
          <cell r="C897" t="str">
            <v>Lulay; Brent D</v>
          </cell>
          <cell r="D897" t="str">
            <v>1C</v>
          </cell>
          <cell r="E897" t="str">
            <v>IBEWOUT</v>
          </cell>
          <cell r="F897" t="str">
            <v>125</v>
          </cell>
          <cell r="G897" t="str">
            <v>8</v>
          </cell>
          <cell r="H897">
            <v>0</v>
          </cell>
        </row>
        <row r="898">
          <cell r="B898">
            <v>6915</v>
          </cell>
          <cell r="C898" t="str">
            <v>MacDonald; Lance GK</v>
          </cell>
          <cell r="D898" t="str">
            <v>1C</v>
          </cell>
          <cell r="E898" t="str">
            <v>IBEWOUT</v>
          </cell>
          <cell r="F898" t="str">
            <v>1245</v>
          </cell>
          <cell r="G898" t="str">
            <v>8</v>
          </cell>
          <cell r="H898">
            <v>0</v>
          </cell>
        </row>
        <row r="899">
          <cell r="B899">
            <v>6916</v>
          </cell>
          <cell r="C899" t="str">
            <v>Macmillan; Jon S</v>
          </cell>
          <cell r="D899" t="str">
            <v>1</v>
          </cell>
          <cell r="E899" t="str">
            <v>IBEWOUT</v>
          </cell>
          <cell r="F899" t="str">
            <v>1245</v>
          </cell>
          <cell r="G899" t="str">
            <v>8</v>
          </cell>
          <cell r="H899">
            <v>0</v>
          </cell>
        </row>
        <row r="900">
          <cell r="B900">
            <v>6918</v>
          </cell>
          <cell r="C900" t="str">
            <v>MacKenzie; Amber</v>
          </cell>
          <cell r="D900" t="str">
            <v>1</v>
          </cell>
          <cell r="E900" t="str">
            <v/>
          </cell>
          <cell r="F900" t="str">
            <v/>
          </cell>
          <cell r="G900" t="str">
            <v/>
          </cell>
          <cell r="H900">
            <v>1</v>
          </cell>
        </row>
        <row r="901">
          <cell r="B901">
            <v>6919</v>
          </cell>
          <cell r="C901" t="str">
            <v>MacKenzie; Matt E.</v>
          </cell>
          <cell r="D901" t="str">
            <v>1</v>
          </cell>
          <cell r="E901" t="str">
            <v>IBEWOUT</v>
          </cell>
          <cell r="F901" t="str">
            <v>1245</v>
          </cell>
          <cell r="G901" t="str">
            <v>1</v>
          </cell>
          <cell r="H901">
            <v>1</v>
          </cell>
        </row>
        <row r="902">
          <cell r="B902">
            <v>6921</v>
          </cell>
          <cell r="C902" t="str">
            <v>Mackeprang; Jake R</v>
          </cell>
          <cell r="D902" t="str">
            <v>1C</v>
          </cell>
          <cell r="E902" t="str">
            <v>IBEWOUT</v>
          </cell>
          <cell r="F902" t="str">
            <v>160</v>
          </cell>
          <cell r="G902" t="str">
            <v>8</v>
          </cell>
          <cell r="H902">
            <v>0</v>
          </cell>
        </row>
        <row r="903">
          <cell r="B903">
            <v>6926</v>
          </cell>
          <cell r="C903" t="str">
            <v>MacMillan; Kandus WS</v>
          </cell>
          <cell r="D903" t="str">
            <v>1C</v>
          </cell>
          <cell r="E903" t="str">
            <v>IBEWOUT</v>
          </cell>
          <cell r="F903" t="str">
            <v>1245</v>
          </cell>
          <cell r="G903" t="str">
            <v>8</v>
          </cell>
          <cell r="H903">
            <v>0</v>
          </cell>
        </row>
        <row r="904">
          <cell r="B904">
            <v>6928</v>
          </cell>
          <cell r="C904" t="str">
            <v>Madden; Thomas P</v>
          </cell>
          <cell r="D904" t="str">
            <v>1C</v>
          </cell>
          <cell r="E904" t="str">
            <v>IBEWOUT</v>
          </cell>
          <cell r="F904" t="str">
            <v>1245</v>
          </cell>
          <cell r="G904" t="str">
            <v>8</v>
          </cell>
          <cell r="H904">
            <v>0</v>
          </cell>
        </row>
        <row r="905">
          <cell r="B905">
            <v>6930</v>
          </cell>
          <cell r="C905" t="str">
            <v>Maes; Daniel T.</v>
          </cell>
          <cell r="D905" t="str">
            <v>1C</v>
          </cell>
          <cell r="E905" t="str">
            <v>IBEWOUT</v>
          </cell>
          <cell r="F905" t="str">
            <v>611</v>
          </cell>
          <cell r="G905" t="str">
            <v>14</v>
          </cell>
          <cell r="H905">
            <v>0</v>
          </cell>
        </row>
        <row r="906">
          <cell r="B906">
            <v>6931</v>
          </cell>
          <cell r="C906" t="str">
            <v>Madison; Nathaniel T</v>
          </cell>
          <cell r="D906" t="str">
            <v>1</v>
          </cell>
          <cell r="E906" t="str">
            <v>IBEWOUT</v>
          </cell>
          <cell r="F906" t="str">
            <v>125</v>
          </cell>
          <cell r="G906" t="str">
            <v>7</v>
          </cell>
          <cell r="H906">
            <v>0</v>
          </cell>
        </row>
        <row r="907">
          <cell r="B907">
            <v>6948</v>
          </cell>
          <cell r="C907" t="str">
            <v>Maier; Bailey M</v>
          </cell>
          <cell r="D907" t="str">
            <v>1C</v>
          </cell>
          <cell r="E907" t="str">
            <v/>
          </cell>
          <cell r="F907" t="str">
            <v/>
          </cell>
          <cell r="G907" t="str">
            <v/>
          </cell>
          <cell r="H907">
            <v>0</v>
          </cell>
        </row>
        <row r="908">
          <cell r="B908">
            <v>6981</v>
          </cell>
          <cell r="C908" t="str">
            <v>Malik; Zeeshan M</v>
          </cell>
          <cell r="D908" t="str">
            <v>1C</v>
          </cell>
          <cell r="E908" t="str">
            <v>IBEWOUT</v>
          </cell>
          <cell r="F908" t="str">
            <v>611</v>
          </cell>
          <cell r="G908" t="str">
            <v>16</v>
          </cell>
          <cell r="H908">
            <v>0</v>
          </cell>
        </row>
        <row r="909">
          <cell r="B909">
            <v>6982</v>
          </cell>
          <cell r="C909" t="str">
            <v>Mallory; Loren C</v>
          </cell>
          <cell r="D909" t="str">
            <v>1</v>
          </cell>
          <cell r="E909" t="str">
            <v>IBEWOUT</v>
          </cell>
          <cell r="F909" t="str">
            <v>1245</v>
          </cell>
          <cell r="G909" t="str">
            <v>16</v>
          </cell>
          <cell r="H909">
            <v>0</v>
          </cell>
        </row>
        <row r="910">
          <cell r="B910">
            <v>6983</v>
          </cell>
          <cell r="C910" t="str">
            <v>Mallory; Nick V.</v>
          </cell>
          <cell r="D910" t="str">
            <v>1C</v>
          </cell>
          <cell r="E910" t="str">
            <v>IBEWOUT</v>
          </cell>
          <cell r="F910" t="str">
            <v>47</v>
          </cell>
          <cell r="G910" t="str">
            <v>8</v>
          </cell>
          <cell r="H910">
            <v>0</v>
          </cell>
        </row>
        <row r="911">
          <cell r="B911">
            <v>6984</v>
          </cell>
          <cell r="C911" t="str">
            <v>Malloy; John M.</v>
          </cell>
          <cell r="D911" t="str">
            <v>1C</v>
          </cell>
          <cell r="E911" t="str">
            <v>IBEWOUT</v>
          </cell>
          <cell r="F911" t="str">
            <v>1049</v>
          </cell>
          <cell r="G911" t="str">
            <v>8</v>
          </cell>
          <cell r="H911">
            <v>0</v>
          </cell>
        </row>
        <row r="912">
          <cell r="B912">
            <v>6985</v>
          </cell>
          <cell r="C912" t="str">
            <v>Maloney; Thane C.</v>
          </cell>
          <cell r="D912" t="str">
            <v>1C</v>
          </cell>
          <cell r="E912" t="str">
            <v>IBEWOUT</v>
          </cell>
          <cell r="F912" t="str">
            <v>1245</v>
          </cell>
          <cell r="G912" t="str">
            <v>16</v>
          </cell>
          <cell r="H912">
            <v>0</v>
          </cell>
        </row>
        <row r="913">
          <cell r="B913">
            <v>6986</v>
          </cell>
          <cell r="C913" t="str">
            <v>Mann; Justin M</v>
          </cell>
          <cell r="D913" t="str">
            <v>1C</v>
          </cell>
          <cell r="E913" t="str">
            <v>IBEWOUT</v>
          </cell>
          <cell r="F913" t="str">
            <v>160</v>
          </cell>
          <cell r="G913" t="str">
            <v>8</v>
          </cell>
          <cell r="H913">
            <v>0</v>
          </cell>
        </row>
        <row r="914">
          <cell r="B914">
            <v>6990</v>
          </cell>
          <cell r="C914" t="str">
            <v>Malinowski; Tristan S</v>
          </cell>
          <cell r="D914" t="str">
            <v>1</v>
          </cell>
          <cell r="E914" t="str">
            <v>IBEWOUT</v>
          </cell>
          <cell r="F914" t="str">
            <v>125</v>
          </cell>
          <cell r="G914" t="str">
            <v>12</v>
          </cell>
          <cell r="H914">
            <v>0</v>
          </cell>
        </row>
        <row r="915">
          <cell r="B915">
            <v>6994</v>
          </cell>
          <cell r="C915" t="str">
            <v>Mantei; Kody J</v>
          </cell>
          <cell r="D915" t="str">
            <v>1C</v>
          </cell>
          <cell r="E915" t="str">
            <v>IBEWOUT</v>
          </cell>
          <cell r="F915" t="str">
            <v>126</v>
          </cell>
          <cell r="G915" t="str">
            <v>33</v>
          </cell>
          <cell r="H915">
            <v>0</v>
          </cell>
        </row>
        <row r="916">
          <cell r="B916">
            <v>6998</v>
          </cell>
          <cell r="C916" t="str">
            <v>Mardis; Johnathan D</v>
          </cell>
          <cell r="D916" t="str">
            <v>1</v>
          </cell>
          <cell r="E916" t="str">
            <v/>
          </cell>
          <cell r="F916" t="str">
            <v/>
          </cell>
          <cell r="G916" t="str">
            <v/>
          </cell>
          <cell r="H916">
            <v>0</v>
          </cell>
        </row>
        <row r="917">
          <cell r="B917">
            <v>7000</v>
          </cell>
          <cell r="C917" t="str">
            <v>March; Patrick D</v>
          </cell>
          <cell r="D917" t="str">
            <v>1C</v>
          </cell>
          <cell r="E917" t="str">
            <v>IBEWOUT</v>
          </cell>
          <cell r="F917" t="str">
            <v>1245</v>
          </cell>
          <cell r="G917" t="str">
            <v>8</v>
          </cell>
          <cell r="H917">
            <v>0</v>
          </cell>
        </row>
        <row r="918">
          <cell r="B918">
            <v>7008</v>
          </cell>
          <cell r="C918" t="str">
            <v>Marley; Kyle C</v>
          </cell>
          <cell r="D918" t="str">
            <v>1C</v>
          </cell>
          <cell r="E918" t="str">
            <v>IBEWOUT</v>
          </cell>
          <cell r="F918" t="str">
            <v>611</v>
          </cell>
          <cell r="G918" t="str">
            <v>15</v>
          </cell>
          <cell r="H918">
            <v>0</v>
          </cell>
        </row>
        <row r="919">
          <cell r="B919">
            <v>7009</v>
          </cell>
          <cell r="C919" t="str">
            <v>Martinez; Hector R.</v>
          </cell>
          <cell r="D919" t="str">
            <v>1C</v>
          </cell>
          <cell r="E919" t="str">
            <v>IBEWOUT</v>
          </cell>
          <cell r="F919" t="str">
            <v>47</v>
          </cell>
          <cell r="G919" t="str">
            <v>60</v>
          </cell>
          <cell r="H919">
            <v>0</v>
          </cell>
        </row>
        <row r="920">
          <cell r="B920">
            <v>7010</v>
          </cell>
          <cell r="C920" t="str">
            <v>Marquis; Phillip E</v>
          </cell>
          <cell r="D920" t="str">
            <v>1C</v>
          </cell>
          <cell r="E920" t="str">
            <v>IBEWOUT</v>
          </cell>
          <cell r="F920" t="str">
            <v>611</v>
          </cell>
          <cell r="G920" t="str">
            <v>8</v>
          </cell>
          <cell r="H920">
            <v>0</v>
          </cell>
        </row>
        <row r="921">
          <cell r="B921">
            <v>7016</v>
          </cell>
          <cell r="C921" t="str">
            <v>Martin; Jason K.</v>
          </cell>
          <cell r="D921" t="str">
            <v>1C</v>
          </cell>
          <cell r="E921" t="str">
            <v>IBEWOUT</v>
          </cell>
          <cell r="F921" t="str">
            <v>1245</v>
          </cell>
          <cell r="G921" t="str">
            <v>8</v>
          </cell>
          <cell r="H921">
            <v>0</v>
          </cell>
        </row>
        <row r="922">
          <cell r="B922">
            <v>7017</v>
          </cell>
          <cell r="C922" t="str">
            <v>Martinez; Ruben Michael</v>
          </cell>
          <cell r="D922" t="str">
            <v>1C</v>
          </cell>
          <cell r="E922" t="str">
            <v/>
          </cell>
          <cell r="F922" t="str">
            <v/>
          </cell>
          <cell r="G922" t="str">
            <v/>
          </cell>
          <cell r="H922">
            <v>1</v>
          </cell>
        </row>
        <row r="923">
          <cell r="B923">
            <v>7019</v>
          </cell>
          <cell r="C923" t="str">
            <v>Martinez-Verela; Gerardo</v>
          </cell>
          <cell r="D923" t="str">
            <v>1C</v>
          </cell>
          <cell r="E923" t="str">
            <v>IBEWOUT</v>
          </cell>
          <cell r="F923" t="str">
            <v>1245</v>
          </cell>
          <cell r="G923" t="str">
            <v>13</v>
          </cell>
          <cell r="H923">
            <v>0</v>
          </cell>
        </row>
        <row r="924">
          <cell r="B924">
            <v>7021</v>
          </cell>
          <cell r="C924" t="str">
            <v>Marquez; Vincent A</v>
          </cell>
          <cell r="D924" t="str">
            <v>1C</v>
          </cell>
          <cell r="E924" t="str">
            <v>IBEWOUT</v>
          </cell>
          <cell r="F924" t="str">
            <v>611</v>
          </cell>
          <cell r="G924" t="str">
            <v>18</v>
          </cell>
          <cell r="H924">
            <v>0</v>
          </cell>
        </row>
        <row r="925">
          <cell r="B925">
            <v>7023</v>
          </cell>
          <cell r="C925" t="str">
            <v>Marvin; Kelly J</v>
          </cell>
          <cell r="D925" t="str">
            <v>1C</v>
          </cell>
          <cell r="E925" t="str">
            <v>IBEWOUT</v>
          </cell>
          <cell r="F925" t="str">
            <v>1245</v>
          </cell>
          <cell r="G925" t="str">
            <v>7</v>
          </cell>
          <cell r="H925">
            <v>0</v>
          </cell>
        </row>
        <row r="926">
          <cell r="B926">
            <v>7024</v>
          </cell>
          <cell r="C926" t="str">
            <v>Massiatte; Joseph B</v>
          </cell>
          <cell r="D926" t="str">
            <v>1C</v>
          </cell>
          <cell r="E926" t="str">
            <v>IBEWOUT</v>
          </cell>
          <cell r="F926" t="str">
            <v>769</v>
          </cell>
          <cell r="G926" t="str">
            <v>8</v>
          </cell>
          <cell r="H926">
            <v>0</v>
          </cell>
        </row>
        <row r="927">
          <cell r="B927">
            <v>7026</v>
          </cell>
          <cell r="C927" t="str">
            <v>Massei; Anthony Joseph</v>
          </cell>
          <cell r="D927" t="str">
            <v>1C</v>
          </cell>
          <cell r="E927" t="str">
            <v/>
          </cell>
          <cell r="F927" t="str">
            <v/>
          </cell>
          <cell r="G927" t="str">
            <v/>
          </cell>
          <cell r="H927">
            <v>1</v>
          </cell>
        </row>
        <row r="928">
          <cell r="B928">
            <v>7027</v>
          </cell>
          <cell r="C928" t="str">
            <v>Marquez; Jorge</v>
          </cell>
          <cell r="D928" t="str">
            <v>1C</v>
          </cell>
          <cell r="E928" t="str">
            <v>IBEWOUT</v>
          </cell>
          <cell r="F928" t="str">
            <v>47</v>
          </cell>
          <cell r="G928" t="str">
            <v>15</v>
          </cell>
          <cell r="H928">
            <v>0</v>
          </cell>
        </row>
        <row r="929">
          <cell r="B929">
            <v>7031</v>
          </cell>
          <cell r="C929" t="str">
            <v>Martinez; Richard D.</v>
          </cell>
          <cell r="D929" t="str">
            <v>1C</v>
          </cell>
          <cell r="E929" t="str">
            <v>IBEWOUT</v>
          </cell>
          <cell r="F929" t="str">
            <v>611</v>
          </cell>
          <cell r="G929" t="str">
            <v>8</v>
          </cell>
          <cell r="H929">
            <v>0</v>
          </cell>
        </row>
        <row r="930">
          <cell r="B930">
            <v>7034</v>
          </cell>
          <cell r="C930" t="str">
            <v>Martinez; Adam L</v>
          </cell>
          <cell r="D930" t="str">
            <v>1</v>
          </cell>
          <cell r="E930" t="str">
            <v>IBEWOUT</v>
          </cell>
          <cell r="F930" t="str">
            <v>611</v>
          </cell>
          <cell r="G930" t="str">
            <v>8</v>
          </cell>
          <cell r="H930">
            <v>0</v>
          </cell>
        </row>
        <row r="931">
          <cell r="B931">
            <v>7035</v>
          </cell>
          <cell r="C931" t="str">
            <v>Martinez; Christian</v>
          </cell>
          <cell r="D931" t="str">
            <v>1C</v>
          </cell>
          <cell r="E931" t="str">
            <v>IBEWOUT</v>
          </cell>
          <cell r="F931" t="str">
            <v>611</v>
          </cell>
          <cell r="G931" t="str">
            <v>12</v>
          </cell>
          <cell r="H931">
            <v>0</v>
          </cell>
        </row>
        <row r="932">
          <cell r="B932">
            <v>7042</v>
          </cell>
          <cell r="C932" t="str">
            <v>Marshall III; Robert R</v>
          </cell>
          <cell r="D932" t="str">
            <v>1C</v>
          </cell>
          <cell r="E932" t="str">
            <v>IBEWOUT</v>
          </cell>
          <cell r="F932" t="str">
            <v>1245</v>
          </cell>
          <cell r="G932" t="str">
            <v>8</v>
          </cell>
          <cell r="H932">
            <v>0</v>
          </cell>
        </row>
        <row r="933">
          <cell r="B933">
            <v>7063</v>
          </cell>
          <cell r="C933" t="str">
            <v>Mata; Adam N.</v>
          </cell>
          <cell r="D933" t="str">
            <v>1</v>
          </cell>
          <cell r="E933" t="str">
            <v>IBEWOUT</v>
          </cell>
          <cell r="F933" t="str">
            <v>70</v>
          </cell>
          <cell r="G933" t="str">
            <v>16</v>
          </cell>
          <cell r="H933">
            <v>1</v>
          </cell>
        </row>
        <row r="934">
          <cell r="B934">
            <v>7074</v>
          </cell>
          <cell r="C934" t="str">
            <v>Mayer; Donald Patrick</v>
          </cell>
          <cell r="D934" t="str">
            <v>1C</v>
          </cell>
          <cell r="E934" t="str">
            <v>IBEWOUT</v>
          </cell>
          <cell r="F934" t="str">
            <v>769</v>
          </cell>
          <cell r="G934" t="str">
            <v>8</v>
          </cell>
          <cell r="H934">
            <v>0</v>
          </cell>
        </row>
        <row r="935">
          <cell r="B935">
            <v>7081</v>
          </cell>
          <cell r="C935" t="str">
            <v>Martin; Ryan P</v>
          </cell>
          <cell r="D935" t="str">
            <v>1</v>
          </cell>
          <cell r="E935" t="str">
            <v>IBEWOUT</v>
          </cell>
          <cell r="F935" t="str">
            <v>70</v>
          </cell>
          <cell r="G935" t="str">
            <v>16</v>
          </cell>
          <cell r="H935">
            <v>0</v>
          </cell>
        </row>
        <row r="936">
          <cell r="B936">
            <v>7082</v>
          </cell>
          <cell r="C936" t="str">
            <v>Maryboy; Leo Harvey</v>
          </cell>
          <cell r="D936" t="str">
            <v>1C</v>
          </cell>
          <cell r="E936" t="str">
            <v>IBEWOUT</v>
          </cell>
          <cell r="F936" t="str">
            <v>47</v>
          </cell>
          <cell r="G936" t="str">
            <v>8</v>
          </cell>
          <cell r="H936">
            <v>0</v>
          </cell>
        </row>
        <row r="937">
          <cell r="B937">
            <v>7084</v>
          </cell>
          <cell r="C937" t="str">
            <v>Mathias; Shawn Bryan</v>
          </cell>
          <cell r="D937" t="str">
            <v>1C</v>
          </cell>
          <cell r="E937" t="str">
            <v>IBEWOUT</v>
          </cell>
          <cell r="F937" t="str">
            <v>77</v>
          </cell>
          <cell r="G937" t="str">
            <v>8</v>
          </cell>
          <cell r="H937">
            <v>0</v>
          </cell>
        </row>
        <row r="938">
          <cell r="B938">
            <v>7086</v>
          </cell>
          <cell r="C938" t="str">
            <v>Martinez; Edward</v>
          </cell>
          <cell r="D938" t="str">
            <v>1C</v>
          </cell>
          <cell r="E938" t="str">
            <v>IBEWOUT</v>
          </cell>
          <cell r="F938" t="str">
            <v>1245</v>
          </cell>
          <cell r="G938" t="str">
            <v>18</v>
          </cell>
          <cell r="H938">
            <v>0</v>
          </cell>
        </row>
        <row r="939">
          <cell r="B939">
            <v>7087</v>
          </cell>
          <cell r="C939" t="str">
            <v>Marsh; Jeffrey A</v>
          </cell>
          <cell r="D939" t="str">
            <v>1C</v>
          </cell>
          <cell r="E939" t="str">
            <v>IBEWOUT</v>
          </cell>
          <cell r="F939" t="str">
            <v>160</v>
          </cell>
          <cell r="G939" t="str">
            <v>8</v>
          </cell>
          <cell r="H939">
            <v>0</v>
          </cell>
        </row>
        <row r="940">
          <cell r="B940">
            <v>7088</v>
          </cell>
          <cell r="C940" t="str">
            <v>Dean; Marvin</v>
          </cell>
          <cell r="D940" t="str">
            <v>1C</v>
          </cell>
          <cell r="E940" t="str">
            <v>IBEWOUT</v>
          </cell>
          <cell r="F940" t="str">
            <v>47</v>
          </cell>
          <cell r="G940" t="str">
            <v>8</v>
          </cell>
          <cell r="H940">
            <v>0</v>
          </cell>
        </row>
        <row r="941">
          <cell r="B941">
            <v>7090</v>
          </cell>
          <cell r="C941" t="str">
            <v>Martinez; Eddie</v>
          </cell>
          <cell r="D941" t="str">
            <v>1C</v>
          </cell>
          <cell r="E941" t="str">
            <v>IBEWOUT</v>
          </cell>
          <cell r="F941" t="str">
            <v>47</v>
          </cell>
          <cell r="G941" t="str">
            <v>17</v>
          </cell>
          <cell r="H941">
            <v>0</v>
          </cell>
        </row>
        <row r="942">
          <cell r="B942">
            <v>7091</v>
          </cell>
          <cell r="C942" t="str">
            <v>Mawhinney; Matthew Perin</v>
          </cell>
          <cell r="D942" t="str">
            <v>1C</v>
          </cell>
          <cell r="E942" t="str">
            <v>IBEWOUT</v>
          </cell>
          <cell r="F942" t="str">
            <v>769</v>
          </cell>
          <cell r="G942" t="str">
            <v>8</v>
          </cell>
          <cell r="H942">
            <v>0</v>
          </cell>
        </row>
        <row r="943">
          <cell r="B943">
            <v>7097</v>
          </cell>
          <cell r="C943" t="str">
            <v>Martin; Patrick W</v>
          </cell>
          <cell r="D943" t="str">
            <v>1C</v>
          </cell>
          <cell r="E943" t="str">
            <v>IBEWOUT</v>
          </cell>
          <cell r="F943" t="str">
            <v>1245</v>
          </cell>
          <cell r="G943" t="str">
            <v>14</v>
          </cell>
          <cell r="H943">
            <v>0</v>
          </cell>
        </row>
        <row r="944">
          <cell r="B944">
            <v>7098</v>
          </cell>
          <cell r="C944" t="str">
            <v>Mazza; Bryan P</v>
          </cell>
          <cell r="D944" t="str">
            <v>1C</v>
          </cell>
          <cell r="E944" t="str">
            <v>IBEWOUT</v>
          </cell>
          <cell r="F944" t="str">
            <v>1245</v>
          </cell>
          <cell r="G944" t="str">
            <v>8</v>
          </cell>
          <cell r="H944">
            <v>0</v>
          </cell>
        </row>
        <row r="945">
          <cell r="B945">
            <v>7099</v>
          </cell>
          <cell r="C945" t="str">
            <v>Martin; Lucas D</v>
          </cell>
          <cell r="D945" t="str">
            <v>1C</v>
          </cell>
          <cell r="E945" t="str">
            <v>IBEWOUT</v>
          </cell>
          <cell r="F945" t="str">
            <v>47</v>
          </cell>
          <cell r="G945" t="str">
            <v>8</v>
          </cell>
          <cell r="H945">
            <v>0</v>
          </cell>
        </row>
        <row r="946">
          <cell r="B946">
            <v>7256</v>
          </cell>
          <cell r="C946" t="str">
            <v>McBride; Joshua L.</v>
          </cell>
          <cell r="D946" t="str">
            <v>1</v>
          </cell>
          <cell r="E946" t="str">
            <v/>
          </cell>
          <cell r="F946" t="str">
            <v/>
          </cell>
          <cell r="G946" t="str">
            <v/>
          </cell>
          <cell r="H946">
            <v>1</v>
          </cell>
        </row>
        <row r="947">
          <cell r="B947">
            <v>7257</v>
          </cell>
          <cell r="C947" t="str">
            <v>McBride; Michael J.</v>
          </cell>
          <cell r="D947" t="str">
            <v>1</v>
          </cell>
          <cell r="E947" t="str">
            <v>IBEWOUT</v>
          </cell>
          <cell r="F947" t="str">
            <v>77</v>
          </cell>
          <cell r="G947" t="str">
            <v>7</v>
          </cell>
          <cell r="H947">
            <v>0</v>
          </cell>
        </row>
        <row r="948">
          <cell r="B948">
            <v>7268</v>
          </cell>
          <cell r="C948" t="str">
            <v>McClain; Peter R</v>
          </cell>
          <cell r="D948" t="str">
            <v>1C</v>
          </cell>
          <cell r="E948" t="str">
            <v>IBEWOUT</v>
          </cell>
          <cell r="F948" t="str">
            <v>1245</v>
          </cell>
          <cell r="G948" t="str">
            <v>8</v>
          </cell>
          <cell r="H948">
            <v>0</v>
          </cell>
        </row>
        <row r="949">
          <cell r="B949">
            <v>7269</v>
          </cell>
          <cell r="C949" t="str">
            <v>McClaflin; Barrett M</v>
          </cell>
          <cell r="D949" t="str">
            <v>1C</v>
          </cell>
          <cell r="E949" t="str">
            <v>IBEWOUT</v>
          </cell>
          <cell r="F949" t="str">
            <v>1245</v>
          </cell>
          <cell r="G949" t="str">
            <v>8</v>
          </cell>
          <cell r="H949">
            <v>0</v>
          </cell>
        </row>
        <row r="950">
          <cell r="B950">
            <v>7270</v>
          </cell>
          <cell r="C950" t="str">
            <v>McCarver; Shawn M.</v>
          </cell>
          <cell r="D950" t="str">
            <v>1C</v>
          </cell>
          <cell r="E950" t="str">
            <v>IBEWOUT</v>
          </cell>
          <cell r="F950" t="str">
            <v>611</v>
          </cell>
          <cell r="G950" t="str">
            <v>8</v>
          </cell>
          <cell r="H950">
            <v>0</v>
          </cell>
        </row>
        <row r="951">
          <cell r="B951">
            <v>7273</v>
          </cell>
          <cell r="C951" t="str">
            <v>McCarty; Christopher M</v>
          </cell>
          <cell r="D951" t="str">
            <v>1C</v>
          </cell>
          <cell r="E951" t="str">
            <v/>
          </cell>
          <cell r="F951" t="str">
            <v/>
          </cell>
          <cell r="G951" t="str">
            <v/>
          </cell>
          <cell r="H951">
            <v>1</v>
          </cell>
        </row>
        <row r="952">
          <cell r="B952">
            <v>7278</v>
          </cell>
          <cell r="C952" t="str">
            <v>McCool; Trent W</v>
          </cell>
          <cell r="D952" t="str">
            <v>1C</v>
          </cell>
          <cell r="E952" t="str">
            <v>IBEWOUT</v>
          </cell>
          <cell r="F952" t="str">
            <v>769</v>
          </cell>
          <cell r="G952" t="str">
            <v>8</v>
          </cell>
          <cell r="H952">
            <v>0</v>
          </cell>
        </row>
        <row r="953">
          <cell r="B953">
            <v>7284</v>
          </cell>
          <cell r="C953" t="str">
            <v>McCall; Daveion M</v>
          </cell>
          <cell r="D953" t="str">
            <v>1C</v>
          </cell>
          <cell r="E953" t="str">
            <v>IBEWOUT</v>
          </cell>
          <cell r="F953" t="str">
            <v>47</v>
          </cell>
          <cell r="G953" t="str">
            <v>14</v>
          </cell>
          <cell r="H953">
            <v>0</v>
          </cell>
        </row>
        <row r="954">
          <cell r="B954">
            <v>7285</v>
          </cell>
          <cell r="C954" t="str">
            <v>McCallum; Pyper L</v>
          </cell>
          <cell r="D954" t="str">
            <v>1</v>
          </cell>
          <cell r="E954" t="str">
            <v>IBEWOUT</v>
          </cell>
          <cell r="F954" t="str">
            <v>125</v>
          </cell>
          <cell r="G954" t="str">
            <v>8</v>
          </cell>
          <cell r="H954">
            <v>0</v>
          </cell>
        </row>
        <row r="955">
          <cell r="B955">
            <v>7292</v>
          </cell>
          <cell r="C955" t="str">
            <v>McClellan; John Clark</v>
          </cell>
          <cell r="D955" t="str">
            <v>1C</v>
          </cell>
          <cell r="E955" t="str">
            <v/>
          </cell>
          <cell r="F955" t="str">
            <v/>
          </cell>
          <cell r="G955" t="str">
            <v/>
          </cell>
          <cell r="H955">
            <v>1</v>
          </cell>
        </row>
        <row r="956">
          <cell r="B956">
            <v>7294</v>
          </cell>
          <cell r="C956" t="str">
            <v>McCloskey; Robert J</v>
          </cell>
          <cell r="D956" t="str">
            <v>1C</v>
          </cell>
          <cell r="E956" t="str">
            <v/>
          </cell>
          <cell r="F956" t="str">
            <v/>
          </cell>
          <cell r="G956" t="str">
            <v/>
          </cell>
          <cell r="H956">
            <v>0</v>
          </cell>
        </row>
        <row r="957">
          <cell r="B957">
            <v>7296</v>
          </cell>
          <cell r="C957" t="str">
            <v>McCoy; Christopher D</v>
          </cell>
          <cell r="D957" t="str">
            <v>1</v>
          </cell>
          <cell r="E957" t="str">
            <v>IBEWOUT</v>
          </cell>
          <cell r="F957" t="str">
            <v>77</v>
          </cell>
          <cell r="G957" t="str">
            <v>8</v>
          </cell>
          <cell r="H957">
            <v>0</v>
          </cell>
        </row>
        <row r="958">
          <cell r="B958">
            <v>7324</v>
          </cell>
          <cell r="C958" t="str">
            <v>McElwain; Devin S</v>
          </cell>
          <cell r="D958" t="str">
            <v>1C</v>
          </cell>
          <cell r="E958" t="str">
            <v>IBEWOUT</v>
          </cell>
          <cell r="F958" t="str">
            <v>47</v>
          </cell>
          <cell r="G958" t="str">
            <v>16</v>
          </cell>
          <cell r="H958">
            <v>0</v>
          </cell>
        </row>
        <row r="959">
          <cell r="B959">
            <v>7340</v>
          </cell>
          <cell r="C959" t="str">
            <v>McGahan; Brandt M</v>
          </cell>
          <cell r="D959" t="str">
            <v>1</v>
          </cell>
          <cell r="E959" t="str">
            <v>IBEWOUT</v>
          </cell>
          <cell r="F959" t="str">
            <v>1245</v>
          </cell>
          <cell r="G959" t="str">
            <v>8</v>
          </cell>
          <cell r="H959">
            <v>0</v>
          </cell>
        </row>
        <row r="960">
          <cell r="B960">
            <v>7346</v>
          </cell>
          <cell r="C960" t="str">
            <v>McKee; James J.</v>
          </cell>
          <cell r="D960" t="str">
            <v>1C</v>
          </cell>
          <cell r="E960" t="str">
            <v>IBEWOUT</v>
          </cell>
          <cell r="F960" t="str">
            <v>47</v>
          </cell>
          <cell r="G960" t="str">
            <v>7</v>
          </cell>
          <cell r="H960">
            <v>0</v>
          </cell>
        </row>
        <row r="961">
          <cell r="B961">
            <v>7347</v>
          </cell>
          <cell r="C961" t="str">
            <v>McKernan; Shane C</v>
          </cell>
          <cell r="D961" t="str">
            <v>1C</v>
          </cell>
          <cell r="E961" t="str">
            <v>IBEWOUT</v>
          </cell>
          <cell r="F961" t="str">
            <v>1319</v>
          </cell>
          <cell r="G961" t="str">
            <v>13</v>
          </cell>
          <cell r="H961">
            <v>0</v>
          </cell>
        </row>
        <row r="962">
          <cell r="B962">
            <v>7348</v>
          </cell>
          <cell r="C962" t="str">
            <v>McKenna; Thomas</v>
          </cell>
          <cell r="D962" t="str">
            <v>1C</v>
          </cell>
          <cell r="E962" t="str">
            <v>IBEWIN</v>
          </cell>
          <cell r="F962" t="str">
            <v>280</v>
          </cell>
          <cell r="G962" t="str">
            <v>62</v>
          </cell>
          <cell r="H962">
            <v>0</v>
          </cell>
        </row>
        <row r="963">
          <cell r="B963">
            <v>7349</v>
          </cell>
          <cell r="C963" t="str">
            <v>McKenna; James E</v>
          </cell>
          <cell r="D963" t="str">
            <v>1C</v>
          </cell>
          <cell r="E963" t="str">
            <v>IBEWOUT</v>
          </cell>
          <cell r="F963" t="str">
            <v>1245</v>
          </cell>
          <cell r="G963" t="str">
            <v>17</v>
          </cell>
          <cell r="H963">
            <v>0</v>
          </cell>
        </row>
        <row r="964">
          <cell r="B964">
            <v>7351</v>
          </cell>
          <cell r="C964" t="str">
            <v>McIlwain; Stanley</v>
          </cell>
          <cell r="D964" t="str">
            <v>1C</v>
          </cell>
          <cell r="E964" t="str">
            <v>IBEWOUT</v>
          </cell>
          <cell r="F964" t="str">
            <v>769</v>
          </cell>
          <cell r="G964" t="str">
            <v>8</v>
          </cell>
          <cell r="H964">
            <v>0</v>
          </cell>
        </row>
        <row r="965">
          <cell r="B965">
            <v>7360</v>
          </cell>
          <cell r="C965" t="str">
            <v>McGinnis; Michael J.</v>
          </cell>
          <cell r="D965" t="str">
            <v>1</v>
          </cell>
          <cell r="E965" t="str">
            <v/>
          </cell>
          <cell r="F965" t="str">
            <v/>
          </cell>
          <cell r="G965" t="str">
            <v/>
          </cell>
          <cell r="H965">
            <v>1</v>
          </cell>
        </row>
        <row r="966">
          <cell r="B966">
            <v>7361</v>
          </cell>
          <cell r="C966" t="str">
            <v>McHuen; Richard C</v>
          </cell>
          <cell r="D966" t="str">
            <v>1C</v>
          </cell>
          <cell r="E966" t="str">
            <v>IBEWOUT</v>
          </cell>
          <cell r="F966" t="str">
            <v>1245</v>
          </cell>
          <cell r="G966" t="str">
            <v>8</v>
          </cell>
          <cell r="H966">
            <v>0</v>
          </cell>
        </row>
        <row r="967">
          <cell r="B967">
            <v>7362</v>
          </cell>
          <cell r="C967" t="str">
            <v>McGinnis; Terry Scott</v>
          </cell>
          <cell r="D967" t="str">
            <v>1C</v>
          </cell>
          <cell r="E967" t="str">
            <v>IBEWOUT</v>
          </cell>
          <cell r="F967" t="str">
            <v>769</v>
          </cell>
          <cell r="G967" t="str">
            <v>20</v>
          </cell>
          <cell r="H967">
            <v>0</v>
          </cell>
        </row>
        <row r="968">
          <cell r="B968">
            <v>7364</v>
          </cell>
          <cell r="C968" t="str">
            <v>McIntire; Robert Joe</v>
          </cell>
          <cell r="D968" t="str">
            <v>1</v>
          </cell>
          <cell r="E968" t="str">
            <v>IBEWOUT</v>
          </cell>
          <cell r="F968" t="str">
            <v>47</v>
          </cell>
          <cell r="G968" t="str">
            <v>1</v>
          </cell>
          <cell r="H968">
            <v>1</v>
          </cell>
        </row>
        <row r="969">
          <cell r="B969">
            <v>7367</v>
          </cell>
          <cell r="C969" t="str">
            <v>McInnes; Charles B</v>
          </cell>
          <cell r="D969" t="str">
            <v>1</v>
          </cell>
          <cell r="E969" t="str">
            <v/>
          </cell>
          <cell r="F969" t="str">
            <v/>
          </cell>
          <cell r="G969" t="str">
            <v/>
          </cell>
          <cell r="H969">
            <v>0</v>
          </cell>
        </row>
        <row r="970">
          <cell r="B970">
            <v>7385</v>
          </cell>
          <cell r="C970" t="str">
            <v>McNally; Sean T</v>
          </cell>
          <cell r="D970" t="str">
            <v>1C</v>
          </cell>
          <cell r="E970" t="str">
            <v>IBEWOUT</v>
          </cell>
          <cell r="F970" t="str">
            <v>47</v>
          </cell>
          <cell r="G970" t="str">
            <v>8</v>
          </cell>
          <cell r="H970">
            <v>0</v>
          </cell>
        </row>
        <row r="971">
          <cell r="B971">
            <v>7388</v>
          </cell>
          <cell r="C971" t="str">
            <v>McNiven; Kirk F</v>
          </cell>
          <cell r="D971" t="str">
            <v>1C</v>
          </cell>
          <cell r="E971" t="str">
            <v>IBEWOUT</v>
          </cell>
          <cell r="F971" t="str">
            <v>1245</v>
          </cell>
          <cell r="G971" t="str">
            <v>8</v>
          </cell>
          <cell r="H971">
            <v>0</v>
          </cell>
        </row>
        <row r="972">
          <cell r="B972">
            <v>7390</v>
          </cell>
          <cell r="C972" t="str">
            <v>McManus; Jessie E</v>
          </cell>
          <cell r="D972" t="str">
            <v>1C</v>
          </cell>
          <cell r="E972" t="str">
            <v>IBEWOUT</v>
          </cell>
          <cell r="F972" t="str">
            <v>1245</v>
          </cell>
          <cell r="G972" t="str">
            <v>9</v>
          </cell>
          <cell r="H972">
            <v>0</v>
          </cell>
        </row>
        <row r="973">
          <cell r="B973">
            <v>7391</v>
          </cell>
          <cell r="C973" t="str">
            <v>McPhail; Matthew P</v>
          </cell>
          <cell r="D973" t="str">
            <v>1C</v>
          </cell>
          <cell r="E973" t="str">
            <v>IBEWOUT</v>
          </cell>
          <cell r="F973" t="str">
            <v>1245</v>
          </cell>
          <cell r="G973" t="str">
            <v>8</v>
          </cell>
          <cell r="H973">
            <v>0</v>
          </cell>
        </row>
        <row r="974">
          <cell r="B974">
            <v>7392</v>
          </cell>
          <cell r="C974" t="str">
            <v>McKinley; Don R</v>
          </cell>
          <cell r="D974" t="str">
            <v>1</v>
          </cell>
          <cell r="E974" t="str">
            <v>IBEWOUT</v>
          </cell>
          <cell r="F974" t="str">
            <v>1245</v>
          </cell>
          <cell r="G974" t="str">
            <v>7</v>
          </cell>
          <cell r="H974">
            <v>0</v>
          </cell>
        </row>
        <row r="975">
          <cell r="B975">
            <v>7394</v>
          </cell>
          <cell r="C975" t="str">
            <v>McPherson; Martin L</v>
          </cell>
          <cell r="D975" t="str">
            <v>1C</v>
          </cell>
          <cell r="E975" t="str">
            <v/>
          </cell>
          <cell r="F975" t="str">
            <v/>
          </cell>
          <cell r="G975" t="str">
            <v/>
          </cell>
          <cell r="H975">
            <v>0</v>
          </cell>
        </row>
        <row r="976">
          <cell r="B976">
            <v>7450</v>
          </cell>
          <cell r="C976" t="str">
            <v>McWhorter II; Gary R</v>
          </cell>
          <cell r="D976" t="str">
            <v>1C</v>
          </cell>
          <cell r="E976" t="str">
            <v>IBEWOUT</v>
          </cell>
          <cell r="F976" t="str">
            <v>769</v>
          </cell>
          <cell r="G976" t="str">
            <v>8</v>
          </cell>
          <cell r="H976">
            <v>0</v>
          </cell>
        </row>
        <row r="977">
          <cell r="B977">
            <v>7451</v>
          </cell>
          <cell r="C977" t="str">
            <v>McMillan; Tracy</v>
          </cell>
          <cell r="D977" t="str">
            <v>1</v>
          </cell>
          <cell r="E977" t="str">
            <v>IBEWOUT</v>
          </cell>
          <cell r="F977" t="str">
            <v>47</v>
          </cell>
          <cell r="G977" t="str">
            <v>8</v>
          </cell>
          <cell r="H977">
            <v>0</v>
          </cell>
        </row>
        <row r="978">
          <cell r="B978">
            <v>7474</v>
          </cell>
          <cell r="C978" t="str">
            <v>Del Medico; Trevor L</v>
          </cell>
          <cell r="D978" t="str">
            <v>1</v>
          </cell>
          <cell r="E978" t="str">
            <v>IBEWOUT</v>
          </cell>
          <cell r="F978" t="str">
            <v>77</v>
          </cell>
          <cell r="G978" t="str">
            <v>8</v>
          </cell>
          <cell r="H978">
            <v>0</v>
          </cell>
        </row>
        <row r="979">
          <cell r="B979">
            <v>7475</v>
          </cell>
          <cell r="C979" t="str">
            <v>Medina; Juan M</v>
          </cell>
          <cell r="D979" t="str">
            <v>1</v>
          </cell>
          <cell r="E979" t="str">
            <v/>
          </cell>
          <cell r="F979" t="str">
            <v/>
          </cell>
          <cell r="G979" t="str">
            <v/>
          </cell>
          <cell r="H979">
            <v>0</v>
          </cell>
        </row>
        <row r="980">
          <cell r="B980">
            <v>7477</v>
          </cell>
          <cell r="C980" t="str">
            <v>Medrano; Uriel A</v>
          </cell>
          <cell r="D980" t="str">
            <v>1C</v>
          </cell>
          <cell r="E980" t="str">
            <v>IBEWOUT</v>
          </cell>
          <cell r="F980" t="str">
            <v>77</v>
          </cell>
          <cell r="G980" t="str">
            <v>8</v>
          </cell>
          <cell r="H980">
            <v>0</v>
          </cell>
        </row>
        <row r="981">
          <cell r="B981">
            <v>7481</v>
          </cell>
          <cell r="C981" t="str">
            <v>Meeks; Terry N</v>
          </cell>
          <cell r="D981" t="str">
            <v>1C</v>
          </cell>
          <cell r="E981" t="str">
            <v>IBEWOUT</v>
          </cell>
          <cell r="F981" t="str">
            <v>602R</v>
          </cell>
          <cell r="G981" t="str">
            <v>8</v>
          </cell>
          <cell r="H981">
            <v>0</v>
          </cell>
        </row>
        <row r="982">
          <cell r="B982">
            <v>7488</v>
          </cell>
          <cell r="C982" t="str">
            <v>Merritt; Bryan Thomas</v>
          </cell>
          <cell r="D982" t="str">
            <v>1C</v>
          </cell>
          <cell r="E982" t="str">
            <v>IBEWOUT</v>
          </cell>
          <cell r="F982" t="str">
            <v>769</v>
          </cell>
          <cell r="G982" t="str">
            <v>22</v>
          </cell>
          <cell r="H982">
            <v>0</v>
          </cell>
        </row>
        <row r="983">
          <cell r="B983">
            <v>7489</v>
          </cell>
          <cell r="C983" t="str">
            <v>Melanson; Peter E</v>
          </cell>
          <cell r="D983" t="str">
            <v>1C</v>
          </cell>
          <cell r="E983" t="str">
            <v>IBEWOUT</v>
          </cell>
          <cell r="F983" t="str">
            <v>1049</v>
          </cell>
          <cell r="G983" t="str">
            <v>7</v>
          </cell>
          <cell r="H983">
            <v>0</v>
          </cell>
        </row>
        <row r="984">
          <cell r="B984">
            <v>7490</v>
          </cell>
          <cell r="C984" t="str">
            <v>Meyer; Kristopher A</v>
          </cell>
          <cell r="D984" t="str">
            <v>1C</v>
          </cell>
          <cell r="E984" t="str">
            <v>IBEWOUT</v>
          </cell>
          <cell r="F984" t="str">
            <v>611</v>
          </cell>
          <cell r="G984" t="str">
            <v>18</v>
          </cell>
          <cell r="H984">
            <v>0</v>
          </cell>
        </row>
        <row r="985">
          <cell r="B985">
            <v>7492</v>
          </cell>
          <cell r="C985" t="str">
            <v>Mejia; Armando T</v>
          </cell>
          <cell r="D985" t="str">
            <v>1C</v>
          </cell>
          <cell r="E985" t="str">
            <v>IBEWOUT</v>
          </cell>
          <cell r="F985" t="str">
            <v>47</v>
          </cell>
          <cell r="G985" t="str">
            <v>17</v>
          </cell>
          <cell r="H985">
            <v>0</v>
          </cell>
        </row>
        <row r="986">
          <cell r="B986">
            <v>7497</v>
          </cell>
          <cell r="C986" t="str">
            <v>Mendez; Richard M</v>
          </cell>
          <cell r="D986" t="str">
            <v>1C</v>
          </cell>
          <cell r="E986" t="str">
            <v>IBEWOUT</v>
          </cell>
          <cell r="F986" t="str">
            <v>611</v>
          </cell>
          <cell r="G986" t="str">
            <v>14</v>
          </cell>
          <cell r="H986">
            <v>0</v>
          </cell>
        </row>
        <row r="987">
          <cell r="B987">
            <v>7498</v>
          </cell>
          <cell r="C987" t="str">
            <v>Mendoza; Felipe A</v>
          </cell>
          <cell r="D987" t="str">
            <v>1C</v>
          </cell>
          <cell r="E987" t="str">
            <v>IBEWOUT</v>
          </cell>
          <cell r="F987" t="str">
            <v>1245</v>
          </cell>
          <cell r="G987" t="str">
            <v>7</v>
          </cell>
          <cell r="H987">
            <v>0</v>
          </cell>
        </row>
        <row r="988">
          <cell r="B988">
            <v>7508</v>
          </cell>
          <cell r="C988" t="str">
            <v>Meek; Robert F.</v>
          </cell>
          <cell r="D988" t="str">
            <v>1</v>
          </cell>
          <cell r="E988" t="str">
            <v/>
          </cell>
          <cell r="F988" t="str">
            <v/>
          </cell>
          <cell r="G988" t="str">
            <v/>
          </cell>
          <cell r="H988">
            <v>1</v>
          </cell>
        </row>
        <row r="989">
          <cell r="B989">
            <v>7509</v>
          </cell>
          <cell r="C989" t="str">
            <v>Merlino; Philip M</v>
          </cell>
          <cell r="D989" t="str">
            <v>1C</v>
          </cell>
          <cell r="E989" t="str">
            <v>IBEWOUT</v>
          </cell>
          <cell r="F989" t="str">
            <v>47</v>
          </cell>
          <cell r="G989" t="str">
            <v>8</v>
          </cell>
          <cell r="H989">
            <v>0</v>
          </cell>
        </row>
        <row r="990">
          <cell r="B990">
            <v>7511</v>
          </cell>
          <cell r="C990" t="str">
            <v>Rojas Merino; Reynier</v>
          </cell>
          <cell r="D990" t="str">
            <v>1C</v>
          </cell>
          <cell r="E990" t="str">
            <v>IBEWOUT</v>
          </cell>
          <cell r="F990" t="str">
            <v>1245</v>
          </cell>
          <cell r="G990" t="str">
            <v>8</v>
          </cell>
          <cell r="H990">
            <v>0</v>
          </cell>
        </row>
        <row r="991">
          <cell r="B991">
            <v>7530</v>
          </cell>
          <cell r="C991" t="str">
            <v>Mendoza; Christopher G</v>
          </cell>
          <cell r="D991" t="str">
            <v>1C</v>
          </cell>
          <cell r="E991" t="str">
            <v>IBEWOUT</v>
          </cell>
          <cell r="F991" t="str">
            <v>769</v>
          </cell>
          <cell r="G991" t="str">
            <v>9</v>
          </cell>
          <cell r="H991">
            <v>0</v>
          </cell>
        </row>
        <row r="992">
          <cell r="B992">
            <v>7536</v>
          </cell>
          <cell r="C992" t="str">
            <v>Myklejord; Vance D</v>
          </cell>
          <cell r="D992" t="str">
            <v>1C</v>
          </cell>
          <cell r="E992" t="str">
            <v>IBEWOUT</v>
          </cell>
          <cell r="F992" t="str">
            <v>160</v>
          </cell>
          <cell r="G992" t="str">
            <v>22</v>
          </cell>
          <cell r="H992">
            <v>0</v>
          </cell>
        </row>
        <row r="993">
          <cell r="B993">
            <v>7537</v>
          </cell>
          <cell r="C993" t="str">
            <v>Mickelsen; Matthew R</v>
          </cell>
          <cell r="D993" t="str">
            <v>1C</v>
          </cell>
          <cell r="E993" t="str">
            <v>IBEWOUT</v>
          </cell>
          <cell r="F993" t="str">
            <v>1245</v>
          </cell>
          <cell r="G993" t="str">
            <v>14</v>
          </cell>
          <cell r="H993">
            <v>0</v>
          </cell>
        </row>
        <row r="994">
          <cell r="B994">
            <v>7539</v>
          </cell>
          <cell r="C994" t="str">
            <v>Mendoza; Mathew B</v>
          </cell>
          <cell r="D994" t="str">
            <v>1</v>
          </cell>
          <cell r="E994" t="str">
            <v>IBEWOUT</v>
          </cell>
          <cell r="F994" t="str">
            <v>47</v>
          </cell>
          <cell r="G994" t="str">
            <v>17</v>
          </cell>
          <cell r="H994">
            <v>0</v>
          </cell>
        </row>
        <row r="995">
          <cell r="B995">
            <v>7549</v>
          </cell>
          <cell r="C995" t="str">
            <v>Miller; Dustin W</v>
          </cell>
          <cell r="D995" t="str">
            <v>1C</v>
          </cell>
          <cell r="E995" t="str">
            <v>IBEWOUT</v>
          </cell>
          <cell r="F995" t="str">
            <v>769</v>
          </cell>
          <cell r="G995" t="str">
            <v>22</v>
          </cell>
          <cell r="H995">
            <v>0</v>
          </cell>
        </row>
        <row r="996">
          <cell r="B996">
            <v>7551</v>
          </cell>
          <cell r="C996" t="str">
            <v>Miller; Jeremiah David</v>
          </cell>
          <cell r="D996" t="str">
            <v>1C</v>
          </cell>
          <cell r="E996" t="str">
            <v>IBEWOUT</v>
          </cell>
          <cell r="F996" t="str">
            <v>1245</v>
          </cell>
          <cell r="G996" t="str">
            <v>8</v>
          </cell>
          <cell r="H996">
            <v>0</v>
          </cell>
        </row>
        <row r="997">
          <cell r="B997">
            <v>7552</v>
          </cell>
          <cell r="C997" t="str">
            <v>Miller; Casey S</v>
          </cell>
          <cell r="D997" t="str">
            <v>1</v>
          </cell>
          <cell r="E997" t="str">
            <v/>
          </cell>
          <cell r="F997" t="str">
            <v/>
          </cell>
          <cell r="G997" t="str">
            <v/>
          </cell>
          <cell r="H997">
            <v>0</v>
          </cell>
        </row>
        <row r="998">
          <cell r="B998">
            <v>7554</v>
          </cell>
          <cell r="C998" t="str">
            <v>Miller; Kyle A</v>
          </cell>
          <cell r="D998" t="str">
            <v>1</v>
          </cell>
          <cell r="E998" t="str">
            <v/>
          </cell>
          <cell r="F998" t="str">
            <v/>
          </cell>
          <cell r="G998" t="str">
            <v/>
          </cell>
          <cell r="H998">
            <v>0</v>
          </cell>
        </row>
        <row r="999">
          <cell r="B999">
            <v>7564</v>
          </cell>
          <cell r="C999" t="str">
            <v>Mitcham; Kenneth Christopher</v>
          </cell>
          <cell r="D999" t="str">
            <v>1</v>
          </cell>
          <cell r="E999" t="str">
            <v>IBEWOUT</v>
          </cell>
          <cell r="F999" t="str">
            <v>769</v>
          </cell>
          <cell r="G999" t="str">
            <v>7</v>
          </cell>
          <cell r="H999">
            <v>0</v>
          </cell>
        </row>
        <row r="1000">
          <cell r="B1000">
            <v>7568</v>
          </cell>
          <cell r="C1000" t="str">
            <v>Miller; Justin</v>
          </cell>
          <cell r="D1000" t="str">
            <v>1C</v>
          </cell>
          <cell r="E1000" t="str">
            <v>IBEWOUT</v>
          </cell>
          <cell r="F1000" t="str">
            <v>769</v>
          </cell>
          <cell r="G1000" t="str">
            <v>8</v>
          </cell>
          <cell r="H1000">
            <v>0</v>
          </cell>
        </row>
        <row r="1001">
          <cell r="B1001">
            <v>7573</v>
          </cell>
          <cell r="C1001" t="str">
            <v>Mirick; Quinn J</v>
          </cell>
          <cell r="D1001" t="str">
            <v>1C</v>
          </cell>
          <cell r="E1001" t="str">
            <v>IBEWOUT</v>
          </cell>
          <cell r="F1001" t="str">
            <v>125</v>
          </cell>
          <cell r="G1001" t="str">
            <v>13</v>
          </cell>
          <cell r="H1001">
            <v>0</v>
          </cell>
        </row>
        <row r="1002">
          <cell r="B1002">
            <v>7577</v>
          </cell>
          <cell r="C1002" t="str">
            <v>Mix; James Alan</v>
          </cell>
          <cell r="D1002" t="str">
            <v>1</v>
          </cell>
          <cell r="E1002" t="str">
            <v>IBEWOUT</v>
          </cell>
          <cell r="F1002" t="str">
            <v>125</v>
          </cell>
          <cell r="G1002" t="str">
            <v>16</v>
          </cell>
          <cell r="H1002">
            <v>0</v>
          </cell>
        </row>
        <row r="1003">
          <cell r="B1003">
            <v>7579</v>
          </cell>
          <cell r="C1003" t="str">
            <v>Mijal; Maxwell L</v>
          </cell>
          <cell r="D1003" t="str">
            <v>1</v>
          </cell>
          <cell r="E1003" t="str">
            <v>IBEWOUT</v>
          </cell>
          <cell r="F1003" t="str">
            <v>70</v>
          </cell>
          <cell r="G1003" t="str">
            <v>8</v>
          </cell>
          <cell r="H1003">
            <v>0</v>
          </cell>
        </row>
        <row r="1004">
          <cell r="B1004">
            <v>7583</v>
          </cell>
          <cell r="C1004" t="str">
            <v>Minor; Laurence Tipton</v>
          </cell>
          <cell r="D1004" t="str">
            <v>1C</v>
          </cell>
          <cell r="E1004" t="str">
            <v>IBEWOUT</v>
          </cell>
          <cell r="F1004" t="str">
            <v>769</v>
          </cell>
          <cell r="G1004" t="str">
            <v>20</v>
          </cell>
          <cell r="H1004">
            <v>0</v>
          </cell>
        </row>
        <row r="1005">
          <cell r="B1005">
            <v>7588</v>
          </cell>
          <cell r="C1005" t="str">
            <v>Miller; Ronald I</v>
          </cell>
          <cell r="D1005" t="str">
            <v>1C</v>
          </cell>
          <cell r="E1005" t="str">
            <v>IBEWOUT</v>
          </cell>
          <cell r="F1005" t="str">
            <v>126</v>
          </cell>
          <cell r="G1005" t="str">
            <v>16</v>
          </cell>
          <cell r="H1005">
            <v>0</v>
          </cell>
        </row>
        <row r="1006">
          <cell r="B1006">
            <v>7590</v>
          </cell>
          <cell r="C1006" t="str">
            <v>Mills; Daniel K</v>
          </cell>
          <cell r="D1006" t="str">
            <v>1C</v>
          </cell>
          <cell r="E1006" t="str">
            <v>IBEWOUT</v>
          </cell>
          <cell r="F1006" t="str">
            <v>1245</v>
          </cell>
          <cell r="G1006" t="str">
            <v>8</v>
          </cell>
          <cell r="H1006">
            <v>0</v>
          </cell>
        </row>
        <row r="1007">
          <cell r="B1007">
            <v>7593</v>
          </cell>
          <cell r="C1007" t="str">
            <v>Mkrtchyan; Joseph J</v>
          </cell>
          <cell r="D1007" t="str">
            <v>1C</v>
          </cell>
          <cell r="E1007" t="str">
            <v>IBEWOUT</v>
          </cell>
          <cell r="F1007" t="str">
            <v>1245</v>
          </cell>
          <cell r="G1007" t="str">
            <v>12</v>
          </cell>
          <cell r="H1007">
            <v>0</v>
          </cell>
        </row>
        <row r="1008">
          <cell r="B1008">
            <v>7678</v>
          </cell>
          <cell r="C1008" t="str">
            <v>Mogensen; Royce M</v>
          </cell>
          <cell r="D1008" t="str">
            <v>1C</v>
          </cell>
          <cell r="E1008" t="str">
            <v>IBEWOUT</v>
          </cell>
          <cell r="F1008" t="str">
            <v>47</v>
          </cell>
          <cell r="G1008" t="str">
            <v>8</v>
          </cell>
          <cell r="H1008">
            <v>0</v>
          </cell>
        </row>
        <row r="1009">
          <cell r="B1009">
            <v>7679</v>
          </cell>
          <cell r="C1009" t="str">
            <v>Mohr; Shawn L</v>
          </cell>
          <cell r="D1009" t="str">
            <v>1C</v>
          </cell>
          <cell r="E1009" t="str">
            <v>IBEWOUT</v>
          </cell>
          <cell r="F1009" t="str">
            <v>1245</v>
          </cell>
          <cell r="G1009" t="str">
            <v>12</v>
          </cell>
          <cell r="H1009">
            <v>0</v>
          </cell>
        </row>
        <row r="1010">
          <cell r="B1010">
            <v>7680</v>
          </cell>
          <cell r="C1010" t="str">
            <v>Mohamed; Jamil F.</v>
          </cell>
          <cell r="D1010" t="str">
            <v>1C</v>
          </cell>
          <cell r="E1010" t="str">
            <v>IBEWOUT</v>
          </cell>
          <cell r="F1010" t="str">
            <v>1245</v>
          </cell>
          <cell r="G1010" t="str">
            <v>60</v>
          </cell>
          <cell r="H1010">
            <v>0</v>
          </cell>
        </row>
        <row r="1011">
          <cell r="B1011">
            <v>7685</v>
          </cell>
          <cell r="C1011" t="str">
            <v>Molina; Manuel B</v>
          </cell>
          <cell r="D1011" t="str">
            <v>1C</v>
          </cell>
          <cell r="E1011" t="str">
            <v>IBEWOUT</v>
          </cell>
          <cell r="F1011" t="str">
            <v>47</v>
          </cell>
          <cell r="G1011" t="str">
            <v>16</v>
          </cell>
          <cell r="H1011">
            <v>0</v>
          </cell>
        </row>
        <row r="1012">
          <cell r="B1012">
            <v>7697</v>
          </cell>
          <cell r="C1012" t="str">
            <v>Montanelli; Ryan D</v>
          </cell>
          <cell r="D1012" t="str">
            <v>1C</v>
          </cell>
          <cell r="E1012" t="str">
            <v>IBEWOUT</v>
          </cell>
          <cell r="F1012" t="str">
            <v>602R</v>
          </cell>
          <cell r="G1012" t="str">
            <v>14T</v>
          </cell>
          <cell r="H1012">
            <v>0</v>
          </cell>
        </row>
        <row r="1013">
          <cell r="B1013">
            <v>7699</v>
          </cell>
          <cell r="C1013" t="str">
            <v>Monti; Kevin E.</v>
          </cell>
          <cell r="D1013" t="str">
            <v>1C</v>
          </cell>
          <cell r="E1013" t="str">
            <v>IBEWOUT</v>
          </cell>
          <cell r="F1013" t="str">
            <v>47</v>
          </cell>
          <cell r="G1013" t="str">
            <v>8</v>
          </cell>
          <cell r="H1013">
            <v>0</v>
          </cell>
        </row>
        <row r="1014">
          <cell r="B1014">
            <v>7700</v>
          </cell>
          <cell r="C1014" t="str">
            <v>Montgomery; Tenny</v>
          </cell>
          <cell r="D1014" t="str">
            <v>1C</v>
          </cell>
          <cell r="E1014" t="str">
            <v/>
          </cell>
          <cell r="F1014" t="str">
            <v/>
          </cell>
          <cell r="G1014" t="str">
            <v/>
          </cell>
          <cell r="H1014">
            <v>0</v>
          </cell>
        </row>
        <row r="1015">
          <cell r="B1015">
            <v>7734</v>
          </cell>
          <cell r="C1015" t="str">
            <v>Moody; Collin J</v>
          </cell>
          <cell r="D1015" t="str">
            <v>1</v>
          </cell>
          <cell r="E1015" t="str">
            <v>IBEWOUT</v>
          </cell>
          <cell r="F1015" t="str">
            <v>77</v>
          </cell>
          <cell r="G1015" t="str">
            <v>8</v>
          </cell>
          <cell r="H1015">
            <v>0</v>
          </cell>
        </row>
        <row r="1016">
          <cell r="B1016">
            <v>7736</v>
          </cell>
          <cell r="C1016" t="str">
            <v>Moody; Garrett E.</v>
          </cell>
          <cell r="D1016" t="str">
            <v>1</v>
          </cell>
          <cell r="E1016" t="str">
            <v>IBEWOUT</v>
          </cell>
          <cell r="F1016" t="str">
            <v>77</v>
          </cell>
          <cell r="G1016" t="str">
            <v>8</v>
          </cell>
          <cell r="H1016">
            <v>0</v>
          </cell>
        </row>
        <row r="1017">
          <cell r="B1017">
            <v>7738</v>
          </cell>
          <cell r="C1017" t="str">
            <v>Moody; Bryan Edward</v>
          </cell>
          <cell r="D1017" t="str">
            <v>1</v>
          </cell>
          <cell r="E1017" t="str">
            <v>IBEWOUT</v>
          </cell>
          <cell r="F1017" t="str">
            <v>77</v>
          </cell>
          <cell r="G1017" t="str">
            <v>1</v>
          </cell>
          <cell r="H1017">
            <v>1</v>
          </cell>
        </row>
        <row r="1018">
          <cell r="B1018">
            <v>7740</v>
          </cell>
          <cell r="C1018" t="str">
            <v>Moore; Elmer L.</v>
          </cell>
          <cell r="D1018" t="str">
            <v>1C</v>
          </cell>
          <cell r="E1018" t="str">
            <v>IBEWOUT</v>
          </cell>
          <cell r="F1018" t="str">
            <v>47</v>
          </cell>
          <cell r="G1018" t="str">
            <v>8</v>
          </cell>
          <cell r="H1018">
            <v>0</v>
          </cell>
        </row>
        <row r="1019">
          <cell r="B1019">
            <v>7741</v>
          </cell>
          <cell r="C1019" t="str">
            <v>Moore; George E</v>
          </cell>
          <cell r="D1019" t="str">
            <v>1C</v>
          </cell>
          <cell r="E1019" t="str">
            <v>IBEWOUT</v>
          </cell>
          <cell r="F1019" t="str">
            <v>1245</v>
          </cell>
          <cell r="G1019" t="str">
            <v>14</v>
          </cell>
          <cell r="H1019">
            <v>0</v>
          </cell>
        </row>
        <row r="1020">
          <cell r="B1020">
            <v>7753</v>
          </cell>
          <cell r="C1020" t="str">
            <v>Moore; John Edward</v>
          </cell>
          <cell r="D1020" t="str">
            <v>1C</v>
          </cell>
          <cell r="E1020" t="str">
            <v>IBEWOUT</v>
          </cell>
          <cell r="F1020" t="str">
            <v>77</v>
          </cell>
          <cell r="G1020" t="str">
            <v>16</v>
          </cell>
          <cell r="H1020">
            <v>0</v>
          </cell>
        </row>
        <row r="1021">
          <cell r="B1021">
            <v>7754</v>
          </cell>
          <cell r="C1021" t="str">
            <v>Moore; Corey S</v>
          </cell>
          <cell r="D1021" t="str">
            <v>1C</v>
          </cell>
          <cell r="E1021" t="str">
            <v/>
          </cell>
          <cell r="F1021" t="str">
            <v/>
          </cell>
          <cell r="G1021" t="str">
            <v/>
          </cell>
          <cell r="H1021">
            <v>1</v>
          </cell>
        </row>
        <row r="1022">
          <cell r="B1022">
            <v>7757</v>
          </cell>
          <cell r="C1022" t="str">
            <v>Moore; Stephen W.</v>
          </cell>
          <cell r="D1022" t="str">
            <v>1C</v>
          </cell>
          <cell r="E1022" t="str">
            <v>IBEWOUT</v>
          </cell>
          <cell r="F1022" t="str">
            <v>1245</v>
          </cell>
          <cell r="G1022" t="str">
            <v>8</v>
          </cell>
          <cell r="H1022">
            <v>0</v>
          </cell>
        </row>
        <row r="1023">
          <cell r="B1023">
            <v>7759</v>
          </cell>
          <cell r="C1023" t="str">
            <v>Moore; Timothy B</v>
          </cell>
          <cell r="D1023" t="str">
            <v>1C</v>
          </cell>
          <cell r="E1023" t="str">
            <v>IBEWOUT</v>
          </cell>
          <cell r="F1023" t="str">
            <v>126</v>
          </cell>
          <cell r="G1023" t="str">
            <v>33</v>
          </cell>
          <cell r="H1023">
            <v>0</v>
          </cell>
        </row>
        <row r="1024">
          <cell r="B1024">
            <v>7760</v>
          </cell>
          <cell r="C1024" t="str">
            <v>Moore Jr; Wesley</v>
          </cell>
          <cell r="D1024" t="str">
            <v>1C</v>
          </cell>
          <cell r="E1024" t="str">
            <v>IBEWOUT</v>
          </cell>
          <cell r="F1024" t="str">
            <v>396</v>
          </cell>
          <cell r="G1024" t="str">
            <v>21</v>
          </cell>
          <cell r="H1024">
            <v>0</v>
          </cell>
        </row>
        <row r="1025">
          <cell r="B1025">
            <v>7761</v>
          </cell>
          <cell r="C1025" t="str">
            <v>Moore; Connor R</v>
          </cell>
          <cell r="D1025" t="str">
            <v>1</v>
          </cell>
          <cell r="E1025" t="str">
            <v>IBEWOUT</v>
          </cell>
          <cell r="F1025" t="str">
            <v>769</v>
          </cell>
          <cell r="G1025" t="str">
            <v>12</v>
          </cell>
          <cell r="H1025">
            <v>0</v>
          </cell>
        </row>
        <row r="1026">
          <cell r="B1026">
            <v>7800</v>
          </cell>
          <cell r="C1026" t="str">
            <v>Morales; Ariel</v>
          </cell>
          <cell r="D1026" t="str">
            <v>1C</v>
          </cell>
          <cell r="E1026" t="str">
            <v>IBEWOUT</v>
          </cell>
          <cell r="F1026" t="str">
            <v>47</v>
          </cell>
          <cell r="G1026" t="str">
            <v>17</v>
          </cell>
          <cell r="H1026">
            <v>0</v>
          </cell>
        </row>
        <row r="1027">
          <cell r="B1027">
            <v>7803</v>
          </cell>
          <cell r="C1027" t="str">
            <v>Moran; Javier</v>
          </cell>
          <cell r="D1027" t="str">
            <v>1C</v>
          </cell>
          <cell r="E1027" t="str">
            <v>IBEWOUT</v>
          </cell>
          <cell r="F1027" t="str">
            <v>47</v>
          </cell>
          <cell r="G1027" t="str">
            <v>8</v>
          </cell>
          <cell r="H1027">
            <v>0</v>
          </cell>
        </row>
        <row r="1028">
          <cell r="B1028">
            <v>7804</v>
          </cell>
          <cell r="C1028" t="str">
            <v>Moran; Jon B</v>
          </cell>
          <cell r="D1028" t="str">
            <v>1C</v>
          </cell>
          <cell r="E1028" t="str">
            <v>IBEWOUT</v>
          </cell>
          <cell r="F1028" t="str">
            <v>602R</v>
          </cell>
          <cell r="G1028" t="str">
            <v>15T</v>
          </cell>
          <cell r="H1028">
            <v>0</v>
          </cell>
        </row>
        <row r="1029">
          <cell r="B1029">
            <v>7806</v>
          </cell>
          <cell r="C1029" t="str">
            <v>Moranda; Justin S</v>
          </cell>
          <cell r="D1029" t="str">
            <v>1C</v>
          </cell>
          <cell r="E1029" t="str">
            <v>IBEWOUT</v>
          </cell>
          <cell r="F1029" t="str">
            <v>1245</v>
          </cell>
          <cell r="G1029" t="str">
            <v>9</v>
          </cell>
          <cell r="H1029">
            <v>0</v>
          </cell>
        </row>
        <row r="1030">
          <cell r="B1030">
            <v>7815</v>
          </cell>
          <cell r="C1030" t="str">
            <v>Moreno; Carlos</v>
          </cell>
          <cell r="D1030" t="str">
            <v>1C</v>
          </cell>
          <cell r="E1030" t="str">
            <v>IBEWOUT</v>
          </cell>
          <cell r="F1030" t="str">
            <v>47</v>
          </cell>
          <cell r="G1030" t="str">
            <v>8</v>
          </cell>
          <cell r="H1030">
            <v>0</v>
          </cell>
        </row>
        <row r="1031">
          <cell r="B1031">
            <v>7817</v>
          </cell>
          <cell r="C1031" t="str">
            <v>Moreno; Solomon I</v>
          </cell>
          <cell r="D1031" t="str">
            <v>1C</v>
          </cell>
          <cell r="E1031" t="str">
            <v>IBEWOUT</v>
          </cell>
          <cell r="F1031" t="str">
            <v>47</v>
          </cell>
          <cell r="G1031" t="str">
            <v>17</v>
          </cell>
          <cell r="H1031">
            <v>0</v>
          </cell>
        </row>
        <row r="1032">
          <cell r="B1032">
            <v>7819</v>
          </cell>
          <cell r="C1032" t="str">
            <v>Morey; Tod W</v>
          </cell>
          <cell r="D1032" t="str">
            <v>1</v>
          </cell>
          <cell r="E1032" t="str">
            <v/>
          </cell>
          <cell r="F1032" t="str">
            <v/>
          </cell>
          <cell r="G1032" t="str">
            <v/>
          </cell>
          <cell r="H1032">
            <v>0</v>
          </cell>
        </row>
        <row r="1033">
          <cell r="B1033">
            <v>7821</v>
          </cell>
          <cell r="C1033" t="str">
            <v>Morgan; Thomas J</v>
          </cell>
          <cell r="D1033" t="str">
            <v>1C</v>
          </cell>
          <cell r="E1033" t="str">
            <v>IBEWOUT</v>
          </cell>
          <cell r="F1033" t="str">
            <v>1319</v>
          </cell>
          <cell r="G1033" t="str">
            <v>13</v>
          </cell>
          <cell r="H1033">
            <v>0</v>
          </cell>
        </row>
        <row r="1034">
          <cell r="B1034">
            <v>7823</v>
          </cell>
          <cell r="C1034" t="str">
            <v>Morgan; Blaine D</v>
          </cell>
          <cell r="D1034" t="str">
            <v>1C</v>
          </cell>
          <cell r="E1034" t="str">
            <v>IBEWOUT</v>
          </cell>
          <cell r="F1034" t="str">
            <v>47</v>
          </cell>
          <cell r="G1034" t="str">
            <v>8</v>
          </cell>
          <cell r="H1034">
            <v>0</v>
          </cell>
        </row>
        <row r="1035">
          <cell r="B1035">
            <v>7825</v>
          </cell>
          <cell r="C1035" t="str">
            <v>Morgan; Ryan N</v>
          </cell>
          <cell r="D1035" t="str">
            <v>1C</v>
          </cell>
          <cell r="E1035" t="str">
            <v>IBEWOUT</v>
          </cell>
          <cell r="F1035" t="str">
            <v>47</v>
          </cell>
          <cell r="G1035" t="str">
            <v>8</v>
          </cell>
          <cell r="H1035">
            <v>0</v>
          </cell>
        </row>
        <row r="1036">
          <cell r="B1036">
            <v>7841</v>
          </cell>
          <cell r="C1036" t="str">
            <v>Morrow; Joshua K.</v>
          </cell>
          <cell r="D1036" t="str">
            <v>1C</v>
          </cell>
          <cell r="E1036" t="str">
            <v/>
          </cell>
          <cell r="F1036" t="str">
            <v/>
          </cell>
          <cell r="G1036" t="str">
            <v/>
          </cell>
          <cell r="H1036">
            <v>0</v>
          </cell>
        </row>
        <row r="1037">
          <cell r="B1037">
            <v>7842</v>
          </cell>
          <cell r="C1037" t="str">
            <v>Morton Jr.; Jeff P.</v>
          </cell>
          <cell r="D1037" t="str">
            <v>1C</v>
          </cell>
          <cell r="E1037" t="str">
            <v>IBEWOUT</v>
          </cell>
          <cell r="F1037" t="str">
            <v>47</v>
          </cell>
          <cell r="G1037" t="str">
            <v>8</v>
          </cell>
          <cell r="H1037">
            <v>0</v>
          </cell>
        </row>
        <row r="1038">
          <cell r="B1038">
            <v>7843</v>
          </cell>
          <cell r="C1038" t="str">
            <v>Morton; Zac R</v>
          </cell>
          <cell r="D1038" t="str">
            <v>1C</v>
          </cell>
          <cell r="E1038" t="str">
            <v>IBEWOUT</v>
          </cell>
          <cell r="F1038" t="str">
            <v>769</v>
          </cell>
          <cell r="G1038" t="str">
            <v>8</v>
          </cell>
          <cell r="H1038">
            <v>0</v>
          </cell>
        </row>
        <row r="1039">
          <cell r="B1039">
            <v>7844</v>
          </cell>
          <cell r="C1039" t="str">
            <v>Morton; Jess T.</v>
          </cell>
          <cell r="D1039" t="str">
            <v>1C</v>
          </cell>
          <cell r="E1039" t="str">
            <v>IBEWOUT</v>
          </cell>
          <cell r="F1039" t="str">
            <v>47</v>
          </cell>
          <cell r="G1039" t="str">
            <v>8</v>
          </cell>
          <cell r="H1039">
            <v>0</v>
          </cell>
        </row>
        <row r="1040">
          <cell r="B1040">
            <v>7845</v>
          </cell>
          <cell r="C1040" t="str">
            <v>Moser; Ted T</v>
          </cell>
          <cell r="D1040" t="str">
            <v>1C</v>
          </cell>
          <cell r="E1040" t="str">
            <v>IBEWOUT</v>
          </cell>
          <cell r="F1040" t="str">
            <v>77</v>
          </cell>
          <cell r="G1040" t="str">
            <v>8</v>
          </cell>
          <cell r="H1040">
            <v>0</v>
          </cell>
        </row>
        <row r="1041">
          <cell r="B1041">
            <v>7850</v>
          </cell>
          <cell r="C1041" t="str">
            <v>Morris; Nicholas L</v>
          </cell>
          <cell r="D1041" t="str">
            <v>1C</v>
          </cell>
          <cell r="E1041" t="str">
            <v>IBEWOUT</v>
          </cell>
          <cell r="F1041" t="str">
            <v>77</v>
          </cell>
          <cell r="G1041" t="str">
            <v>8</v>
          </cell>
          <cell r="H1041">
            <v>0</v>
          </cell>
        </row>
        <row r="1042">
          <cell r="B1042">
            <v>7851</v>
          </cell>
          <cell r="C1042" t="str">
            <v>Morris; Kurt A.</v>
          </cell>
          <cell r="D1042" t="str">
            <v>1C</v>
          </cell>
          <cell r="E1042" t="str">
            <v>IBEWOUT</v>
          </cell>
          <cell r="F1042" t="str">
            <v>1319</v>
          </cell>
          <cell r="G1042" t="str">
            <v>13</v>
          </cell>
          <cell r="H1042">
            <v>0</v>
          </cell>
        </row>
        <row r="1043">
          <cell r="B1043">
            <v>7852</v>
          </cell>
          <cell r="C1043" t="str">
            <v>Morrison; Brian A</v>
          </cell>
          <cell r="D1043" t="str">
            <v>1</v>
          </cell>
          <cell r="E1043" t="str">
            <v/>
          </cell>
          <cell r="F1043" t="str">
            <v/>
          </cell>
          <cell r="G1043" t="str">
            <v/>
          </cell>
          <cell r="H1043">
            <v>1</v>
          </cell>
        </row>
        <row r="1044">
          <cell r="B1044">
            <v>7867</v>
          </cell>
          <cell r="C1044" t="str">
            <v>Moua; Bee</v>
          </cell>
          <cell r="D1044" t="str">
            <v>1C</v>
          </cell>
          <cell r="E1044" t="str">
            <v>IBEWOUT</v>
          </cell>
          <cell r="F1044" t="str">
            <v>1245</v>
          </cell>
          <cell r="G1044" t="str">
            <v>60</v>
          </cell>
          <cell r="H1044">
            <v>0</v>
          </cell>
        </row>
        <row r="1045">
          <cell r="B1045">
            <v>7900</v>
          </cell>
          <cell r="C1045" t="str">
            <v>Mundy; Lorenzo M</v>
          </cell>
          <cell r="D1045" t="str">
            <v>1</v>
          </cell>
          <cell r="E1045" t="str">
            <v>IBEWOUT</v>
          </cell>
          <cell r="F1045" t="str">
            <v>47</v>
          </cell>
          <cell r="G1045" t="str">
            <v>7</v>
          </cell>
          <cell r="H1045">
            <v>0</v>
          </cell>
        </row>
        <row r="1046">
          <cell r="B1046">
            <v>7910</v>
          </cell>
          <cell r="C1046" t="str">
            <v>Murphy; James B</v>
          </cell>
          <cell r="D1046" t="str">
            <v>1C</v>
          </cell>
          <cell r="E1046" t="str">
            <v>IBEWOUT</v>
          </cell>
          <cell r="F1046" t="str">
            <v>1245</v>
          </cell>
          <cell r="G1046" t="str">
            <v>10</v>
          </cell>
          <cell r="H1046">
            <v>0</v>
          </cell>
        </row>
        <row r="1047">
          <cell r="B1047">
            <v>7916</v>
          </cell>
          <cell r="C1047" t="str">
            <v>Muse; Brian P</v>
          </cell>
          <cell r="D1047" t="str">
            <v>1C</v>
          </cell>
          <cell r="E1047" t="str">
            <v>IBEWOUT</v>
          </cell>
          <cell r="F1047" t="str">
            <v>104</v>
          </cell>
          <cell r="G1047" t="str">
            <v>8</v>
          </cell>
          <cell r="H1047">
            <v>0</v>
          </cell>
        </row>
        <row r="1048">
          <cell r="B1048">
            <v>7917</v>
          </cell>
          <cell r="C1048" t="str">
            <v>Murphy; Taylor M</v>
          </cell>
          <cell r="D1048" t="str">
            <v>1</v>
          </cell>
          <cell r="E1048" t="str">
            <v/>
          </cell>
          <cell r="F1048" t="str">
            <v/>
          </cell>
          <cell r="G1048" t="str">
            <v/>
          </cell>
          <cell r="H1048">
            <v>1</v>
          </cell>
        </row>
        <row r="1049">
          <cell r="B1049">
            <v>7919</v>
          </cell>
          <cell r="C1049" t="str">
            <v>Musgrove; Roy E</v>
          </cell>
          <cell r="D1049" t="str">
            <v>1C</v>
          </cell>
          <cell r="E1049" t="str">
            <v>IBEWOUT</v>
          </cell>
          <cell r="F1049" t="str">
            <v>396</v>
          </cell>
          <cell r="G1049" t="str">
            <v>8</v>
          </cell>
          <cell r="H1049">
            <v>0</v>
          </cell>
        </row>
        <row r="1050">
          <cell r="B1050">
            <v>7920</v>
          </cell>
          <cell r="C1050" t="str">
            <v>Murray; Byron Todd</v>
          </cell>
          <cell r="D1050" t="str">
            <v>1</v>
          </cell>
          <cell r="E1050" t="str">
            <v>IBEWOUT</v>
          </cell>
          <cell r="F1050" t="str">
            <v>125</v>
          </cell>
          <cell r="G1050" t="str">
            <v>33</v>
          </cell>
          <cell r="H1050">
            <v>0</v>
          </cell>
        </row>
        <row r="1051">
          <cell r="B1051">
            <v>7921</v>
          </cell>
          <cell r="C1051" t="str">
            <v>Murrell; Jimmie L</v>
          </cell>
          <cell r="D1051" t="str">
            <v>1C</v>
          </cell>
          <cell r="E1051" t="str">
            <v>IBEWOUT</v>
          </cell>
          <cell r="F1051" t="str">
            <v>1245</v>
          </cell>
          <cell r="G1051" t="str">
            <v>8</v>
          </cell>
          <cell r="H1051">
            <v>0</v>
          </cell>
        </row>
        <row r="1052">
          <cell r="B1052">
            <v>7931</v>
          </cell>
          <cell r="C1052" t="str">
            <v>Myers; Bradley T</v>
          </cell>
          <cell r="D1052" t="str">
            <v>1C</v>
          </cell>
          <cell r="E1052" t="str">
            <v>IBEWOUT</v>
          </cell>
          <cell r="F1052" t="str">
            <v>1245</v>
          </cell>
          <cell r="G1052" t="str">
            <v>8</v>
          </cell>
          <cell r="H1052">
            <v>0</v>
          </cell>
        </row>
        <row r="1053">
          <cell r="B1053">
            <v>7932</v>
          </cell>
          <cell r="C1053" t="str">
            <v>Myers; Craig L</v>
          </cell>
          <cell r="D1053" t="str">
            <v>1C</v>
          </cell>
          <cell r="E1053" t="str">
            <v>IBEWOUT</v>
          </cell>
          <cell r="F1053" t="str">
            <v>160</v>
          </cell>
          <cell r="G1053" t="str">
            <v>8</v>
          </cell>
          <cell r="H1053">
            <v>0</v>
          </cell>
        </row>
        <row r="1054">
          <cell r="B1054">
            <v>7933</v>
          </cell>
          <cell r="C1054" t="str">
            <v>Myers; Kyle A</v>
          </cell>
          <cell r="D1054" t="str">
            <v>1C</v>
          </cell>
          <cell r="E1054" t="str">
            <v>IBEWOUT</v>
          </cell>
          <cell r="F1054" t="str">
            <v>611</v>
          </cell>
          <cell r="G1054" t="str">
            <v>15</v>
          </cell>
          <cell r="H1054">
            <v>0</v>
          </cell>
        </row>
        <row r="1055">
          <cell r="B1055">
            <v>7935</v>
          </cell>
          <cell r="C1055" t="str">
            <v>Nail; Brandon C</v>
          </cell>
          <cell r="D1055" t="str">
            <v>1C</v>
          </cell>
          <cell r="E1055" t="str">
            <v>IBEWOUT</v>
          </cell>
          <cell r="F1055" t="str">
            <v>1245</v>
          </cell>
          <cell r="G1055" t="str">
            <v>17</v>
          </cell>
          <cell r="H1055">
            <v>0</v>
          </cell>
        </row>
        <row r="1056">
          <cell r="B1056">
            <v>7961</v>
          </cell>
          <cell r="C1056" t="str">
            <v>Nadzom; Bradley A.</v>
          </cell>
          <cell r="D1056" t="str">
            <v>1C</v>
          </cell>
          <cell r="E1056" t="str">
            <v>IBEWOUT</v>
          </cell>
          <cell r="F1056" t="str">
            <v>1319</v>
          </cell>
          <cell r="G1056" t="str">
            <v>8</v>
          </cell>
          <cell r="H1056">
            <v>0</v>
          </cell>
        </row>
        <row r="1057">
          <cell r="B1057">
            <v>8024</v>
          </cell>
          <cell r="C1057" t="str">
            <v>Naylor; Joel L</v>
          </cell>
          <cell r="D1057" t="str">
            <v>1C</v>
          </cell>
          <cell r="E1057" t="str">
            <v/>
          </cell>
          <cell r="F1057" t="str">
            <v/>
          </cell>
          <cell r="G1057" t="str">
            <v/>
          </cell>
          <cell r="H1057">
            <v>1</v>
          </cell>
        </row>
        <row r="1058">
          <cell r="B1058">
            <v>8025</v>
          </cell>
          <cell r="C1058" t="str">
            <v>Navarro; Daniel</v>
          </cell>
          <cell r="D1058" t="str">
            <v>1C</v>
          </cell>
          <cell r="E1058" t="str">
            <v>IBEWOUT</v>
          </cell>
          <cell r="F1058" t="str">
            <v>47</v>
          </cell>
          <cell r="G1058" t="str">
            <v>17</v>
          </cell>
          <cell r="H1058">
            <v>0</v>
          </cell>
        </row>
        <row r="1059">
          <cell r="B1059">
            <v>8026</v>
          </cell>
          <cell r="C1059" t="str">
            <v>Naylor; Joseph D</v>
          </cell>
          <cell r="D1059" t="str">
            <v>1C</v>
          </cell>
          <cell r="E1059" t="str">
            <v>IBEWOUT</v>
          </cell>
          <cell r="F1059" t="str">
            <v>1319</v>
          </cell>
          <cell r="G1059" t="str">
            <v>8</v>
          </cell>
          <cell r="H1059">
            <v>0</v>
          </cell>
        </row>
        <row r="1060">
          <cell r="B1060">
            <v>8027</v>
          </cell>
          <cell r="C1060" t="str">
            <v>Navarro; Michael D</v>
          </cell>
          <cell r="D1060" t="str">
            <v>1</v>
          </cell>
          <cell r="E1060" t="str">
            <v>IBEWOUT</v>
          </cell>
          <cell r="F1060" t="str">
            <v>47</v>
          </cell>
          <cell r="G1060" t="str">
            <v>16</v>
          </cell>
          <cell r="H1060">
            <v>0</v>
          </cell>
        </row>
        <row r="1061">
          <cell r="B1061">
            <v>8040</v>
          </cell>
          <cell r="C1061" t="str">
            <v>Nearhood; William J</v>
          </cell>
          <cell r="D1061" t="str">
            <v>1C</v>
          </cell>
          <cell r="E1061" t="str">
            <v>IBEWOUT</v>
          </cell>
          <cell r="F1061" t="str">
            <v>126</v>
          </cell>
          <cell r="G1061" t="str">
            <v>8</v>
          </cell>
          <cell r="H1061">
            <v>0</v>
          </cell>
        </row>
        <row r="1062">
          <cell r="B1062">
            <v>8041</v>
          </cell>
          <cell r="C1062" t="str">
            <v>Nease; Jeffrey B.</v>
          </cell>
          <cell r="D1062" t="str">
            <v>1C</v>
          </cell>
          <cell r="E1062" t="str">
            <v/>
          </cell>
          <cell r="F1062" t="str">
            <v/>
          </cell>
          <cell r="G1062" t="str">
            <v/>
          </cell>
          <cell r="H1062">
            <v>1</v>
          </cell>
        </row>
        <row r="1063">
          <cell r="B1063">
            <v>8043</v>
          </cell>
          <cell r="C1063" t="str">
            <v>Neace; Shane D</v>
          </cell>
          <cell r="D1063" t="str">
            <v>1C</v>
          </cell>
          <cell r="E1063" t="str">
            <v>IBEWOUT</v>
          </cell>
          <cell r="F1063" t="str">
            <v>1245</v>
          </cell>
          <cell r="G1063" t="str">
            <v>8</v>
          </cell>
          <cell r="H1063">
            <v>0</v>
          </cell>
        </row>
        <row r="1064">
          <cell r="B1064">
            <v>8046</v>
          </cell>
          <cell r="C1064" t="str">
            <v>Nelson; Daniel E</v>
          </cell>
          <cell r="D1064" t="str">
            <v>1C</v>
          </cell>
          <cell r="E1064" t="str">
            <v>IBEWOUT</v>
          </cell>
          <cell r="F1064" t="str">
            <v>1245</v>
          </cell>
          <cell r="G1064" t="str">
            <v>12</v>
          </cell>
          <cell r="H1064">
            <v>0</v>
          </cell>
        </row>
        <row r="1065">
          <cell r="B1065">
            <v>8047</v>
          </cell>
          <cell r="C1065" t="str">
            <v>Nelson Jr; Donald C</v>
          </cell>
          <cell r="D1065" t="str">
            <v>1C</v>
          </cell>
          <cell r="E1065" t="str">
            <v>IBEWOUT</v>
          </cell>
          <cell r="F1065" t="str">
            <v>77</v>
          </cell>
          <cell r="G1065" t="str">
            <v>15</v>
          </cell>
          <cell r="H1065">
            <v>0</v>
          </cell>
        </row>
        <row r="1066">
          <cell r="B1066">
            <v>8048</v>
          </cell>
          <cell r="C1066" t="str">
            <v>Nelson; Travis E</v>
          </cell>
          <cell r="D1066" t="str">
            <v>1C</v>
          </cell>
          <cell r="E1066" t="str">
            <v>IBEWOUT</v>
          </cell>
          <cell r="F1066" t="str">
            <v>47</v>
          </cell>
          <cell r="G1066" t="str">
            <v>8</v>
          </cell>
          <cell r="H1066">
            <v>0</v>
          </cell>
        </row>
        <row r="1067">
          <cell r="B1067">
            <v>8050</v>
          </cell>
          <cell r="C1067" t="str">
            <v>Nelson; Frances C</v>
          </cell>
          <cell r="D1067" t="str">
            <v>1</v>
          </cell>
          <cell r="E1067" t="str">
            <v>IBEWOUT</v>
          </cell>
          <cell r="F1067" t="str">
            <v>77</v>
          </cell>
          <cell r="G1067" t="str">
            <v>8</v>
          </cell>
          <cell r="H1067">
            <v>0</v>
          </cell>
        </row>
        <row r="1068">
          <cell r="B1068">
            <v>8061</v>
          </cell>
          <cell r="C1068" t="str">
            <v>Newberry; Jeremy J</v>
          </cell>
          <cell r="D1068" t="str">
            <v>1C</v>
          </cell>
          <cell r="E1068" t="str">
            <v>IBEWOUT</v>
          </cell>
          <cell r="F1068" t="str">
            <v>769</v>
          </cell>
          <cell r="G1068" t="str">
            <v>22</v>
          </cell>
          <cell r="H1068">
            <v>0</v>
          </cell>
        </row>
        <row r="1069">
          <cell r="B1069">
            <v>8070</v>
          </cell>
          <cell r="C1069" t="str">
            <v>Nichols; Jesse J.</v>
          </cell>
          <cell r="D1069" t="str">
            <v>1C</v>
          </cell>
          <cell r="E1069" t="str">
            <v>IBEWOUT</v>
          </cell>
          <cell r="F1069" t="str">
            <v>47</v>
          </cell>
          <cell r="G1069" t="str">
            <v>60</v>
          </cell>
          <cell r="H1069">
            <v>0</v>
          </cell>
        </row>
        <row r="1070">
          <cell r="B1070">
            <v>8072</v>
          </cell>
          <cell r="C1070" t="str">
            <v>Neuman; Dennis D</v>
          </cell>
          <cell r="D1070" t="str">
            <v>1C</v>
          </cell>
          <cell r="E1070" t="str">
            <v>IBEWOUT</v>
          </cell>
          <cell r="F1070" t="str">
            <v>160</v>
          </cell>
          <cell r="G1070" t="str">
            <v>8</v>
          </cell>
          <cell r="H1070">
            <v>0</v>
          </cell>
        </row>
        <row r="1071">
          <cell r="B1071">
            <v>8073</v>
          </cell>
          <cell r="C1071" t="str">
            <v>Newberry; Dominick F</v>
          </cell>
          <cell r="D1071" t="str">
            <v>1C</v>
          </cell>
          <cell r="E1071" t="str">
            <v>IBEWOUT</v>
          </cell>
          <cell r="F1071" t="str">
            <v>1319</v>
          </cell>
          <cell r="G1071" t="str">
            <v>18</v>
          </cell>
          <cell r="H1071">
            <v>0</v>
          </cell>
        </row>
        <row r="1072">
          <cell r="B1072">
            <v>8077</v>
          </cell>
          <cell r="C1072" t="str">
            <v>Neuberger; Shane M</v>
          </cell>
          <cell r="D1072" t="str">
            <v>1C</v>
          </cell>
          <cell r="E1072" t="str">
            <v>IBEWOUT</v>
          </cell>
          <cell r="F1072" t="str">
            <v>160</v>
          </cell>
          <cell r="G1072" t="str">
            <v>22</v>
          </cell>
          <cell r="H1072">
            <v>0</v>
          </cell>
        </row>
        <row r="1073">
          <cell r="B1073">
            <v>8080</v>
          </cell>
          <cell r="C1073" t="str">
            <v>Nemesio; Jorge L.</v>
          </cell>
          <cell r="D1073" t="str">
            <v>1C</v>
          </cell>
          <cell r="E1073" t="str">
            <v>IBEWOUT</v>
          </cell>
          <cell r="F1073" t="str">
            <v>1245</v>
          </cell>
          <cell r="G1073" t="str">
            <v>70</v>
          </cell>
          <cell r="H1073">
            <v>0</v>
          </cell>
        </row>
        <row r="1074">
          <cell r="B1074">
            <v>8082</v>
          </cell>
          <cell r="C1074" t="str">
            <v>Nicoloff; Philip J</v>
          </cell>
          <cell r="D1074" t="str">
            <v>1C</v>
          </cell>
          <cell r="E1074" t="str">
            <v>IBEWOUT</v>
          </cell>
          <cell r="F1074" t="str">
            <v>769</v>
          </cell>
          <cell r="G1074" t="str">
            <v>35</v>
          </cell>
          <cell r="H1074">
            <v>0</v>
          </cell>
        </row>
        <row r="1075">
          <cell r="B1075">
            <v>8091</v>
          </cell>
          <cell r="C1075" t="str">
            <v>Nimmo; Scott Michael</v>
          </cell>
          <cell r="D1075" t="str">
            <v>1C</v>
          </cell>
          <cell r="E1075" t="str">
            <v>IBEWOUT</v>
          </cell>
          <cell r="F1075" t="str">
            <v>769</v>
          </cell>
          <cell r="G1075" t="str">
            <v>10</v>
          </cell>
          <cell r="H1075">
            <v>0</v>
          </cell>
        </row>
        <row r="1076">
          <cell r="B1076">
            <v>8096</v>
          </cell>
          <cell r="C1076" t="str">
            <v>Nickolei; Christopher R</v>
          </cell>
          <cell r="D1076" t="str">
            <v>1C</v>
          </cell>
          <cell r="E1076" t="str">
            <v>IBEWOUT</v>
          </cell>
          <cell r="F1076" t="str">
            <v>47</v>
          </cell>
          <cell r="G1076" t="str">
            <v>17</v>
          </cell>
          <cell r="H1076">
            <v>0</v>
          </cell>
        </row>
        <row r="1077">
          <cell r="B1077">
            <v>8097</v>
          </cell>
          <cell r="C1077" t="str">
            <v>Nickerson; Rodney W</v>
          </cell>
          <cell r="D1077" t="str">
            <v>1C</v>
          </cell>
          <cell r="E1077" t="str">
            <v>IBEWOUT</v>
          </cell>
          <cell r="F1077" t="str">
            <v>1245</v>
          </cell>
          <cell r="G1077" t="str">
            <v>17</v>
          </cell>
          <cell r="H1077">
            <v>0</v>
          </cell>
        </row>
        <row r="1078">
          <cell r="B1078">
            <v>8137</v>
          </cell>
          <cell r="C1078" t="str">
            <v>Noel; Bryce Dylan</v>
          </cell>
          <cell r="D1078" t="str">
            <v>1C</v>
          </cell>
          <cell r="E1078" t="str">
            <v>IBEWOUT</v>
          </cell>
          <cell r="F1078" t="str">
            <v>1245</v>
          </cell>
          <cell r="G1078" t="str">
            <v>8</v>
          </cell>
          <cell r="H1078">
            <v>0</v>
          </cell>
        </row>
        <row r="1079">
          <cell r="B1079">
            <v>8138</v>
          </cell>
          <cell r="C1079" t="str">
            <v>Noel; Tyler D.</v>
          </cell>
          <cell r="D1079" t="str">
            <v>1C</v>
          </cell>
          <cell r="E1079" t="str">
            <v>IBEWOUT</v>
          </cell>
          <cell r="F1079" t="str">
            <v>1245</v>
          </cell>
          <cell r="G1079" t="str">
            <v>17</v>
          </cell>
          <cell r="H1079">
            <v>0</v>
          </cell>
        </row>
        <row r="1080">
          <cell r="B1080">
            <v>8142</v>
          </cell>
          <cell r="C1080" t="str">
            <v>Novins; Steve</v>
          </cell>
          <cell r="D1080" t="str">
            <v>1C</v>
          </cell>
          <cell r="E1080" t="str">
            <v>IBEWOUT</v>
          </cell>
          <cell r="F1080" t="str">
            <v>1245</v>
          </cell>
          <cell r="G1080" t="str">
            <v>16</v>
          </cell>
          <cell r="H1080">
            <v>0</v>
          </cell>
        </row>
        <row r="1081">
          <cell r="B1081">
            <v>8143</v>
          </cell>
          <cell r="C1081" t="str">
            <v>Novak; Triston J.</v>
          </cell>
          <cell r="D1081" t="str">
            <v>1C</v>
          </cell>
          <cell r="E1081" t="str">
            <v>IBEWOUT</v>
          </cell>
          <cell r="F1081" t="str">
            <v>77</v>
          </cell>
          <cell r="G1081" t="str">
            <v>10</v>
          </cell>
          <cell r="H1081">
            <v>0</v>
          </cell>
        </row>
        <row r="1082">
          <cell r="B1082">
            <v>8154</v>
          </cell>
          <cell r="C1082" t="str">
            <v>Norsworthy; Jonathan R.</v>
          </cell>
          <cell r="D1082" t="str">
            <v>1C</v>
          </cell>
          <cell r="E1082" t="str">
            <v>IBEWOUT</v>
          </cell>
          <cell r="F1082" t="str">
            <v>602R</v>
          </cell>
          <cell r="G1082" t="str">
            <v>8</v>
          </cell>
          <cell r="H1082">
            <v>0</v>
          </cell>
        </row>
        <row r="1083">
          <cell r="B1083">
            <v>8155</v>
          </cell>
          <cell r="C1083" t="str">
            <v>Norcutt; Devin W</v>
          </cell>
          <cell r="D1083" t="str">
            <v>1C</v>
          </cell>
          <cell r="E1083" t="str">
            <v>IBEWOUT</v>
          </cell>
          <cell r="F1083" t="str">
            <v>1245</v>
          </cell>
          <cell r="G1083" t="str">
            <v>8</v>
          </cell>
          <cell r="H1083">
            <v>0</v>
          </cell>
        </row>
        <row r="1084">
          <cell r="B1084">
            <v>8157</v>
          </cell>
          <cell r="C1084" t="str">
            <v>Norton; Joseph T</v>
          </cell>
          <cell r="D1084" t="str">
            <v>1</v>
          </cell>
          <cell r="E1084" t="str">
            <v>IBEWOUT</v>
          </cell>
          <cell r="F1084" t="str">
            <v>769</v>
          </cell>
          <cell r="G1084" t="str">
            <v>8</v>
          </cell>
          <cell r="H1084">
            <v>0</v>
          </cell>
        </row>
        <row r="1085">
          <cell r="B1085">
            <v>8165</v>
          </cell>
          <cell r="C1085" t="str">
            <v>Nunez; Hector</v>
          </cell>
          <cell r="D1085" t="str">
            <v>1C</v>
          </cell>
          <cell r="E1085" t="str">
            <v>IBEWOUT</v>
          </cell>
          <cell r="F1085" t="str">
            <v>47</v>
          </cell>
          <cell r="G1085" t="str">
            <v>17</v>
          </cell>
          <cell r="H1085">
            <v>0</v>
          </cell>
        </row>
        <row r="1086">
          <cell r="B1086">
            <v>8171</v>
          </cell>
          <cell r="C1086" t="str">
            <v>Obregon; Matthew D</v>
          </cell>
          <cell r="D1086" t="str">
            <v>1C</v>
          </cell>
          <cell r="E1086" t="str">
            <v/>
          </cell>
          <cell r="F1086" t="str">
            <v/>
          </cell>
          <cell r="G1086" t="str">
            <v/>
          </cell>
          <cell r="H1086">
            <v>0</v>
          </cell>
        </row>
        <row r="1087">
          <cell r="B1087">
            <v>8172</v>
          </cell>
          <cell r="C1087" t="str">
            <v>Ochoa; Edward</v>
          </cell>
          <cell r="D1087" t="str">
            <v>1C</v>
          </cell>
          <cell r="E1087" t="str">
            <v>IBEWOUT</v>
          </cell>
          <cell r="F1087" t="str">
            <v>47</v>
          </cell>
          <cell r="G1087" t="str">
            <v>60</v>
          </cell>
          <cell r="H1087">
            <v>0</v>
          </cell>
        </row>
        <row r="1088">
          <cell r="B1088">
            <v>8176</v>
          </cell>
          <cell r="C1088" t="str">
            <v>O'Brien; Timothy J.</v>
          </cell>
          <cell r="D1088" t="str">
            <v>1C</v>
          </cell>
          <cell r="E1088" t="str">
            <v>IBEWOUT</v>
          </cell>
          <cell r="F1088" t="str">
            <v>77</v>
          </cell>
          <cell r="G1088" t="str">
            <v>10</v>
          </cell>
          <cell r="H1088">
            <v>0</v>
          </cell>
        </row>
        <row r="1089">
          <cell r="B1089">
            <v>8177</v>
          </cell>
          <cell r="C1089" t="str">
            <v>O'Brien; Brandon Scott</v>
          </cell>
          <cell r="D1089" t="str">
            <v>1C</v>
          </cell>
          <cell r="E1089" t="str">
            <v>IBEWOUT</v>
          </cell>
          <cell r="F1089" t="str">
            <v>1245</v>
          </cell>
          <cell r="G1089" t="str">
            <v>7</v>
          </cell>
          <cell r="H1089">
            <v>0</v>
          </cell>
        </row>
        <row r="1090">
          <cell r="B1090">
            <v>8178</v>
          </cell>
          <cell r="C1090" t="str">
            <v>Ocegueda; Fernando R</v>
          </cell>
          <cell r="D1090" t="str">
            <v>1C</v>
          </cell>
          <cell r="E1090" t="str">
            <v>IBEWOUT</v>
          </cell>
          <cell r="F1090" t="str">
            <v>47</v>
          </cell>
          <cell r="G1090" t="str">
            <v>8</v>
          </cell>
          <cell r="H1090">
            <v>0</v>
          </cell>
        </row>
        <row r="1091">
          <cell r="B1091">
            <v>8180</v>
          </cell>
          <cell r="C1091" t="str">
            <v>O'Connor; Travis L</v>
          </cell>
          <cell r="D1091" t="str">
            <v>1C</v>
          </cell>
          <cell r="E1091" t="str">
            <v>IBEWOUT</v>
          </cell>
          <cell r="F1091" t="str">
            <v>1245</v>
          </cell>
          <cell r="G1091" t="str">
            <v>14</v>
          </cell>
          <cell r="H1091">
            <v>0</v>
          </cell>
        </row>
        <row r="1092">
          <cell r="B1092">
            <v>8181</v>
          </cell>
          <cell r="C1092" t="str">
            <v>O'Hogan; Kevin S</v>
          </cell>
          <cell r="D1092" t="str">
            <v>1C</v>
          </cell>
          <cell r="E1092" t="str">
            <v/>
          </cell>
          <cell r="F1092" t="str">
            <v/>
          </cell>
          <cell r="G1092" t="str">
            <v/>
          </cell>
          <cell r="H1092">
            <v>0</v>
          </cell>
        </row>
        <row r="1093">
          <cell r="B1093">
            <v>8184</v>
          </cell>
          <cell r="C1093" t="str">
            <v>O'Keefe; Martin G</v>
          </cell>
          <cell r="D1093" t="str">
            <v>1</v>
          </cell>
          <cell r="E1093" t="str">
            <v>IBEWOUT</v>
          </cell>
          <cell r="F1093" t="str">
            <v>611</v>
          </cell>
          <cell r="G1093" t="str">
            <v>17</v>
          </cell>
          <cell r="H1093">
            <v>0</v>
          </cell>
        </row>
        <row r="1094">
          <cell r="B1094">
            <v>8185</v>
          </cell>
          <cell r="C1094" t="str">
            <v>Ogden; Craig T</v>
          </cell>
          <cell r="D1094" t="str">
            <v>1C</v>
          </cell>
          <cell r="E1094" t="str">
            <v>IBEWOUT</v>
          </cell>
          <cell r="F1094" t="str">
            <v>1245</v>
          </cell>
          <cell r="G1094" t="str">
            <v>11</v>
          </cell>
          <cell r="H1094">
            <v>0</v>
          </cell>
        </row>
        <row r="1095">
          <cell r="B1095">
            <v>8191</v>
          </cell>
          <cell r="C1095" t="str">
            <v>Ochoa; Domingo</v>
          </cell>
          <cell r="D1095" t="str">
            <v>1C</v>
          </cell>
          <cell r="E1095" t="str">
            <v/>
          </cell>
          <cell r="F1095" t="str">
            <v/>
          </cell>
          <cell r="G1095" t="str">
            <v/>
          </cell>
          <cell r="H1095">
            <v>1</v>
          </cell>
        </row>
        <row r="1096">
          <cell r="B1096">
            <v>8194</v>
          </cell>
          <cell r="C1096" t="str">
            <v>Ochoa; Luis</v>
          </cell>
          <cell r="D1096" t="str">
            <v>1C</v>
          </cell>
          <cell r="E1096" t="str">
            <v>IBEWOUT</v>
          </cell>
          <cell r="F1096" t="str">
            <v>1245</v>
          </cell>
          <cell r="G1096" t="str">
            <v>15</v>
          </cell>
          <cell r="H1096">
            <v>0</v>
          </cell>
        </row>
        <row r="1097">
          <cell r="B1097">
            <v>8195</v>
          </cell>
          <cell r="C1097" t="str">
            <v>Odle; Hunter G</v>
          </cell>
          <cell r="D1097" t="str">
            <v>1</v>
          </cell>
          <cell r="E1097" t="str">
            <v>IBEWOUT</v>
          </cell>
          <cell r="F1097" t="str">
            <v>47</v>
          </cell>
          <cell r="G1097" t="str">
            <v>8</v>
          </cell>
          <cell r="H1097">
            <v>0</v>
          </cell>
        </row>
        <row r="1098">
          <cell r="B1098">
            <v>8196</v>
          </cell>
          <cell r="C1098" t="str">
            <v>Ochoa; Johnny Jacob</v>
          </cell>
          <cell r="D1098" t="str">
            <v>1C</v>
          </cell>
          <cell r="E1098" t="str">
            <v/>
          </cell>
          <cell r="F1098" t="str">
            <v/>
          </cell>
          <cell r="G1098" t="str">
            <v/>
          </cell>
          <cell r="H1098">
            <v>1</v>
          </cell>
        </row>
        <row r="1099">
          <cell r="B1099">
            <v>8201</v>
          </cell>
          <cell r="C1099" t="str">
            <v>Olson; Todd</v>
          </cell>
          <cell r="D1099" t="str">
            <v>1C</v>
          </cell>
          <cell r="E1099" t="str">
            <v>IBEWOUT</v>
          </cell>
          <cell r="F1099" t="str">
            <v>1049</v>
          </cell>
          <cell r="G1099" t="str">
            <v>8</v>
          </cell>
          <cell r="H1099">
            <v>0</v>
          </cell>
        </row>
        <row r="1100">
          <cell r="B1100">
            <v>8204</v>
          </cell>
          <cell r="C1100" t="str">
            <v>Oosthof; Ryan R.</v>
          </cell>
          <cell r="D1100" t="str">
            <v>1C</v>
          </cell>
          <cell r="E1100" t="str">
            <v>IBEWOUT</v>
          </cell>
          <cell r="F1100" t="str">
            <v>125</v>
          </cell>
          <cell r="G1100" t="str">
            <v>8</v>
          </cell>
          <cell r="H1100">
            <v>0</v>
          </cell>
        </row>
        <row r="1101">
          <cell r="B1101">
            <v>8207</v>
          </cell>
          <cell r="C1101" t="str">
            <v>O'Neill; Nicholas</v>
          </cell>
          <cell r="D1101" t="str">
            <v>1C</v>
          </cell>
          <cell r="E1101" t="str">
            <v>IBEWOUT</v>
          </cell>
          <cell r="F1101" t="str">
            <v>47</v>
          </cell>
          <cell r="G1101" t="str">
            <v>8</v>
          </cell>
          <cell r="H1101">
            <v>0</v>
          </cell>
        </row>
        <row r="1102">
          <cell r="B1102">
            <v>8208</v>
          </cell>
          <cell r="C1102" t="str">
            <v>Oliphant; Paul D</v>
          </cell>
          <cell r="D1102" t="str">
            <v>1C</v>
          </cell>
          <cell r="E1102" t="str">
            <v>IBEWOUT</v>
          </cell>
          <cell r="F1102" t="str">
            <v>602R</v>
          </cell>
          <cell r="G1102" t="str">
            <v>8</v>
          </cell>
          <cell r="H1102">
            <v>0</v>
          </cell>
        </row>
        <row r="1103">
          <cell r="B1103">
            <v>8211</v>
          </cell>
          <cell r="C1103" t="str">
            <v>Olberding; Jim F</v>
          </cell>
          <cell r="D1103" t="str">
            <v>1C</v>
          </cell>
          <cell r="E1103" t="str">
            <v>IBEWOUT</v>
          </cell>
          <cell r="F1103" t="str">
            <v>47</v>
          </cell>
          <cell r="G1103" t="str">
            <v>8</v>
          </cell>
          <cell r="H1103">
            <v>0</v>
          </cell>
        </row>
        <row r="1104">
          <cell r="B1104">
            <v>8216</v>
          </cell>
          <cell r="C1104" t="str">
            <v>Ortiz; John George</v>
          </cell>
          <cell r="D1104" t="str">
            <v>1</v>
          </cell>
          <cell r="E1104" t="str">
            <v>IBEWOUT</v>
          </cell>
          <cell r="F1104" t="str">
            <v>611</v>
          </cell>
          <cell r="G1104" t="str">
            <v>7</v>
          </cell>
          <cell r="H1104">
            <v>0</v>
          </cell>
        </row>
        <row r="1105">
          <cell r="B1105">
            <v>8219</v>
          </cell>
          <cell r="C1105" t="str">
            <v>Ortega; Lamar S</v>
          </cell>
          <cell r="D1105" t="str">
            <v>1C</v>
          </cell>
          <cell r="E1105" t="str">
            <v>IBEWOUT</v>
          </cell>
          <cell r="F1105" t="str">
            <v>47</v>
          </cell>
          <cell r="G1105" t="str">
            <v>8</v>
          </cell>
          <cell r="H1105">
            <v>0</v>
          </cell>
        </row>
        <row r="1106">
          <cell r="B1106">
            <v>8222</v>
          </cell>
          <cell r="C1106" t="str">
            <v>Olson; Ryan</v>
          </cell>
          <cell r="D1106" t="str">
            <v>1</v>
          </cell>
          <cell r="E1106" t="str">
            <v>IBEWOUT</v>
          </cell>
          <cell r="F1106" t="str">
            <v>125</v>
          </cell>
          <cell r="G1106" t="str">
            <v>12</v>
          </cell>
          <cell r="H1106">
            <v>0</v>
          </cell>
        </row>
        <row r="1107">
          <cell r="B1107">
            <v>8230</v>
          </cell>
          <cell r="C1107" t="str">
            <v>Olson; Richard C</v>
          </cell>
          <cell r="D1107" t="str">
            <v>1</v>
          </cell>
          <cell r="E1107" t="str">
            <v>IBEWOUT</v>
          </cell>
          <cell r="F1107" t="str">
            <v>77</v>
          </cell>
          <cell r="G1107" t="str">
            <v>8</v>
          </cell>
          <cell r="H1107">
            <v>0</v>
          </cell>
        </row>
        <row r="1108">
          <cell r="B1108">
            <v>8231</v>
          </cell>
          <cell r="C1108" t="str">
            <v>Ostrander; Matthew Z.</v>
          </cell>
          <cell r="D1108" t="str">
            <v>1</v>
          </cell>
          <cell r="E1108" t="str">
            <v/>
          </cell>
          <cell r="F1108" t="str">
            <v/>
          </cell>
          <cell r="G1108" t="str">
            <v/>
          </cell>
          <cell r="H1108">
            <v>0</v>
          </cell>
        </row>
        <row r="1109">
          <cell r="B1109">
            <v>8237</v>
          </cell>
          <cell r="C1109" t="str">
            <v>Overly; Bradley Williams</v>
          </cell>
          <cell r="D1109" t="str">
            <v>1C</v>
          </cell>
          <cell r="E1109" t="str">
            <v>IBEWOUT</v>
          </cell>
          <cell r="F1109" t="str">
            <v>396</v>
          </cell>
          <cell r="G1109" t="str">
            <v>21</v>
          </cell>
          <cell r="H1109">
            <v>0</v>
          </cell>
        </row>
        <row r="1110">
          <cell r="B1110">
            <v>8240</v>
          </cell>
          <cell r="C1110" t="str">
            <v>Ornelas; Chrystin N</v>
          </cell>
          <cell r="D1110" t="str">
            <v>1C</v>
          </cell>
          <cell r="E1110" t="str">
            <v>IBEWOUT</v>
          </cell>
          <cell r="F1110" t="str">
            <v>47</v>
          </cell>
          <cell r="G1110" t="str">
            <v>17</v>
          </cell>
          <cell r="H1110">
            <v>0</v>
          </cell>
        </row>
        <row r="1111">
          <cell r="B1111">
            <v>8242</v>
          </cell>
          <cell r="C1111" t="str">
            <v>Oswald II; Douglas D</v>
          </cell>
          <cell r="D1111" t="str">
            <v>1</v>
          </cell>
          <cell r="E1111" t="str">
            <v>IBEWOUT</v>
          </cell>
          <cell r="F1111" t="str">
            <v>1245</v>
          </cell>
          <cell r="G1111" t="str">
            <v>16</v>
          </cell>
          <cell r="H1111">
            <v>0</v>
          </cell>
        </row>
        <row r="1112">
          <cell r="B1112">
            <v>8243</v>
          </cell>
          <cell r="C1112" t="str">
            <v>Olson; Zachery J.</v>
          </cell>
          <cell r="D1112" t="str">
            <v>1C</v>
          </cell>
          <cell r="E1112" t="str">
            <v>IBEWOUT</v>
          </cell>
          <cell r="F1112" t="str">
            <v>47</v>
          </cell>
          <cell r="G1112" t="str">
            <v>8</v>
          </cell>
          <cell r="H1112">
            <v>0</v>
          </cell>
        </row>
        <row r="1113">
          <cell r="B1113">
            <v>8247</v>
          </cell>
          <cell r="C1113" t="str">
            <v>Origer; Caleb J</v>
          </cell>
          <cell r="D1113" t="str">
            <v>1C</v>
          </cell>
          <cell r="E1113" t="str">
            <v>IBEWOUT</v>
          </cell>
          <cell r="F1113" t="str">
            <v>47</v>
          </cell>
          <cell r="G1113" t="str">
            <v>8</v>
          </cell>
          <cell r="H1113">
            <v>0</v>
          </cell>
        </row>
        <row r="1114">
          <cell r="B1114">
            <v>8249</v>
          </cell>
          <cell r="C1114" t="str">
            <v>Ortega; Nick F.</v>
          </cell>
          <cell r="D1114" t="str">
            <v>1C</v>
          </cell>
          <cell r="E1114" t="str">
            <v>IBEWOUT</v>
          </cell>
          <cell r="F1114" t="str">
            <v>47</v>
          </cell>
          <cell r="G1114" t="str">
            <v>8</v>
          </cell>
          <cell r="H1114">
            <v>0</v>
          </cell>
        </row>
        <row r="1115">
          <cell r="B1115">
            <v>8250</v>
          </cell>
          <cell r="C1115" t="str">
            <v>Ortiz; John R.</v>
          </cell>
          <cell r="D1115" t="str">
            <v>1C</v>
          </cell>
          <cell r="E1115" t="str">
            <v>IBEWOUT</v>
          </cell>
          <cell r="F1115" t="str">
            <v>1245</v>
          </cell>
          <cell r="G1115" t="str">
            <v>17</v>
          </cell>
          <cell r="H1115">
            <v>0</v>
          </cell>
        </row>
        <row r="1116">
          <cell r="B1116">
            <v>8255</v>
          </cell>
          <cell r="C1116" t="str">
            <v>Ortiz; Rocky</v>
          </cell>
          <cell r="D1116" t="str">
            <v>1C</v>
          </cell>
          <cell r="E1116" t="str">
            <v>IBEWOUT</v>
          </cell>
          <cell r="F1116" t="str">
            <v>1245</v>
          </cell>
          <cell r="G1116" t="str">
            <v>70</v>
          </cell>
          <cell r="H1116">
            <v>0</v>
          </cell>
        </row>
        <row r="1117">
          <cell r="B1117">
            <v>8258</v>
          </cell>
          <cell r="C1117" t="str">
            <v>Olmos-Ramos; Antonio D</v>
          </cell>
          <cell r="D1117" t="str">
            <v>1</v>
          </cell>
          <cell r="E1117" t="str">
            <v/>
          </cell>
          <cell r="F1117" t="str">
            <v/>
          </cell>
          <cell r="G1117" t="str">
            <v/>
          </cell>
          <cell r="H1117">
            <v>0</v>
          </cell>
        </row>
        <row r="1118">
          <cell r="B1118">
            <v>8260</v>
          </cell>
          <cell r="C1118" t="str">
            <v>Pacheco; Erick</v>
          </cell>
          <cell r="D1118" t="str">
            <v>1C</v>
          </cell>
          <cell r="E1118" t="str">
            <v>IBEWOUT</v>
          </cell>
          <cell r="F1118" t="str">
            <v>47</v>
          </cell>
          <cell r="G1118" t="str">
            <v>8</v>
          </cell>
          <cell r="H1118">
            <v>0</v>
          </cell>
        </row>
        <row r="1119">
          <cell r="B1119">
            <v>8265</v>
          </cell>
          <cell r="C1119" t="str">
            <v>Paddock; Gary L</v>
          </cell>
          <cell r="D1119" t="str">
            <v>1C</v>
          </cell>
          <cell r="E1119" t="str">
            <v>IBEWOUT</v>
          </cell>
          <cell r="F1119" t="str">
            <v>1319</v>
          </cell>
          <cell r="G1119" t="str">
            <v>18</v>
          </cell>
          <cell r="H1119">
            <v>0</v>
          </cell>
        </row>
        <row r="1120">
          <cell r="B1120">
            <v>8276</v>
          </cell>
          <cell r="C1120" t="str">
            <v>Padilla; Nicholas B.</v>
          </cell>
          <cell r="D1120" t="str">
            <v>1C</v>
          </cell>
          <cell r="E1120" t="str">
            <v>IBEWOUT</v>
          </cell>
          <cell r="F1120" t="str">
            <v>1245</v>
          </cell>
          <cell r="G1120" t="str">
            <v>8</v>
          </cell>
          <cell r="H1120">
            <v>0</v>
          </cell>
        </row>
        <row r="1121">
          <cell r="B1121">
            <v>8277</v>
          </cell>
          <cell r="C1121" t="str">
            <v>Padilla; Isaac F</v>
          </cell>
          <cell r="D1121" t="str">
            <v>1</v>
          </cell>
          <cell r="E1121" t="str">
            <v>IBEWOUT</v>
          </cell>
          <cell r="F1121" t="str">
            <v>611</v>
          </cell>
          <cell r="G1121" t="str">
            <v>7</v>
          </cell>
          <cell r="H1121">
            <v>0</v>
          </cell>
        </row>
        <row r="1122">
          <cell r="B1122">
            <v>8280</v>
          </cell>
          <cell r="C1122" t="str">
            <v>Seekell; Robert R</v>
          </cell>
          <cell r="D1122" t="str">
            <v>1C</v>
          </cell>
          <cell r="E1122" t="str">
            <v>IBEWOUT</v>
          </cell>
          <cell r="F1122" t="str">
            <v>1245</v>
          </cell>
          <cell r="G1122" t="str">
            <v>8</v>
          </cell>
          <cell r="H1122">
            <v>0</v>
          </cell>
        </row>
        <row r="1123">
          <cell r="B1123">
            <v>8281</v>
          </cell>
          <cell r="C1123" t="str">
            <v>Paola; Jonathan M.</v>
          </cell>
          <cell r="D1123" t="str">
            <v>1C</v>
          </cell>
          <cell r="E1123" t="str">
            <v>IBEWOUT</v>
          </cell>
          <cell r="F1123" t="str">
            <v>47</v>
          </cell>
          <cell r="G1123" t="str">
            <v>60</v>
          </cell>
          <cell r="H1123">
            <v>0</v>
          </cell>
        </row>
        <row r="1124">
          <cell r="B1124">
            <v>8284</v>
          </cell>
          <cell r="C1124" t="str">
            <v>Pandolfi Jr.; James L</v>
          </cell>
          <cell r="D1124" t="str">
            <v>1C</v>
          </cell>
          <cell r="E1124" t="str">
            <v>IBEWOUT</v>
          </cell>
          <cell r="F1124" t="str">
            <v>160</v>
          </cell>
          <cell r="G1124" t="str">
            <v>8</v>
          </cell>
          <cell r="H1124">
            <v>0</v>
          </cell>
        </row>
        <row r="1125">
          <cell r="B1125">
            <v>8286</v>
          </cell>
          <cell r="C1125" t="str">
            <v>Papendick; Dale R</v>
          </cell>
          <cell r="D1125" t="str">
            <v>1</v>
          </cell>
          <cell r="E1125" t="str">
            <v/>
          </cell>
          <cell r="F1125" t="str">
            <v/>
          </cell>
          <cell r="G1125" t="str">
            <v/>
          </cell>
          <cell r="H1125">
            <v>0</v>
          </cell>
        </row>
        <row r="1126">
          <cell r="B1126">
            <v>8292</v>
          </cell>
          <cell r="C1126" t="str">
            <v>Park Campbell; Kyle C.</v>
          </cell>
          <cell r="D1126" t="str">
            <v>1</v>
          </cell>
          <cell r="E1126" t="str">
            <v/>
          </cell>
          <cell r="F1126" t="str">
            <v/>
          </cell>
          <cell r="G1126" t="str">
            <v/>
          </cell>
          <cell r="H1126">
            <v>0</v>
          </cell>
        </row>
        <row r="1127">
          <cell r="B1127">
            <v>8300</v>
          </cell>
          <cell r="C1127" t="str">
            <v>Parker; Cody B</v>
          </cell>
          <cell r="D1127" t="str">
            <v>1C</v>
          </cell>
          <cell r="E1127" t="str">
            <v>IBEWOUT</v>
          </cell>
          <cell r="F1127" t="str">
            <v>1245</v>
          </cell>
          <cell r="G1127" t="str">
            <v>8</v>
          </cell>
          <cell r="H1127">
            <v>0</v>
          </cell>
        </row>
        <row r="1128">
          <cell r="B1128">
            <v>8301</v>
          </cell>
          <cell r="C1128" t="str">
            <v>Parmenter; George N.</v>
          </cell>
          <cell r="D1128" t="str">
            <v>1C</v>
          </cell>
          <cell r="E1128" t="str">
            <v>IBEWOUT</v>
          </cell>
          <cell r="F1128" t="str">
            <v>1245</v>
          </cell>
          <cell r="G1128" t="str">
            <v>7</v>
          </cell>
          <cell r="H1128">
            <v>0</v>
          </cell>
        </row>
        <row r="1129">
          <cell r="B1129">
            <v>8302</v>
          </cell>
          <cell r="C1129" t="str">
            <v>Parrish; Brandy M</v>
          </cell>
          <cell r="D1129" t="str">
            <v>1</v>
          </cell>
          <cell r="E1129" t="str">
            <v/>
          </cell>
          <cell r="F1129" t="str">
            <v/>
          </cell>
          <cell r="G1129" t="str">
            <v/>
          </cell>
          <cell r="H1129">
            <v>1</v>
          </cell>
        </row>
        <row r="1130">
          <cell r="B1130">
            <v>8303</v>
          </cell>
          <cell r="C1130" t="str">
            <v>Parten; Michael A</v>
          </cell>
          <cell r="D1130" t="str">
            <v>1C</v>
          </cell>
          <cell r="E1130" t="str">
            <v>IBEWOUT</v>
          </cell>
          <cell r="F1130" t="str">
            <v>125</v>
          </cell>
          <cell r="G1130" t="str">
            <v>8</v>
          </cell>
          <cell r="H1130">
            <v>0</v>
          </cell>
        </row>
        <row r="1131">
          <cell r="B1131">
            <v>8304</v>
          </cell>
          <cell r="C1131" t="str">
            <v>Parrisher; Colin K</v>
          </cell>
          <cell r="D1131" t="str">
            <v>1C</v>
          </cell>
          <cell r="E1131" t="str">
            <v>IBEWOUT</v>
          </cell>
          <cell r="F1131" t="str">
            <v>126</v>
          </cell>
          <cell r="G1131" t="str">
            <v>7</v>
          </cell>
          <cell r="H1131">
            <v>0</v>
          </cell>
        </row>
        <row r="1132">
          <cell r="B1132">
            <v>8317</v>
          </cell>
          <cell r="C1132" t="str">
            <v>Palacios Jr; Agustin Caudillo</v>
          </cell>
          <cell r="D1132" t="str">
            <v>1</v>
          </cell>
          <cell r="E1132" t="str">
            <v/>
          </cell>
          <cell r="F1132" t="str">
            <v/>
          </cell>
          <cell r="G1132" t="str">
            <v/>
          </cell>
          <cell r="H1132">
            <v>1</v>
          </cell>
        </row>
        <row r="1133">
          <cell r="B1133">
            <v>8325</v>
          </cell>
          <cell r="C1133" t="str">
            <v>Palacios; Alberto C</v>
          </cell>
          <cell r="D1133" t="str">
            <v>1</v>
          </cell>
          <cell r="E1133" t="str">
            <v/>
          </cell>
          <cell r="F1133" t="str">
            <v/>
          </cell>
          <cell r="G1133" t="str">
            <v/>
          </cell>
          <cell r="H1133">
            <v>0</v>
          </cell>
        </row>
        <row r="1134">
          <cell r="B1134">
            <v>8328</v>
          </cell>
          <cell r="C1134" t="str">
            <v>Pauley; Ryan H.</v>
          </cell>
          <cell r="D1134" t="str">
            <v>1C</v>
          </cell>
          <cell r="E1134" t="str">
            <v>IBEWOUT</v>
          </cell>
          <cell r="F1134" t="str">
            <v>77</v>
          </cell>
          <cell r="G1134" t="str">
            <v>8</v>
          </cell>
          <cell r="H1134">
            <v>0</v>
          </cell>
        </row>
        <row r="1135">
          <cell r="B1135">
            <v>8329</v>
          </cell>
          <cell r="C1135" t="str">
            <v>Palacios; Levi S</v>
          </cell>
          <cell r="D1135" t="str">
            <v>1C</v>
          </cell>
          <cell r="E1135" t="str">
            <v>IBEWOUT</v>
          </cell>
          <cell r="F1135" t="str">
            <v>1245</v>
          </cell>
          <cell r="G1135" t="str">
            <v>9</v>
          </cell>
          <cell r="H1135">
            <v>0</v>
          </cell>
        </row>
        <row r="1136">
          <cell r="B1136">
            <v>8330</v>
          </cell>
          <cell r="C1136" t="str">
            <v>Paull; Chadwick R</v>
          </cell>
          <cell r="D1136" t="str">
            <v>1C</v>
          </cell>
          <cell r="E1136" t="str">
            <v>IBEWOUT</v>
          </cell>
          <cell r="F1136" t="str">
            <v>47</v>
          </cell>
          <cell r="G1136" t="str">
            <v>8</v>
          </cell>
          <cell r="H1136">
            <v>0</v>
          </cell>
        </row>
        <row r="1137">
          <cell r="B1137">
            <v>8332</v>
          </cell>
          <cell r="C1137" t="str">
            <v>Payne; Marlin C</v>
          </cell>
          <cell r="D1137" t="str">
            <v>1</v>
          </cell>
          <cell r="E1137" t="str">
            <v>IBEWOUT</v>
          </cell>
          <cell r="F1137" t="str">
            <v>77</v>
          </cell>
          <cell r="G1137" t="str">
            <v>33</v>
          </cell>
          <cell r="H1137">
            <v>0</v>
          </cell>
        </row>
        <row r="1138">
          <cell r="B1138">
            <v>8334</v>
          </cell>
          <cell r="C1138" t="str">
            <v>Paez; David A</v>
          </cell>
          <cell r="D1138" t="str">
            <v>1C</v>
          </cell>
          <cell r="E1138" t="str">
            <v>IBEWOUT</v>
          </cell>
          <cell r="F1138" t="str">
            <v>47</v>
          </cell>
          <cell r="G1138" t="str">
            <v>13</v>
          </cell>
          <cell r="H1138">
            <v>0</v>
          </cell>
        </row>
        <row r="1139">
          <cell r="B1139">
            <v>8335</v>
          </cell>
          <cell r="C1139" t="str">
            <v>Paz; Arturo</v>
          </cell>
          <cell r="D1139" t="str">
            <v>1C</v>
          </cell>
          <cell r="E1139" t="str">
            <v>IBEWOUT</v>
          </cell>
          <cell r="F1139" t="str">
            <v>47</v>
          </cell>
          <cell r="G1139" t="str">
            <v>17</v>
          </cell>
          <cell r="H1139">
            <v>0</v>
          </cell>
        </row>
        <row r="1140">
          <cell r="B1140">
            <v>8336</v>
          </cell>
          <cell r="C1140" t="str">
            <v>Palacios; Alberto A</v>
          </cell>
          <cell r="D1140" t="str">
            <v>1C</v>
          </cell>
          <cell r="E1140" t="str">
            <v>IBEWOUT</v>
          </cell>
          <cell r="F1140" t="str">
            <v>47</v>
          </cell>
          <cell r="G1140" t="str">
            <v>17</v>
          </cell>
          <cell r="H1140">
            <v>0</v>
          </cell>
        </row>
        <row r="1141">
          <cell r="B1141">
            <v>8338</v>
          </cell>
          <cell r="C1141" t="str">
            <v>Paul; Robert A</v>
          </cell>
          <cell r="D1141" t="str">
            <v>1</v>
          </cell>
          <cell r="E1141" t="str">
            <v>IBEWOUT</v>
          </cell>
          <cell r="F1141" t="str">
            <v>47</v>
          </cell>
          <cell r="G1141" t="str">
            <v>8</v>
          </cell>
          <cell r="H1141">
            <v>0</v>
          </cell>
        </row>
        <row r="1142">
          <cell r="B1142">
            <v>8340</v>
          </cell>
          <cell r="C1142" t="str">
            <v>Paulsen; Michael B.</v>
          </cell>
          <cell r="D1142" t="str">
            <v>1C</v>
          </cell>
          <cell r="E1142" t="str">
            <v>IBEWOUT</v>
          </cell>
          <cell r="F1142" t="str">
            <v>1245</v>
          </cell>
          <cell r="G1142" t="str">
            <v>8</v>
          </cell>
          <cell r="H1142">
            <v>0</v>
          </cell>
        </row>
        <row r="1143">
          <cell r="B1143">
            <v>8341</v>
          </cell>
          <cell r="C1143" t="str">
            <v>Pavon; Marcus T</v>
          </cell>
          <cell r="D1143" t="str">
            <v>1C</v>
          </cell>
          <cell r="E1143" t="str">
            <v>IBEWOUT</v>
          </cell>
          <cell r="F1143" t="str">
            <v>1245</v>
          </cell>
          <cell r="G1143" t="str">
            <v>8</v>
          </cell>
          <cell r="H1143">
            <v>0</v>
          </cell>
        </row>
        <row r="1144">
          <cell r="B1144">
            <v>8342</v>
          </cell>
          <cell r="C1144" t="str">
            <v>Pavao; Jordan J</v>
          </cell>
          <cell r="D1144" t="str">
            <v>1C</v>
          </cell>
          <cell r="E1144" t="str">
            <v>IBEWOUT</v>
          </cell>
          <cell r="F1144" t="str">
            <v>104</v>
          </cell>
          <cell r="G1144" t="str">
            <v>15</v>
          </cell>
          <cell r="H1144">
            <v>0</v>
          </cell>
        </row>
        <row r="1145">
          <cell r="B1145">
            <v>8343</v>
          </cell>
          <cell r="C1145" t="str">
            <v>Pedersen; Daniel D</v>
          </cell>
          <cell r="D1145" t="str">
            <v>1C</v>
          </cell>
          <cell r="E1145" t="str">
            <v>IBEWOUT</v>
          </cell>
          <cell r="F1145" t="str">
            <v>1245</v>
          </cell>
          <cell r="G1145" t="str">
            <v>17</v>
          </cell>
          <cell r="H1145">
            <v>0</v>
          </cell>
        </row>
        <row r="1146">
          <cell r="B1146">
            <v>8345</v>
          </cell>
          <cell r="C1146" t="str">
            <v>Peachy; Joseph F</v>
          </cell>
          <cell r="D1146" t="str">
            <v>1C</v>
          </cell>
          <cell r="E1146" t="str">
            <v>IBEWOUT</v>
          </cell>
          <cell r="F1146" t="str">
            <v>47</v>
          </cell>
          <cell r="G1146" t="str">
            <v>8</v>
          </cell>
          <cell r="H1146">
            <v>0</v>
          </cell>
        </row>
        <row r="1147">
          <cell r="B1147">
            <v>8346</v>
          </cell>
          <cell r="C1147" t="str">
            <v>Peake; Ryan A</v>
          </cell>
          <cell r="D1147" t="str">
            <v>1</v>
          </cell>
          <cell r="E1147" t="str">
            <v>IBEWOUT</v>
          </cell>
          <cell r="F1147" t="str">
            <v>1245</v>
          </cell>
          <cell r="G1147" t="str">
            <v>7</v>
          </cell>
          <cell r="H1147">
            <v>0</v>
          </cell>
        </row>
        <row r="1148">
          <cell r="B1148">
            <v>8377</v>
          </cell>
          <cell r="C1148" t="str">
            <v>Pearson; Charles J</v>
          </cell>
          <cell r="D1148" t="str">
            <v>1C</v>
          </cell>
          <cell r="E1148" t="str">
            <v>IBEWOUT</v>
          </cell>
          <cell r="F1148" t="str">
            <v>1245</v>
          </cell>
          <cell r="G1148" t="str">
            <v>8</v>
          </cell>
          <cell r="H1148">
            <v>0</v>
          </cell>
        </row>
        <row r="1149">
          <cell r="B1149">
            <v>8378</v>
          </cell>
          <cell r="C1149" t="str">
            <v>Peart; Adam D</v>
          </cell>
          <cell r="D1149" t="str">
            <v>1</v>
          </cell>
          <cell r="E1149" t="str">
            <v/>
          </cell>
          <cell r="F1149" t="str">
            <v/>
          </cell>
          <cell r="G1149" t="str">
            <v/>
          </cell>
          <cell r="H1149">
            <v>1</v>
          </cell>
        </row>
        <row r="1150">
          <cell r="B1150">
            <v>8385</v>
          </cell>
          <cell r="C1150" t="str">
            <v>Piedra; Raul</v>
          </cell>
          <cell r="D1150" t="str">
            <v>1</v>
          </cell>
          <cell r="E1150" t="str">
            <v>IBEWOUT</v>
          </cell>
          <cell r="F1150" t="str">
            <v>1245</v>
          </cell>
          <cell r="G1150" t="str">
            <v>8</v>
          </cell>
          <cell r="H1150">
            <v>0</v>
          </cell>
        </row>
        <row r="1151">
          <cell r="B1151">
            <v>8386</v>
          </cell>
          <cell r="C1151" t="str">
            <v>Perea; Luis D</v>
          </cell>
          <cell r="D1151" t="str">
            <v>1</v>
          </cell>
          <cell r="E1151" t="str">
            <v>IBEWOUT</v>
          </cell>
          <cell r="F1151" t="str">
            <v>611</v>
          </cell>
          <cell r="G1151" t="str">
            <v>15</v>
          </cell>
          <cell r="H1151">
            <v>0</v>
          </cell>
        </row>
        <row r="1152">
          <cell r="B1152">
            <v>8395</v>
          </cell>
          <cell r="C1152" t="str">
            <v>Perez; Ruben Michel</v>
          </cell>
          <cell r="D1152" t="str">
            <v>1C</v>
          </cell>
          <cell r="E1152" t="str">
            <v>IBEWOUT</v>
          </cell>
          <cell r="F1152" t="str">
            <v>47</v>
          </cell>
          <cell r="G1152" t="str">
            <v>17</v>
          </cell>
          <cell r="H1152">
            <v>0</v>
          </cell>
        </row>
        <row r="1153">
          <cell r="B1153">
            <v>8398</v>
          </cell>
          <cell r="C1153" t="str">
            <v>Pendarvis; Jason L.</v>
          </cell>
          <cell r="D1153" t="str">
            <v>1C</v>
          </cell>
          <cell r="E1153" t="str">
            <v>IBEWOUT</v>
          </cell>
          <cell r="F1153" t="str">
            <v>125</v>
          </cell>
          <cell r="G1153" t="str">
            <v>17</v>
          </cell>
          <cell r="H1153">
            <v>0</v>
          </cell>
        </row>
        <row r="1154">
          <cell r="B1154">
            <v>8399</v>
          </cell>
          <cell r="C1154" t="str">
            <v>Pedersen; Vikter James</v>
          </cell>
          <cell r="D1154" t="str">
            <v>1C</v>
          </cell>
          <cell r="E1154" t="str">
            <v>IBEWOUT</v>
          </cell>
          <cell r="F1154" t="str">
            <v>77</v>
          </cell>
          <cell r="G1154" t="str">
            <v>8</v>
          </cell>
          <cell r="H1154">
            <v>0</v>
          </cell>
        </row>
        <row r="1155">
          <cell r="B1155">
            <v>8403</v>
          </cell>
          <cell r="C1155" t="str">
            <v>Perez; Gabriel D</v>
          </cell>
          <cell r="D1155" t="str">
            <v>1</v>
          </cell>
          <cell r="E1155" t="str">
            <v/>
          </cell>
          <cell r="F1155" t="str">
            <v/>
          </cell>
          <cell r="G1155" t="str">
            <v/>
          </cell>
          <cell r="H1155">
            <v>1</v>
          </cell>
        </row>
        <row r="1156">
          <cell r="B1156">
            <v>8405</v>
          </cell>
          <cell r="C1156" t="str">
            <v>Perzel; Donna</v>
          </cell>
          <cell r="D1156" t="str">
            <v>1C</v>
          </cell>
          <cell r="E1156" t="str">
            <v/>
          </cell>
          <cell r="F1156" t="str">
            <v/>
          </cell>
          <cell r="G1156" t="str">
            <v/>
          </cell>
          <cell r="H1156">
            <v>0</v>
          </cell>
        </row>
        <row r="1157">
          <cell r="B1157">
            <v>8427</v>
          </cell>
          <cell r="C1157" t="str">
            <v>Peterson; Alexander M</v>
          </cell>
          <cell r="D1157" t="str">
            <v>1</v>
          </cell>
          <cell r="E1157" t="str">
            <v>IBEWOUT</v>
          </cell>
          <cell r="F1157" t="str">
            <v>1245</v>
          </cell>
          <cell r="G1157" t="str">
            <v>8</v>
          </cell>
          <cell r="H1157">
            <v>0</v>
          </cell>
        </row>
        <row r="1158">
          <cell r="B1158">
            <v>8430</v>
          </cell>
          <cell r="C1158" t="str">
            <v>Pelley; Robert M</v>
          </cell>
          <cell r="D1158" t="str">
            <v>1C</v>
          </cell>
          <cell r="E1158" t="str">
            <v>IBEWOUT</v>
          </cell>
          <cell r="F1158" t="str">
            <v>47</v>
          </cell>
          <cell r="G1158" t="str">
            <v>16</v>
          </cell>
          <cell r="H1158">
            <v>0</v>
          </cell>
        </row>
        <row r="1159">
          <cell r="B1159">
            <v>8434</v>
          </cell>
          <cell r="C1159" t="str">
            <v>Peterson; Paul B</v>
          </cell>
          <cell r="D1159" t="str">
            <v>1</v>
          </cell>
          <cell r="E1159" t="str">
            <v>IBEWOUT</v>
          </cell>
          <cell r="F1159" t="str">
            <v>1245</v>
          </cell>
          <cell r="G1159" t="str">
            <v>7</v>
          </cell>
          <cell r="H1159">
            <v>0</v>
          </cell>
        </row>
        <row r="1160">
          <cell r="B1160">
            <v>8439</v>
          </cell>
          <cell r="C1160" t="str">
            <v>Peterson; Edwin W</v>
          </cell>
          <cell r="D1160" t="str">
            <v>1C</v>
          </cell>
          <cell r="E1160" t="str">
            <v>IBEWOUT</v>
          </cell>
          <cell r="F1160" t="str">
            <v>1245</v>
          </cell>
          <cell r="G1160" t="str">
            <v>8</v>
          </cell>
          <cell r="H1160">
            <v>0</v>
          </cell>
        </row>
        <row r="1161">
          <cell r="B1161">
            <v>8440</v>
          </cell>
          <cell r="C1161" t="str">
            <v>Pelster; Damian S</v>
          </cell>
          <cell r="D1161" t="str">
            <v>1C</v>
          </cell>
          <cell r="E1161" t="str">
            <v>IBEWOUT</v>
          </cell>
          <cell r="F1161" t="str">
            <v>1245</v>
          </cell>
          <cell r="G1161" t="str">
            <v>8</v>
          </cell>
          <cell r="H1161">
            <v>0</v>
          </cell>
        </row>
        <row r="1162">
          <cell r="B1162">
            <v>8441</v>
          </cell>
          <cell r="C1162" t="str">
            <v>Petrarca Jr; Jay M</v>
          </cell>
          <cell r="D1162" t="str">
            <v>1</v>
          </cell>
          <cell r="E1162" t="str">
            <v/>
          </cell>
          <cell r="F1162" t="str">
            <v/>
          </cell>
          <cell r="G1162" t="str">
            <v/>
          </cell>
          <cell r="H1162">
            <v>0</v>
          </cell>
        </row>
        <row r="1163">
          <cell r="B1163">
            <v>8442</v>
          </cell>
          <cell r="C1163" t="str">
            <v>Persche; Mark Russell</v>
          </cell>
          <cell r="D1163" t="str">
            <v>1C</v>
          </cell>
          <cell r="E1163" t="str">
            <v>IBEWOUT</v>
          </cell>
          <cell r="F1163" t="str">
            <v>1245</v>
          </cell>
          <cell r="G1163" t="str">
            <v>8</v>
          </cell>
          <cell r="H1163">
            <v>0</v>
          </cell>
        </row>
        <row r="1164">
          <cell r="B1164">
            <v>8445</v>
          </cell>
          <cell r="C1164" t="str">
            <v>Pelayo; Ruben</v>
          </cell>
          <cell r="D1164" t="str">
            <v>1C</v>
          </cell>
          <cell r="E1164" t="str">
            <v>IBEWOUT</v>
          </cell>
          <cell r="F1164" t="str">
            <v>1245</v>
          </cell>
          <cell r="G1164" t="str">
            <v>15</v>
          </cell>
          <cell r="H1164">
            <v>0</v>
          </cell>
        </row>
        <row r="1165">
          <cell r="B1165">
            <v>8451</v>
          </cell>
          <cell r="C1165" t="str">
            <v>Phillips; Luther E.</v>
          </cell>
          <cell r="D1165" t="str">
            <v>1</v>
          </cell>
          <cell r="E1165" t="str">
            <v/>
          </cell>
          <cell r="F1165" t="str">
            <v/>
          </cell>
          <cell r="G1165" t="str">
            <v/>
          </cell>
          <cell r="H1165">
            <v>0</v>
          </cell>
        </row>
        <row r="1166">
          <cell r="B1166">
            <v>8452</v>
          </cell>
          <cell r="C1166" t="str">
            <v>Phillips; Blake R</v>
          </cell>
          <cell r="D1166" t="str">
            <v>1C</v>
          </cell>
          <cell r="E1166" t="str">
            <v>IBEWOUT</v>
          </cell>
          <cell r="F1166" t="str">
            <v>47</v>
          </cell>
          <cell r="G1166" t="str">
            <v>14</v>
          </cell>
          <cell r="H1166">
            <v>0</v>
          </cell>
        </row>
        <row r="1167">
          <cell r="B1167">
            <v>8453</v>
          </cell>
          <cell r="C1167" t="str">
            <v>Pierce; Andrew J.</v>
          </cell>
          <cell r="D1167" t="str">
            <v>1C</v>
          </cell>
          <cell r="E1167" t="str">
            <v>IBEWOUT</v>
          </cell>
          <cell r="F1167" t="str">
            <v>1245</v>
          </cell>
          <cell r="G1167" t="str">
            <v>8</v>
          </cell>
          <cell r="H1167">
            <v>0</v>
          </cell>
        </row>
        <row r="1168">
          <cell r="B1168">
            <v>8458</v>
          </cell>
          <cell r="C1168" t="str">
            <v>Phillips; John W</v>
          </cell>
          <cell r="D1168" t="str">
            <v>1C</v>
          </cell>
          <cell r="E1168" t="str">
            <v>IBEWOUT</v>
          </cell>
          <cell r="F1168" t="str">
            <v>1245</v>
          </cell>
          <cell r="G1168" t="str">
            <v>16</v>
          </cell>
          <cell r="H1168">
            <v>0</v>
          </cell>
        </row>
        <row r="1169">
          <cell r="B1169">
            <v>8461</v>
          </cell>
          <cell r="C1169" t="str">
            <v>Pfaff; Rory C</v>
          </cell>
          <cell r="D1169" t="str">
            <v>1C</v>
          </cell>
          <cell r="E1169" t="str">
            <v>IBEWOUT</v>
          </cell>
          <cell r="F1169" t="str">
            <v>47</v>
          </cell>
          <cell r="G1169" t="str">
            <v>16</v>
          </cell>
          <cell r="H1169">
            <v>0</v>
          </cell>
        </row>
        <row r="1170">
          <cell r="B1170">
            <v>8464</v>
          </cell>
          <cell r="C1170" t="str">
            <v>Petersen; Spencer L</v>
          </cell>
          <cell r="D1170" t="str">
            <v>1</v>
          </cell>
          <cell r="E1170" t="str">
            <v>IBEWOUT</v>
          </cell>
          <cell r="F1170" t="str">
            <v>769</v>
          </cell>
          <cell r="G1170" t="str">
            <v>8</v>
          </cell>
          <cell r="H1170">
            <v>0</v>
          </cell>
        </row>
        <row r="1171">
          <cell r="B1171">
            <v>8466</v>
          </cell>
          <cell r="C1171" t="str">
            <v>Pfenniger; Joshua H</v>
          </cell>
          <cell r="D1171" t="str">
            <v>1C</v>
          </cell>
          <cell r="E1171" t="str">
            <v>IBEWOUT</v>
          </cell>
          <cell r="F1171" t="str">
            <v>125</v>
          </cell>
          <cell r="G1171" t="str">
            <v>15</v>
          </cell>
          <cell r="H1171">
            <v>0</v>
          </cell>
        </row>
        <row r="1172">
          <cell r="B1172">
            <v>8467</v>
          </cell>
          <cell r="C1172" t="str">
            <v>Phillips; Michael W</v>
          </cell>
          <cell r="D1172" t="str">
            <v>1</v>
          </cell>
          <cell r="E1172" t="str">
            <v>IBEWOUT</v>
          </cell>
          <cell r="F1172" t="str">
            <v>77</v>
          </cell>
          <cell r="G1172" t="str">
            <v>8</v>
          </cell>
          <cell r="H1172">
            <v>0</v>
          </cell>
        </row>
        <row r="1173">
          <cell r="B1173">
            <v>8471</v>
          </cell>
          <cell r="C1173" t="str">
            <v>Pierson; Ian R</v>
          </cell>
          <cell r="D1173" t="str">
            <v>1C</v>
          </cell>
          <cell r="E1173" t="str">
            <v>IBEWOUT</v>
          </cell>
          <cell r="F1173" t="str">
            <v>160</v>
          </cell>
          <cell r="G1173" t="str">
            <v>8</v>
          </cell>
          <cell r="H1173">
            <v>0</v>
          </cell>
        </row>
        <row r="1174">
          <cell r="B1174">
            <v>8472</v>
          </cell>
          <cell r="C1174" t="str">
            <v>Pierson Jr.; Robert Dewey</v>
          </cell>
          <cell r="D1174" t="str">
            <v>1C</v>
          </cell>
          <cell r="E1174" t="str">
            <v/>
          </cell>
          <cell r="F1174" t="str">
            <v/>
          </cell>
          <cell r="G1174" t="str">
            <v/>
          </cell>
          <cell r="H1174">
            <v>0</v>
          </cell>
        </row>
        <row r="1175">
          <cell r="B1175">
            <v>8476</v>
          </cell>
          <cell r="C1175" t="str">
            <v>Pinios; Frank N.</v>
          </cell>
          <cell r="D1175" t="str">
            <v>1C</v>
          </cell>
          <cell r="E1175" t="str">
            <v>IBEWOUT</v>
          </cell>
          <cell r="F1175" t="str">
            <v>1245</v>
          </cell>
          <cell r="G1175" t="str">
            <v>7</v>
          </cell>
          <cell r="H1175">
            <v>0</v>
          </cell>
        </row>
        <row r="1176">
          <cell r="B1176">
            <v>8477</v>
          </cell>
          <cell r="C1176" t="str">
            <v>Piedra; Jose Manuel</v>
          </cell>
          <cell r="D1176" t="str">
            <v>1C</v>
          </cell>
          <cell r="E1176" t="str">
            <v>IBEWOUT</v>
          </cell>
          <cell r="F1176" t="str">
            <v>769</v>
          </cell>
          <cell r="G1176" t="str">
            <v>7</v>
          </cell>
          <cell r="H1176">
            <v>0</v>
          </cell>
        </row>
        <row r="1177">
          <cell r="B1177">
            <v>8479</v>
          </cell>
          <cell r="C1177" t="str">
            <v>Picazo; Benjamin</v>
          </cell>
          <cell r="D1177" t="str">
            <v>1C</v>
          </cell>
          <cell r="E1177" t="str">
            <v>IBEWOUT</v>
          </cell>
          <cell r="F1177" t="str">
            <v>1245</v>
          </cell>
          <cell r="G1177" t="str">
            <v>15</v>
          </cell>
          <cell r="H1177">
            <v>0</v>
          </cell>
        </row>
        <row r="1178">
          <cell r="B1178">
            <v>8481</v>
          </cell>
          <cell r="C1178" t="str">
            <v>Pitts; Andrew J</v>
          </cell>
          <cell r="D1178" t="str">
            <v>1C</v>
          </cell>
          <cell r="E1178" t="str">
            <v>IBEWOUT</v>
          </cell>
          <cell r="F1178" t="str">
            <v>1245</v>
          </cell>
          <cell r="G1178" t="str">
            <v>8</v>
          </cell>
          <cell r="H1178">
            <v>0</v>
          </cell>
        </row>
        <row r="1179">
          <cell r="B1179">
            <v>8483</v>
          </cell>
          <cell r="C1179" t="str">
            <v>Pineda; Adolfo Rudy</v>
          </cell>
          <cell r="D1179" t="str">
            <v>1C</v>
          </cell>
          <cell r="E1179" t="str">
            <v>IBEWOUT</v>
          </cell>
          <cell r="F1179" t="str">
            <v>396</v>
          </cell>
          <cell r="G1179" t="str">
            <v>18</v>
          </cell>
          <cell r="H1179">
            <v>0</v>
          </cell>
        </row>
        <row r="1180">
          <cell r="B1180">
            <v>8485</v>
          </cell>
          <cell r="C1180" t="str">
            <v>Pinedo; Daniel</v>
          </cell>
          <cell r="D1180" t="str">
            <v>1C</v>
          </cell>
          <cell r="E1180" t="str">
            <v>IBEWOUT</v>
          </cell>
          <cell r="F1180" t="str">
            <v>47</v>
          </cell>
          <cell r="G1180" t="str">
            <v>13</v>
          </cell>
          <cell r="H1180">
            <v>0</v>
          </cell>
        </row>
        <row r="1181">
          <cell r="B1181">
            <v>8487</v>
          </cell>
          <cell r="C1181" t="str">
            <v>Plant; Zachary</v>
          </cell>
          <cell r="D1181" t="str">
            <v>1C</v>
          </cell>
          <cell r="E1181" t="str">
            <v>IBEWOUT</v>
          </cell>
          <cell r="F1181" t="str">
            <v>611</v>
          </cell>
          <cell r="G1181" t="str">
            <v>17</v>
          </cell>
          <cell r="H1181">
            <v>0</v>
          </cell>
        </row>
        <row r="1182">
          <cell r="B1182">
            <v>8507</v>
          </cell>
          <cell r="C1182" t="str">
            <v>Pontine; Devon A</v>
          </cell>
          <cell r="D1182" t="str">
            <v>1C</v>
          </cell>
          <cell r="E1182" t="str">
            <v>IBEWOUT</v>
          </cell>
          <cell r="F1182" t="str">
            <v>602R</v>
          </cell>
          <cell r="G1182" t="str">
            <v>14T</v>
          </cell>
          <cell r="H1182">
            <v>0</v>
          </cell>
        </row>
        <row r="1183">
          <cell r="B1183">
            <v>8509</v>
          </cell>
          <cell r="C1183" t="str">
            <v>Porter; Wes Fraser</v>
          </cell>
          <cell r="D1183" t="str">
            <v>1C</v>
          </cell>
          <cell r="E1183" t="str">
            <v>IBEWOUT</v>
          </cell>
          <cell r="F1183" t="str">
            <v>47</v>
          </cell>
          <cell r="G1183" t="str">
            <v>17</v>
          </cell>
          <cell r="H1183">
            <v>0</v>
          </cell>
        </row>
        <row r="1184">
          <cell r="B1184">
            <v>8510</v>
          </cell>
          <cell r="C1184" t="str">
            <v>Porras; Jose R</v>
          </cell>
          <cell r="D1184" t="str">
            <v>1C</v>
          </cell>
          <cell r="E1184" t="str">
            <v>IBEWOUT</v>
          </cell>
          <cell r="F1184" t="str">
            <v>602R</v>
          </cell>
          <cell r="G1184" t="str">
            <v>13T</v>
          </cell>
          <cell r="H1184">
            <v>0</v>
          </cell>
        </row>
        <row r="1185">
          <cell r="B1185">
            <v>8511</v>
          </cell>
          <cell r="C1185" t="str">
            <v>Poland; Christopher James</v>
          </cell>
          <cell r="D1185" t="str">
            <v>1C</v>
          </cell>
          <cell r="E1185" t="str">
            <v>IBEWOUT</v>
          </cell>
          <cell r="F1185" t="str">
            <v>125</v>
          </cell>
          <cell r="G1185" t="str">
            <v>7</v>
          </cell>
          <cell r="H1185">
            <v>0</v>
          </cell>
        </row>
        <row r="1186">
          <cell r="B1186">
            <v>8515</v>
          </cell>
          <cell r="C1186" t="str">
            <v>Pock; Alvin J.</v>
          </cell>
          <cell r="D1186" t="str">
            <v>1C</v>
          </cell>
          <cell r="E1186" t="str">
            <v/>
          </cell>
          <cell r="F1186" t="str">
            <v/>
          </cell>
          <cell r="G1186" t="str">
            <v/>
          </cell>
          <cell r="H1186">
            <v>0</v>
          </cell>
        </row>
        <row r="1187">
          <cell r="B1187">
            <v>8518</v>
          </cell>
          <cell r="C1187" t="str">
            <v>Pino; Adam J</v>
          </cell>
          <cell r="D1187" t="str">
            <v>1C</v>
          </cell>
          <cell r="E1187" t="str">
            <v>IBEWOUT</v>
          </cell>
          <cell r="F1187" t="str">
            <v>77</v>
          </cell>
          <cell r="G1187" t="str">
            <v>8</v>
          </cell>
          <cell r="H1187">
            <v>0</v>
          </cell>
        </row>
        <row r="1188">
          <cell r="B1188">
            <v>8520</v>
          </cell>
          <cell r="C1188" t="str">
            <v>Posey; Walter</v>
          </cell>
          <cell r="D1188" t="str">
            <v>1</v>
          </cell>
          <cell r="E1188" t="str">
            <v/>
          </cell>
          <cell r="F1188" t="str">
            <v/>
          </cell>
          <cell r="G1188" t="str">
            <v/>
          </cell>
          <cell r="H1188">
            <v>0</v>
          </cell>
        </row>
        <row r="1189">
          <cell r="B1189">
            <v>8523</v>
          </cell>
          <cell r="C1189" t="str">
            <v>Prychodzko; Peter D</v>
          </cell>
          <cell r="D1189" t="str">
            <v>1</v>
          </cell>
          <cell r="E1189" t="str">
            <v/>
          </cell>
          <cell r="F1189" t="str">
            <v/>
          </cell>
          <cell r="G1189" t="str">
            <v/>
          </cell>
          <cell r="H1189">
            <v>1</v>
          </cell>
        </row>
        <row r="1190">
          <cell r="B1190">
            <v>8524</v>
          </cell>
          <cell r="C1190" t="str">
            <v>Potter; Howard Michael</v>
          </cell>
          <cell r="D1190" t="str">
            <v>1C</v>
          </cell>
          <cell r="E1190" t="str">
            <v>IBEWOUT</v>
          </cell>
          <cell r="F1190" t="str">
            <v>396</v>
          </cell>
          <cell r="G1190" t="str">
            <v>8</v>
          </cell>
          <cell r="H1190">
            <v>0</v>
          </cell>
        </row>
        <row r="1191">
          <cell r="B1191">
            <v>8525</v>
          </cell>
          <cell r="C1191" t="str">
            <v>Powers; Nicholas L</v>
          </cell>
          <cell r="D1191" t="str">
            <v>1C</v>
          </cell>
          <cell r="E1191" t="str">
            <v>IBEWOUT</v>
          </cell>
          <cell r="F1191" t="str">
            <v>125</v>
          </cell>
          <cell r="G1191" t="str">
            <v>15</v>
          </cell>
          <cell r="H1191">
            <v>0</v>
          </cell>
        </row>
        <row r="1192">
          <cell r="B1192">
            <v>8526</v>
          </cell>
          <cell r="C1192" t="str">
            <v>Perlick; Timothy C</v>
          </cell>
          <cell r="D1192" t="str">
            <v>1C</v>
          </cell>
          <cell r="E1192" t="str">
            <v>IBEWOUT</v>
          </cell>
          <cell r="F1192" t="str">
            <v>47</v>
          </cell>
          <cell r="G1192" t="str">
            <v>8</v>
          </cell>
          <cell r="H1192">
            <v>0</v>
          </cell>
        </row>
        <row r="1193">
          <cell r="B1193">
            <v>8527</v>
          </cell>
          <cell r="C1193" t="str">
            <v>Potter; Shawn M</v>
          </cell>
          <cell r="D1193" t="str">
            <v>1C</v>
          </cell>
          <cell r="E1193" t="str">
            <v>IBEWOUT</v>
          </cell>
          <cell r="F1193" t="str">
            <v>160</v>
          </cell>
          <cell r="G1193" t="str">
            <v>31</v>
          </cell>
          <cell r="H1193">
            <v>0</v>
          </cell>
        </row>
        <row r="1194">
          <cell r="B1194">
            <v>8529</v>
          </cell>
          <cell r="C1194" t="str">
            <v>Preciado; Joseph A</v>
          </cell>
          <cell r="D1194" t="str">
            <v>1C</v>
          </cell>
          <cell r="E1194" t="str">
            <v>IBEWOUT</v>
          </cell>
          <cell r="F1194" t="str">
            <v>47</v>
          </cell>
          <cell r="G1194" t="str">
            <v>8</v>
          </cell>
          <cell r="H1194">
            <v>0</v>
          </cell>
        </row>
        <row r="1195">
          <cell r="B1195">
            <v>8532</v>
          </cell>
          <cell r="C1195" t="str">
            <v>Prather; Robert D.</v>
          </cell>
          <cell r="D1195" t="str">
            <v>1C</v>
          </cell>
          <cell r="E1195" t="str">
            <v>IBEWOUT</v>
          </cell>
          <cell r="F1195" t="str">
            <v>396</v>
          </cell>
          <cell r="G1195" t="str">
            <v>21</v>
          </cell>
          <cell r="H1195">
            <v>0</v>
          </cell>
        </row>
        <row r="1196">
          <cell r="B1196">
            <v>8534</v>
          </cell>
          <cell r="C1196" t="str">
            <v>Potts; Noah M</v>
          </cell>
          <cell r="D1196" t="str">
            <v>1C</v>
          </cell>
          <cell r="E1196" t="str">
            <v>IBEWOUT</v>
          </cell>
          <cell r="F1196" t="str">
            <v>1245</v>
          </cell>
          <cell r="G1196" t="str">
            <v>15</v>
          </cell>
          <cell r="H1196">
            <v>0</v>
          </cell>
        </row>
        <row r="1197">
          <cell r="B1197">
            <v>8538</v>
          </cell>
          <cell r="C1197" t="str">
            <v>Prado; Carlos A</v>
          </cell>
          <cell r="D1197" t="str">
            <v>1</v>
          </cell>
          <cell r="E1197" t="str">
            <v>IBEWOUT</v>
          </cell>
          <cell r="F1197" t="str">
            <v>611</v>
          </cell>
          <cell r="G1197" t="str">
            <v>15</v>
          </cell>
          <cell r="H1197">
            <v>0</v>
          </cell>
        </row>
        <row r="1198">
          <cell r="B1198">
            <v>8551</v>
          </cell>
          <cell r="C1198" t="str">
            <v>Reyes; Gerardo</v>
          </cell>
          <cell r="D1198" t="str">
            <v>1C</v>
          </cell>
          <cell r="E1198" t="str">
            <v>IBEWOUT</v>
          </cell>
          <cell r="F1198" t="str">
            <v>47</v>
          </cell>
          <cell r="G1198" t="str">
            <v>60</v>
          </cell>
          <cell r="H1198">
            <v>0</v>
          </cell>
        </row>
        <row r="1199">
          <cell r="B1199">
            <v>8559</v>
          </cell>
          <cell r="C1199" t="str">
            <v>Ibarra; Diego</v>
          </cell>
          <cell r="D1199" t="str">
            <v>1</v>
          </cell>
          <cell r="E1199" t="str">
            <v/>
          </cell>
          <cell r="F1199" t="str">
            <v/>
          </cell>
          <cell r="G1199" t="str">
            <v/>
          </cell>
          <cell r="H1199">
            <v>1</v>
          </cell>
        </row>
        <row r="1200">
          <cell r="B1200">
            <v>8564</v>
          </cell>
          <cell r="C1200" t="str">
            <v>Reyes; Joe M</v>
          </cell>
          <cell r="D1200" t="str">
            <v>1</v>
          </cell>
          <cell r="E1200" t="str">
            <v>IBEWOUT</v>
          </cell>
          <cell r="F1200" t="str">
            <v>47</v>
          </cell>
          <cell r="G1200" t="str">
            <v>8</v>
          </cell>
          <cell r="H1200">
            <v>0</v>
          </cell>
        </row>
        <row r="1201">
          <cell r="B1201">
            <v>8600</v>
          </cell>
          <cell r="C1201" t="str">
            <v>Preuitt; Jason P.</v>
          </cell>
          <cell r="D1201" t="str">
            <v>1</v>
          </cell>
          <cell r="E1201" t="str">
            <v/>
          </cell>
          <cell r="F1201" t="str">
            <v/>
          </cell>
          <cell r="G1201" t="str">
            <v/>
          </cell>
          <cell r="H1201">
            <v>1</v>
          </cell>
        </row>
        <row r="1202">
          <cell r="B1202">
            <v>8602</v>
          </cell>
          <cell r="C1202" t="str">
            <v>Prewitt; Aaron M</v>
          </cell>
          <cell r="D1202" t="str">
            <v>1C</v>
          </cell>
          <cell r="E1202" t="str">
            <v>IBEWOUT</v>
          </cell>
          <cell r="F1202" t="str">
            <v>1049</v>
          </cell>
          <cell r="G1202" t="str">
            <v>8</v>
          </cell>
          <cell r="H1202">
            <v>0</v>
          </cell>
        </row>
        <row r="1203">
          <cell r="B1203">
            <v>8604</v>
          </cell>
          <cell r="C1203" t="str">
            <v>Price; Conner M</v>
          </cell>
          <cell r="D1203" t="str">
            <v>1C</v>
          </cell>
          <cell r="E1203" t="str">
            <v>IBEWOUT</v>
          </cell>
          <cell r="F1203" t="str">
            <v>1245</v>
          </cell>
          <cell r="G1203" t="str">
            <v>8</v>
          </cell>
          <cell r="H1203">
            <v>0</v>
          </cell>
        </row>
        <row r="1204">
          <cell r="B1204">
            <v>8605</v>
          </cell>
          <cell r="C1204" t="str">
            <v>Price; Hunter S</v>
          </cell>
          <cell r="D1204" t="str">
            <v>1C</v>
          </cell>
          <cell r="E1204" t="str">
            <v>IBEWOUT</v>
          </cell>
          <cell r="F1204" t="str">
            <v>1245</v>
          </cell>
          <cell r="G1204" t="str">
            <v>14</v>
          </cell>
          <cell r="H1204">
            <v>0</v>
          </cell>
        </row>
        <row r="1205">
          <cell r="B1205">
            <v>8610</v>
          </cell>
          <cell r="C1205" t="str">
            <v>Printz; David C</v>
          </cell>
          <cell r="D1205" t="str">
            <v>1</v>
          </cell>
          <cell r="E1205" t="str">
            <v>IBEWOUT</v>
          </cell>
          <cell r="F1205" t="str">
            <v>77</v>
          </cell>
          <cell r="G1205" t="str">
            <v>8</v>
          </cell>
          <cell r="H1205">
            <v>0</v>
          </cell>
        </row>
        <row r="1206">
          <cell r="B1206">
            <v>8613</v>
          </cell>
          <cell r="C1206" t="str">
            <v>Prochoren; Neal A</v>
          </cell>
          <cell r="D1206" t="str">
            <v>1C</v>
          </cell>
          <cell r="E1206" t="str">
            <v>IBEWOUT</v>
          </cell>
          <cell r="F1206" t="str">
            <v>47</v>
          </cell>
          <cell r="G1206" t="str">
            <v>17</v>
          </cell>
          <cell r="H1206">
            <v>0</v>
          </cell>
        </row>
        <row r="1207">
          <cell r="B1207">
            <v>8616</v>
          </cell>
          <cell r="C1207" t="str">
            <v>Proctor; Casey D</v>
          </cell>
          <cell r="D1207" t="str">
            <v>1</v>
          </cell>
          <cell r="E1207" t="str">
            <v/>
          </cell>
          <cell r="F1207" t="str">
            <v/>
          </cell>
          <cell r="G1207" t="str">
            <v/>
          </cell>
          <cell r="H1207">
            <v>0</v>
          </cell>
        </row>
        <row r="1208">
          <cell r="B1208">
            <v>8668</v>
          </cell>
          <cell r="C1208" t="str">
            <v>Pyeatt; Jordan M</v>
          </cell>
          <cell r="D1208" t="str">
            <v>1</v>
          </cell>
          <cell r="E1208" t="str">
            <v>IBEWOUT</v>
          </cell>
          <cell r="F1208" t="str">
            <v>77</v>
          </cell>
          <cell r="G1208" t="str">
            <v>16</v>
          </cell>
          <cell r="H1208">
            <v>0</v>
          </cell>
        </row>
        <row r="1209">
          <cell r="B1209">
            <v>8671</v>
          </cell>
          <cell r="C1209" t="str">
            <v>Queen; Joseph D</v>
          </cell>
          <cell r="D1209" t="str">
            <v>1C</v>
          </cell>
          <cell r="E1209" t="str">
            <v>IBEWOUT</v>
          </cell>
          <cell r="F1209" t="str">
            <v>1245</v>
          </cell>
          <cell r="G1209" t="str">
            <v>60</v>
          </cell>
          <cell r="H1209">
            <v>0</v>
          </cell>
        </row>
        <row r="1210">
          <cell r="B1210">
            <v>8684</v>
          </cell>
          <cell r="C1210" t="str">
            <v>Quillen; Justis J</v>
          </cell>
          <cell r="D1210" t="str">
            <v>1C</v>
          </cell>
          <cell r="E1210" t="str">
            <v>IBEWOUT</v>
          </cell>
          <cell r="F1210" t="str">
            <v>611</v>
          </cell>
          <cell r="G1210" t="str">
            <v>15</v>
          </cell>
          <cell r="H1210">
            <v>0</v>
          </cell>
        </row>
        <row r="1211">
          <cell r="B1211">
            <v>8685</v>
          </cell>
          <cell r="C1211" t="str">
            <v>Quigley; Patrick Allen</v>
          </cell>
          <cell r="D1211" t="str">
            <v>1</v>
          </cell>
          <cell r="E1211" t="str">
            <v>IBEWOUT</v>
          </cell>
          <cell r="F1211" t="str">
            <v>47</v>
          </cell>
          <cell r="G1211" t="str">
            <v>7</v>
          </cell>
          <cell r="H1211">
            <v>0</v>
          </cell>
        </row>
        <row r="1212">
          <cell r="B1212">
            <v>8686</v>
          </cell>
          <cell r="C1212" t="str">
            <v>Quinones; Leopoldo A</v>
          </cell>
          <cell r="D1212" t="str">
            <v>1C</v>
          </cell>
          <cell r="E1212" t="str">
            <v>IBEWOUT</v>
          </cell>
          <cell r="F1212" t="str">
            <v>1245</v>
          </cell>
          <cell r="G1212" t="str">
            <v>17</v>
          </cell>
          <cell r="H1212">
            <v>0</v>
          </cell>
        </row>
        <row r="1213">
          <cell r="B1213">
            <v>8687</v>
          </cell>
          <cell r="C1213" t="str">
            <v>Quick; Brett A.</v>
          </cell>
          <cell r="D1213" t="str">
            <v>1C</v>
          </cell>
          <cell r="E1213" t="str">
            <v>IBEWOUT</v>
          </cell>
          <cell r="F1213" t="str">
            <v>769</v>
          </cell>
          <cell r="G1213" t="str">
            <v>16</v>
          </cell>
          <cell r="H1213">
            <v>0</v>
          </cell>
        </row>
        <row r="1214">
          <cell r="B1214">
            <v>8688</v>
          </cell>
          <cell r="C1214" t="str">
            <v>Quinlan; Robert J.</v>
          </cell>
          <cell r="D1214" t="str">
            <v>1C</v>
          </cell>
          <cell r="E1214" t="str">
            <v>IBEWOUT</v>
          </cell>
          <cell r="F1214" t="str">
            <v>47</v>
          </cell>
          <cell r="G1214" t="str">
            <v>7</v>
          </cell>
          <cell r="H1214">
            <v>0</v>
          </cell>
        </row>
        <row r="1215">
          <cell r="B1215">
            <v>8690</v>
          </cell>
          <cell r="C1215" t="str">
            <v>Quinn; Benjamin D.</v>
          </cell>
          <cell r="D1215" t="str">
            <v>1C</v>
          </cell>
          <cell r="E1215" t="str">
            <v>IBEWIN</v>
          </cell>
          <cell r="F1215" t="str">
            <v>714</v>
          </cell>
          <cell r="G1215" t="str">
            <v>8I</v>
          </cell>
          <cell r="H1215">
            <v>0</v>
          </cell>
        </row>
        <row r="1216">
          <cell r="B1216">
            <v>8693</v>
          </cell>
          <cell r="C1216" t="str">
            <v>Quiroz; Arnulfo M</v>
          </cell>
          <cell r="D1216" t="str">
            <v>1</v>
          </cell>
          <cell r="E1216" t="str">
            <v>IBEWOUT</v>
          </cell>
          <cell r="F1216" t="str">
            <v>769</v>
          </cell>
          <cell r="G1216" t="str">
            <v>1</v>
          </cell>
          <cell r="H1216">
            <v>0</v>
          </cell>
        </row>
        <row r="1217">
          <cell r="B1217">
            <v>8695</v>
          </cell>
          <cell r="C1217" t="str">
            <v>Quirarte; Fidencio</v>
          </cell>
          <cell r="D1217" t="str">
            <v>1</v>
          </cell>
          <cell r="E1217" t="str">
            <v>IBEWOUT</v>
          </cell>
          <cell r="F1217" t="str">
            <v>611</v>
          </cell>
          <cell r="G1217" t="str">
            <v>10</v>
          </cell>
          <cell r="H1217">
            <v>0</v>
          </cell>
        </row>
        <row r="1218">
          <cell r="B1218">
            <v>8700</v>
          </cell>
          <cell r="C1218" t="str">
            <v>Quist; Michael L</v>
          </cell>
          <cell r="D1218" t="str">
            <v>1</v>
          </cell>
          <cell r="E1218" t="str">
            <v/>
          </cell>
          <cell r="F1218" t="str">
            <v/>
          </cell>
          <cell r="G1218" t="str">
            <v/>
          </cell>
          <cell r="H1218">
            <v>1</v>
          </cell>
        </row>
        <row r="1219">
          <cell r="B1219">
            <v>8732</v>
          </cell>
          <cell r="C1219" t="str">
            <v>Rabon; Leland C.</v>
          </cell>
          <cell r="D1219" t="str">
            <v>1C</v>
          </cell>
          <cell r="E1219" t="str">
            <v>IBEWOUT</v>
          </cell>
          <cell r="F1219" t="str">
            <v>47</v>
          </cell>
          <cell r="G1219" t="str">
            <v>16</v>
          </cell>
          <cell r="H1219">
            <v>0</v>
          </cell>
        </row>
        <row r="1220">
          <cell r="B1220">
            <v>8735</v>
          </cell>
          <cell r="C1220" t="str">
            <v>Radant; Cody D</v>
          </cell>
          <cell r="D1220" t="str">
            <v>1C</v>
          </cell>
          <cell r="E1220" t="str">
            <v>IBEWOUT</v>
          </cell>
          <cell r="F1220" t="str">
            <v>125</v>
          </cell>
          <cell r="G1220" t="str">
            <v>8</v>
          </cell>
          <cell r="H1220">
            <v>0</v>
          </cell>
        </row>
        <row r="1221">
          <cell r="B1221">
            <v>8746</v>
          </cell>
          <cell r="C1221" t="str">
            <v>Raffety; Michael Shawn</v>
          </cell>
          <cell r="D1221" t="str">
            <v>1C</v>
          </cell>
          <cell r="E1221" t="str">
            <v>IBEWOUT</v>
          </cell>
          <cell r="F1221" t="str">
            <v>47</v>
          </cell>
          <cell r="G1221" t="str">
            <v>8</v>
          </cell>
          <cell r="H1221">
            <v>0</v>
          </cell>
        </row>
        <row r="1222">
          <cell r="B1222">
            <v>8756</v>
          </cell>
          <cell r="C1222" t="str">
            <v>Rains; Travis G.</v>
          </cell>
          <cell r="D1222" t="str">
            <v>1C</v>
          </cell>
          <cell r="E1222" t="str">
            <v>IBEWOUT</v>
          </cell>
          <cell r="F1222" t="str">
            <v>1245</v>
          </cell>
          <cell r="G1222" t="str">
            <v>8</v>
          </cell>
          <cell r="H1222">
            <v>0</v>
          </cell>
        </row>
        <row r="1223">
          <cell r="B1223">
            <v>8772</v>
          </cell>
          <cell r="C1223" t="str">
            <v>Ramirez; Ernesto D.</v>
          </cell>
          <cell r="D1223" t="str">
            <v>1C</v>
          </cell>
          <cell r="E1223" t="str">
            <v>IBEWOUT</v>
          </cell>
          <cell r="F1223" t="str">
            <v>47</v>
          </cell>
          <cell r="G1223" t="str">
            <v>14</v>
          </cell>
          <cell r="H1223">
            <v>0</v>
          </cell>
        </row>
        <row r="1224">
          <cell r="B1224">
            <v>8773</v>
          </cell>
          <cell r="C1224" t="str">
            <v>Ramirez; Eric G</v>
          </cell>
          <cell r="D1224" t="str">
            <v>1C</v>
          </cell>
          <cell r="E1224" t="str">
            <v>IBEWOUT</v>
          </cell>
          <cell r="F1224" t="str">
            <v>47</v>
          </cell>
          <cell r="G1224" t="str">
            <v>13</v>
          </cell>
          <cell r="H1224">
            <v>0</v>
          </cell>
        </row>
        <row r="1225">
          <cell r="B1225">
            <v>8777</v>
          </cell>
          <cell r="C1225" t="str">
            <v>Ramirez-Gomez; Marco I</v>
          </cell>
          <cell r="D1225" t="str">
            <v>1C</v>
          </cell>
          <cell r="E1225" t="str">
            <v>IBEWOUT</v>
          </cell>
          <cell r="F1225" t="str">
            <v>1245</v>
          </cell>
          <cell r="G1225" t="str">
            <v>17</v>
          </cell>
          <cell r="H1225">
            <v>0</v>
          </cell>
        </row>
        <row r="1226">
          <cell r="B1226">
            <v>8779</v>
          </cell>
          <cell r="C1226" t="str">
            <v>Ramirez-Hernandez; Kevin A</v>
          </cell>
          <cell r="D1226" t="str">
            <v>1C</v>
          </cell>
          <cell r="E1226" t="str">
            <v/>
          </cell>
          <cell r="F1226" t="str">
            <v/>
          </cell>
          <cell r="G1226" t="str">
            <v/>
          </cell>
          <cell r="H1226">
            <v>0</v>
          </cell>
        </row>
        <row r="1227">
          <cell r="B1227">
            <v>8780</v>
          </cell>
          <cell r="C1227" t="str">
            <v>Ramirez Lima; Jose D</v>
          </cell>
          <cell r="D1227" t="str">
            <v>1C</v>
          </cell>
          <cell r="E1227" t="str">
            <v>IBEWOUT</v>
          </cell>
          <cell r="F1227" t="str">
            <v>47</v>
          </cell>
          <cell r="G1227" t="str">
            <v>17</v>
          </cell>
          <cell r="H1227">
            <v>0</v>
          </cell>
        </row>
        <row r="1228">
          <cell r="B1228">
            <v>8784</v>
          </cell>
          <cell r="C1228" t="str">
            <v>Raper; Michael G.</v>
          </cell>
          <cell r="D1228" t="str">
            <v>1</v>
          </cell>
          <cell r="E1228" t="str">
            <v>IBEWOUT</v>
          </cell>
          <cell r="F1228" t="str">
            <v>1245</v>
          </cell>
          <cell r="G1228" t="str">
            <v>1</v>
          </cell>
          <cell r="H1228">
            <v>0</v>
          </cell>
        </row>
        <row r="1229">
          <cell r="B1229">
            <v>8786</v>
          </cell>
          <cell r="C1229" t="str">
            <v>Ransom; William B.</v>
          </cell>
          <cell r="D1229" t="str">
            <v>1C</v>
          </cell>
          <cell r="E1229" t="str">
            <v>IBEWOUT</v>
          </cell>
          <cell r="F1229" t="str">
            <v>47</v>
          </cell>
          <cell r="G1229" t="str">
            <v>8</v>
          </cell>
          <cell r="H1229">
            <v>0</v>
          </cell>
        </row>
        <row r="1230">
          <cell r="B1230">
            <v>8787</v>
          </cell>
          <cell r="C1230" t="str">
            <v>Rapozo; Titus K</v>
          </cell>
          <cell r="D1230" t="str">
            <v>1C</v>
          </cell>
          <cell r="E1230" t="str">
            <v>IBEWOUT</v>
          </cell>
          <cell r="F1230" t="str">
            <v>104</v>
          </cell>
          <cell r="G1230" t="str">
            <v>7</v>
          </cell>
          <cell r="H1230">
            <v>0</v>
          </cell>
        </row>
        <row r="1231">
          <cell r="B1231">
            <v>8790</v>
          </cell>
          <cell r="C1231" t="str">
            <v>Ratti; Byron J</v>
          </cell>
          <cell r="D1231" t="str">
            <v>1C</v>
          </cell>
          <cell r="E1231" t="str">
            <v>IBEWOUT</v>
          </cell>
          <cell r="F1231" t="str">
            <v>47</v>
          </cell>
          <cell r="G1231" t="str">
            <v>17</v>
          </cell>
          <cell r="H1231">
            <v>0</v>
          </cell>
        </row>
        <row r="1232">
          <cell r="B1232">
            <v>8792</v>
          </cell>
          <cell r="C1232" t="str">
            <v>Rasmussen; Anita</v>
          </cell>
          <cell r="D1232" t="str">
            <v>1C</v>
          </cell>
          <cell r="E1232" t="str">
            <v>IBEWOUT</v>
          </cell>
          <cell r="F1232" t="str">
            <v>396</v>
          </cell>
          <cell r="G1232" t="str">
            <v>17</v>
          </cell>
          <cell r="H1232">
            <v>0</v>
          </cell>
        </row>
        <row r="1233">
          <cell r="B1233">
            <v>8797</v>
          </cell>
          <cell r="C1233" t="str">
            <v>Raunig; Fred L.</v>
          </cell>
          <cell r="D1233" t="str">
            <v>1</v>
          </cell>
          <cell r="E1233" t="str">
            <v/>
          </cell>
          <cell r="F1233" t="str">
            <v/>
          </cell>
          <cell r="G1233" t="str">
            <v/>
          </cell>
          <cell r="H1233">
            <v>0</v>
          </cell>
        </row>
        <row r="1234">
          <cell r="B1234">
            <v>8798</v>
          </cell>
          <cell r="C1234" t="str">
            <v>Raunig; Fred Michael</v>
          </cell>
          <cell r="D1234" t="str">
            <v>1</v>
          </cell>
          <cell r="E1234" t="str">
            <v>IBEWOUT</v>
          </cell>
          <cell r="F1234" t="str">
            <v>769</v>
          </cell>
          <cell r="G1234" t="str">
            <v>1</v>
          </cell>
          <cell r="H1234">
            <v>0</v>
          </cell>
        </row>
        <row r="1235">
          <cell r="B1235">
            <v>8799</v>
          </cell>
          <cell r="C1235" t="str">
            <v>Rau; Jared W</v>
          </cell>
          <cell r="D1235" t="str">
            <v>1</v>
          </cell>
          <cell r="E1235" t="str">
            <v>IBEWOUT</v>
          </cell>
          <cell r="F1235" t="str">
            <v>769</v>
          </cell>
          <cell r="G1235" t="str">
            <v>7</v>
          </cell>
          <cell r="H1235">
            <v>0</v>
          </cell>
        </row>
        <row r="1236">
          <cell r="B1236">
            <v>8811</v>
          </cell>
          <cell r="C1236" t="str">
            <v>Ridley IV; Nelson</v>
          </cell>
          <cell r="D1236" t="str">
            <v>1C</v>
          </cell>
          <cell r="E1236" t="str">
            <v>IBEWOUT</v>
          </cell>
          <cell r="F1236" t="str">
            <v>1245</v>
          </cell>
          <cell r="G1236" t="str">
            <v>8</v>
          </cell>
          <cell r="H1236">
            <v>0</v>
          </cell>
        </row>
        <row r="1237">
          <cell r="B1237">
            <v>8817</v>
          </cell>
          <cell r="C1237" t="str">
            <v>Reavis; Sam H</v>
          </cell>
          <cell r="D1237" t="str">
            <v>1C</v>
          </cell>
          <cell r="E1237" t="str">
            <v>IBEWOUT</v>
          </cell>
          <cell r="F1237" t="str">
            <v>1245</v>
          </cell>
          <cell r="G1237" t="str">
            <v>11</v>
          </cell>
          <cell r="H1237">
            <v>0</v>
          </cell>
        </row>
        <row r="1238">
          <cell r="B1238">
            <v>8822</v>
          </cell>
          <cell r="C1238" t="str">
            <v>Reidhead; Trek W</v>
          </cell>
          <cell r="D1238" t="str">
            <v>1</v>
          </cell>
          <cell r="E1238" t="str">
            <v>IBEWOUT</v>
          </cell>
          <cell r="F1238" t="str">
            <v>47</v>
          </cell>
          <cell r="G1238" t="str">
            <v>1</v>
          </cell>
          <cell r="H1238">
            <v>0</v>
          </cell>
        </row>
        <row r="1239">
          <cell r="B1239">
            <v>8829</v>
          </cell>
          <cell r="C1239" t="str">
            <v>Richmond; Cordell D</v>
          </cell>
          <cell r="D1239" t="str">
            <v>1C</v>
          </cell>
          <cell r="E1239" t="str">
            <v>IBEWOUT</v>
          </cell>
          <cell r="F1239" t="str">
            <v>602R</v>
          </cell>
          <cell r="G1239" t="str">
            <v>14T</v>
          </cell>
          <cell r="H1239">
            <v>0</v>
          </cell>
        </row>
        <row r="1240">
          <cell r="B1240">
            <v>8832</v>
          </cell>
          <cell r="C1240" t="str">
            <v>Renn; Shane T.</v>
          </cell>
          <cell r="D1240" t="str">
            <v>1C</v>
          </cell>
          <cell r="E1240" t="str">
            <v>IBEWOUT</v>
          </cell>
          <cell r="F1240" t="str">
            <v>1245</v>
          </cell>
          <cell r="G1240" t="str">
            <v>7</v>
          </cell>
          <cell r="H1240">
            <v>0</v>
          </cell>
        </row>
        <row r="1241">
          <cell r="B1241">
            <v>8833</v>
          </cell>
          <cell r="C1241" t="str">
            <v>Ressa; Joshua W.</v>
          </cell>
          <cell r="D1241" t="str">
            <v>1C</v>
          </cell>
          <cell r="E1241" t="str">
            <v>IBEWOUT</v>
          </cell>
          <cell r="F1241" t="str">
            <v>77</v>
          </cell>
          <cell r="G1241" t="str">
            <v>16</v>
          </cell>
          <cell r="H1241">
            <v>0</v>
          </cell>
        </row>
        <row r="1242">
          <cell r="B1242">
            <v>8836</v>
          </cell>
          <cell r="C1242" t="str">
            <v>Richmond; Shawn J.</v>
          </cell>
          <cell r="D1242" t="str">
            <v>1C</v>
          </cell>
          <cell r="E1242" t="str">
            <v>IBEWOUT</v>
          </cell>
          <cell r="F1242" t="str">
            <v>1245</v>
          </cell>
          <cell r="G1242" t="str">
            <v>8</v>
          </cell>
          <cell r="H1242">
            <v>0</v>
          </cell>
        </row>
        <row r="1243">
          <cell r="B1243">
            <v>8837</v>
          </cell>
          <cell r="C1243" t="str">
            <v>Ricker; Chad M</v>
          </cell>
          <cell r="D1243" t="str">
            <v>1C</v>
          </cell>
          <cell r="E1243" t="str">
            <v>IBEWOUT</v>
          </cell>
          <cell r="F1243" t="str">
            <v>47</v>
          </cell>
          <cell r="G1243" t="str">
            <v>8</v>
          </cell>
          <cell r="H1243">
            <v>0</v>
          </cell>
        </row>
        <row r="1244">
          <cell r="B1244">
            <v>8845</v>
          </cell>
          <cell r="C1244" t="str">
            <v>Renteria; Juan Carlos</v>
          </cell>
          <cell r="D1244" t="str">
            <v>1C</v>
          </cell>
          <cell r="E1244" t="str">
            <v>IBEWOUT</v>
          </cell>
          <cell r="F1244" t="str">
            <v>1245</v>
          </cell>
          <cell r="G1244" t="str">
            <v>12</v>
          </cell>
          <cell r="H1244">
            <v>0</v>
          </cell>
        </row>
        <row r="1245">
          <cell r="B1245">
            <v>8846</v>
          </cell>
          <cell r="C1245" t="str">
            <v>Rondeau Jr.; William A</v>
          </cell>
          <cell r="D1245" t="str">
            <v>1C</v>
          </cell>
          <cell r="E1245" t="str">
            <v>IBEWOUT</v>
          </cell>
          <cell r="F1245" t="str">
            <v>126</v>
          </cell>
          <cell r="G1245" t="str">
            <v>8</v>
          </cell>
          <cell r="H1245">
            <v>0</v>
          </cell>
        </row>
        <row r="1246">
          <cell r="B1246">
            <v>8855</v>
          </cell>
          <cell r="C1246" t="str">
            <v>Robbins; Nathan Ray</v>
          </cell>
          <cell r="D1246" t="str">
            <v>1C</v>
          </cell>
          <cell r="E1246" t="str">
            <v>IBEWOUT</v>
          </cell>
          <cell r="F1246" t="str">
            <v>77</v>
          </cell>
          <cell r="G1246" t="str">
            <v>9</v>
          </cell>
          <cell r="H1246">
            <v>0</v>
          </cell>
        </row>
        <row r="1247">
          <cell r="B1247">
            <v>8856</v>
          </cell>
          <cell r="C1247" t="str">
            <v>Rethi; Attila Alex</v>
          </cell>
          <cell r="D1247" t="str">
            <v>1C</v>
          </cell>
          <cell r="E1247" t="str">
            <v>IBEWOUT</v>
          </cell>
          <cell r="F1247" t="str">
            <v>1245</v>
          </cell>
          <cell r="G1247" t="str">
            <v>16</v>
          </cell>
          <cell r="H1247">
            <v>0</v>
          </cell>
        </row>
        <row r="1248">
          <cell r="B1248">
            <v>8857</v>
          </cell>
          <cell r="C1248" t="str">
            <v>Romberg; Grant M</v>
          </cell>
          <cell r="D1248" t="str">
            <v>1C</v>
          </cell>
          <cell r="E1248" t="str">
            <v>IBEWOUT</v>
          </cell>
          <cell r="F1248" t="str">
            <v>160</v>
          </cell>
          <cell r="G1248" t="str">
            <v>8</v>
          </cell>
          <cell r="H1248">
            <v>0</v>
          </cell>
        </row>
        <row r="1249">
          <cell r="B1249">
            <v>8858</v>
          </cell>
          <cell r="C1249" t="str">
            <v>Romero; Johnny O</v>
          </cell>
          <cell r="D1249" t="str">
            <v>1C</v>
          </cell>
          <cell r="E1249" t="str">
            <v>IBEWOUT</v>
          </cell>
          <cell r="F1249" t="str">
            <v>611</v>
          </cell>
          <cell r="G1249" t="str">
            <v>12</v>
          </cell>
          <cell r="H1249">
            <v>0</v>
          </cell>
        </row>
        <row r="1250">
          <cell r="B1250">
            <v>8860</v>
          </cell>
          <cell r="C1250" t="str">
            <v>Rice; Everett L</v>
          </cell>
          <cell r="D1250" t="str">
            <v>1C</v>
          </cell>
          <cell r="E1250" t="str">
            <v>IBEWOUT</v>
          </cell>
          <cell r="F1250" t="str">
            <v>77</v>
          </cell>
          <cell r="G1250" t="str">
            <v>8</v>
          </cell>
          <cell r="H1250">
            <v>0</v>
          </cell>
        </row>
        <row r="1251">
          <cell r="B1251">
            <v>8861</v>
          </cell>
          <cell r="C1251" t="str">
            <v>Rhodes; Sam A</v>
          </cell>
          <cell r="D1251" t="str">
            <v>1C</v>
          </cell>
          <cell r="E1251" t="str">
            <v>IBEWOUT</v>
          </cell>
          <cell r="F1251" t="str">
            <v>77</v>
          </cell>
          <cell r="G1251" t="str">
            <v>8</v>
          </cell>
          <cell r="H1251">
            <v>0</v>
          </cell>
        </row>
        <row r="1252">
          <cell r="B1252">
            <v>8862</v>
          </cell>
          <cell r="C1252" t="str">
            <v>Rex; Paul Arthur</v>
          </cell>
          <cell r="D1252" t="str">
            <v>1C</v>
          </cell>
          <cell r="E1252" t="str">
            <v>IBEWOUT</v>
          </cell>
          <cell r="F1252" t="str">
            <v>47</v>
          </cell>
          <cell r="G1252" t="str">
            <v>60</v>
          </cell>
          <cell r="H1252">
            <v>0</v>
          </cell>
        </row>
        <row r="1253">
          <cell r="B1253">
            <v>8864</v>
          </cell>
          <cell r="C1253" t="str">
            <v>Rhodes; Shawn A</v>
          </cell>
          <cell r="D1253" t="str">
            <v>1</v>
          </cell>
          <cell r="E1253" t="str">
            <v/>
          </cell>
          <cell r="F1253" t="str">
            <v/>
          </cell>
          <cell r="G1253" t="str">
            <v/>
          </cell>
          <cell r="H1253">
            <v>1</v>
          </cell>
        </row>
        <row r="1254">
          <cell r="B1254">
            <v>8865</v>
          </cell>
          <cell r="C1254" t="str">
            <v>Rivet Jr.; Lipton J</v>
          </cell>
          <cell r="D1254" t="str">
            <v>1C</v>
          </cell>
          <cell r="E1254" t="str">
            <v>IBEWOUT</v>
          </cell>
          <cell r="F1254" t="str">
            <v>160</v>
          </cell>
          <cell r="G1254" t="str">
            <v>8</v>
          </cell>
          <cell r="H1254">
            <v>0</v>
          </cell>
        </row>
        <row r="1255">
          <cell r="B1255">
            <v>8868</v>
          </cell>
          <cell r="C1255" t="str">
            <v>Richardson; Rush L</v>
          </cell>
          <cell r="D1255" t="str">
            <v>1C</v>
          </cell>
          <cell r="E1255" t="str">
            <v>IBEWOUT</v>
          </cell>
          <cell r="F1255" t="str">
            <v>1245</v>
          </cell>
          <cell r="G1255" t="str">
            <v>8</v>
          </cell>
          <cell r="H1255">
            <v>0</v>
          </cell>
        </row>
        <row r="1256">
          <cell r="B1256">
            <v>8871</v>
          </cell>
          <cell r="C1256" t="str">
            <v>Romero; Ricardo</v>
          </cell>
          <cell r="D1256" t="str">
            <v>1C</v>
          </cell>
          <cell r="E1256" t="str">
            <v>IBEWOUT</v>
          </cell>
          <cell r="F1256" t="str">
            <v>47</v>
          </cell>
          <cell r="G1256" t="str">
            <v>8</v>
          </cell>
          <cell r="H1256">
            <v>0</v>
          </cell>
        </row>
        <row r="1257">
          <cell r="B1257">
            <v>8873</v>
          </cell>
          <cell r="C1257" t="str">
            <v>Rico; Jose M</v>
          </cell>
          <cell r="D1257" t="str">
            <v>1C</v>
          </cell>
          <cell r="E1257" t="str">
            <v>IBEWOUT</v>
          </cell>
          <cell r="F1257" t="str">
            <v>1245</v>
          </cell>
          <cell r="G1257" t="str">
            <v>60</v>
          </cell>
          <cell r="H1257">
            <v>0</v>
          </cell>
        </row>
        <row r="1258">
          <cell r="B1258">
            <v>8879</v>
          </cell>
          <cell r="C1258" t="str">
            <v>Ricks; Cody M</v>
          </cell>
          <cell r="D1258" t="str">
            <v>1</v>
          </cell>
          <cell r="E1258" t="str">
            <v>IBEWOUT</v>
          </cell>
          <cell r="F1258" t="str">
            <v>125</v>
          </cell>
          <cell r="G1258" t="str">
            <v>13</v>
          </cell>
          <cell r="H1258">
            <v>0</v>
          </cell>
        </row>
        <row r="1259">
          <cell r="B1259">
            <v>8880</v>
          </cell>
          <cell r="C1259" t="str">
            <v>Reyero Jr; Raul F</v>
          </cell>
          <cell r="D1259" t="str">
            <v>1C</v>
          </cell>
          <cell r="E1259" t="str">
            <v>IBEWOUT</v>
          </cell>
          <cell r="F1259" t="str">
            <v>611</v>
          </cell>
          <cell r="G1259" t="str">
            <v>18</v>
          </cell>
          <cell r="H1259">
            <v>0</v>
          </cell>
        </row>
        <row r="1260">
          <cell r="B1260">
            <v>8887</v>
          </cell>
          <cell r="C1260" t="str">
            <v>Riley; Brian Patrick</v>
          </cell>
          <cell r="D1260" t="str">
            <v>1C</v>
          </cell>
          <cell r="E1260" t="str">
            <v/>
          </cell>
          <cell r="F1260" t="str">
            <v/>
          </cell>
          <cell r="G1260" t="str">
            <v/>
          </cell>
          <cell r="H1260">
            <v>0</v>
          </cell>
        </row>
        <row r="1261">
          <cell r="B1261">
            <v>8888</v>
          </cell>
          <cell r="C1261" t="str">
            <v>Rinehimer; Geary M</v>
          </cell>
          <cell r="D1261" t="str">
            <v>1C</v>
          </cell>
          <cell r="E1261" t="str">
            <v>IBEWOUT</v>
          </cell>
          <cell r="F1261" t="str">
            <v>1319</v>
          </cell>
          <cell r="G1261" t="str">
            <v>13</v>
          </cell>
          <cell r="H1261">
            <v>0</v>
          </cell>
        </row>
        <row r="1262">
          <cell r="B1262">
            <v>8891</v>
          </cell>
          <cell r="C1262" t="str">
            <v>Rinella; Philip M</v>
          </cell>
          <cell r="D1262" t="str">
            <v>1</v>
          </cell>
          <cell r="E1262" t="str">
            <v/>
          </cell>
          <cell r="F1262" t="str">
            <v/>
          </cell>
          <cell r="G1262" t="str">
            <v/>
          </cell>
          <cell r="H1262">
            <v>0</v>
          </cell>
        </row>
        <row r="1263">
          <cell r="B1263">
            <v>8895</v>
          </cell>
          <cell r="C1263" t="str">
            <v>Roan; Dustin Michael</v>
          </cell>
          <cell r="D1263" t="str">
            <v>1C</v>
          </cell>
          <cell r="E1263" t="str">
            <v>IBEWOUT</v>
          </cell>
          <cell r="F1263" t="str">
            <v>769</v>
          </cell>
          <cell r="G1263" t="str">
            <v>33</v>
          </cell>
          <cell r="H1263">
            <v>0</v>
          </cell>
        </row>
        <row r="1264">
          <cell r="B1264">
            <v>8899</v>
          </cell>
          <cell r="C1264" t="str">
            <v>Rigg; Stuart N</v>
          </cell>
          <cell r="D1264" t="str">
            <v>1C</v>
          </cell>
          <cell r="E1264" t="str">
            <v>IBEWOUT</v>
          </cell>
          <cell r="F1264" t="str">
            <v>1245</v>
          </cell>
          <cell r="G1264" t="str">
            <v>8</v>
          </cell>
          <cell r="H1264">
            <v>0</v>
          </cell>
        </row>
        <row r="1265">
          <cell r="B1265">
            <v>8904</v>
          </cell>
          <cell r="C1265" t="str">
            <v>Rivera; Amando A</v>
          </cell>
          <cell r="D1265" t="str">
            <v>1C</v>
          </cell>
          <cell r="E1265" t="str">
            <v>IBEWOUT</v>
          </cell>
          <cell r="F1265" t="str">
            <v>47</v>
          </cell>
          <cell r="G1265" t="str">
            <v>8</v>
          </cell>
          <cell r="H1265">
            <v>0</v>
          </cell>
        </row>
        <row r="1266">
          <cell r="B1266">
            <v>8905</v>
          </cell>
          <cell r="C1266" t="str">
            <v>Rieskamp; Amanda M</v>
          </cell>
          <cell r="D1266" t="str">
            <v>1C</v>
          </cell>
          <cell r="E1266" t="str">
            <v/>
          </cell>
          <cell r="F1266" t="str">
            <v/>
          </cell>
          <cell r="G1266" t="str">
            <v/>
          </cell>
          <cell r="H1266">
            <v>0</v>
          </cell>
        </row>
        <row r="1267">
          <cell r="B1267">
            <v>8906</v>
          </cell>
          <cell r="C1267" t="str">
            <v>Rivera; Luis C</v>
          </cell>
          <cell r="D1267" t="str">
            <v>1C</v>
          </cell>
          <cell r="E1267" t="str">
            <v>IBEWOUT</v>
          </cell>
          <cell r="F1267" t="str">
            <v>47</v>
          </cell>
          <cell r="G1267" t="str">
            <v>7</v>
          </cell>
          <cell r="H1267">
            <v>0</v>
          </cell>
        </row>
        <row r="1268">
          <cell r="B1268">
            <v>8908</v>
          </cell>
          <cell r="C1268" t="str">
            <v>Rivera; Andrew L</v>
          </cell>
          <cell r="D1268" t="str">
            <v>1C</v>
          </cell>
          <cell r="E1268" t="str">
            <v>IBEWOUT</v>
          </cell>
          <cell r="F1268" t="str">
            <v>611</v>
          </cell>
          <cell r="G1268" t="str">
            <v>13</v>
          </cell>
          <cell r="H1268">
            <v>0</v>
          </cell>
        </row>
        <row r="1269">
          <cell r="B1269">
            <v>8910</v>
          </cell>
          <cell r="C1269" t="str">
            <v>Rimer Jr; James D</v>
          </cell>
          <cell r="D1269" t="str">
            <v>1C</v>
          </cell>
          <cell r="E1269" t="str">
            <v>IBEWOUT</v>
          </cell>
          <cell r="F1269" t="str">
            <v>1245</v>
          </cell>
          <cell r="G1269" t="str">
            <v>8</v>
          </cell>
          <cell r="H1269">
            <v>0</v>
          </cell>
        </row>
        <row r="1270">
          <cell r="B1270">
            <v>8914</v>
          </cell>
          <cell r="C1270" t="str">
            <v>Rivera; Juan D</v>
          </cell>
          <cell r="D1270" t="str">
            <v>1</v>
          </cell>
          <cell r="E1270" t="str">
            <v>IBEWOUT</v>
          </cell>
          <cell r="F1270" t="str">
            <v>47</v>
          </cell>
          <cell r="G1270" t="str">
            <v>17</v>
          </cell>
          <cell r="H1270">
            <v>0</v>
          </cell>
        </row>
        <row r="1271">
          <cell r="B1271">
            <v>8915</v>
          </cell>
          <cell r="C1271" t="str">
            <v>Rivera; Juan H</v>
          </cell>
          <cell r="D1271" t="str">
            <v>1</v>
          </cell>
          <cell r="E1271" t="str">
            <v>IBEWOUT</v>
          </cell>
          <cell r="F1271" t="str">
            <v>1245</v>
          </cell>
          <cell r="G1271" t="str">
            <v>8</v>
          </cell>
          <cell r="H1271">
            <v>0</v>
          </cell>
        </row>
        <row r="1272">
          <cell r="B1272">
            <v>8916</v>
          </cell>
          <cell r="C1272" t="str">
            <v>Rivera; Darick J</v>
          </cell>
          <cell r="D1272" t="str">
            <v>1</v>
          </cell>
          <cell r="E1272" t="str">
            <v>IBEWOUT</v>
          </cell>
          <cell r="F1272" t="str">
            <v>769</v>
          </cell>
          <cell r="G1272" t="str">
            <v>12</v>
          </cell>
          <cell r="H1272">
            <v>0</v>
          </cell>
        </row>
        <row r="1273">
          <cell r="B1273">
            <v>8929</v>
          </cell>
          <cell r="C1273" t="str">
            <v>Rode; Richard D</v>
          </cell>
          <cell r="D1273" t="str">
            <v>1</v>
          </cell>
          <cell r="E1273" t="str">
            <v>IBEWOUT</v>
          </cell>
          <cell r="F1273" t="str">
            <v>47</v>
          </cell>
          <cell r="G1273" t="str">
            <v>9</v>
          </cell>
          <cell r="H1273">
            <v>0</v>
          </cell>
        </row>
        <row r="1274">
          <cell r="B1274">
            <v>8930</v>
          </cell>
          <cell r="C1274" t="str">
            <v>Roark; Dale B.</v>
          </cell>
          <cell r="D1274" t="str">
            <v>1C</v>
          </cell>
          <cell r="E1274" t="str">
            <v>IBEWOUT</v>
          </cell>
          <cell r="F1274" t="str">
            <v>47</v>
          </cell>
          <cell r="G1274" t="str">
            <v>8</v>
          </cell>
          <cell r="H1274">
            <v>0</v>
          </cell>
        </row>
        <row r="1275">
          <cell r="B1275">
            <v>8931</v>
          </cell>
          <cell r="C1275" t="str">
            <v>Rocha; Jonathan M</v>
          </cell>
          <cell r="D1275" t="str">
            <v>1C</v>
          </cell>
          <cell r="E1275" t="str">
            <v>IBEWOUT</v>
          </cell>
          <cell r="F1275" t="str">
            <v>1245</v>
          </cell>
          <cell r="G1275" t="str">
            <v>13</v>
          </cell>
          <cell r="H1275">
            <v>0</v>
          </cell>
        </row>
        <row r="1276">
          <cell r="B1276">
            <v>8933</v>
          </cell>
          <cell r="C1276" t="str">
            <v>Rodericks; Marvin C</v>
          </cell>
          <cell r="D1276" t="str">
            <v>1C</v>
          </cell>
          <cell r="E1276" t="str">
            <v>IBEWOUT</v>
          </cell>
          <cell r="F1276" t="str">
            <v>1049</v>
          </cell>
          <cell r="G1276" t="str">
            <v>17</v>
          </cell>
          <cell r="H1276">
            <v>0</v>
          </cell>
        </row>
        <row r="1277">
          <cell r="B1277">
            <v>8934</v>
          </cell>
          <cell r="C1277" t="str">
            <v>Rocha Guzman; Salvador</v>
          </cell>
          <cell r="D1277" t="str">
            <v>1</v>
          </cell>
          <cell r="E1277" t="str">
            <v/>
          </cell>
          <cell r="F1277" t="str">
            <v/>
          </cell>
          <cell r="G1277" t="str">
            <v/>
          </cell>
          <cell r="H1277">
            <v>0</v>
          </cell>
        </row>
        <row r="1278">
          <cell r="B1278">
            <v>8960</v>
          </cell>
          <cell r="C1278" t="str">
            <v>Rodriguez; Ruben</v>
          </cell>
          <cell r="D1278" t="str">
            <v>1C</v>
          </cell>
          <cell r="E1278" t="str">
            <v>IBEWOUT</v>
          </cell>
          <cell r="F1278" t="str">
            <v>47</v>
          </cell>
          <cell r="G1278" t="str">
            <v>8</v>
          </cell>
          <cell r="H1278">
            <v>0</v>
          </cell>
        </row>
        <row r="1279">
          <cell r="B1279">
            <v>8962</v>
          </cell>
          <cell r="C1279" t="str">
            <v>Rodriguez; Victor M</v>
          </cell>
          <cell r="D1279" t="str">
            <v>1C</v>
          </cell>
          <cell r="E1279" t="str">
            <v>IBEWOUT</v>
          </cell>
          <cell r="F1279" t="str">
            <v>1245</v>
          </cell>
          <cell r="G1279" t="str">
            <v>9</v>
          </cell>
          <cell r="H1279">
            <v>0</v>
          </cell>
        </row>
        <row r="1280">
          <cell r="B1280">
            <v>9000</v>
          </cell>
          <cell r="C1280" t="str">
            <v>Robertson; Louis N</v>
          </cell>
          <cell r="D1280" t="str">
            <v>1</v>
          </cell>
          <cell r="E1280" t="str">
            <v>IBEWOUT</v>
          </cell>
          <cell r="F1280" t="str">
            <v>1245</v>
          </cell>
          <cell r="G1280" t="str">
            <v>8</v>
          </cell>
          <cell r="H1280">
            <v>0</v>
          </cell>
        </row>
        <row r="1281">
          <cell r="B1281">
            <v>9010</v>
          </cell>
          <cell r="C1281" t="str">
            <v>Roberts; James W.</v>
          </cell>
          <cell r="D1281" t="str">
            <v>1</v>
          </cell>
          <cell r="E1281" t="str">
            <v>IBEWOUT</v>
          </cell>
          <cell r="F1281" t="str">
            <v>125</v>
          </cell>
          <cell r="G1281" t="str">
            <v>1</v>
          </cell>
          <cell r="H1281">
            <v>0</v>
          </cell>
        </row>
        <row r="1282">
          <cell r="B1282">
            <v>9011</v>
          </cell>
          <cell r="C1282" t="str">
            <v>Roberts; Steven C</v>
          </cell>
          <cell r="D1282" t="str">
            <v>1C</v>
          </cell>
          <cell r="E1282" t="str">
            <v>IBEWOUT</v>
          </cell>
          <cell r="F1282" t="str">
            <v>47</v>
          </cell>
          <cell r="G1282" t="str">
            <v>8</v>
          </cell>
          <cell r="H1282">
            <v>0</v>
          </cell>
        </row>
        <row r="1283">
          <cell r="B1283">
            <v>9012</v>
          </cell>
          <cell r="C1283" t="str">
            <v>Robinett; Austin R.</v>
          </cell>
          <cell r="D1283" t="str">
            <v>1C</v>
          </cell>
          <cell r="E1283" t="str">
            <v/>
          </cell>
          <cell r="F1283" t="str">
            <v/>
          </cell>
          <cell r="G1283" t="str">
            <v/>
          </cell>
          <cell r="H1283">
            <v>1</v>
          </cell>
        </row>
        <row r="1284">
          <cell r="B1284">
            <v>9015</v>
          </cell>
          <cell r="C1284" t="str">
            <v>Roemhildt; Keegan M.</v>
          </cell>
          <cell r="D1284" t="str">
            <v>1</v>
          </cell>
          <cell r="E1284" t="str">
            <v/>
          </cell>
          <cell r="F1284" t="str">
            <v/>
          </cell>
          <cell r="G1284" t="str">
            <v/>
          </cell>
          <cell r="H1284">
            <v>1</v>
          </cell>
        </row>
        <row r="1285">
          <cell r="B1285">
            <v>9026</v>
          </cell>
          <cell r="C1285" t="str">
            <v>Rojas; Hilario O</v>
          </cell>
          <cell r="D1285" t="str">
            <v>1C</v>
          </cell>
          <cell r="E1285" t="str">
            <v>IBEWOUT</v>
          </cell>
          <cell r="F1285" t="str">
            <v>611</v>
          </cell>
          <cell r="G1285" t="str">
            <v>15</v>
          </cell>
          <cell r="H1285">
            <v>0</v>
          </cell>
        </row>
        <row r="1286">
          <cell r="B1286">
            <v>9047</v>
          </cell>
          <cell r="C1286" t="str">
            <v>Rose; Bob R</v>
          </cell>
          <cell r="D1286" t="str">
            <v>1C</v>
          </cell>
          <cell r="E1286" t="str">
            <v>IBEWOUT</v>
          </cell>
          <cell r="F1286" t="str">
            <v>77</v>
          </cell>
          <cell r="G1286" t="str">
            <v>16</v>
          </cell>
          <cell r="H1286">
            <v>0</v>
          </cell>
        </row>
        <row r="1287">
          <cell r="B1287">
            <v>9048</v>
          </cell>
          <cell r="C1287" t="str">
            <v>Roy; Cameron Russell</v>
          </cell>
          <cell r="D1287" t="str">
            <v>1</v>
          </cell>
          <cell r="E1287" t="str">
            <v/>
          </cell>
          <cell r="F1287" t="str">
            <v/>
          </cell>
          <cell r="G1287" t="str">
            <v/>
          </cell>
          <cell r="H1287">
            <v>1</v>
          </cell>
        </row>
        <row r="1288">
          <cell r="B1288">
            <v>9068</v>
          </cell>
          <cell r="C1288" t="str">
            <v>Row; Ryan A</v>
          </cell>
          <cell r="D1288" t="str">
            <v>1C</v>
          </cell>
          <cell r="E1288" t="str">
            <v>IBEWOUT</v>
          </cell>
          <cell r="F1288" t="str">
            <v>1245</v>
          </cell>
          <cell r="G1288" t="str">
            <v>7</v>
          </cell>
          <cell r="H1288">
            <v>0</v>
          </cell>
        </row>
        <row r="1289">
          <cell r="B1289">
            <v>9072</v>
          </cell>
          <cell r="C1289" t="str">
            <v>Rowley; Jared N</v>
          </cell>
          <cell r="D1289" t="str">
            <v>1C</v>
          </cell>
          <cell r="E1289" t="str">
            <v>IBEWOUT</v>
          </cell>
          <cell r="F1289" t="str">
            <v>1245</v>
          </cell>
          <cell r="G1289" t="str">
            <v>13</v>
          </cell>
          <cell r="H1289">
            <v>0</v>
          </cell>
        </row>
        <row r="1290">
          <cell r="B1290">
            <v>9074</v>
          </cell>
          <cell r="C1290" t="str">
            <v>Ruddell; Scott M</v>
          </cell>
          <cell r="D1290" t="str">
            <v>1</v>
          </cell>
          <cell r="E1290" t="str">
            <v>IBEWOUT</v>
          </cell>
          <cell r="F1290" t="str">
            <v>77</v>
          </cell>
          <cell r="G1290" t="str">
            <v>1</v>
          </cell>
          <cell r="H1290">
            <v>0</v>
          </cell>
        </row>
        <row r="1291">
          <cell r="B1291">
            <v>9083</v>
          </cell>
          <cell r="C1291" t="str">
            <v>Rydecki; Christopher E</v>
          </cell>
          <cell r="D1291" t="str">
            <v>1C</v>
          </cell>
          <cell r="E1291" t="str">
            <v>IBEWOUT</v>
          </cell>
          <cell r="F1291" t="str">
            <v>47</v>
          </cell>
          <cell r="G1291" t="str">
            <v>8</v>
          </cell>
          <cell r="H1291">
            <v>0</v>
          </cell>
        </row>
        <row r="1292">
          <cell r="B1292">
            <v>9084</v>
          </cell>
          <cell r="C1292" t="str">
            <v>Ruiz Castillo; Lorenzo</v>
          </cell>
          <cell r="D1292" t="str">
            <v>1C</v>
          </cell>
          <cell r="E1292" t="str">
            <v/>
          </cell>
          <cell r="F1292" t="str">
            <v/>
          </cell>
          <cell r="G1292" t="str">
            <v/>
          </cell>
          <cell r="H1292">
            <v>1</v>
          </cell>
        </row>
        <row r="1293">
          <cell r="B1293">
            <v>9087</v>
          </cell>
          <cell r="C1293" t="str">
            <v>Rossiter; Dustin R</v>
          </cell>
          <cell r="D1293" t="str">
            <v>1C</v>
          </cell>
          <cell r="E1293" t="str">
            <v/>
          </cell>
          <cell r="F1293" t="str">
            <v/>
          </cell>
          <cell r="G1293" t="str">
            <v/>
          </cell>
          <cell r="H1293">
            <v>1</v>
          </cell>
        </row>
        <row r="1294">
          <cell r="B1294">
            <v>9091</v>
          </cell>
          <cell r="C1294" t="str">
            <v>Rosenlund; David Joel</v>
          </cell>
          <cell r="D1294" t="str">
            <v>1C</v>
          </cell>
          <cell r="E1294" t="str">
            <v>IBEWOUT</v>
          </cell>
          <cell r="F1294" t="str">
            <v>1245</v>
          </cell>
          <cell r="G1294" t="str">
            <v>8</v>
          </cell>
          <cell r="H1294">
            <v>0</v>
          </cell>
        </row>
        <row r="1295">
          <cell r="B1295">
            <v>9092</v>
          </cell>
          <cell r="C1295" t="str">
            <v>Rosengrant; Jeffrey M</v>
          </cell>
          <cell r="D1295" t="str">
            <v>1C</v>
          </cell>
          <cell r="E1295" t="str">
            <v>IBEWOUT</v>
          </cell>
          <cell r="F1295" t="str">
            <v>1319</v>
          </cell>
          <cell r="G1295" t="str">
            <v>8</v>
          </cell>
          <cell r="H1295">
            <v>0</v>
          </cell>
        </row>
        <row r="1296">
          <cell r="B1296">
            <v>9107</v>
          </cell>
          <cell r="C1296" t="str">
            <v>Ross; Joe P.</v>
          </cell>
          <cell r="D1296" t="str">
            <v>1C</v>
          </cell>
          <cell r="E1296" t="str">
            <v>IBEWOUT</v>
          </cell>
          <cell r="F1296" t="str">
            <v>602R</v>
          </cell>
          <cell r="G1296" t="str">
            <v>33</v>
          </cell>
          <cell r="H1296">
            <v>0</v>
          </cell>
        </row>
        <row r="1297">
          <cell r="B1297">
            <v>9108</v>
          </cell>
          <cell r="C1297" t="str">
            <v>Robbins; Christopher A.</v>
          </cell>
          <cell r="D1297" t="str">
            <v>1C</v>
          </cell>
          <cell r="E1297" t="str">
            <v>IBEWOUT</v>
          </cell>
          <cell r="F1297" t="str">
            <v>396</v>
          </cell>
          <cell r="G1297" t="str">
            <v>10</v>
          </cell>
          <cell r="H1297">
            <v>0</v>
          </cell>
        </row>
        <row r="1298">
          <cell r="B1298">
            <v>9110</v>
          </cell>
          <cell r="C1298" t="str">
            <v>Rodriguez; Roberto J</v>
          </cell>
          <cell r="D1298" t="str">
            <v>1C</v>
          </cell>
          <cell r="E1298" t="str">
            <v>IBEWOUT</v>
          </cell>
          <cell r="F1298" t="str">
            <v>1245</v>
          </cell>
          <cell r="G1298" t="str">
            <v>7</v>
          </cell>
          <cell r="H1298">
            <v>0</v>
          </cell>
        </row>
        <row r="1299">
          <cell r="B1299">
            <v>9111</v>
          </cell>
          <cell r="C1299" t="str">
            <v>Rodriguez; Daniel N.</v>
          </cell>
          <cell r="D1299" t="str">
            <v>1C</v>
          </cell>
          <cell r="E1299" t="str">
            <v>IBEWOUT</v>
          </cell>
          <cell r="F1299" t="str">
            <v>47</v>
          </cell>
          <cell r="G1299" t="str">
            <v>17</v>
          </cell>
          <cell r="H1299">
            <v>0</v>
          </cell>
        </row>
        <row r="1300">
          <cell r="B1300">
            <v>9113</v>
          </cell>
          <cell r="C1300" t="str">
            <v>Rodriguez; Cuauhtemoc</v>
          </cell>
          <cell r="D1300" t="str">
            <v>1</v>
          </cell>
          <cell r="E1300" t="str">
            <v>IBEWOUT</v>
          </cell>
          <cell r="F1300" t="str">
            <v>769</v>
          </cell>
          <cell r="G1300" t="str">
            <v>15</v>
          </cell>
          <cell r="H1300">
            <v>0</v>
          </cell>
        </row>
        <row r="1301">
          <cell r="B1301">
            <v>9114</v>
          </cell>
          <cell r="C1301" t="str">
            <v>Rodriguez; Ricardo R.</v>
          </cell>
          <cell r="D1301" t="str">
            <v>1C</v>
          </cell>
          <cell r="E1301" t="str">
            <v>IBEWOUT</v>
          </cell>
          <cell r="F1301" t="str">
            <v>396</v>
          </cell>
          <cell r="G1301" t="str">
            <v>8</v>
          </cell>
          <cell r="H1301">
            <v>0</v>
          </cell>
        </row>
        <row r="1302">
          <cell r="B1302">
            <v>9116</v>
          </cell>
          <cell r="C1302" t="str">
            <v>Rogers; Jason A.</v>
          </cell>
          <cell r="D1302" t="str">
            <v>1C</v>
          </cell>
          <cell r="E1302" t="str">
            <v>IBEWOUT</v>
          </cell>
          <cell r="F1302" t="str">
            <v>1245</v>
          </cell>
          <cell r="G1302" t="str">
            <v>10</v>
          </cell>
          <cell r="H1302">
            <v>0</v>
          </cell>
        </row>
        <row r="1303">
          <cell r="B1303">
            <v>9117</v>
          </cell>
          <cell r="C1303" t="str">
            <v>Ross; Amie D</v>
          </cell>
          <cell r="D1303" t="str">
            <v>1C</v>
          </cell>
          <cell r="E1303" t="str">
            <v/>
          </cell>
          <cell r="F1303" t="str">
            <v/>
          </cell>
          <cell r="G1303" t="str">
            <v/>
          </cell>
          <cell r="H1303">
            <v>0</v>
          </cell>
        </row>
        <row r="1304">
          <cell r="B1304">
            <v>9118</v>
          </cell>
          <cell r="C1304" t="str">
            <v>Rodriguez; Ramon O</v>
          </cell>
          <cell r="D1304" t="str">
            <v>1C</v>
          </cell>
          <cell r="E1304" t="str">
            <v>IBEWOUT</v>
          </cell>
          <cell r="F1304" t="str">
            <v>1245</v>
          </cell>
          <cell r="G1304" t="str">
            <v>15</v>
          </cell>
          <cell r="H1304">
            <v>0</v>
          </cell>
        </row>
        <row r="1305">
          <cell r="B1305">
            <v>9119</v>
          </cell>
          <cell r="C1305" t="str">
            <v>Roberts; Chaney C</v>
          </cell>
          <cell r="D1305" t="str">
            <v>1C</v>
          </cell>
          <cell r="E1305" t="str">
            <v>IBEWOUT</v>
          </cell>
          <cell r="F1305" t="str">
            <v>47</v>
          </cell>
          <cell r="G1305" t="str">
            <v>17</v>
          </cell>
          <cell r="H1305">
            <v>0</v>
          </cell>
        </row>
        <row r="1306">
          <cell r="B1306">
            <v>9124</v>
          </cell>
          <cell r="C1306" t="str">
            <v>Rodriguez; Blain F</v>
          </cell>
          <cell r="D1306" t="str">
            <v>1C</v>
          </cell>
          <cell r="E1306" t="str">
            <v>IBEWOUT</v>
          </cell>
          <cell r="F1306" t="str">
            <v>47</v>
          </cell>
          <cell r="G1306" t="str">
            <v>7</v>
          </cell>
          <cell r="H1306">
            <v>0</v>
          </cell>
        </row>
        <row r="1307">
          <cell r="B1307">
            <v>9125</v>
          </cell>
          <cell r="C1307" t="str">
            <v>Rodriguez; Derek M</v>
          </cell>
          <cell r="D1307" t="str">
            <v>1C</v>
          </cell>
          <cell r="E1307" t="str">
            <v>IBEWOUT</v>
          </cell>
          <cell r="F1307" t="str">
            <v>611</v>
          </cell>
          <cell r="G1307" t="str">
            <v>17</v>
          </cell>
          <cell r="H1307">
            <v>0</v>
          </cell>
        </row>
        <row r="1308">
          <cell r="B1308">
            <v>9127</v>
          </cell>
          <cell r="C1308" t="str">
            <v>Ros; Christian E</v>
          </cell>
          <cell r="D1308" t="str">
            <v>1C</v>
          </cell>
          <cell r="E1308" t="str">
            <v>IBEWOUT</v>
          </cell>
          <cell r="F1308" t="str">
            <v>1245</v>
          </cell>
          <cell r="G1308" t="str">
            <v>15</v>
          </cell>
          <cell r="H1308">
            <v>0</v>
          </cell>
        </row>
        <row r="1309">
          <cell r="B1309">
            <v>9128</v>
          </cell>
          <cell r="C1309" t="str">
            <v>Rodriguez Manzanares; Ivan L</v>
          </cell>
          <cell r="D1309" t="str">
            <v>1</v>
          </cell>
          <cell r="E1309" t="str">
            <v>IBEWOUT</v>
          </cell>
          <cell r="F1309" t="str">
            <v>70</v>
          </cell>
          <cell r="G1309" t="str">
            <v>14</v>
          </cell>
          <cell r="H1309">
            <v>0</v>
          </cell>
        </row>
        <row r="1310">
          <cell r="B1310">
            <v>9129</v>
          </cell>
          <cell r="C1310" t="str">
            <v>Rogers; Mason Q</v>
          </cell>
          <cell r="D1310" t="str">
            <v>1</v>
          </cell>
          <cell r="E1310" t="str">
            <v>IBEWOUT</v>
          </cell>
          <cell r="F1310" t="str">
            <v>769</v>
          </cell>
          <cell r="G1310" t="str">
            <v>15</v>
          </cell>
          <cell r="H1310">
            <v>0</v>
          </cell>
        </row>
        <row r="1311">
          <cell r="B1311">
            <v>9140</v>
          </cell>
          <cell r="C1311" t="str">
            <v>Rust; James S.</v>
          </cell>
          <cell r="D1311" t="str">
            <v>1C</v>
          </cell>
          <cell r="E1311" t="str">
            <v>IBEWOUT</v>
          </cell>
          <cell r="F1311" t="str">
            <v>1245</v>
          </cell>
          <cell r="G1311" t="str">
            <v>8</v>
          </cell>
          <cell r="H1311">
            <v>0</v>
          </cell>
        </row>
        <row r="1312">
          <cell r="B1312">
            <v>9160</v>
          </cell>
          <cell r="C1312" t="str">
            <v>Salloum; Joseph</v>
          </cell>
          <cell r="D1312" t="str">
            <v>1</v>
          </cell>
          <cell r="E1312" t="str">
            <v>IBEWOUT</v>
          </cell>
          <cell r="F1312" t="str">
            <v>611</v>
          </cell>
          <cell r="G1312" t="str">
            <v>20</v>
          </cell>
          <cell r="H1312">
            <v>0</v>
          </cell>
        </row>
        <row r="1313">
          <cell r="B1313">
            <v>9162</v>
          </cell>
          <cell r="C1313" t="str">
            <v>Sadler; Christopher S.</v>
          </cell>
          <cell r="D1313" t="str">
            <v>1C</v>
          </cell>
          <cell r="E1313" t="str">
            <v>IBEWOUT</v>
          </cell>
          <cell r="F1313" t="str">
            <v>47</v>
          </cell>
          <cell r="G1313" t="str">
            <v>8</v>
          </cell>
          <cell r="H1313">
            <v>0</v>
          </cell>
        </row>
        <row r="1314">
          <cell r="B1314">
            <v>9164</v>
          </cell>
          <cell r="C1314" t="str">
            <v>Saiz; Robert B.</v>
          </cell>
          <cell r="D1314" t="str">
            <v>1C</v>
          </cell>
          <cell r="E1314" t="str">
            <v>IBEWOUT</v>
          </cell>
          <cell r="F1314" t="str">
            <v>769</v>
          </cell>
          <cell r="G1314" t="str">
            <v>14</v>
          </cell>
          <cell r="H1314">
            <v>0</v>
          </cell>
        </row>
        <row r="1315">
          <cell r="B1315">
            <v>9168</v>
          </cell>
          <cell r="C1315" t="str">
            <v>Sakae; Jasen D</v>
          </cell>
          <cell r="D1315" t="str">
            <v>1C</v>
          </cell>
          <cell r="E1315" t="str">
            <v>IBEWOUT</v>
          </cell>
          <cell r="F1315" t="str">
            <v>47</v>
          </cell>
          <cell r="G1315" t="str">
            <v>13</v>
          </cell>
          <cell r="H1315">
            <v>0</v>
          </cell>
        </row>
        <row r="1316">
          <cell r="B1316">
            <v>9169</v>
          </cell>
          <cell r="C1316" t="str">
            <v>Saiz; Dominic J</v>
          </cell>
          <cell r="D1316" t="str">
            <v>1C</v>
          </cell>
          <cell r="E1316" t="str">
            <v>IBEWOUT</v>
          </cell>
          <cell r="F1316" t="str">
            <v>611</v>
          </cell>
          <cell r="G1316" t="str">
            <v>14</v>
          </cell>
          <cell r="H1316">
            <v>0</v>
          </cell>
        </row>
        <row r="1317">
          <cell r="B1317">
            <v>9179</v>
          </cell>
          <cell r="C1317" t="str">
            <v>Sammaripa; Cameron D</v>
          </cell>
          <cell r="D1317" t="str">
            <v>1</v>
          </cell>
          <cell r="E1317" t="str">
            <v>IBEWOUT</v>
          </cell>
          <cell r="F1317" t="str">
            <v>125</v>
          </cell>
          <cell r="G1317" t="str">
            <v>12</v>
          </cell>
          <cell r="H1317">
            <v>0</v>
          </cell>
        </row>
        <row r="1318">
          <cell r="B1318">
            <v>9181</v>
          </cell>
          <cell r="C1318" t="str">
            <v>Salt; Ronald Robert</v>
          </cell>
          <cell r="D1318" t="str">
            <v>1C</v>
          </cell>
          <cell r="E1318" t="str">
            <v>IBEWOUT</v>
          </cell>
          <cell r="F1318" t="str">
            <v>769</v>
          </cell>
          <cell r="G1318" t="str">
            <v>8</v>
          </cell>
          <cell r="H1318">
            <v>0</v>
          </cell>
        </row>
        <row r="1319">
          <cell r="B1319">
            <v>9183</v>
          </cell>
          <cell r="C1319" t="str">
            <v>Salyers Jr.; Joseph Lee</v>
          </cell>
          <cell r="D1319" t="str">
            <v>1C</v>
          </cell>
          <cell r="E1319" t="str">
            <v>IBEWOUT</v>
          </cell>
          <cell r="F1319" t="str">
            <v>1245</v>
          </cell>
          <cell r="G1319" t="str">
            <v>8</v>
          </cell>
          <cell r="H1319">
            <v>0</v>
          </cell>
        </row>
        <row r="1320">
          <cell r="B1320">
            <v>9188</v>
          </cell>
          <cell r="C1320" t="str">
            <v>Salazar; Christopher</v>
          </cell>
          <cell r="D1320" t="str">
            <v>1C</v>
          </cell>
          <cell r="E1320" t="str">
            <v>IBEWOUT</v>
          </cell>
          <cell r="F1320" t="str">
            <v>769</v>
          </cell>
          <cell r="G1320" t="str">
            <v>20</v>
          </cell>
          <cell r="H1320">
            <v>0</v>
          </cell>
        </row>
        <row r="1321">
          <cell r="B1321">
            <v>9191</v>
          </cell>
          <cell r="C1321" t="str">
            <v>Salazar; Michael</v>
          </cell>
          <cell r="D1321" t="str">
            <v>1</v>
          </cell>
          <cell r="E1321" t="str">
            <v>IBEWOUT</v>
          </cell>
          <cell r="F1321" t="str">
            <v>769</v>
          </cell>
          <cell r="G1321" t="str">
            <v>7</v>
          </cell>
          <cell r="H1321">
            <v>0</v>
          </cell>
        </row>
        <row r="1322">
          <cell r="B1322">
            <v>9195</v>
          </cell>
          <cell r="C1322" t="str">
            <v>Saranto; Blake W</v>
          </cell>
          <cell r="D1322" t="str">
            <v>1C</v>
          </cell>
          <cell r="E1322" t="str">
            <v>IBEWOUT</v>
          </cell>
          <cell r="F1322" t="str">
            <v>77</v>
          </cell>
          <cell r="G1322" t="str">
            <v>16</v>
          </cell>
          <cell r="H1322">
            <v>0</v>
          </cell>
        </row>
        <row r="1323">
          <cell r="B1323">
            <v>9198</v>
          </cell>
          <cell r="C1323" t="str">
            <v>Sarinana; Ricardo</v>
          </cell>
          <cell r="D1323" t="str">
            <v>1C</v>
          </cell>
          <cell r="E1323" t="str">
            <v>IBEWOUT</v>
          </cell>
          <cell r="F1323" t="str">
            <v>47</v>
          </cell>
          <cell r="G1323" t="str">
            <v>8</v>
          </cell>
          <cell r="H1323">
            <v>0</v>
          </cell>
        </row>
        <row r="1324">
          <cell r="B1324">
            <v>9202</v>
          </cell>
          <cell r="C1324" t="str">
            <v>Salazar; Carlos A</v>
          </cell>
          <cell r="D1324" t="str">
            <v>1</v>
          </cell>
          <cell r="E1324" t="str">
            <v>IBEWOUT</v>
          </cell>
          <cell r="F1324" t="str">
            <v>47</v>
          </cell>
          <cell r="G1324" t="str">
            <v>17</v>
          </cell>
          <cell r="H1324">
            <v>0</v>
          </cell>
        </row>
        <row r="1325">
          <cell r="B1325">
            <v>9203</v>
          </cell>
          <cell r="C1325" t="str">
            <v>Sanchez; Saul U</v>
          </cell>
          <cell r="D1325" t="str">
            <v>1C</v>
          </cell>
          <cell r="E1325" t="str">
            <v>IBEWOUT</v>
          </cell>
          <cell r="F1325" t="str">
            <v>1245</v>
          </cell>
          <cell r="G1325" t="str">
            <v>8</v>
          </cell>
          <cell r="H1325">
            <v>0</v>
          </cell>
        </row>
        <row r="1326">
          <cell r="B1326">
            <v>9205</v>
          </cell>
          <cell r="C1326" t="str">
            <v>Sandoval; Peter E</v>
          </cell>
          <cell r="D1326" t="str">
            <v>1C</v>
          </cell>
          <cell r="E1326" t="str">
            <v>IBEWOUT</v>
          </cell>
          <cell r="F1326" t="str">
            <v>611</v>
          </cell>
          <cell r="G1326" t="str">
            <v>16</v>
          </cell>
          <cell r="H1326">
            <v>0</v>
          </cell>
        </row>
        <row r="1327">
          <cell r="B1327">
            <v>9207</v>
          </cell>
          <cell r="C1327" t="str">
            <v>Saul; Mark Allen</v>
          </cell>
          <cell r="D1327" t="str">
            <v>1C</v>
          </cell>
          <cell r="E1327" t="str">
            <v/>
          </cell>
          <cell r="F1327" t="str">
            <v/>
          </cell>
          <cell r="G1327" t="str">
            <v/>
          </cell>
          <cell r="H1327">
            <v>0</v>
          </cell>
        </row>
        <row r="1328">
          <cell r="B1328">
            <v>9217</v>
          </cell>
          <cell r="C1328" t="str">
            <v>Schaefer; Kurtis Jon</v>
          </cell>
          <cell r="D1328" t="str">
            <v>1C</v>
          </cell>
          <cell r="E1328" t="str">
            <v>IBEWOUT</v>
          </cell>
          <cell r="F1328" t="str">
            <v>77</v>
          </cell>
          <cell r="G1328" t="str">
            <v>7</v>
          </cell>
          <cell r="H1328">
            <v>0</v>
          </cell>
        </row>
        <row r="1329">
          <cell r="B1329">
            <v>9219</v>
          </cell>
          <cell r="C1329" t="str">
            <v>Savanpanyadeth; Erik P</v>
          </cell>
          <cell r="D1329" t="str">
            <v>1C</v>
          </cell>
          <cell r="E1329" t="str">
            <v>IBEWOUT</v>
          </cell>
          <cell r="F1329" t="str">
            <v>1245</v>
          </cell>
          <cell r="G1329" t="str">
            <v>17</v>
          </cell>
          <cell r="H1329">
            <v>0</v>
          </cell>
        </row>
        <row r="1330">
          <cell r="B1330">
            <v>9232</v>
          </cell>
          <cell r="C1330" t="str">
            <v>Sandoval Felix; Luis G</v>
          </cell>
          <cell r="D1330" t="str">
            <v>1</v>
          </cell>
          <cell r="E1330" t="str">
            <v>IBEWOUT</v>
          </cell>
          <cell r="F1330" t="str">
            <v>769</v>
          </cell>
          <cell r="G1330" t="str">
            <v>15</v>
          </cell>
          <cell r="H1330">
            <v>0</v>
          </cell>
        </row>
        <row r="1331">
          <cell r="B1331">
            <v>9233</v>
          </cell>
          <cell r="C1331" t="str">
            <v>Sansaver; Kash J</v>
          </cell>
          <cell r="D1331" t="str">
            <v>1</v>
          </cell>
          <cell r="E1331" t="str">
            <v>IBEWOUT</v>
          </cell>
          <cell r="F1331" t="str">
            <v>77</v>
          </cell>
          <cell r="G1331" t="str">
            <v>13</v>
          </cell>
          <cell r="H1331">
            <v>0</v>
          </cell>
        </row>
        <row r="1332">
          <cell r="B1332">
            <v>9234</v>
          </cell>
          <cell r="C1332" t="str">
            <v>Schmidt; Bryan M</v>
          </cell>
          <cell r="D1332" t="str">
            <v>1</v>
          </cell>
          <cell r="E1332" t="str">
            <v>IBEWOUT</v>
          </cell>
          <cell r="F1332" t="str">
            <v>1245</v>
          </cell>
          <cell r="G1332" t="str">
            <v>7</v>
          </cell>
          <cell r="H1332">
            <v>0</v>
          </cell>
        </row>
        <row r="1333">
          <cell r="B1333">
            <v>9235</v>
          </cell>
          <cell r="C1333" t="str">
            <v>Szarkowski; Curt Thomas</v>
          </cell>
          <cell r="D1333" t="str">
            <v>1C</v>
          </cell>
          <cell r="E1333" t="str">
            <v>IBEWOUT</v>
          </cell>
          <cell r="F1333" t="str">
            <v>125</v>
          </cell>
          <cell r="G1333" t="str">
            <v>33</v>
          </cell>
          <cell r="H1333">
            <v>0</v>
          </cell>
        </row>
        <row r="1334">
          <cell r="B1334">
            <v>9238</v>
          </cell>
          <cell r="C1334" t="str">
            <v>Sanchez; John R</v>
          </cell>
          <cell r="D1334" t="str">
            <v>1C</v>
          </cell>
          <cell r="E1334" t="str">
            <v>IBEWOUT</v>
          </cell>
          <cell r="F1334" t="str">
            <v>1245</v>
          </cell>
          <cell r="G1334" t="str">
            <v>16</v>
          </cell>
          <cell r="H1334">
            <v>0</v>
          </cell>
        </row>
        <row r="1335">
          <cell r="B1335">
            <v>9240</v>
          </cell>
          <cell r="C1335" t="str">
            <v>Sanchez; Garrett H</v>
          </cell>
          <cell r="D1335" t="str">
            <v>1C</v>
          </cell>
          <cell r="E1335" t="str">
            <v>IBEWOUT</v>
          </cell>
          <cell r="F1335" t="str">
            <v>769</v>
          </cell>
          <cell r="G1335" t="str">
            <v>14</v>
          </cell>
          <cell r="H1335">
            <v>0</v>
          </cell>
        </row>
        <row r="1336">
          <cell r="B1336">
            <v>9242</v>
          </cell>
          <cell r="C1336" t="str">
            <v>Schmidt; Eric M</v>
          </cell>
          <cell r="D1336" t="str">
            <v>1</v>
          </cell>
          <cell r="E1336" t="str">
            <v>IBEWOUT</v>
          </cell>
          <cell r="F1336" t="str">
            <v>1245</v>
          </cell>
          <cell r="G1336" t="str">
            <v>1</v>
          </cell>
          <cell r="H1336">
            <v>0</v>
          </cell>
        </row>
        <row r="1337">
          <cell r="B1337">
            <v>9246</v>
          </cell>
          <cell r="C1337" t="str">
            <v>Schlenker; Michael Keith</v>
          </cell>
          <cell r="D1337" t="str">
            <v>1C</v>
          </cell>
          <cell r="E1337" t="str">
            <v>IBEWOUT</v>
          </cell>
          <cell r="F1337" t="str">
            <v>1245</v>
          </cell>
          <cell r="G1337" t="str">
            <v>7</v>
          </cell>
          <cell r="H1337">
            <v>0</v>
          </cell>
        </row>
        <row r="1338">
          <cell r="B1338">
            <v>9247</v>
          </cell>
          <cell r="C1338" t="str">
            <v>Sanchez; Jesse</v>
          </cell>
          <cell r="D1338" t="str">
            <v>1C</v>
          </cell>
          <cell r="E1338" t="str">
            <v>IBEWOUT</v>
          </cell>
          <cell r="F1338" t="str">
            <v>1245</v>
          </cell>
          <cell r="G1338" t="str">
            <v>17</v>
          </cell>
          <cell r="H1338">
            <v>0</v>
          </cell>
        </row>
        <row r="1339">
          <cell r="B1339">
            <v>9257</v>
          </cell>
          <cell r="C1339" t="str">
            <v>Schmerber; Raymond L</v>
          </cell>
          <cell r="D1339" t="str">
            <v>1C</v>
          </cell>
          <cell r="E1339" t="str">
            <v>IBEWOUT</v>
          </cell>
          <cell r="F1339" t="str">
            <v>611</v>
          </cell>
          <cell r="G1339" t="str">
            <v>14</v>
          </cell>
          <cell r="H1339">
            <v>0</v>
          </cell>
        </row>
        <row r="1340">
          <cell r="B1340">
            <v>9258</v>
          </cell>
          <cell r="C1340" t="str">
            <v>Scott; Nevin P.</v>
          </cell>
          <cell r="D1340" t="str">
            <v>1C</v>
          </cell>
          <cell r="E1340" t="str">
            <v>IBEWOUT</v>
          </cell>
          <cell r="F1340" t="str">
            <v>611</v>
          </cell>
          <cell r="G1340" t="str">
            <v>20</v>
          </cell>
          <cell r="H1340">
            <v>0</v>
          </cell>
        </row>
        <row r="1341">
          <cell r="B1341">
            <v>9259</v>
          </cell>
          <cell r="C1341" t="str">
            <v>Scott; Bryan David</v>
          </cell>
          <cell r="D1341" t="str">
            <v>1C</v>
          </cell>
          <cell r="E1341" t="str">
            <v/>
          </cell>
          <cell r="F1341" t="str">
            <v/>
          </cell>
          <cell r="G1341" t="str">
            <v/>
          </cell>
          <cell r="H1341">
            <v>1</v>
          </cell>
        </row>
        <row r="1342">
          <cell r="B1342">
            <v>9260</v>
          </cell>
          <cell r="C1342" t="str">
            <v>Scott; Brian E</v>
          </cell>
          <cell r="D1342" t="str">
            <v>1C</v>
          </cell>
          <cell r="E1342" t="str">
            <v>IBEWOUT</v>
          </cell>
          <cell r="F1342" t="str">
            <v>602R</v>
          </cell>
          <cell r="G1342" t="str">
            <v>8</v>
          </cell>
          <cell r="H1342">
            <v>0</v>
          </cell>
        </row>
        <row r="1343">
          <cell r="B1343">
            <v>9261</v>
          </cell>
          <cell r="C1343" t="str">
            <v>Scott; Coltin B</v>
          </cell>
          <cell r="D1343" t="str">
            <v>1</v>
          </cell>
          <cell r="E1343" t="str">
            <v/>
          </cell>
          <cell r="F1343" t="str">
            <v/>
          </cell>
          <cell r="G1343" t="str">
            <v/>
          </cell>
          <cell r="H1343">
            <v>1</v>
          </cell>
        </row>
        <row r="1344">
          <cell r="B1344">
            <v>9262</v>
          </cell>
          <cell r="C1344" t="str">
            <v>Sanders; Travis P.</v>
          </cell>
          <cell r="D1344" t="str">
            <v>1</v>
          </cell>
          <cell r="E1344" t="str">
            <v>IBEWOUT</v>
          </cell>
          <cell r="F1344" t="str">
            <v>1245</v>
          </cell>
          <cell r="G1344" t="str">
            <v>1</v>
          </cell>
          <cell r="H1344">
            <v>0</v>
          </cell>
        </row>
        <row r="1345">
          <cell r="B1345">
            <v>9263</v>
          </cell>
          <cell r="C1345" t="str">
            <v>Scarbrough; James F</v>
          </cell>
          <cell r="D1345" t="str">
            <v>1</v>
          </cell>
          <cell r="E1345" t="str">
            <v>IBEWOUT</v>
          </cell>
          <cell r="F1345" t="str">
            <v>1245</v>
          </cell>
          <cell r="G1345" t="str">
            <v>8</v>
          </cell>
          <cell r="H1345">
            <v>0</v>
          </cell>
        </row>
        <row r="1346">
          <cell r="B1346">
            <v>9265</v>
          </cell>
          <cell r="C1346" t="str">
            <v>Schmeusser; Randy J</v>
          </cell>
          <cell r="D1346" t="str">
            <v>1C</v>
          </cell>
          <cell r="E1346" t="str">
            <v>IBEWOUT</v>
          </cell>
          <cell r="F1346" t="str">
            <v>125</v>
          </cell>
          <cell r="G1346" t="str">
            <v>17</v>
          </cell>
          <cell r="H1346">
            <v>0</v>
          </cell>
        </row>
        <row r="1347">
          <cell r="B1347">
            <v>9270</v>
          </cell>
          <cell r="C1347" t="str">
            <v>Scroggie; Michael L</v>
          </cell>
          <cell r="D1347" t="str">
            <v>1C</v>
          </cell>
          <cell r="E1347" t="str">
            <v>IBEWOUT</v>
          </cell>
          <cell r="F1347" t="str">
            <v>1049</v>
          </cell>
          <cell r="G1347" t="str">
            <v>8</v>
          </cell>
          <cell r="H1347">
            <v>0</v>
          </cell>
        </row>
        <row r="1348">
          <cell r="B1348">
            <v>9273</v>
          </cell>
          <cell r="C1348" t="str">
            <v>Seabourn; David D</v>
          </cell>
          <cell r="D1348" t="str">
            <v>1C</v>
          </cell>
          <cell r="E1348" t="str">
            <v>IBEWOUT</v>
          </cell>
          <cell r="F1348" t="str">
            <v>1245</v>
          </cell>
          <cell r="G1348" t="str">
            <v>16</v>
          </cell>
          <cell r="H1348">
            <v>0</v>
          </cell>
        </row>
        <row r="1349">
          <cell r="B1349">
            <v>9285</v>
          </cell>
          <cell r="C1349" t="str">
            <v>Sedlak; Anthony Michael</v>
          </cell>
          <cell r="D1349" t="str">
            <v>1C</v>
          </cell>
          <cell r="E1349" t="str">
            <v>IBEWOUT</v>
          </cell>
          <cell r="F1349" t="str">
            <v>769</v>
          </cell>
          <cell r="G1349" t="str">
            <v>22</v>
          </cell>
          <cell r="H1349">
            <v>0</v>
          </cell>
        </row>
        <row r="1350">
          <cell r="B1350">
            <v>9286</v>
          </cell>
          <cell r="C1350" t="str">
            <v>Severson; Cody D</v>
          </cell>
          <cell r="D1350" t="str">
            <v>1C</v>
          </cell>
          <cell r="E1350" t="str">
            <v>IBEWOUT</v>
          </cell>
          <cell r="F1350" t="str">
            <v>1245</v>
          </cell>
          <cell r="G1350" t="str">
            <v>8</v>
          </cell>
          <cell r="H1350">
            <v>0</v>
          </cell>
        </row>
        <row r="1351">
          <cell r="B1351">
            <v>9287</v>
          </cell>
          <cell r="C1351" t="str">
            <v>Sheridan; Anthony W</v>
          </cell>
          <cell r="D1351" t="str">
            <v>1C</v>
          </cell>
          <cell r="E1351" t="str">
            <v>IBEWOUT</v>
          </cell>
          <cell r="F1351" t="str">
            <v>47</v>
          </cell>
          <cell r="G1351" t="str">
            <v>8</v>
          </cell>
          <cell r="H1351">
            <v>0</v>
          </cell>
        </row>
        <row r="1352">
          <cell r="B1352">
            <v>9288</v>
          </cell>
          <cell r="C1352" t="str">
            <v>Servin; Carlos E.</v>
          </cell>
          <cell r="D1352" t="str">
            <v>1C</v>
          </cell>
          <cell r="E1352" t="str">
            <v>IBEWOUT</v>
          </cell>
          <cell r="F1352" t="str">
            <v>1245</v>
          </cell>
          <cell r="G1352" t="str">
            <v>10</v>
          </cell>
          <cell r="H1352">
            <v>0</v>
          </cell>
        </row>
        <row r="1353">
          <cell r="B1353">
            <v>9289</v>
          </cell>
          <cell r="C1353" t="str">
            <v>Sheridan; Jimmy L.</v>
          </cell>
          <cell r="D1353" t="str">
            <v>1C</v>
          </cell>
          <cell r="E1353" t="str">
            <v>IBEWOUT</v>
          </cell>
          <cell r="F1353" t="str">
            <v>47</v>
          </cell>
          <cell r="G1353" t="str">
            <v>8</v>
          </cell>
          <cell r="H1353">
            <v>0</v>
          </cell>
        </row>
        <row r="1354">
          <cell r="B1354">
            <v>9291</v>
          </cell>
          <cell r="C1354" t="str">
            <v>Shaffer; David D</v>
          </cell>
          <cell r="D1354" t="str">
            <v>1C</v>
          </cell>
          <cell r="E1354" t="str">
            <v/>
          </cell>
          <cell r="F1354" t="str">
            <v/>
          </cell>
          <cell r="G1354" t="str">
            <v/>
          </cell>
          <cell r="H1354">
            <v>0</v>
          </cell>
        </row>
        <row r="1355">
          <cell r="B1355">
            <v>9293</v>
          </cell>
          <cell r="C1355" t="str">
            <v>Shaddy; Jeffrey</v>
          </cell>
          <cell r="D1355" t="str">
            <v>1C</v>
          </cell>
          <cell r="E1355" t="str">
            <v>IBEWOUT</v>
          </cell>
          <cell r="F1355" t="str">
            <v>1245</v>
          </cell>
          <cell r="G1355" t="str">
            <v>13</v>
          </cell>
          <cell r="H1355">
            <v>0</v>
          </cell>
        </row>
        <row r="1356">
          <cell r="B1356">
            <v>9295</v>
          </cell>
          <cell r="C1356" t="str">
            <v>Shaw; William R.</v>
          </cell>
          <cell r="D1356" t="str">
            <v>1C</v>
          </cell>
          <cell r="E1356" t="str">
            <v>IBEWOUT</v>
          </cell>
          <cell r="F1356" t="str">
            <v>77</v>
          </cell>
          <cell r="G1356" t="str">
            <v>8</v>
          </cell>
          <cell r="H1356">
            <v>0</v>
          </cell>
        </row>
        <row r="1357">
          <cell r="B1357">
            <v>9297</v>
          </cell>
          <cell r="C1357" t="str">
            <v>Shaw; Austin M</v>
          </cell>
          <cell r="D1357" t="str">
            <v>1C</v>
          </cell>
          <cell r="E1357" t="str">
            <v>IBEWOUT</v>
          </cell>
          <cell r="F1357" t="str">
            <v>1245</v>
          </cell>
          <cell r="G1357" t="str">
            <v>14</v>
          </cell>
          <cell r="H1357">
            <v>0</v>
          </cell>
        </row>
        <row r="1358">
          <cell r="B1358">
            <v>9298</v>
          </cell>
          <cell r="C1358" t="str">
            <v>Shelton; William M</v>
          </cell>
          <cell r="D1358" t="str">
            <v>1C</v>
          </cell>
          <cell r="E1358" t="str">
            <v>IBEWOUT</v>
          </cell>
          <cell r="F1358" t="str">
            <v>47</v>
          </cell>
          <cell r="G1358" t="str">
            <v>8</v>
          </cell>
          <cell r="H1358">
            <v>0</v>
          </cell>
        </row>
        <row r="1359">
          <cell r="B1359">
            <v>9299</v>
          </cell>
          <cell r="C1359" t="str">
            <v>Shelton; Jacob R.</v>
          </cell>
          <cell r="D1359" t="str">
            <v>1C</v>
          </cell>
          <cell r="E1359" t="str">
            <v>IBEWOUT</v>
          </cell>
          <cell r="F1359" t="str">
            <v>1245</v>
          </cell>
          <cell r="G1359" t="str">
            <v>8</v>
          </cell>
          <cell r="H1359">
            <v>0</v>
          </cell>
        </row>
        <row r="1360">
          <cell r="B1360">
            <v>9300</v>
          </cell>
          <cell r="C1360" t="str">
            <v>Shearer; Kaylee A</v>
          </cell>
          <cell r="D1360" t="str">
            <v>1C</v>
          </cell>
          <cell r="E1360" t="str">
            <v/>
          </cell>
          <cell r="F1360" t="str">
            <v/>
          </cell>
          <cell r="G1360" t="str">
            <v/>
          </cell>
          <cell r="H1360">
            <v>0</v>
          </cell>
        </row>
        <row r="1361">
          <cell r="B1361">
            <v>9306</v>
          </cell>
          <cell r="C1361" t="str">
            <v>Shelton; Matthew Scott</v>
          </cell>
          <cell r="D1361" t="str">
            <v>1C</v>
          </cell>
          <cell r="E1361" t="str">
            <v/>
          </cell>
          <cell r="F1361" t="str">
            <v/>
          </cell>
          <cell r="G1361" t="str">
            <v/>
          </cell>
          <cell r="H1361">
            <v>1</v>
          </cell>
        </row>
        <row r="1362">
          <cell r="B1362">
            <v>9307</v>
          </cell>
          <cell r="C1362" t="str">
            <v>Sheen; Frederick W.</v>
          </cell>
          <cell r="D1362" t="str">
            <v>1C</v>
          </cell>
          <cell r="E1362" t="str">
            <v>IBEWOUT</v>
          </cell>
          <cell r="F1362" t="str">
            <v>125</v>
          </cell>
          <cell r="G1362" t="str">
            <v>8</v>
          </cell>
          <cell r="H1362">
            <v>0</v>
          </cell>
        </row>
        <row r="1363">
          <cell r="B1363">
            <v>9312</v>
          </cell>
          <cell r="C1363" t="str">
            <v>Shiflett; William J</v>
          </cell>
          <cell r="D1363" t="str">
            <v>1C</v>
          </cell>
          <cell r="E1363" t="str">
            <v>IBEWOUT</v>
          </cell>
          <cell r="F1363" t="str">
            <v>77</v>
          </cell>
          <cell r="G1363" t="str">
            <v>8</v>
          </cell>
          <cell r="H1363">
            <v>0</v>
          </cell>
        </row>
        <row r="1364">
          <cell r="B1364">
            <v>9315</v>
          </cell>
          <cell r="C1364" t="str">
            <v>Sherlock; Andrew C</v>
          </cell>
          <cell r="D1364" t="str">
            <v>1C</v>
          </cell>
          <cell r="E1364" t="str">
            <v>IBEWOUT</v>
          </cell>
          <cell r="F1364" t="str">
            <v>769</v>
          </cell>
          <cell r="G1364" t="str">
            <v>8</v>
          </cell>
          <cell r="H1364">
            <v>0</v>
          </cell>
        </row>
        <row r="1365">
          <cell r="B1365">
            <v>9317</v>
          </cell>
          <cell r="C1365" t="str">
            <v>Shrum; Joel R</v>
          </cell>
          <cell r="D1365" t="str">
            <v>1C</v>
          </cell>
          <cell r="E1365" t="str">
            <v>IBEWOUT</v>
          </cell>
          <cell r="F1365" t="str">
            <v>1245</v>
          </cell>
          <cell r="G1365" t="str">
            <v>7</v>
          </cell>
          <cell r="H1365">
            <v>0</v>
          </cell>
        </row>
        <row r="1366">
          <cell r="B1366">
            <v>9318</v>
          </cell>
          <cell r="C1366" t="str">
            <v>Shipman; Audie L.</v>
          </cell>
          <cell r="D1366" t="str">
            <v>1C</v>
          </cell>
          <cell r="E1366" t="str">
            <v>IBEWOUT</v>
          </cell>
          <cell r="F1366" t="str">
            <v>47</v>
          </cell>
          <cell r="G1366" t="str">
            <v>8</v>
          </cell>
          <cell r="H1366">
            <v>0</v>
          </cell>
        </row>
        <row r="1367">
          <cell r="B1367">
            <v>9320</v>
          </cell>
          <cell r="C1367" t="str">
            <v>Shull; Travis J</v>
          </cell>
          <cell r="D1367" t="str">
            <v>1C</v>
          </cell>
          <cell r="E1367" t="str">
            <v>IBEWOUT</v>
          </cell>
          <cell r="F1367" t="str">
            <v>1245</v>
          </cell>
          <cell r="G1367" t="str">
            <v>12</v>
          </cell>
          <cell r="H1367">
            <v>0</v>
          </cell>
        </row>
        <row r="1368">
          <cell r="B1368">
            <v>9325</v>
          </cell>
          <cell r="C1368" t="str">
            <v>Shaffer-Murphy; Jacob C</v>
          </cell>
          <cell r="D1368" t="str">
            <v>1</v>
          </cell>
          <cell r="E1368" t="str">
            <v>IBEWOUT</v>
          </cell>
          <cell r="F1368" t="str">
            <v>47</v>
          </cell>
          <cell r="G1368" t="str">
            <v>8</v>
          </cell>
          <cell r="H1368">
            <v>0</v>
          </cell>
        </row>
        <row r="1369">
          <cell r="B1369">
            <v>9329</v>
          </cell>
          <cell r="C1369" t="str">
            <v>Silvas; Enrique</v>
          </cell>
          <cell r="D1369" t="str">
            <v>1C</v>
          </cell>
          <cell r="E1369" t="str">
            <v>IBEWOUT</v>
          </cell>
          <cell r="F1369" t="str">
            <v>47</v>
          </cell>
          <cell r="G1369" t="str">
            <v>8</v>
          </cell>
          <cell r="H1369">
            <v>0</v>
          </cell>
        </row>
        <row r="1370">
          <cell r="B1370">
            <v>9337</v>
          </cell>
          <cell r="C1370" t="str">
            <v>Sibley; Anthony E</v>
          </cell>
          <cell r="D1370" t="str">
            <v>1C</v>
          </cell>
          <cell r="E1370" t="str">
            <v>IBEWOUT</v>
          </cell>
          <cell r="F1370" t="str">
            <v>396</v>
          </cell>
          <cell r="G1370" t="str">
            <v>8</v>
          </cell>
          <cell r="H1370">
            <v>0</v>
          </cell>
        </row>
        <row r="1371">
          <cell r="B1371">
            <v>9338</v>
          </cell>
          <cell r="C1371" t="str">
            <v>Sichak; Keith Douglas</v>
          </cell>
          <cell r="D1371" t="str">
            <v>1</v>
          </cell>
          <cell r="E1371" t="str">
            <v/>
          </cell>
          <cell r="F1371" t="str">
            <v/>
          </cell>
          <cell r="G1371" t="str">
            <v/>
          </cell>
          <cell r="H1371">
            <v>1</v>
          </cell>
        </row>
        <row r="1372">
          <cell r="B1372">
            <v>9340</v>
          </cell>
          <cell r="C1372" t="str">
            <v>Side; Ryan P</v>
          </cell>
          <cell r="D1372" t="str">
            <v>1</v>
          </cell>
          <cell r="E1372" t="str">
            <v>IBEWOUT</v>
          </cell>
          <cell r="F1372" t="str">
            <v>125</v>
          </cell>
          <cell r="G1372" t="str">
            <v>8</v>
          </cell>
          <cell r="H1372">
            <v>0</v>
          </cell>
        </row>
        <row r="1373">
          <cell r="B1373">
            <v>9342</v>
          </cell>
          <cell r="C1373" t="str">
            <v>Sickler; Jonathan</v>
          </cell>
          <cell r="D1373" t="str">
            <v>1</v>
          </cell>
          <cell r="E1373" t="str">
            <v>IBEWOUT</v>
          </cell>
          <cell r="F1373" t="str">
            <v>77</v>
          </cell>
          <cell r="G1373" t="str">
            <v>14</v>
          </cell>
          <cell r="H1373">
            <v>0</v>
          </cell>
        </row>
        <row r="1374">
          <cell r="B1374">
            <v>9344</v>
          </cell>
          <cell r="C1374" t="str">
            <v>Silveira; Jacob P</v>
          </cell>
          <cell r="D1374" t="str">
            <v>1</v>
          </cell>
          <cell r="E1374" t="str">
            <v>IBEWOUT</v>
          </cell>
          <cell r="F1374" t="str">
            <v>1245</v>
          </cell>
          <cell r="G1374" t="str">
            <v>14</v>
          </cell>
          <cell r="H1374">
            <v>0</v>
          </cell>
        </row>
        <row r="1375">
          <cell r="B1375">
            <v>9345</v>
          </cell>
          <cell r="C1375" t="str">
            <v>Segura-Paniagua; Benito</v>
          </cell>
          <cell r="D1375" t="str">
            <v>1</v>
          </cell>
          <cell r="E1375" t="str">
            <v>IBEWOUT</v>
          </cell>
          <cell r="F1375" t="str">
            <v>611</v>
          </cell>
          <cell r="G1375" t="str">
            <v>15P</v>
          </cell>
          <cell r="H1375">
            <v>0</v>
          </cell>
        </row>
        <row r="1376">
          <cell r="B1376">
            <v>9346</v>
          </cell>
          <cell r="C1376" t="str">
            <v>Scott; Shawn M</v>
          </cell>
          <cell r="D1376" t="str">
            <v>1C</v>
          </cell>
          <cell r="E1376" t="str">
            <v>IBEWOUT</v>
          </cell>
          <cell r="F1376" t="str">
            <v>70</v>
          </cell>
          <cell r="G1376" t="str">
            <v>7</v>
          </cell>
          <cell r="H1376">
            <v>0</v>
          </cell>
        </row>
        <row r="1377">
          <cell r="B1377">
            <v>9353</v>
          </cell>
          <cell r="C1377" t="str">
            <v>Spargo; Jack Victor</v>
          </cell>
          <cell r="D1377" t="str">
            <v>1</v>
          </cell>
          <cell r="E1377" t="str">
            <v>IBEWOUT</v>
          </cell>
          <cell r="F1377" t="str">
            <v>611</v>
          </cell>
          <cell r="G1377" t="str">
            <v>8</v>
          </cell>
          <cell r="H1377">
            <v>0</v>
          </cell>
        </row>
        <row r="1378">
          <cell r="B1378">
            <v>9354</v>
          </cell>
          <cell r="C1378" t="str">
            <v>Sparks; Kyle Gene</v>
          </cell>
          <cell r="D1378" t="str">
            <v>1C</v>
          </cell>
          <cell r="E1378" t="str">
            <v>IBEWOUT</v>
          </cell>
          <cell r="F1378" t="str">
            <v>1245</v>
          </cell>
          <cell r="G1378" t="str">
            <v>1</v>
          </cell>
          <cell r="H1378">
            <v>0</v>
          </cell>
        </row>
        <row r="1379">
          <cell r="B1379">
            <v>9355</v>
          </cell>
          <cell r="C1379" t="str">
            <v>Spargo; Joseph C</v>
          </cell>
          <cell r="D1379" t="str">
            <v>1C</v>
          </cell>
          <cell r="E1379" t="str">
            <v>IBEWOUT</v>
          </cell>
          <cell r="F1379" t="str">
            <v>47</v>
          </cell>
          <cell r="G1379" t="str">
            <v>17</v>
          </cell>
          <cell r="H1379">
            <v>0</v>
          </cell>
        </row>
        <row r="1380">
          <cell r="B1380">
            <v>9362</v>
          </cell>
          <cell r="C1380" t="str">
            <v>Sims; Kristina M</v>
          </cell>
          <cell r="D1380" t="str">
            <v>1</v>
          </cell>
          <cell r="E1380" t="str">
            <v/>
          </cell>
          <cell r="F1380" t="str">
            <v/>
          </cell>
          <cell r="G1380" t="str">
            <v/>
          </cell>
          <cell r="H1380">
            <v>1</v>
          </cell>
        </row>
        <row r="1381">
          <cell r="B1381">
            <v>9364</v>
          </cell>
          <cell r="C1381" t="str">
            <v>Sprunt; Stuart Gregory</v>
          </cell>
          <cell r="D1381" t="str">
            <v>1C</v>
          </cell>
          <cell r="E1381" t="str">
            <v>IBEWOUT</v>
          </cell>
          <cell r="F1381" t="str">
            <v>769</v>
          </cell>
          <cell r="G1381" t="str">
            <v>8</v>
          </cell>
          <cell r="H1381">
            <v>0</v>
          </cell>
        </row>
        <row r="1382">
          <cell r="B1382">
            <v>9365</v>
          </cell>
          <cell r="C1382" t="str">
            <v>Shorty; Darrell Thomas</v>
          </cell>
          <cell r="D1382" t="str">
            <v>1C</v>
          </cell>
          <cell r="E1382" t="str">
            <v>IBEWOUT</v>
          </cell>
          <cell r="F1382" t="str">
            <v>611</v>
          </cell>
          <cell r="G1382" t="str">
            <v>8</v>
          </cell>
          <cell r="H1382">
            <v>0</v>
          </cell>
        </row>
        <row r="1383">
          <cell r="B1383">
            <v>9372</v>
          </cell>
          <cell r="C1383" t="str">
            <v>Sisson; Joseph R</v>
          </cell>
          <cell r="D1383" t="str">
            <v>1C</v>
          </cell>
          <cell r="E1383" t="str">
            <v>IBEWOUT</v>
          </cell>
          <cell r="F1383" t="str">
            <v>77</v>
          </cell>
          <cell r="G1383" t="str">
            <v>8</v>
          </cell>
          <cell r="H1383">
            <v>0</v>
          </cell>
        </row>
        <row r="1384">
          <cell r="B1384">
            <v>9374</v>
          </cell>
          <cell r="C1384" t="str">
            <v>Simons; Nicholas R.</v>
          </cell>
          <cell r="D1384" t="str">
            <v>1C</v>
          </cell>
          <cell r="E1384" t="str">
            <v>IBEWOUT</v>
          </cell>
          <cell r="F1384" t="str">
            <v>1245</v>
          </cell>
          <cell r="G1384" t="str">
            <v>7</v>
          </cell>
          <cell r="H1384">
            <v>0</v>
          </cell>
        </row>
        <row r="1385">
          <cell r="B1385">
            <v>9375</v>
          </cell>
          <cell r="C1385" t="str">
            <v>Simmons; Cyrus E.</v>
          </cell>
          <cell r="D1385" t="str">
            <v>1C</v>
          </cell>
          <cell r="E1385" t="str">
            <v>IBEWOUT</v>
          </cell>
          <cell r="F1385" t="str">
            <v>1245</v>
          </cell>
          <cell r="G1385" t="str">
            <v>8</v>
          </cell>
          <cell r="H1385">
            <v>0</v>
          </cell>
        </row>
        <row r="1386">
          <cell r="B1386">
            <v>9377</v>
          </cell>
          <cell r="C1386" t="str">
            <v>Singledecker; Devin J.</v>
          </cell>
          <cell r="D1386" t="str">
            <v>1C</v>
          </cell>
          <cell r="E1386" t="str">
            <v>IBEWOUT</v>
          </cell>
          <cell r="F1386" t="str">
            <v>77</v>
          </cell>
          <cell r="G1386" t="str">
            <v>10</v>
          </cell>
          <cell r="H1386">
            <v>0</v>
          </cell>
        </row>
        <row r="1387">
          <cell r="B1387">
            <v>9380</v>
          </cell>
          <cell r="C1387" t="str">
            <v>Spears; Harvey L.</v>
          </cell>
          <cell r="D1387" t="str">
            <v>1C</v>
          </cell>
          <cell r="E1387" t="str">
            <v>IBEWOUT</v>
          </cell>
          <cell r="F1387" t="str">
            <v>47</v>
          </cell>
          <cell r="G1387" t="str">
            <v>8</v>
          </cell>
          <cell r="H1387">
            <v>0</v>
          </cell>
        </row>
        <row r="1388">
          <cell r="B1388">
            <v>9382</v>
          </cell>
          <cell r="C1388" t="str">
            <v>Spear; George J</v>
          </cell>
          <cell r="D1388" t="str">
            <v>1C</v>
          </cell>
          <cell r="E1388" t="str">
            <v>IBEWOUT</v>
          </cell>
          <cell r="F1388" t="str">
            <v>77</v>
          </cell>
          <cell r="G1388" t="str">
            <v>8</v>
          </cell>
          <cell r="H1388">
            <v>0</v>
          </cell>
        </row>
        <row r="1389">
          <cell r="B1389">
            <v>9386</v>
          </cell>
          <cell r="C1389" t="str">
            <v>Spurrier; Warren</v>
          </cell>
          <cell r="D1389" t="str">
            <v>1C</v>
          </cell>
          <cell r="E1389" t="str">
            <v>IBEWOUT</v>
          </cell>
          <cell r="F1389" t="str">
            <v>77</v>
          </cell>
          <cell r="G1389" t="str">
            <v>8</v>
          </cell>
          <cell r="H1389">
            <v>0</v>
          </cell>
        </row>
        <row r="1390">
          <cell r="B1390">
            <v>9400</v>
          </cell>
          <cell r="C1390" t="str">
            <v>Slater; Anthony W.</v>
          </cell>
          <cell r="D1390" t="str">
            <v>1C</v>
          </cell>
          <cell r="E1390" t="str">
            <v>IBEWOUT</v>
          </cell>
          <cell r="F1390" t="str">
            <v>47</v>
          </cell>
          <cell r="G1390" t="str">
            <v>8</v>
          </cell>
          <cell r="H1390">
            <v>0</v>
          </cell>
        </row>
        <row r="1391">
          <cell r="B1391">
            <v>9455</v>
          </cell>
          <cell r="C1391" t="str">
            <v>Smith; Cody M</v>
          </cell>
          <cell r="D1391" t="str">
            <v>1C</v>
          </cell>
          <cell r="E1391" t="str">
            <v>IBEWOUT</v>
          </cell>
          <cell r="F1391" t="str">
            <v>1245</v>
          </cell>
          <cell r="G1391" t="str">
            <v>8</v>
          </cell>
          <cell r="H1391">
            <v>0</v>
          </cell>
        </row>
        <row r="1392">
          <cell r="B1392">
            <v>9456</v>
          </cell>
          <cell r="C1392" t="str">
            <v>Smith; Brandon J</v>
          </cell>
          <cell r="D1392" t="str">
            <v>1</v>
          </cell>
          <cell r="E1392" t="str">
            <v>IBEWOUT</v>
          </cell>
          <cell r="F1392" t="str">
            <v>1245</v>
          </cell>
          <cell r="G1392" t="str">
            <v>8</v>
          </cell>
          <cell r="H1392">
            <v>0</v>
          </cell>
        </row>
        <row r="1393">
          <cell r="B1393">
            <v>9457</v>
          </cell>
          <cell r="C1393" t="str">
            <v>Smith; Alfred D</v>
          </cell>
          <cell r="D1393" t="str">
            <v>1C</v>
          </cell>
          <cell r="E1393" t="str">
            <v>IBEWOUT</v>
          </cell>
          <cell r="F1393" t="str">
            <v>47</v>
          </cell>
          <cell r="G1393" t="str">
            <v>17</v>
          </cell>
          <cell r="H1393">
            <v>0</v>
          </cell>
        </row>
        <row r="1394">
          <cell r="B1394">
            <v>9461</v>
          </cell>
          <cell r="C1394" t="str">
            <v>Smith; Christopher B</v>
          </cell>
          <cell r="D1394" t="str">
            <v>1C</v>
          </cell>
          <cell r="E1394" t="str">
            <v>IBEWOUT</v>
          </cell>
          <cell r="F1394" t="str">
            <v>160</v>
          </cell>
          <cell r="G1394" t="str">
            <v>8</v>
          </cell>
          <cell r="H1394">
            <v>0</v>
          </cell>
        </row>
        <row r="1395">
          <cell r="B1395">
            <v>9463</v>
          </cell>
          <cell r="C1395" t="str">
            <v>Smith; George M</v>
          </cell>
          <cell r="D1395" t="str">
            <v>1C</v>
          </cell>
          <cell r="E1395" t="str">
            <v>IBEWOUT</v>
          </cell>
          <cell r="F1395" t="str">
            <v>1245</v>
          </cell>
          <cell r="G1395" t="str">
            <v>7</v>
          </cell>
          <cell r="H1395">
            <v>0</v>
          </cell>
        </row>
        <row r="1396">
          <cell r="B1396">
            <v>9475</v>
          </cell>
          <cell r="C1396" t="str">
            <v>Smith; Darren R.</v>
          </cell>
          <cell r="D1396" t="str">
            <v>1C</v>
          </cell>
          <cell r="E1396" t="str">
            <v>IBEWOUT</v>
          </cell>
          <cell r="F1396" t="str">
            <v>47</v>
          </cell>
          <cell r="G1396" t="str">
            <v>8</v>
          </cell>
          <cell r="H1396">
            <v>0</v>
          </cell>
        </row>
        <row r="1397">
          <cell r="B1397">
            <v>9489</v>
          </cell>
          <cell r="C1397" t="str">
            <v>Smith; Dustin A</v>
          </cell>
          <cell r="D1397" t="str">
            <v>1</v>
          </cell>
          <cell r="E1397" t="str">
            <v/>
          </cell>
          <cell r="F1397" t="str">
            <v/>
          </cell>
          <cell r="G1397" t="str">
            <v/>
          </cell>
          <cell r="H1397">
            <v>0</v>
          </cell>
        </row>
        <row r="1398">
          <cell r="B1398">
            <v>9494</v>
          </cell>
          <cell r="C1398" t="str">
            <v>Smith; Karl V</v>
          </cell>
          <cell r="D1398" t="str">
            <v>1C</v>
          </cell>
          <cell r="E1398" t="str">
            <v>IBEWOUT</v>
          </cell>
          <cell r="F1398" t="str">
            <v>1245</v>
          </cell>
          <cell r="G1398" t="str">
            <v>8</v>
          </cell>
          <cell r="H1398">
            <v>0</v>
          </cell>
        </row>
        <row r="1399">
          <cell r="B1399">
            <v>9503</v>
          </cell>
          <cell r="C1399" t="str">
            <v>Schneider; Howard I</v>
          </cell>
          <cell r="D1399" t="str">
            <v>1C</v>
          </cell>
          <cell r="E1399" t="str">
            <v>IBEWOUT</v>
          </cell>
          <cell r="F1399" t="str">
            <v>77</v>
          </cell>
          <cell r="G1399" t="str">
            <v>17</v>
          </cell>
          <cell r="H1399">
            <v>0</v>
          </cell>
        </row>
        <row r="1400">
          <cell r="B1400">
            <v>9506</v>
          </cell>
          <cell r="C1400" t="str">
            <v>Smith; Jerry D.</v>
          </cell>
          <cell r="D1400" t="str">
            <v>1C</v>
          </cell>
          <cell r="E1400" t="str">
            <v/>
          </cell>
          <cell r="F1400" t="str">
            <v/>
          </cell>
          <cell r="G1400" t="str">
            <v/>
          </cell>
          <cell r="H1400">
            <v>0</v>
          </cell>
        </row>
        <row r="1401">
          <cell r="B1401">
            <v>9509</v>
          </cell>
          <cell r="C1401" t="str">
            <v>Smith; Joel J</v>
          </cell>
          <cell r="D1401" t="str">
            <v>1C</v>
          </cell>
          <cell r="E1401" t="str">
            <v>IBEWOUT</v>
          </cell>
          <cell r="F1401" t="str">
            <v>611</v>
          </cell>
          <cell r="G1401" t="str">
            <v>17</v>
          </cell>
          <cell r="H1401">
            <v>0</v>
          </cell>
        </row>
        <row r="1402">
          <cell r="B1402">
            <v>9511</v>
          </cell>
          <cell r="C1402" t="str">
            <v>Smith; Wayne A</v>
          </cell>
          <cell r="D1402" t="str">
            <v>1C</v>
          </cell>
          <cell r="E1402" t="str">
            <v>IBEWOUT</v>
          </cell>
          <cell r="F1402" t="str">
            <v>1245</v>
          </cell>
          <cell r="G1402" t="str">
            <v>8</v>
          </cell>
          <cell r="H1402">
            <v>0</v>
          </cell>
        </row>
        <row r="1403">
          <cell r="B1403">
            <v>9514</v>
          </cell>
          <cell r="C1403" t="str">
            <v>Smith; Jeffery A</v>
          </cell>
          <cell r="D1403" t="str">
            <v>1</v>
          </cell>
          <cell r="E1403" t="str">
            <v>IBEWOUT</v>
          </cell>
          <cell r="F1403" t="str">
            <v>47</v>
          </cell>
          <cell r="G1403" t="str">
            <v>16</v>
          </cell>
          <cell r="H1403">
            <v>0</v>
          </cell>
        </row>
        <row r="1404">
          <cell r="B1404">
            <v>9519</v>
          </cell>
          <cell r="C1404" t="str">
            <v>Smith; Robert W</v>
          </cell>
          <cell r="D1404" t="str">
            <v>1</v>
          </cell>
          <cell r="E1404" t="str">
            <v>IBEWOUT</v>
          </cell>
          <cell r="F1404" t="str">
            <v>70</v>
          </cell>
          <cell r="G1404" t="str">
            <v>17</v>
          </cell>
          <cell r="H1404">
            <v>0</v>
          </cell>
        </row>
        <row r="1405">
          <cell r="B1405">
            <v>9520</v>
          </cell>
          <cell r="C1405" t="str">
            <v>Smith; Patrick T.</v>
          </cell>
          <cell r="D1405" t="str">
            <v>1</v>
          </cell>
          <cell r="E1405" t="str">
            <v>IBEWOUT</v>
          </cell>
          <cell r="F1405" t="str">
            <v>77</v>
          </cell>
          <cell r="G1405" t="str">
            <v>4</v>
          </cell>
          <cell r="H1405">
            <v>0</v>
          </cell>
        </row>
        <row r="1406">
          <cell r="B1406">
            <v>9522</v>
          </cell>
          <cell r="C1406" t="str">
            <v>Smith; Jordan P</v>
          </cell>
          <cell r="D1406" t="str">
            <v>1</v>
          </cell>
          <cell r="E1406" t="str">
            <v>IBEWOUT</v>
          </cell>
          <cell r="F1406" t="str">
            <v>1245</v>
          </cell>
          <cell r="G1406" t="str">
            <v>7</v>
          </cell>
          <cell r="H1406">
            <v>0</v>
          </cell>
        </row>
        <row r="1407">
          <cell r="B1407">
            <v>9534</v>
          </cell>
          <cell r="C1407" t="str">
            <v>Smothermon; Archie DeWayne</v>
          </cell>
          <cell r="D1407" t="str">
            <v>1C</v>
          </cell>
          <cell r="E1407" t="str">
            <v>IBEWOUT</v>
          </cell>
          <cell r="F1407" t="str">
            <v>77</v>
          </cell>
          <cell r="G1407" t="str">
            <v>8</v>
          </cell>
          <cell r="H1407">
            <v>0</v>
          </cell>
        </row>
        <row r="1408">
          <cell r="B1408">
            <v>9536</v>
          </cell>
          <cell r="C1408" t="str">
            <v>Smoots; Robert J</v>
          </cell>
          <cell r="D1408" t="str">
            <v>1</v>
          </cell>
          <cell r="E1408" t="str">
            <v>IBEWOUT</v>
          </cell>
          <cell r="F1408" t="str">
            <v>1245</v>
          </cell>
          <cell r="G1408" t="str">
            <v>8</v>
          </cell>
          <cell r="H1408">
            <v>0</v>
          </cell>
        </row>
        <row r="1409">
          <cell r="B1409">
            <v>9540</v>
          </cell>
          <cell r="C1409" t="str">
            <v>Schnider; Jacob Clinton</v>
          </cell>
          <cell r="D1409" t="str">
            <v>1C</v>
          </cell>
          <cell r="E1409" t="str">
            <v>IBEWOUT</v>
          </cell>
          <cell r="F1409" t="str">
            <v>1245</v>
          </cell>
          <cell r="G1409" t="str">
            <v>8</v>
          </cell>
          <cell r="H1409">
            <v>0</v>
          </cell>
        </row>
        <row r="1410">
          <cell r="B1410">
            <v>9542</v>
          </cell>
          <cell r="C1410" t="str">
            <v>Schnider; Kyle Rod</v>
          </cell>
          <cell r="D1410" t="str">
            <v>1</v>
          </cell>
          <cell r="E1410" t="str">
            <v>IBEWOUT</v>
          </cell>
          <cell r="F1410" t="str">
            <v>47</v>
          </cell>
          <cell r="G1410" t="str">
            <v>1</v>
          </cell>
          <cell r="H1410">
            <v>0</v>
          </cell>
        </row>
        <row r="1411">
          <cell r="B1411">
            <v>9552</v>
          </cell>
          <cell r="C1411" t="str">
            <v>Schreiner; Stephen A</v>
          </cell>
          <cell r="D1411" t="str">
            <v>1C</v>
          </cell>
          <cell r="E1411" t="str">
            <v>IBEWOUT</v>
          </cell>
          <cell r="F1411" t="str">
            <v>47</v>
          </cell>
          <cell r="G1411" t="str">
            <v>13</v>
          </cell>
          <cell r="H1411">
            <v>0</v>
          </cell>
        </row>
        <row r="1412">
          <cell r="B1412">
            <v>9554</v>
          </cell>
          <cell r="C1412" t="str">
            <v>Schumacher; Matthew J</v>
          </cell>
          <cell r="D1412" t="str">
            <v>1</v>
          </cell>
          <cell r="E1412" t="str">
            <v>IBEWOUT</v>
          </cell>
          <cell r="F1412" t="str">
            <v>125</v>
          </cell>
          <cell r="G1412" t="str">
            <v>33</v>
          </cell>
          <cell r="H1412">
            <v>0</v>
          </cell>
        </row>
        <row r="1413">
          <cell r="B1413">
            <v>9555</v>
          </cell>
          <cell r="C1413" t="str">
            <v>Schnider Sr.; Kevin Todd</v>
          </cell>
          <cell r="D1413" t="str">
            <v>1</v>
          </cell>
          <cell r="E1413" t="str">
            <v>IBEWOUT</v>
          </cell>
          <cell r="F1413" t="str">
            <v>70</v>
          </cell>
          <cell r="G1413" t="str">
            <v>7</v>
          </cell>
          <cell r="H1413">
            <v>0</v>
          </cell>
        </row>
        <row r="1414">
          <cell r="B1414">
            <v>9557</v>
          </cell>
          <cell r="C1414" t="str">
            <v>Schnider Jr.; Kevin T</v>
          </cell>
          <cell r="D1414" t="str">
            <v>1</v>
          </cell>
          <cell r="E1414" t="str">
            <v>IBEWOUT</v>
          </cell>
          <cell r="F1414" t="str">
            <v>70</v>
          </cell>
          <cell r="G1414" t="str">
            <v>16</v>
          </cell>
          <cell r="H1414">
            <v>0</v>
          </cell>
        </row>
        <row r="1415">
          <cell r="B1415">
            <v>9559</v>
          </cell>
          <cell r="C1415" t="str">
            <v>Schumacher; Anthony J</v>
          </cell>
          <cell r="D1415" t="str">
            <v>1</v>
          </cell>
          <cell r="E1415" t="str">
            <v>IBEWOUT</v>
          </cell>
          <cell r="F1415" t="str">
            <v>125</v>
          </cell>
          <cell r="G1415" t="str">
            <v>1</v>
          </cell>
          <cell r="H1415">
            <v>0</v>
          </cell>
        </row>
        <row r="1416">
          <cell r="B1416">
            <v>9561</v>
          </cell>
          <cell r="C1416" t="str">
            <v>Sokolovich; Eduard</v>
          </cell>
          <cell r="D1416" t="str">
            <v>1C</v>
          </cell>
          <cell r="E1416" t="str">
            <v>IBEWOUT</v>
          </cell>
          <cell r="F1416" t="str">
            <v>769</v>
          </cell>
          <cell r="G1416" t="str">
            <v>12</v>
          </cell>
          <cell r="H1416">
            <v>0</v>
          </cell>
        </row>
        <row r="1417">
          <cell r="B1417">
            <v>9563</v>
          </cell>
          <cell r="C1417" t="str">
            <v>Sotelo; Demis C.</v>
          </cell>
          <cell r="D1417" t="str">
            <v>1C</v>
          </cell>
          <cell r="E1417" t="str">
            <v>IBEWOUT</v>
          </cell>
          <cell r="F1417" t="str">
            <v>47</v>
          </cell>
          <cell r="G1417" t="str">
            <v>16</v>
          </cell>
          <cell r="H1417">
            <v>0</v>
          </cell>
        </row>
        <row r="1418">
          <cell r="B1418">
            <v>9566</v>
          </cell>
          <cell r="C1418" t="str">
            <v>Somers; Daniel R</v>
          </cell>
          <cell r="D1418" t="str">
            <v>1C</v>
          </cell>
          <cell r="E1418" t="str">
            <v>IBEWOUT</v>
          </cell>
          <cell r="F1418" t="str">
            <v>1245</v>
          </cell>
          <cell r="G1418" t="str">
            <v>8</v>
          </cell>
          <cell r="H1418">
            <v>0</v>
          </cell>
        </row>
        <row r="1419">
          <cell r="B1419">
            <v>9570</v>
          </cell>
          <cell r="C1419" t="str">
            <v>Solis; Gerardo</v>
          </cell>
          <cell r="D1419" t="str">
            <v>1</v>
          </cell>
          <cell r="E1419" t="str">
            <v>IBEWOUT</v>
          </cell>
          <cell r="F1419" t="str">
            <v>1245</v>
          </cell>
          <cell r="G1419" t="str">
            <v>8</v>
          </cell>
          <cell r="H1419">
            <v>0</v>
          </cell>
        </row>
        <row r="1420">
          <cell r="B1420">
            <v>9575</v>
          </cell>
          <cell r="C1420" t="str">
            <v>Sorensen; Kelly</v>
          </cell>
          <cell r="D1420" t="str">
            <v>1C</v>
          </cell>
          <cell r="E1420" t="str">
            <v>IBEWOUT</v>
          </cell>
          <cell r="F1420" t="str">
            <v>1245</v>
          </cell>
          <cell r="G1420" t="str">
            <v>16</v>
          </cell>
          <cell r="H1420">
            <v>0</v>
          </cell>
        </row>
        <row r="1421">
          <cell r="B1421">
            <v>9576</v>
          </cell>
          <cell r="C1421" t="str">
            <v>Somma; Andrea</v>
          </cell>
          <cell r="D1421" t="str">
            <v>1</v>
          </cell>
          <cell r="E1421" t="str">
            <v/>
          </cell>
          <cell r="F1421" t="str">
            <v/>
          </cell>
          <cell r="G1421" t="str">
            <v/>
          </cell>
          <cell r="H1421">
            <v>0</v>
          </cell>
        </row>
        <row r="1422">
          <cell r="B1422">
            <v>9581</v>
          </cell>
          <cell r="C1422" t="str">
            <v>Schott; Nathan A</v>
          </cell>
          <cell r="D1422" t="str">
            <v>1C</v>
          </cell>
          <cell r="E1422" t="str">
            <v>IBEWOUT</v>
          </cell>
          <cell r="F1422" t="str">
            <v>1245</v>
          </cell>
          <cell r="G1422" t="str">
            <v>8</v>
          </cell>
          <cell r="H1422">
            <v>0</v>
          </cell>
        </row>
        <row r="1423">
          <cell r="B1423">
            <v>9582</v>
          </cell>
          <cell r="C1423" t="str">
            <v>Schoenborn; Brian M</v>
          </cell>
          <cell r="D1423" t="str">
            <v>1</v>
          </cell>
          <cell r="E1423" t="str">
            <v/>
          </cell>
          <cell r="F1423" t="str">
            <v/>
          </cell>
          <cell r="G1423" t="str">
            <v/>
          </cell>
          <cell r="H1423">
            <v>0</v>
          </cell>
        </row>
        <row r="1424">
          <cell r="B1424">
            <v>9612</v>
          </cell>
          <cell r="C1424" t="str">
            <v>Stafford; Miles Randolph</v>
          </cell>
          <cell r="D1424" t="str">
            <v>1C</v>
          </cell>
          <cell r="E1424" t="str">
            <v>IBEWOUT</v>
          </cell>
          <cell r="F1424" t="str">
            <v>77</v>
          </cell>
          <cell r="G1424" t="str">
            <v>17</v>
          </cell>
          <cell r="H1424">
            <v>0</v>
          </cell>
        </row>
        <row r="1425">
          <cell r="B1425">
            <v>9613</v>
          </cell>
          <cell r="C1425" t="str">
            <v>Staniforth; Cory D</v>
          </cell>
          <cell r="D1425" t="str">
            <v>1C</v>
          </cell>
          <cell r="E1425" t="str">
            <v>IBEWOUT</v>
          </cell>
          <cell r="F1425" t="str">
            <v>1245</v>
          </cell>
          <cell r="G1425" t="str">
            <v>8</v>
          </cell>
          <cell r="H1425">
            <v>0</v>
          </cell>
        </row>
        <row r="1426">
          <cell r="B1426">
            <v>9615</v>
          </cell>
          <cell r="C1426" t="str">
            <v>Stanton; Adam M</v>
          </cell>
          <cell r="D1426" t="str">
            <v>1C</v>
          </cell>
          <cell r="E1426" t="str">
            <v>IBEWOUT</v>
          </cell>
          <cell r="F1426" t="str">
            <v>126</v>
          </cell>
          <cell r="G1426" t="str">
            <v>12</v>
          </cell>
          <cell r="H1426">
            <v>0</v>
          </cell>
        </row>
        <row r="1427">
          <cell r="B1427">
            <v>9616</v>
          </cell>
          <cell r="C1427" t="str">
            <v>Stanchfield; Kendall W</v>
          </cell>
          <cell r="D1427" t="str">
            <v>1</v>
          </cell>
          <cell r="E1427" t="str">
            <v>IBEWOUT</v>
          </cell>
          <cell r="F1427" t="str">
            <v>77</v>
          </cell>
          <cell r="G1427" t="str">
            <v>8</v>
          </cell>
          <cell r="H1427">
            <v>0</v>
          </cell>
        </row>
        <row r="1428">
          <cell r="B1428">
            <v>9618</v>
          </cell>
          <cell r="C1428" t="str">
            <v>Standifer; Eddie L</v>
          </cell>
          <cell r="D1428" t="str">
            <v>1C</v>
          </cell>
          <cell r="E1428" t="str">
            <v>IBEWOUT</v>
          </cell>
          <cell r="F1428" t="str">
            <v>1245</v>
          </cell>
          <cell r="G1428" t="str">
            <v>60</v>
          </cell>
          <cell r="H1428">
            <v>0</v>
          </cell>
        </row>
        <row r="1429">
          <cell r="B1429">
            <v>9620</v>
          </cell>
          <cell r="C1429" t="str">
            <v>Stanley; Lucas C.</v>
          </cell>
          <cell r="D1429" t="str">
            <v>1C</v>
          </cell>
          <cell r="E1429" t="str">
            <v>IBEWOUT</v>
          </cell>
          <cell r="F1429" t="str">
            <v>1245</v>
          </cell>
          <cell r="G1429" t="str">
            <v>11</v>
          </cell>
          <cell r="H1429">
            <v>0</v>
          </cell>
        </row>
        <row r="1430">
          <cell r="B1430">
            <v>9626</v>
          </cell>
          <cell r="C1430" t="str">
            <v>Stewart; Aubrey Lamar</v>
          </cell>
          <cell r="D1430" t="str">
            <v>1</v>
          </cell>
          <cell r="E1430" t="str">
            <v>IBEWOUT</v>
          </cell>
          <cell r="F1430" t="str">
            <v>1245</v>
          </cell>
          <cell r="G1430" t="str">
            <v>7</v>
          </cell>
          <cell r="H1430">
            <v>0</v>
          </cell>
        </row>
        <row r="1431">
          <cell r="B1431">
            <v>9627</v>
          </cell>
          <cell r="C1431" t="str">
            <v>Stansbury; Ben A</v>
          </cell>
          <cell r="D1431" t="str">
            <v>1C</v>
          </cell>
          <cell r="E1431" t="str">
            <v>IBEWOUT</v>
          </cell>
          <cell r="F1431" t="str">
            <v>602R</v>
          </cell>
          <cell r="G1431" t="str">
            <v>8</v>
          </cell>
          <cell r="H1431">
            <v>0</v>
          </cell>
        </row>
        <row r="1432">
          <cell r="B1432">
            <v>9628</v>
          </cell>
          <cell r="C1432" t="str">
            <v>Stark; Jeff Thomas</v>
          </cell>
          <cell r="D1432" t="str">
            <v>1</v>
          </cell>
          <cell r="E1432" t="str">
            <v/>
          </cell>
          <cell r="F1432" t="str">
            <v/>
          </cell>
          <cell r="G1432" t="str">
            <v/>
          </cell>
          <cell r="H1432">
            <v>1</v>
          </cell>
        </row>
        <row r="1433">
          <cell r="B1433">
            <v>9631</v>
          </cell>
          <cell r="C1433" t="str">
            <v>Steward; Thomas J</v>
          </cell>
          <cell r="D1433" t="str">
            <v>1C</v>
          </cell>
          <cell r="E1433" t="str">
            <v>IBEWOUT</v>
          </cell>
          <cell r="F1433" t="str">
            <v>47</v>
          </cell>
          <cell r="G1433" t="str">
            <v>8</v>
          </cell>
          <cell r="H1433">
            <v>0</v>
          </cell>
        </row>
        <row r="1434">
          <cell r="B1434">
            <v>9639</v>
          </cell>
          <cell r="C1434" t="str">
            <v>Stinton; Marco Isaiah</v>
          </cell>
          <cell r="D1434" t="str">
            <v>1C</v>
          </cell>
          <cell r="E1434" t="str">
            <v>IBEWOUT</v>
          </cell>
          <cell r="F1434" t="str">
            <v>47</v>
          </cell>
          <cell r="G1434" t="str">
            <v>13</v>
          </cell>
          <cell r="H1434">
            <v>0</v>
          </cell>
        </row>
        <row r="1435">
          <cell r="B1435">
            <v>9640</v>
          </cell>
          <cell r="C1435" t="str">
            <v>Stimmler; Justin E</v>
          </cell>
          <cell r="D1435" t="str">
            <v>1C</v>
          </cell>
          <cell r="E1435" t="str">
            <v>IBEWOUT</v>
          </cell>
          <cell r="F1435" t="str">
            <v>126</v>
          </cell>
          <cell r="G1435" t="str">
            <v>33</v>
          </cell>
          <cell r="H1435">
            <v>0</v>
          </cell>
        </row>
        <row r="1436">
          <cell r="B1436">
            <v>9641</v>
          </cell>
          <cell r="C1436" t="str">
            <v>Steward; Joseph L</v>
          </cell>
          <cell r="D1436" t="str">
            <v>1</v>
          </cell>
          <cell r="E1436" t="str">
            <v>IBEWOUT</v>
          </cell>
          <cell r="F1436" t="str">
            <v>611</v>
          </cell>
          <cell r="G1436" t="str">
            <v>8</v>
          </cell>
          <cell r="H1436">
            <v>0</v>
          </cell>
        </row>
        <row r="1437">
          <cell r="B1437">
            <v>9662</v>
          </cell>
          <cell r="C1437" t="str">
            <v>Stewart; Joseph Benjamin</v>
          </cell>
          <cell r="D1437" t="str">
            <v>1C</v>
          </cell>
          <cell r="E1437" t="str">
            <v>IBEWOUT</v>
          </cell>
          <cell r="F1437" t="str">
            <v>47</v>
          </cell>
          <cell r="G1437" t="str">
            <v>8</v>
          </cell>
          <cell r="H1437">
            <v>0</v>
          </cell>
        </row>
        <row r="1438">
          <cell r="B1438">
            <v>9663</v>
          </cell>
          <cell r="C1438" t="str">
            <v>Stewart; Joshua A</v>
          </cell>
          <cell r="D1438" t="str">
            <v>1C</v>
          </cell>
          <cell r="E1438" t="str">
            <v>IBEWOUT</v>
          </cell>
          <cell r="F1438" t="str">
            <v>104</v>
          </cell>
          <cell r="G1438" t="str">
            <v>8</v>
          </cell>
          <cell r="H1438">
            <v>0</v>
          </cell>
        </row>
        <row r="1439">
          <cell r="B1439">
            <v>9670</v>
          </cell>
          <cell r="C1439" t="str">
            <v>Stewart; Vincent Ray</v>
          </cell>
          <cell r="D1439" t="str">
            <v>1C</v>
          </cell>
          <cell r="E1439" t="str">
            <v>IBEWOUT</v>
          </cell>
          <cell r="F1439" t="str">
            <v>1245</v>
          </cell>
          <cell r="G1439" t="str">
            <v>8</v>
          </cell>
          <cell r="H1439">
            <v>0</v>
          </cell>
        </row>
        <row r="1440">
          <cell r="B1440">
            <v>9688</v>
          </cell>
          <cell r="C1440" t="str">
            <v>Strickland-Wynn; Anthony J</v>
          </cell>
          <cell r="D1440" t="str">
            <v>1C</v>
          </cell>
          <cell r="E1440" t="str">
            <v>IBEWOUT</v>
          </cell>
          <cell r="F1440" t="str">
            <v>1245</v>
          </cell>
          <cell r="G1440" t="str">
            <v>8</v>
          </cell>
          <cell r="H1440">
            <v>0</v>
          </cell>
        </row>
        <row r="1441">
          <cell r="B1441">
            <v>9692</v>
          </cell>
          <cell r="C1441" t="str">
            <v>Sutter; Joseph F</v>
          </cell>
          <cell r="D1441" t="str">
            <v>1</v>
          </cell>
          <cell r="E1441" t="str">
            <v>IBEWOUT</v>
          </cell>
          <cell r="F1441" t="str">
            <v>77</v>
          </cell>
          <cell r="G1441" t="str">
            <v>11</v>
          </cell>
          <cell r="H1441">
            <v>0</v>
          </cell>
        </row>
        <row r="1442">
          <cell r="B1442">
            <v>9695</v>
          </cell>
          <cell r="C1442" t="str">
            <v>Sturdevant; Darin D.</v>
          </cell>
          <cell r="D1442" t="str">
            <v>1</v>
          </cell>
          <cell r="E1442" t="str">
            <v/>
          </cell>
          <cell r="F1442" t="str">
            <v/>
          </cell>
          <cell r="G1442" t="str">
            <v/>
          </cell>
          <cell r="H1442">
            <v>0</v>
          </cell>
        </row>
        <row r="1443">
          <cell r="B1443">
            <v>9708</v>
          </cell>
          <cell r="C1443" t="str">
            <v>Stephens; Richard L</v>
          </cell>
          <cell r="D1443" t="str">
            <v>1C</v>
          </cell>
          <cell r="E1443" t="str">
            <v>IBEWOUT</v>
          </cell>
          <cell r="F1443" t="str">
            <v>1245</v>
          </cell>
          <cell r="G1443" t="str">
            <v>13</v>
          </cell>
          <cell r="H1443">
            <v>0</v>
          </cell>
        </row>
        <row r="1444">
          <cell r="B1444">
            <v>9712</v>
          </cell>
          <cell r="C1444" t="str">
            <v>Strand; Sheldon R.</v>
          </cell>
          <cell r="D1444" t="str">
            <v>1</v>
          </cell>
          <cell r="E1444" t="str">
            <v/>
          </cell>
          <cell r="F1444" t="str">
            <v/>
          </cell>
          <cell r="G1444" t="str">
            <v/>
          </cell>
          <cell r="H1444">
            <v>0</v>
          </cell>
        </row>
        <row r="1445">
          <cell r="B1445">
            <v>9717</v>
          </cell>
          <cell r="C1445" t="str">
            <v>Stephens; William M.</v>
          </cell>
          <cell r="D1445" t="str">
            <v>1C</v>
          </cell>
          <cell r="E1445" t="str">
            <v/>
          </cell>
          <cell r="F1445" t="str">
            <v/>
          </cell>
          <cell r="G1445" t="str">
            <v/>
          </cell>
          <cell r="H1445">
            <v>0</v>
          </cell>
        </row>
        <row r="1446">
          <cell r="B1446">
            <v>9718</v>
          </cell>
          <cell r="C1446" t="str">
            <v>Stoneburner; Robert H.</v>
          </cell>
          <cell r="D1446" t="str">
            <v>1C</v>
          </cell>
          <cell r="E1446" t="str">
            <v>IBEWOUT</v>
          </cell>
          <cell r="F1446" t="str">
            <v>222</v>
          </cell>
          <cell r="G1446" t="str">
            <v>13</v>
          </cell>
          <cell r="H1446">
            <v>0</v>
          </cell>
        </row>
        <row r="1447">
          <cell r="B1447">
            <v>9720</v>
          </cell>
          <cell r="C1447" t="str">
            <v>Stone; William J.</v>
          </cell>
          <cell r="D1447" t="str">
            <v>1</v>
          </cell>
          <cell r="E1447" t="str">
            <v/>
          </cell>
          <cell r="F1447" t="str">
            <v/>
          </cell>
          <cell r="G1447" t="str">
            <v/>
          </cell>
          <cell r="H1447">
            <v>1</v>
          </cell>
        </row>
        <row r="1448">
          <cell r="B1448">
            <v>9721</v>
          </cell>
          <cell r="C1448" t="str">
            <v>Stevenson; Trent H.</v>
          </cell>
          <cell r="D1448" t="str">
            <v>1C</v>
          </cell>
          <cell r="E1448" t="str">
            <v>IBEWOUT</v>
          </cell>
          <cell r="F1448" t="str">
            <v>1245</v>
          </cell>
          <cell r="G1448" t="str">
            <v>8</v>
          </cell>
          <cell r="H1448">
            <v>0</v>
          </cell>
        </row>
        <row r="1449">
          <cell r="B1449">
            <v>9723</v>
          </cell>
          <cell r="C1449" t="str">
            <v>Stevens; Raymond</v>
          </cell>
          <cell r="D1449" t="str">
            <v>1C</v>
          </cell>
          <cell r="E1449" t="str">
            <v>IBEWOUT</v>
          </cell>
          <cell r="F1449" t="str">
            <v>1245</v>
          </cell>
          <cell r="G1449" t="str">
            <v>8</v>
          </cell>
          <cell r="H1449">
            <v>0</v>
          </cell>
        </row>
        <row r="1450">
          <cell r="B1450">
            <v>9726</v>
          </cell>
          <cell r="C1450" t="str">
            <v>Strader; Edward A</v>
          </cell>
          <cell r="D1450" t="str">
            <v>1</v>
          </cell>
          <cell r="E1450" t="str">
            <v>IBEWOUT</v>
          </cell>
          <cell r="F1450" t="str">
            <v>611</v>
          </cell>
          <cell r="G1450" t="str">
            <v>7</v>
          </cell>
          <cell r="H1450">
            <v>0</v>
          </cell>
        </row>
        <row r="1451">
          <cell r="B1451">
            <v>9727</v>
          </cell>
          <cell r="C1451" t="str">
            <v>Stevens; Cole L</v>
          </cell>
          <cell r="D1451" t="str">
            <v>1C</v>
          </cell>
          <cell r="E1451" t="str">
            <v>IBEWOUT</v>
          </cell>
          <cell r="F1451" t="str">
            <v>77</v>
          </cell>
          <cell r="G1451" t="str">
            <v>13</v>
          </cell>
          <cell r="H1451">
            <v>0</v>
          </cell>
        </row>
        <row r="1452">
          <cell r="B1452">
            <v>9731</v>
          </cell>
          <cell r="C1452" t="str">
            <v>Sugerik; David B</v>
          </cell>
          <cell r="D1452" t="str">
            <v>1C</v>
          </cell>
          <cell r="E1452" t="str">
            <v>IBEWOUT</v>
          </cell>
          <cell r="F1452" t="str">
            <v>1319</v>
          </cell>
          <cell r="G1452" t="str">
            <v>8</v>
          </cell>
          <cell r="H1452">
            <v>0</v>
          </cell>
        </row>
        <row r="1453">
          <cell r="B1453">
            <v>9732</v>
          </cell>
          <cell r="C1453" t="str">
            <v>Symonds; Roy D</v>
          </cell>
          <cell r="D1453" t="str">
            <v>1C</v>
          </cell>
          <cell r="E1453" t="str">
            <v>IBEWOUT</v>
          </cell>
          <cell r="F1453" t="str">
            <v>602R</v>
          </cell>
          <cell r="G1453" t="str">
            <v>8</v>
          </cell>
          <cell r="H1453">
            <v>0</v>
          </cell>
        </row>
        <row r="1454">
          <cell r="B1454">
            <v>9733</v>
          </cell>
          <cell r="C1454" t="str">
            <v>Strader Jr.; Edward A</v>
          </cell>
          <cell r="D1454" t="str">
            <v>1</v>
          </cell>
          <cell r="E1454" t="str">
            <v>IBEWOUT</v>
          </cell>
          <cell r="F1454" t="str">
            <v>611</v>
          </cell>
          <cell r="G1454" t="str">
            <v>18</v>
          </cell>
          <cell r="H1454">
            <v>0</v>
          </cell>
        </row>
        <row r="1455">
          <cell r="B1455">
            <v>9734</v>
          </cell>
          <cell r="C1455" t="str">
            <v>Stevenson; Micah J</v>
          </cell>
          <cell r="D1455" t="str">
            <v>1C</v>
          </cell>
          <cell r="E1455" t="str">
            <v/>
          </cell>
          <cell r="F1455" t="str">
            <v/>
          </cell>
          <cell r="G1455" t="str">
            <v/>
          </cell>
          <cell r="H1455">
            <v>1</v>
          </cell>
        </row>
        <row r="1456">
          <cell r="B1456">
            <v>9736</v>
          </cell>
          <cell r="C1456" t="str">
            <v>Strasser; Richard L</v>
          </cell>
          <cell r="D1456" t="str">
            <v>1</v>
          </cell>
          <cell r="E1456" t="str">
            <v>IBEWOUT</v>
          </cell>
          <cell r="F1456" t="str">
            <v>47</v>
          </cell>
          <cell r="G1456" t="str">
            <v>16</v>
          </cell>
          <cell r="H1456">
            <v>0</v>
          </cell>
        </row>
        <row r="1457">
          <cell r="B1457">
            <v>9738</v>
          </cell>
          <cell r="C1457" t="str">
            <v>Stolz; Brandon N</v>
          </cell>
          <cell r="D1457" t="str">
            <v>1C</v>
          </cell>
          <cell r="E1457" t="str">
            <v>IBEWOUT</v>
          </cell>
          <cell r="F1457" t="str">
            <v>160</v>
          </cell>
          <cell r="G1457" t="str">
            <v>15</v>
          </cell>
          <cell r="H1457">
            <v>0</v>
          </cell>
        </row>
        <row r="1458">
          <cell r="B1458">
            <v>9740</v>
          </cell>
          <cell r="C1458" t="str">
            <v>Swain; Cody J.</v>
          </cell>
          <cell r="D1458" t="str">
            <v>1C</v>
          </cell>
          <cell r="E1458" t="str">
            <v>IBEWOUT</v>
          </cell>
          <cell r="F1458" t="str">
            <v>1245</v>
          </cell>
          <cell r="G1458" t="str">
            <v>8</v>
          </cell>
          <cell r="H1458">
            <v>0</v>
          </cell>
        </row>
        <row r="1459">
          <cell r="B1459">
            <v>9743</v>
          </cell>
          <cell r="C1459" t="str">
            <v>Stephas; Roger J</v>
          </cell>
          <cell r="D1459" t="str">
            <v>1C</v>
          </cell>
          <cell r="E1459" t="str">
            <v>IBEWOUT</v>
          </cell>
          <cell r="F1459" t="str">
            <v>611</v>
          </cell>
          <cell r="G1459" t="str">
            <v>8</v>
          </cell>
          <cell r="H1459">
            <v>0</v>
          </cell>
        </row>
        <row r="1460">
          <cell r="B1460">
            <v>9747</v>
          </cell>
          <cell r="C1460" t="str">
            <v>Swegan; David L</v>
          </cell>
          <cell r="D1460" t="str">
            <v>1C</v>
          </cell>
          <cell r="E1460" t="str">
            <v>IBEWOUT</v>
          </cell>
          <cell r="F1460" t="str">
            <v>611</v>
          </cell>
          <cell r="G1460" t="str">
            <v>13</v>
          </cell>
          <cell r="H1460">
            <v>0</v>
          </cell>
        </row>
        <row r="1461">
          <cell r="B1461">
            <v>9748</v>
          </cell>
          <cell r="C1461" t="str">
            <v>Swennes; Taylor W</v>
          </cell>
          <cell r="D1461" t="str">
            <v>1</v>
          </cell>
          <cell r="E1461" t="str">
            <v>IBEWOUT</v>
          </cell>
          <cell r="F1461" t="str">
            <v>769</v>
          </cell>
          <cell r="G1461" t="str">
            <v>8</v>
          </cell>
          <cell r="H1461">
            <v>0</v>
          </cell>
        </row>
        <row r="1462">
          <cell r="B1462">
            <v>9750</v>
          </cell>
          <cell r="C1462" t="str">
            <v>Swiger; Robert H</v>
          </cell>
          <cell r="D1462" t="str">
            <v>1C</v>
          </cell>
          <cell r="E1462" t="str">
            <v>IBEWOUT</v>
          </cell>
          <cell r="F1462" t="str">
            <v>77</v>
          </cell>
          <cell r="G1462" t="str">
            <v>8</v>
          </cell>
          <cell r="H1462">
            <v>0</v>
          </cell>
        </row>
        <row r="1463">
          <cell r="B1463">
            <v>9751</v>
          </cell>
          <cell r="C1463" t="str">
            <v>Stevenson Jr; Robert L</v>
          </cell>
          <cell r="D1463" t="str">
            <v>1</v>
          </cell>
          <cell r="E1463" t="str">
            <v>IBEWOUT</v>
          </cell>
          <cell r="F1463" t="str">
            <v>47</v>
          </cell>
          <cell r="G1463" t="str">
            <v>8</v>
          </cell>
          <cell r="H1463">
            <v>0</v>
          </cell>
        </row>
        <row r="1464">
          <cell r="B1464">
            <v>9764</v>
          </cell>
          <cell r="C1464" t="str">
            <v>Spitler II; Robert J</v>
          </cell>
          <cell r="D1464" t="str">
            <v>1</v>
          </cell>
          <cell r="E1464" t="str">
            <v>IBEWOUT</v>
          </cell>
          <cell r="F1464" t="str">
            <v>77</v>
          </cell>
          <cell r="G1464" t="str">
            <v>10</v>
          </cell>
          <cell r="H1464">
            <v>0</v>
          </cell>
        </row>
        <row r="1465">
          <cell r="B1465">
            <v>9822</v>
          </cell>
          <cell r="C1465" t="str">
            <v>Taglieri; Matthew D</v>
          </cell>
          <cell r="D1465" t="str">
            <v>1C</v>
          </cell>
          <cell r="E1465" t="str">
            <v>IBEWOUT</v>
          </cell>
          <cell r="F1465" t="str">
            <v>1245</v>
          </cell>
          <cell r="G1465" t="str">
            <v>15</v>
          </cell>
          <cell r="H1465">
            <v>0</v>
          </cell>
        </row>
        <row r="1466">
          <cell r="B1466">
            <v>9823</v>
          </cell>
          <cell r="C1466" t="str">
            <v>Taghon; Elijah D</v>
          </cell>
          <cell r="D1466" t="str">
            <v>1</v>
          </cell>
          <cell r="E1466" t="str">
            <v/>
          </cell>
          <cell r="F1466" t="str">
            <v/>
          </cell>
          <cell r="G1466" t="str">
            <v/>
          </cell>
          <cell r="H1466">
            <v>0</v>
          </cell>
        </row>
        <row r="1467">
          <cell r="B1467">
            <v>9825</v>
          </cell>
          <cell r="C1467" t="str">
            <v>Szteliga; Bryan D</v>
          </cell>
          <cell r="D1467" t="str">
            <v>1C</v>
          </cell>
          <cell r="E1467" t="str">
            <v>IBEWOUT</v>
          </cell>
          <cell r="F1467" t="str">
            <v>1245</v>
          </cell>
          <cell r="G1467" t="str">
            <v>8</v>
          </cell>
          <cell r="H1467">
            <v>0</v>
          </cell>
        </row>
        <row r="1468">
          <cell r="B1468">
            <v>9830</v>
          </cell>
          <cell r="C1468" t="str">
            <v>Talbott; William Gale</v>
          </cell>
          <cell r="D1468" t="str">
            <v>1</v>
          </cell>
          <cell r="E1468" t="str">
            <v>IBEWOUT</v>
          </cell>
          <cell r="F1468" t="str">
            <v>125</v>
          </cell>
          <cell r="G1468" t="str">
            <v>16</v>
          </cell>
          <cell r="H1468">
            <v>0</v>
          </cell>
        </row>
        <row r="1469">
          <cell r="B1469">
            <v>9835</v>
          </cell>
          <cell r="C1469" t="str">
            <v>Tatro; Lynn D</v>
          </cell>
          <cell r="D1469" t="str">
            <v>1C</v>
          </cell>
          <cell r="E1469" t="str">
            <v>IBEWOUT</v>
          </cell>
          <cell r="F1469" t="str">
            <v>77</v>
          </cell>
          <cell r="G1469" t="str">
            <v>16</v>
          </cell>
          <cell r="H1469">
            <v>0</v>
          </cell>
        </row>
        <row r="1470">
          <cell r="B1470">
            <v>9836</v>
          </cell>
          <cell r="C1470" t="str">
            <v>Tamez; Javier</v>
          </cell>
          <cell r="D1470" t="str">
            <v>1C</v>
          </cell>
          <cell r="E1470" t="str">
            <v>IBEWOUT</v>
          </cell>
          <cell r="F1470" t="str">
            <v>47</v>
          </cell>
          <cell r="G1470" t="str">
            <v>17</v>
          </cell>
          <cell r="H1470">
            <v>0</v>
          </cell>
        </row>
        <row r="1471">
          <cell r="B1471">
            <v>9838</v>
          </cell>
          <cell r="C1471" t="str">
            <v>Tasa; Brenden S</v>
          </cell>
          <cell r="D1471" t="str">
            <v>1C</v>
          </cell>
          <cell r="E1471" t="str">
            <v>IBEWOUT</v>
          </cell>
          <cell r="F1471" t="str">
            <v>611</v>
          </cell>
          <cell r="G1471" t="str">
            <v>12</v>
          </cell>
          <cell r="H1471">
            <v>0</v>
          </cell>
        </row>
        <row r="1472">
          <cell r="B1472">
            <v>9839</v>
          </cell>
          <cell r="C1472" t="str">
            <v>Taylor; Dalthard Ronald</v>
          </cell>
          <cell r="D1472" t="str">
            <v>1C</v>
          </cell>
          <cell r="E1472" t="str">
            <v>IBEWOUT</v>
          </cell>
          <cell r="F1472" t="str">
            <v>47</v>
          </cell>
          <cell r="G1472" t="str">
            <v>8</v>
          </cell>
          <cell r="H1472">
            <v>0</v>
          </cell>
        </row>
        <row r="1473">
          <cell r="B1473">
            <v>9840</v>
          </cell>
          <cell r="C1473" t="str">
            <v>Tapani; Randall J</v>
          </cell>
          <cell r="D1473" t="str">
            <v>1</v>
          </cell>
          <cell r="E1473" t="str">
            <v>IBEWOUT</v>
          </cell>
          <cell r="F1473" t="str">
            <v>77</v>
          </cell>
          <cell r="G1473" t="str">
            <v>8</v>
          </cell>
          <cell r="H1473">
            <v>0</v>
          </cell>
        </row>
        <row r="1474">
          <cell r="B1474">
            <v>9841</v>
          </cell>
          <cell r="C1474" t="str">
            <v>Taylor; Dalthard Grant</v>
          </cell>
          <cell r="D1474" t="str">
            <v>1C</v>
          </cell>
          <cell r="E1474" t="str">
            <v>IBEWOUT</v>
          </cell>
          <cell r="F1474" t="str">
            <v>769</v>
          </cell>
          <cell r="G1474" t="str">
            <v>16</v>
          </cell>
          <cell r="H1474">
            <v>0</v>
          </cell>
        </row>
        <row r="1475">
          <cell r="B1475">
            <v>9847</v>
          </cell>
          <cell r="C1475" t="str">
            <v>Taylor; Corey M</v>
          </cell>
          <cell r="D1475" t="str">
            <v>1C</v>
          </cell>
          <cell r="E1475" t="str">
            <v>IBEWOUT</v>
          </cell>
          <cell r="F1475" t="str">
            <v>1245</v>
          </cell>
          <cell r="G1475" t="str">
            <v>8</v>
          </cell>
          <cell r="H1475">
            <v>0</v>
          </cell>
        </row>
        <row r="1476">
          <cell r="B1476">
            <v>9855</v>
          </cell>
          <cell r="C1476" t="str">
            <v>Tallman; Jared M</v>
          </cell>
          <cell r="D1476" t="str">
            <v>1</v>
          </cell>
          <cell r="E1476" t="str">
            <v/>
          </cell>
          <cell r="F1476" t="str">
            <v/>
          </cell>
          <cell r="G1476" t="str">
            <v/>
          </cell>
          <cell r="H1476">
            <v>0</v>
          </cell>
        </row>
        <row r="1477">
          <cell r="B1477">
            <v>9862</v>
          </cell>
          <cell r="C1477" t="str">
            <v>Tellez; John Henry</v>
          </cell>
          <cell r="D1477" t="str">
            <v>1C</v>
          </cell>
          <cell r="E1477" t="str">
            <v/>
          </cell>
          <cell r="F1477" t="str">
            <v/>
          </cell>
          <cell r="G1477" t="str">
            <v/>
          </cell>
          <cell r="H1477">
            <v>1</v>
          </cell>
        </row>
        <row r="1478">
          <cell r="B1478">
            <v>9868</v>
          </cell>
          <cell r="C1478" t="str">
            <v>Terlep; Greg J.</v>
          </cell>
          <cell r="D1478" t="str">
            <v>1C</v>
          </cell>
          <cell r="E1478" t="str">
            <v>IBEWOUT</v>
          </cell>
          <cell r="F1478" t="str">
            <v>1245</v>
          </cell>
          <cell r="G1478" t="str">
            <v>60</v>
          </cell>
          <cell r="H1478">
            <v>0</v>
          </cell>
        </row>
        <row r="1479">
          <cell r="B1479">
            <v>9869</v>
          </cell>
          <cell r="C1479" t="str">
            <v>Tepesano; Pablo A</v>
          </cell>
          <cell r="D1479" t="str">
            <v>1C</v>
          </cell>
          <cell r="E1479" t="str">
            <v>IBEWOUT</v>
          </cell>
          <cell r="F1479" t="str">
            <v>47</v>
          </cell>
          <cell r="G1479" t="str">
            <v>8</v>
          </cell>
          <cell r="H1479">
            <v>0</v>
          </cell>
        </row>
        <row r="1480">
          <cell r="B1480">
            <v>9871</v>
          </cell>
          <cell r="C1480" t="str">
            <v>Tenney; Michael J</v>
          </cell>
          <cell r="D1480" t="str">
            <v>1C</v>
          </cell>
          <cell r="E1480" t="str">
            <v>IBEWOUT</v>
          </cell>
          <cell r="F1480" t="str">
            <v>1245</v>
          </cell>
          <cell r="G1480" t="str">
            <v>8</v>
          </cell>
          <cell r="H1480">
            <v>0</v>
          </cell>
        </row>
        <row r="1481">
          <cell r="B1481">
            <v>9877</v>
          </cell>
          <cell r="C1481" t="str">
            <v>Tenneson; Mack E</v>
          </cell>
          <cell r="D1481" t="str">
            <v>1</v>
          </cell>
          <cell r="E1481" t="str">
            <v/>
          </cell>
          <cell r="F1481" t="str">
            <v/>
          </cell>
          <cell r="G1481" t="str">
            <v/>
          </cell>
          <cell r="H1481">
            <v>0</v>
          </cell>
        </row>
        <row r="1482">
          <cell r="B1482">
            <v>9910</v>
          </cell>
          <cell r="C1482" t="str">
            <v>Thagon; Robert G</v>
          </cell>
          <cell r="D1482" t="str">
            <v>1C</v>
          </cell>
          <cell r="E1482" t="str">
            <v/>
          </cell>
          <cell r="F1482" t="str">
            <v/>
          </cell>
          <cell r="G1482" t="str">
            <v/>
          </cell>
          <cell r="H1482">
            <v>1</v>
          </cell>
        </row>
        <row r="1483">
          <cell r="B1483">
            <v>9943</v>
          </cell>
          <cell r="C1483" t="str">
            <v>Thomas; Kyle R</v>
          </cell>
          <cell r="D1483" t="str">
            <v>1C</v>
          </cell>
          <cell r="E1483" t="str">
            <v>IBEWOUT</v>
          </cell>
          <cell r="F1483" t="str">
            <v>1245</v>
          </cell>
          <cell r="G1483" t="str">
            <v>8</v>
          </cell>
          <cell r="H1483">
            <v>0</v>
          </cell>
        </row>
        <row r="1484">
          <cell r="B1484">
            <v>9946</v>
          </cell>
          <cell r="C1484" t="str">
            <v>Thomas; Dustin James</v>
          </cell>
          <cell r="D1484" t="str">
            <v>1</v>
          </cell>
          <cell r="E1484" t="str">
            <v>IBEWOUT</v>
          </cell>
          <cell r="F1484" t="str">
            <v>125</v>
          </cell>
          <cell r="G1484" t="str">
            <v>5</v>
          </cell>
          <cell r="H1484">
            <v>0</v>
          </cell>
        </row>
        <row r="1485">
          <cell r="B1485">
            <v>9950</v>
          </cell>
          <cell r="C1485" t="str">
            <v>Thomas; Vance L</v>
          </cell>
          <cell r="D1485" t="str">
            <v>1C</v>
          </cell>
          <cell r="E1485" t="str">
            <v>IBEWOUT</v>
          </cell>
          <cell r="F1485" t="str">
            <v>47</v>
          </cell>
          <cell r="G1485" t="str">
            <v>8</v>
          </cell>
          <cell r="H1485">
            <v>0</v>
          </cell>
        </row>
        <row r="1486">
          <cell r="B1486">
            <v>9952</v>
          </cell>
          <cell r="C1486" t="str">
            <v>Tijerina; Ramiro</v>
          </cell>
          <cell r="D1486" t="str">
            <v>1C</v>
          </cell>
          <cell r="E1486" t="str">
            <v>IBEWOUT</v>
          </cell>
          <cell r="F1486" t="str">
            <v>1245</v>
          </cell>
          <cell r="G1486" t="str">
            <v>8</v>
          </cell>
          <cell r="H1486">
            <v>0</v>
          </cell>
        </row>
        <row r="1487">
          <cell r="B1487">
            <v>9957</v>
          </cell>
          <cell r="C1487" t="str">
            <v>Thomas; Samuel Troy</v>
          </cell>
          <cell r="D1487" t="str">
            <v>1C</v>
          </cell>
          <cell r="E1487" t="str">
            <v>IBEWOUT</v>
          </cell>
          <cell r="F1487" t="str">
            <v>77</v>
          </cell>
          <cell r="G1487" t="str">
            <v>16</v>
          </cell>
          <cell r="H1487">
            <v>0</v>
          </cell>
        </row>
        <row r="1488">
          <cell r="B1488">
            <v>9959</v>
          </cell>
          <cell r="C1488" t="str">
            <v>Thompson; Glen S</v>
          </cell>
          <cell r="D1488" t="str">
            <v>1C</v>
          </cell>
          <cell r="E1488" t="str">
            <v>IBEWOUT</v>
          </cell>
          <cell r="F1488" t="str">
            <v>160</v>
          </cell>
          <cell r="G1488" t="str">
            <v>8</v>
          </cell>
          <cell r="H1488">
            <v>0</v>
          </cell>
        </row>
        <row r="1489">
          <cell r="B1489">
            <v>9960</v>
          </cell>
          <cell r="C1489" t="str">
            <v>Thompson; Ryan M.</v>
          </cell>
          <cell r="D1489" t="str">
            <v>1C</v>
          </cell>
          <cell r="E1489" t="str">
            <v>IBEWOUT</v>
          </cell>
          <cell r="F1489" t="str">
            <v>77</v>
          </cell>
          <cell r="G1489" t="str">
            <v>10</v>
          </cell>
          <cell r="H1489">
            <v>0</v>
          </cell>
        </row>
        <row r="1490">
          <cell r="B1490">
            <v>9964</v>
          </cell>
          <cell r="C1490" t="str">
            <v>Thomson; Michael D.</v>
          </cell>
          <cell r="D1490" t="str">
            <v>1C</v>
          </cell>
          <cell r="E1490" t="str">
            <v>IBEWOUT</v>
          </cell>
          <cell r="F1490" t="str">
            <v>769</v>
          </cell>
          <cell r="G1490" t="str">
            <v>20</v>
          </cell>
          <cell r="H1490">
            <v>0</v>
          </cell>
        </row>
        <row r="1491">
          <cell r="B1491">
            <v>9967</v>
          </cell>
          <cell r="C1491" t="str">
            <v>Thomson; Shayne A</v>
          </cell>
          <cell r="D1491" t="str">
            <v>1</v>
          </cell>
          <cell r="E1491" t="str">
            <v/>
          </cell>
          <cell r="F1491" t="str">
            <v/>
          </cell>
          <cell r="G1491" t="str">
            <v/>
          </cell>
          <cell r="H1491">
            <v>0</v>
          </cell>
        </row>
        <row r="1492">
          <cell r="B1492">
            <v>9973</v>
          </cell>
          <cell r="C1492" t="str">
            <v>Thygesen; Brian R.</v>
          </cell>
          <cell r="D1492" t="str">
            <v>1C</v>
          </cell>
          <cell r="E1492" t="str">
            <v>IBEWOUT</v>
          </cell>
          <cell r="F1492" t="str">
            <v>77</v>
          </cell>
          <cell r="G1492" t="str">
            <v>12</v>
          </cell>
          <cell r="H1492">
            <v>0</v>
          </cell>
        </row>
        <row r="1493">
          <cell r="B1493">
            <v>9979</v>
          </cell>
          <cell r="C1493" t="str">
            <v>Tice; Raymond W</v>
          </cell>
          <cell r="D1493" t="str">
            <v>1</v>
          </cell>
          <cell r="E1493" t="str">
            <v>IBEWOUT</v>
          </cell>
          <cell r="F1493" t="str">
            <v>1245</v>
          </cell>
          <cell r="G1493" t="str">
            <v>8</v>
          </cell>
          <cell r="H1493">
            <v>0</v>
          </cell>
        </row>
        <row r="1494">
          <cell r="B1494">
            <v>9982</v>
          </cell>
          <cell r="C1494" t="str">
            <v>Toliver; James D</v>
          </cell>
          <cell r="D1494" t="str">
            <v>1</v>
          </cell>
          <cell r="E1494" t="str">
            <v>IBEWOUT</v>
          </cell>
          <cell r="F1494" t="str">
            <v>47</v>
          </cell>
          <cell r="G1494" t="str">
            <v>8</v>
          </cell>
          <cell r="H1494">
            <v>0</v>
          </cell>
        </row>
        <row r="1495">
          <cell r="B1495">
            <v>9985</v>
          </cell>
          <cell r="C1495" t="str">
            <v>Tucker; Michael W.</v>
          </cell>
          <cell r="D1495" t="str">
            <v>1C</v>
          </cell>
          <cell r="E1495" t="str">
            <v>IBEWOUT</v>
          </cell>
          <cell r="F1495" t="str">
            <v>47</v>
          </cell>
          <cell r="G1495" t="str">
            <v>20</v>
          </cell>
          <cell r="H1495">
            <v>0</v>
          </cell>
        </row>
        <row r="1496">
          <cell r="B1496">
            <v>9988</v>
          </cell>
          <cell r="C1496" t="str">
            <v>Torres; Victor M.</v>
          </cell>
          <cell r="D1496" t="str">
            <v>1C</v>
          </cell>
          <cell r="E1496" t="str">
            <v>IBEWOUT</v>
          </cell>
          <cell r="F1496" t="str">
            <v>769</v>
          </cell>
          <cell r="G1496" t="str">
            <v>16</v>
          </cell>
          <cell r="H1496">
            <v>0</v>
          </cell>
        </row>
        <row r="1497">
          <cell r="B1497">
            <v>9994</v>
          </cell>
          <cell r="C1497" t="str">
            <v>Tonasket; Justin L</v>
          </cell>
          <cell r="D1497" t="str">
            <v>1</v>
          </cell>
          <cell r="E1497" t="str">
            <v>IBEWOUT</v>
          </cell>
          <cell r="F1497" t="str">
            <v>1245</v>
          </cell>
          <cell r="G1497" t="str">
            <v>8</v>
          </cell>
          <cell r="H1497">
            <v>0</v>
          </cell>
        </row>
        <row r="1498">
          <cell r="B1498">
            <v>9995</v>
          </cell>
          <cell r="C1498" t="str">
            <v>Tom; Antonio J</v>
          </cell>
          <cell r="D1498" t="str">
            <v>1C</v>
          </cell>
          <cell r="E1498" t="str">
            <v>IBEWOUT</v>
          </cell>
          <cell r="F1498" t="str">
            <v>611</v>
          </cell>
          <cell r="G1498" t="str">
            <v>18</v>
          </cell>
          <cell r="H1498">
            <v>0</v>
          </cell>
        </row>
        <row r="1499">
          <cell r="B1499">
            <v>9996</v>
          </cell>
          <cell r="C1499" t="str">
            <v>Toftdahl; Nels R.</v>
          </cell>
          <cell r="D1499" t="str">
            <v>1</v>
          </cell>
          <cell r="E1499" t="str">
            <v>IBEWOUT</v>
          </cell>
          <cell r="F1499" t="str">
            <v>77</v>
          </cell>
          <cell r="G1499" t="str">
            <v>7</v>
          </cell>
          <cell r="H1499">
            <v>0</v>
          </cell>
        </row>
        <row r="1500">
          <cell r="B1500">
            <v>9997</v>
          </cell>
          <cell r="C1500" t="str">
            <v>Tolson; Chad A</v>
          </cell>
          <cell r="D1500" t="str">
            <v>1C</v>
          </cell>
          <cell r="E1500" t="str">
            <v>IBEWOUT</v>
          </cell>
          <cell r="F1500" t="str">
            <v>1245</v>
          </cell>
          <cell r="G1500" t="str">
            <v>15</v>
          </cell>
          <cell r="H1500">
            <v>0</v>
          </cell>
        </row>
        <row r="1501">
          <cell r="B1501">
            <v>10001</v>
          </cell>
          <cell r="C1501" t="str">
            <v>Tohara; John D.</v>
          </cell>
          <cell r="D1501" t="str">
            <v>1C</v>
          </cell>
          <cell r="E1501" t="str">
            <v>IBEWOUT</v>
          </cell>
          <cell r="F1501" t="str">
            <v>396</v>
          </cell>
          <cell r="G1501" t="str">
            <v>21</v>
          </cell>
          <cell r="H1501">
            <v>0</v>
          </cell>
        </row>
        <row r="1502">
          <cell r="B1502">
            <v>10002</v>
          </cell>
          <cell r="C1502" t="str">
            <v>Toman; Lance E</v>
          </cell>
          <cell r="D1502" t="str">
            <v>1C</v>
          </cell>
          <cell r="E1502" t="str">
            <v>IBEWOUT</v>
          </cell>
          <cell r="F1502" t="str">
            <v>1245</v>
          </cell>
          <cell r="G1502" t="str">
            <v>8</v>
          </cell>
          <cell r="H1502">
            <v>0</v>
          </cell>
        </row>
        <row r="1503">
          <cell r="B1503">
            <v>10007</v>
          </cell>
          <cell r="C1503" t="str">
            <v>Torbet; William Wesley</v>
          </cell>
          <cell r="D1503" t="str">
            <v>1</v>
          </cell>
          <cell r="E1503" t="str">
            <v/>
          </cell>
          <cell r="F1503" t="str">
            <v/>
          </cell>
          <cell r="G1503" t="str">
            <v/>
          </cell>
          <cell r="H1503">
            <v>1</v>
          </cell>
        </row>
        <row r="1504">
          <cell r="B1504">
            <v>10026</v>
          </cell>
          <cell r="C1504" t="str">
            <v>Trimnal; Jerry Gamble</v>
          </cell>
          <cell r="D1504" t="str">
            <v>1C</v>
          </cell>
          <cell r="E1504" t="str">
            <v>IBEWOUT</v>
          </cell>
          <cell r="F1504" t="str">
            <v>47</v>
          </cell>
          <cell r="G1504" t="str">
            <v>7</v>
          </cell>
          <cell r="H1504">
            <v>0</v>
          </cell>
        </row>
        <row r="1505">
          <cell r="B1505">
            <v>10028</v>
          </cell>
          <cell r="C1505" t="str">
            <v>Triner; Jeremy BJ</v>
          </cell>
          <cell r="D1505" t="str">
            <v>1C</v>
          </cell>
          <cell r="E1505" t="str">
            <v>IBEWOUT</v>
          </cell>
          <cell r="F1505" t="str">
            <v>47</v>
          </cell>
          <cell r="G1505" t="str">
            <v>8</v>
          </cell>
          <cell r="H1505">
            <v>0</v>
          </cell>
        </row>
        <row r="1506">
          <cell r="B1506">
            <v>10030</v>
          </cell>
          <cell r="C1506" t="str">
            <v>Tritten; Eric W</v>
          </cell>
          <cell r="D1506" t="str">
            <v>1C</v>
          </cell>
          <cell r="E1506" t="str">
            <v>IBEWOUT</v>
          </cell>
          <cell r="F1506" t="str">
            <v>126</v>
          </cell>
          <cell r="G1506" t="str">
            <v>13</v>
          </cell>
          <cell r="H1506">
            <v>0</v>
          </cell>
        </row>
        <row r="1507">
          <cell r="B1507">
            <v>10031</v>
          </cell>
          <cell r="C1507" t="str">
            <v>Triplett; Bret M</v>
          </cell>
          <cell r="D1507" t="str">
            <v>1C</v>
          </cell>
          <cell r="E1507" t="str">
            <v>IBEWOUT</v>
          </cell>
          <cell r="F1507" t="str">
            <v>1319</v>
          </cell>
          <cell r="G1507" t="str">
            <v>15</v>
          </cell>
          <cell r="H1507">
            <v>0</v>
          </cell>
        </row>
        <row r="1508">
          <cell r="B1508">
            <v>10034</v>
          </cell>
          <cell r="C1508" t="str">
            <v>Tropkoff; Robert J</v>
          </cell>
          <cell r="D1508" t="str">
            <v>1C</v>
          </cell>
          <cell r="E1508" t="str">
            <v>IBEWOUT</v>
          </cell>
          <cell r="F1508" t="str">
            <v>1319</v>
          </cell>
          <cell r="G1508" t="str">
            <v>21</v>
          </cell>
          <cell r="H1508">
            <v>0</v>
          </cell>
        </row>
        <row r="1509">
          <cell r="B1509">
            <v>10039</v>
          </cell>
          <cell r="C1509" t="str">
            <v>Tsuha; Mark</v>
          </cell>
          <cell r="D1509" t="str">
            <v>1C</v>
          </cell>
          <cell r="E1509" t="str">
            <v>IBEWOUT</v>
          </cell>
          <cell r="F1509" t="str">
            <v>77</v>
          </cell>
          <cell r="G1509" t="str">
            <v>16</v>
          </cell>
          <cell r="H1509">
            <v>0</v>
          </cell>
        </row>
        <row r="1510">
          <cell r="B1510">
            <v>10040</v>
          </cell>
          <cell r="C1510" t="str">
            <v>Trujillo; Gregory M</v>
          </cell>
          <cell r="D1510" t="str">
            <v>1</v>
          </cell>
          <cell r="E1510" t="str">
            <v>IBEWOUT</v>
          </cell>
          <cell r="F1510" t="str">
            <v>611</v>
          </cell>
          <cell r="G1510" t="str">
            <v>10</v>
          </cell>
          <cell r="H1510">
            <v>0</v>
          </cell>
        </row>
        <row r="1511">
          <cell r="B1511">
            <v>10048</v>
          </cell>
          <cell r="C1511" t="str">
            <v>Turner; Luke E</v>
          </cell>
          <cell r="D1511" t="str">
            <v>1</v>
          </cell>
          <cell r="E1511" t="str">
            <v>IBEWOUT</v>
          </cell>
          <cell r="F1511" t="str">
            <v>77</v>
          </cell>
          <cell r="G1511" t="str">
            <v>7</v>
          </cell>
          <cell r="H1511">
            <v>0</v>
          </cell>
        </row>
        <row r="1512">
          <cell r="B1512">
            <v>10049</v>
          </cell>
          <cell r="C1512" t="str">
            <v>Truog; Brannon M</v>
          </cell>
          <cell r="D1512" t="str">
            <v>1C</v>
          </cell>
          <cell r="E1512" t="str">
            <v>IBEWOUT</v>
          </cell>
          <cell r="F1512" t="str">
            <v>769</v>
          </cell>
          <cell r="G1512" t="str">
            <v>17</v>
          </cell>
          <cell r="H1512">
            <v>0</v>
          </cell>
        </row>
        <row r="1513">
          <cell r="B1513">
            <v>10051</v>
          </cell>
          <cell r="C1513" t="str">
            <v>Treadwell; Joshua S</v>
          </cell>
          <cell r="D1513" t="str">
            <v>1C</v>
          </cell>
          <cell r="E1513" t="str">
            <v>IBEWOUT</v>
          </cell>
          <cell r="F1513" t="str">
            <v>602R</v>
          </cell>
          <cell r="G1513" t="str">
            <v>8</v>
          </cell>
          <cell r="H1513">
            <v>0</v>
          </cell>
        </row>
        <row r="1514">
          <cell r="B1514">
            <v>10055</v>
          </cell>
          <cell r="C1514" t="str">
            <v>Torres; Isaac</v>
          </cell>
          <cell r="D1514" t="str">
            <v>1C</v>
          </cell>
          <cell r="E1514" t="str">
            <v>IBEWOUT</v>
          </cell>
          <cell r="F1514" t="str">
            <v>1245</v>
          </cell>
          <cell r="G1514" t="str">
            <v>8</v>
          </cell>
          <cell r="H1514">
            <v>0</v>
          </cell>
        </row>
        <row r="1515">
          <cell r="B1515">
            <v>10056</v>
          </cell>
          <cell r="C1515" t="str">
            <v>Torres; Federico R</v>
          </cell>
          <cell r="D1515" t="str">
            <v>1</v>
          </cell>
          <cell r="E1515" t="str">
            <v/>
          </cell>
          <cell r="F1515" t="str">
            <v/>
          </cell>
          <cell r="G1515" t="str">
            <v/>
          </cell>
          <cell r="H1515">
            <v>1</v>
          </cell>
        </row>
        <row r="1516">
          <cell r="B1516">
            <v>10057</v>
          </cell>
          <cell r="C1516" t="str">
            <v>Torres; Carlos</v>
          </cell>
          <cell r="D1516" t="str">
            <v>1C</v>
          </cell>
          <cell r="E1516" t="str">
            <v>IBEWOUT</v>
          </cell>
          <cell r="F1516" t="str">
            <v>1245</v>
          </cell>
          <cell r="G1516" t="str">
            <v>17</v>
          </cell>
          <cell r="H1516">
            <v>0</v>
          </cell>
        </row>
        <row r="1517">
          <cell r="B1517">
            <v>10058</v>
          </cell>
          <cell r="C1517" t="str">
            <v>Towns; Isaac W</v>
          </cell>
          <cell r="D1517" t="str">
            <v>1C</v>
          </cell>
          <cell r="E1517" t="str">
            <v>IBEWOUT</v>
          </cell>
          <cell r="F1517" t="str">
            <v>47</v>
          </cell>
          <cell r="G1517" t="str">
            <v>8</v>
          </cell>
          <cell r="H1517">
            <v>0</v>
          </cell>
        </row>
        <row r="1518">
          <cell r="B1518">
            <v>10060</v>
          </cell>
          <cell r="C1518" t="str">
            <v>Tweed; Herbert Coke</v>
          </cell>
          <cell r="D1518" t="str">
            <v>1</v>
          </cell>
          <cell r="E1518" t="str">
            <v>IBEWOUT</v>
          </cell>
          <cell r="F1518" t="str">
            <v>47</v>
          </cell>
          <cell r="G1518" t="str">
            <v>7</v>
          </cell>
          <cell r="H1518">
            <v>1</v>
          </cell>
        </row>
        <row r="1519">
          <cell r="B1519">
            <v>10067</v>
          </cell>
          <cell r="C1519" t="str">
            <v>Tune; Christopher D</v>
          </cell>
          <cell r="D1519" t="str">
            <v>1C</v>
          </cell>
          <cell r="E1519" t="str">
            <v>IBEWOUT</v>
          </cell>
          <cell r="F1519" t="str">
            <v>77</v>
          </cell>
          <cell r="G1519" t="str">
            <v>8</v>
          </cell>
          <cell r="H1519">
            <v>0</v>
          </cell>
        </row>
        <row r="1520">
          <cell r="B1520">
            <v>10069</v>
          </cell>
          <cell r="C1520" t="str">
            <v>Turner; Bradley S.</v>
          </cell>
          <cell r="D1520" t="str">
            <v>1C</v>
          </cell>
          <cell r="E1520" t="str">
            <v>IBEWOUT</v>
          </cell>
          <cell r="F1520" t="str">
            <v>47</v>
          </cell>
          <cell r="G1520" t="str">
            <v>60</v>
          </cell>
          <cell r="H1520">
            <v>0</v>
          </cell>
        </row>
        <row r="1521">
          <cell r="B1521">
            <v>10071</v>
          </cell>
          <cell r="C1521" t="str">
            <v>Turpin; Kyle R</v>
          </cell>
          <cell r="D1521" t="str">
            <v>1C</v>
          </cell>
          <cell r="E1521" t="str">
            <v>IBEWOUT</v>
          </cell>
          <cell r="F1521" t="str">
            <v>1245</v>
          </cell>
          <cell r="G1521" t="str">
            <v>17</v>
          </cell>
          <cell r="H1521">
            <v>0</v>
          </cell>
        </row>
        <row r="1522">
          <cell r="B1522">
            <v>10076</v>
          </cell>
          <cell r="C1522" t="str">
            <v>Uitto; Jacob P</v>
          </cell>
          <cell r="D1522" t="str">
            <v>1C</v>
          </cell>
          <cell r="E1522" t="str">
            <v>IBEWOUT</v>
          </cell>
          <cell r="F1522" t="str">
            <v>77</v>
          </cell>
          <cell r="G1522" t="str">
            <v>13</v>
          </cell>
          <cell r="H1522">
            <v>0</v>
          </cell>
        </row>
        <row r="1523">
          <cell r="B1523">
            <v>10078</v>
          </cell>
          <cell r="C1523" t="str">
            <v>Uhlenkott; Nicholas P</v>
          </cell>
          <cell r="D1523" t="str">
            <v>1C</v>
          </cell>
          <cell r="E1523" t="str">
            <v>IBEWOUT</v>
          </cell>
          <cell r="F1523" t="str">
            <v>77</v>
          </cell>
          <cell r="G1523" t="str">
            <v>8</v>
          </cell>
          <cell r="H1523">
            <v>0</v>
          </cell>
        </row>
        <row r="1524">
          <cell r="B1524">
            <v>10085</v>
          </cell>
          <cell r="C1524" t="str">
            <v>Unsworth; Isaac W</v>
          </cell>
          <cell r="D1524" t="str">
            <v>1C</v>
          </cell>
          <cell r="E1524" t="str">
            <v>IBEWOUT</v>
          </cell>
          <cell r="F1524" t="str">
            <v>47</v>
          </cell>
          <cell r="G1524" t="str">
            <v>7</v>
          </cell>
          <cell r="H1524">
            <v>0</v>
          </cell>
        </row>
        <row r="1525">
          <cell r="B1525">
            <v>10086</v>
          </cell>
          <cell r="C1525" t="str">
            <v>Unruh; Spencer J</v>
          </cell>
          <cell r="D1525" t="str">
            <v>1C</v>
          </cell>
          <cell r="E1525" t="str">
            <v>IBEWOUT</v>
          </cell>
          <cell r="F1525" t="str">
            <v>1245</v>
          </cell>
          <cell r="G1525" t="str">
            <v>8</v>
          </cell>
          <cell r="H1525">
            <v>0</v>
          </cell>
        </row>
        <row r="1526">
          <cell r="B1526">
            <v>10090</v>
          </cell>
          <cell r="C1526" t="str">
            <v>Uribe; Jorge</v>
          </cell>
          <cell r="D1526" t="str">
            <v>1C</v>
          </cell>
          <cell r="E1526" t="str">
            <v>IBEWOUT</v>
          </cell>
          <cell r="F1526" t="str">
            <v>1245</v>
          </cell>
          <cell r="G1526" t="str">
            <v>16</v>
          </cell>
          <cell r="H1526">
            <v>0</v>
          </cell>
        </row>
        <row r="1527">
          <cell r="B1527">
            <v>10105</v>
          </cell>
          <cell r="C1527" t="str">
            <v>Urquijo; Bernardo</v>
          </cell>
          <cell r="D1527" t="str">
            <v>1C</v>
          </cell>
          <cell r="E1527" t="str">
            <v>IBEWOUT</v>
          </cell>
          <cell r="F1527" t="str">
            <v>1245</v>
          </cell>
          <cell r="G1527" t="str">
            <v>8</v>
          </cell>
          <cell r="H1527">
            <v>0</v>
          </cell>
        </row>
        <row r="1528">
          <cell r="B1528">
            <v>10112</v>
          </cell>
          <cell r="C1528" t="str">
            <v>Valenzuela; Mark</v>
          </cell>
          <cell r="D1528" t="str">
            <v>1C</v>
          </cell>
          <cell r="E1528" t="str">
            <v>IBEWOUT</v>
          </cell>
          <cell r="F1528" t="str">
            <v>47</v>
          </cell>
          <cell r="G1528" t="str">
            <v>17</v>
          </cell>
          <cell r="H1528">
            <v>0</v>
          </cell>
        </row>
        <row r="1529">
          <cell r="B1529">
            <v>10123</v>
          </cell>
          <cell r="C1529" t="str">
            <v>Valenzuela; Ariel A</v>
          </cell>
          <cell r="D1529" t="str">
            <v>1C</v>
          </cell>
          <cell r="E1529" t="str">
            <v>IBEWOUT</v>
          </cell>
          <cell r="F1529" t="str">
            <v>1245</v>
          </cell>
          <cell r="G1529" t="str">
            <v>12</v>
          </cell>
          <cell r="H1529">
            <v>0</v>
          </cell>
        </row>
        <row r="1530">
          <cell r="B1530">
            <v>10139</v>
          </cell>
          <cell r="C1530" t="str">
            <v>Vanwert Jr.; Richard A</v>
          </cell>
          <cell r="D1530" t="str">
            <v>1C</v>
          </cell>
          <cell r="E1530" t="str">
            <v>IBEWOUT</v>
          </cell>
          <cell r="F1530" t="str">
            <v>1319</v>
          </cell>
          <cell r="G1530" t="str">
            <v>8</v>
          </cell>
          <cell r="H1530">
            <v>0</v>
          </cell>
        </row>
        <row r="1531">
          <cell r="B1531">
            <v>10140</v>
          </cell>
          <cell r="C1531" t="str">
            <v>Vann; Tyhein E</v>
          </cell>
          <cell r="D1531" t="str">
            <v>1C</v>
          </cell>
          <cell r="E1531" t="str">
            <v>IBEWOUT</v>
          </cell>
          <cell r="F1531" t="str">
            <v>126</v>
          </cell>
          <cell r="G1531" t="str">
            <v>8</v>
          </cell>
          <cell r="H1531">
            <v>0</v>
          </cell>
        </row>
        <row r="1532">
          <cell r="B1532">
            <v>10144</v>
          </cell>
          <cell r="C1532" t="str">
            <v>Van Brocklin; Jordan L</v>
          </cell>
          <cell r="D1532" t="str">
            <v>1</v>
          </cell>
          <cell r="E1532" t="str">
            <v>IBEWOUT</v>
          </cell>
          <cell r="F1532" t="str">
            <v>77</v>
          </cell>
          <cell r="G1532" t="str">
            <v>15</v>
          </cell>
          <cell r="H1532">
            <v>0</v>
          </cell>
        </row>
        <row r="1533">
          <cell r="B1533">
            <v>10146</v>
          </cell>
          <cell r="C1533" t="str">
            <v>Valencia; Gary S</v>
          </cell>
          <cell r="D1533" t="str">
            <v>1C</v>
          </cell>
          <cell r="E1533" t="str">
            <v>IBEWOUT</v>
          </cell>
          <cell r="F1533" t="str">
            <v>1245</v>
          </cell>
          <cell r="G1533" t="str">
            <v>13</v>
          </cell>
          <cell r="H1533">
            <v>0</v>
          </cell>
        </row>
        <row r="1534">
          <cell r="B1534">
            <v>10148</v>
          </cell>
          <cell r="C1534" t="str">
            <v>Vanderheiden; Ricky J.</v>
          </cell>
          <cell r="D1534" t="str">
            <v>1C</v>
          </cell>
          <cell r="E1534" t="str">
            <v>IBEWOUT</v>
          </cell>
          <cell r="F1534" t="str">
            <v>47</v>
          </cell>
          <cell r="G1534" t="str">
            <v>8</v>
          </cell>
          <cell r="H1534">
            <v>0</v>
          </cell>
        </row>
        <row r="1535">
          <cell r="B1535">
            <v>10149</v>
          </cell>
          <cell r="C1535" t="str">
            <v>Vargas; Joe F</v>
          </cell>
          <cell r="D1535" t="str">
            <v>1C</v>
          </cell>
          <cell r="E1535" t="str">
            <v>IBEWOUT</v>
          </cell>
          <cell r="F1535" t="str">
            <v>1245</v>
          </cell>
          <cell r="G1535" t="str">
            <v>12</v>
          </cell>
          <cell r="H1535">
            <v>0</v>
          </cell>
        </row>
        <row r="1536">
          <cell r="B1536">
            <v>10154</v>
          </cell>
          <cell r="C1536" t="str">
            <v>Vanderwood; Eric L</v>
          </cell>
          <cell r="D1536" t="str">
            <v>1C</v>
          </cell>
          <cell r="E1536" t="str">
            <v/>
          </cell>
          <cell r="F1536" t="str">
            <v/>
          </cell>
          <cell r="G1536" t="str">
            <v/>
          </cell>
          <cell r="H1536">
            <v>0</v>
          </cell>
        </row>
        <row r="1537">
          <cell r="B1537">
            <v>10155</v>
          </cell>
          <cell r="C1537" t="str">
            <v>Vandyke; Jess D</v>
          </cell>
          <cell r="D1537" t="str">
            <v>1C</v>
          </cell>
          <cell r="E1537" t="str">
            <v>IBEWOUT</v>
          </cell>
          <cell r="F1537" t="str">
            <v>1245</v>
          </cell>
          <cell r="G1537" t="str">
            <v>8</v>
          </cell>
          <cell r="H1537">
            <v>0</v>
          </cell>
        </row>
        <row r="1538">
          <cell r="B1538">
            <v>10157</v>
          </cell>
          <cell r="C1538" t="str">
            <v>Vaughters; Brett Randall</v>
          </cell>
          <cell r="D1538" t="str">
            <v>1</v>
          </cell>
          <cell r="E1538" t="str">
            <v/>
          </cell>
          <cell r="F1538" t="str">
            <v/>
          </cell>
          <cell r="G1538" t="str">
            <v/>
          </cell>
          <cell r="H1538">
            <v>1</v>
          </cell>
        </row>
        <row r="1539">
          <cell r="B1539">
            <v>10158</v>
          </cell>
          <cell r="C1539" t="str">
            <v>Valis; Theodore G.</v>
          </cell>
          <cell r="D1539" t="str">
            <v>1C</v>
          </cell>
          <cell r="E1539" t="str">
            <v>IBEWOUT</v>
          </cell>
          <cell r="F1539" t="str">
            <v>769</v>
          </cell>
          <cell r="G1539" t="str">
            <v>8</v>
          </cell>
          <cell r="H1539">
            <v>0</v>
          </cell>
        </row>
        <row r="1540">
          <cell r="B1540">
            <v>10160</v>
          </cell>
          <cell r="C1540" t="str">
            <v>Varnell; Derek B</v>
          </cell>
          <cell r="D1540" t="str">
            <v>1C</v>
          </cell>
          <cell r="E1540" t="str">
            <v>IBEWOUT</v>
          </cell>
          <cell r="F1540" t="str">
            <v>602R</v>
          </cell>
          <cell r="G1540" t="str">
            <v>11T</v>
          </cell>
          <cell r="H1540">
            <v>0</v>
          </cell>
        </row>
        <row r="1541">
          <cell r="B1541">
            <v>10161</v>
          </cell>
          <cell r="C1541" t="str">
            <v>Vargas; Andre A</v>
          </cell>
          <cell r="D1541" t="str">
            <v>1</v>
          </cell>
          <cell r="E1541" t="str">
            <v/>
          </cell>
          <cell r="F1541" t="str">
            <v/>
          </cell>
          <cell r="G1541" t="str">
            <v/>
          </cell>
          <cell r="H1541">
            <v>1</v>
          </cell>
        </row>
        <row r="1542">
          <cell r="B1542">
            <v>10170</v>
          </cell>
          <cell r="C1542" t="str">
            <v>Vega-Brown; Elias</v>
          </cell>
          <cell r="D1542" t="str">
            <v>1C</v>
          </cell>
          <cell r="E1542" t="str">
            <v>IBEWOUT</v>
          </cell>
          <cell r="F1542" t="str">
            <v>1245</v>
          </cell>
          <cell r="G1542" t="str">
            <v>8</v>
          </cell>
          <cell r="H1542">
            <v>0</v>
          </cell>
        </row>
        <row r="1543">
          <cell r="B1543">
            <v>10171</v>
          </cell>
          <cell r="C1543" t="str">
            <v>VanAntwerp; Derek R.</v>
          </cell>
          <cell r="D1543" t="str">
            <v>1C</v>
          </cell>
          <cell r="E1543" t="str">
            <v>IBEWOUT</v>
          </cell>
          <cell r="F1543" t="str">
            <v>1245</v>
          </cell>
          <cell r="G1543" t="str">
            <v>7</v>
          </cell>
          <cell r="H1543">
            <v>0</v>
          </cell>
        </row>
        <row r="1544">
          <cell r="B1544">
            <v>10173</v>
          </cell>
          <cell r="C1544" t="str">
            <v>Vessel; Derick L</v>
          </cell>
          <cell r="D1544" t="str">
            <v>1C</v>
          </cell>
          <cell r="E1544" t="str">
            <v>IBEWOUT</v>
          </cell>
          <cell r="F1544" t="str">
            <v>769</v>
          </cell>
          <cell r="G1544" t="str">
            <v>12</v>
          </cell>
          <cell r="H1544">
            <v>0</v>
          </cell>
        </row>
        <row r="1545">
          <cell r="B1545">
            <v>10177</v>
          </cell>
          <cell r="C1545" t="str">
            <v>Verkler; Jacob M</v>
          </cell>
          <cell r="D1545" t="str">
            <v>1C</v>
          </cell>
          <cell r="E1545" t="str">
            <v>IBEWOUT</v>
          </cell>
          <cell r="F1545" t="str">
            <v>1245</v>
          </cell>
          <cell r="G1545" t="str">
            <v>15</v>
          </cell>
          <cell r="H1545">
            <v>0</v>
          </cell>
        </row>
        <row r="1546">
          <cell r="B1546">
            <v>10180</v>
          </cell>
          <cell r="C1546" t="str">
            <v>Vermeire; Damon L</v>
          </cell>
          <cell r="D1546" t="str">
            <v>1</v>
          </cell>
          <cell r="E1546" t="str">
            <v>IBEWOUT</v>
          </cell>
          <cell r="F1546" t="str">
            <v>77</v>
          </cell>
          <cell r="G1546" t="str">
            <v>7</v>
          </cell>
          <cell r="H1546">
            <v>0</v>
          </cell>
        </row>
        <row r="1547">
          <cell r="B1547">
            <v>10181</v>
          </cell>
          <cell r="C1547" t="str">
            <v>Vick; Clinton W</v>
          </cell>
          <cell r="D1547" t="str">
            <v>1C</v>
          </cell>
          <cell r="E1547" t="str">
            <v>IBEWOUT</v>
          </cell>
          <cell r="F1547" t="str">
            <v>160</v>
          </cell>
          <cell r="G1547" t="str">
            <v>7</v>
          </cell>
          <cell r="H1547">
            <v>0</v>
          </cell>
        </row>
        <row r="1548">
          <cell r="B1548">
            <v>10183</v>
          </cell>
          <cell r="C1548" t="str">
            <v>Vickers; Tom E</v>
          </cell>
          <cell r="D1548" t="str">
            <v>1C</v>
          </cell>
          <cell r="E1548" t="str">
            <v>IBEWOUT</v>
          </cell>
          <cell r="F1548" t="str">
            <v>1245</v>
          </cell>
          <cell r="G1548" t="str">
            <v>17</v>
          </cell>
          <cell r="H1548">
            <v>0</v>
          </cell>
        </row>
        <row r="1549">
          <cell r="B1549">
            <v>10184</v>
          </cell>
          <cell r="C1549" t="str">
            <v>Vickhammer; Bryan S</v>
          </cell>
          <cell r="D1549" t="str">
            <v>1C</v>
          </cell>
          <cell r="E1549" t="str">
            <v>IBEWOUT</v>
          </cell>
          <cell r="F1549" t="str">
            <v>1245</v>
          </cell>
          <cell r="G1549" t="str">
            <v>12</v>
          </cell>
          <cell r="H1549">
            <v>0</v>
          </cell>
        </row>
        <row r="1550">
          <cell r="B1550">
            <v>10190</v>
          </cell>
          <cell r="C1550" t="str">
            <v>Ventura; Francisco A</v>
          </cell>
          <cell r="D1550" t="str">
            <v>1C</v>
          </cell>
          <cell r="E1550" t="str">
            <v>IBEWOUT</v>
          </cell>
          <cell r="F1550" t="str">
            <v>47</v>
          </cell>
          <cell r="G1550" t="str">
            <v>14</v>
          </cell>
          <cell r="H1550">
            <v>0</v>
          </cell>
        </row>
        <row r="1551">
          <cell r="B1551">
            <v>10191</v>
          </cell>
          <cell r="C1551" t="str">
            <v>Verduzco Jr; Ricardo</v>
          </cell>
          <cell r="D1551" t="str">
            <v>1</v>
          </cell>
          <cell r="E1551" t="str">
            <v>IBEWOUT</v>
          </cell>
          <cell r="F1551" t="str">
            <v>769</v>
          </cell>
          <cell r="G1551" t="str">
            <v>8</v>
          </cell>
          <cell r="H1551">
            <v>0</v>
          </cell>
        </row>
        <row r="1552">
          <cell r="B1552">
            <v>10192</v>
          </cell>
          <cell r="C1552" t="str">
            <v>Vincent; Eric T</v>
          </cell>
          <cell r="D1552" t="str">
            <v>1</v>
          </cell>
          <cell r="E1552" t="str">
            <v>IBEWOUT</v>
          </cell>
          <cell r="F1552" t="str">
            <v>47</v>
          </cell>
          <cell r="G1552" t="str">
            <v>11</v>
          </cell>
          <cell r="H1552">
            <v>0</v>
          </cell>
        </row>
        <row r="1553">
          <cell r="B1553">
            <v>10193</v>
          </cell>
          <cell r="C1553" t="str">
            <v>Vadnais; Randy L</v>
          </cell>
          <cell r="D1553" t="str">
            <v>1</v>
          </cell>
          <cell r="E1553" t="str">
            <v>IBEWOUT</v>
          </cell>
          <cell r="F1553" t="str">
            <v>77</v>
          </cell>
          <cell r="G1553" t="str">
            <v>16</v>
          </cell>
          <cell r="H1553">
            <v>0</v>
          </cell>
        </row>
        <row r="1554">
          <cell r="B1554">
            <v>10195</v>
          </cell>
          <cell r="C1554" t="str">
            <v>Vogt; Jay A.</v>
          </cell>
          <cell r="D1554" t="str">
            <v>1C</v>
          </cell>
          <cell r="E1554" t="str">
            <v>IBEWOUT</v>
          </cell>
          <cell r="F1554" t="str">
            <v>47</v>
          </cell>
          <cell r="G1554" t="str">
            <v>8</v>
          </cell>
          <cell r="H1554">
            <v>0</v>
          </cell>
        </row>
        <row r="1555">
          <cell r="B1555">
            <v>10203</v>
          </cell>
          <cell r="C1555" t="str">
            <v>Vigil; Darian Marie</v>
          </cell>
          <cell r="D1555" t="str">
            <v>1</v>
          </cell>
          <cell r="E1555" t="str">
            <v/>
          </cell>
          <cell r="F1555" t="str">
            <v/>
          </cell>
          <cell r="G1555" t="str">
            <v/>
          </cell>
          <cell r="H1555">
            <v>0</v>
          </cell>
        </row>
        <row r="1556">
          <cell r="B1556">
            <v>10205</v>
          </cell>
          <cell r="C1556" t="str">
            <v>Vorce; Brian M</v>
          </cell>
          <cell r="D1556" t="str">
            <v>1C</v>
          </cell>
          <cell r="E1556" t="str">
            <v>IBEWOUT</v>
          </cell>
          <cell r="F1556" t="str">
            <v>1245</v>
          </cell>
          <cell r="G1556" t="str">
            <v>8</v>
          </cell>
          <cell r="H1556">
            <v>0</v>
          </cell>
        </row>
        <row r="1557">
          <cell r="B1557">
            <v>10209</v>
          </cell>
          <cell r="C1557" t="str">
            <v>Voshall; Jared C</v>
          </cell>
          <cell r="D1557" t="str">
            <v>1C</v>
          </cell>
          <cell r="E1557" t="str">
            <v>IBEWOUT</v>
          </cell>
          <cell r="F1557" t="str">
            <v>1245</v>
          </cell>
          <cell r="G1557" t="str">
            <v>7</v>
          </cell>
          <cell r="H1557">
            <v>0</v>
          </cell>
        </row>
        <row r="1558">
          <cell r="B1558">
            <v>10210</v>
          </cell>
          <cell r="C1558" t="str">
            <v>Villarreal; Gil</v>
          </cell>
          <cell r="D1558" t="str">
            <v>1</v>
          </cell>
          <cell r="E1558" t="str">
            <v>IBEWOUT</v>
          </cell>
          <cell r="F1558" t="str">
            <v>1245</v>
          </cell>
          <cell r="G1558" t="str">
            <v>17</v>
          </cell>
          <cell r="H1558">
            <v>0</v>
          </cell>
        </row>
        <row r="1559">
          <cell r="B1559">
            <v>10212</v>
          </cell>
          <cell r="C1559" t="str">
            <v>Villa Jr.; Arturo</v>
          </cell>
          <cell r="D1559" t="str">
            <v>1C</v>
          </cell>
          <cell r="E1559" t="str">
            <v>IBEWOUT</v>
          </cell>
          <cell r="F1559" t="str">
            <v>1245</v>
          </cell>
          <cell r="G1559" t="str">
            <v>15</v>
          </cell>
          <cell r="H1559">
            <v>0</v>
          </cell>
        </row>
        <row r="1560">
          <cell r="B1560">
            <v>10216</v>
          </cell>
          <cell r="C1560" t="str">
            <v>Volesky; Dakota R</v>
          </cell>
          <cell r="D1560" t="str">
            <v>1</v>
          </cell>
          <cell r="E1560" t="str">
            <v/>
          </cell>
          <cell r="F1560" t="str">
            <v/>
          </cell>
          <cell r="G1560" t="str">
            <v/>
          </cell>
          <cell r="H1560">
            <v>0</v>
          </cell>
        </row>
        <row r="1561">
          <cell r="B1561">
            <v>10231</v>
          </cell>
          <cell r="C1561" t="str">
            <v>Wager; Brett L.</v>
          </cell>
          <cell r="D1561" t="str">
            <v>1C</v>
          </cell>
          <cell r="E1561" t="str">
            <v>IBEWOUT</v>
          </cell>
          <cell r="F1561" t="str">
            <v>611</v>
          </cell>
          <cell r="G1561" t="str">
            <v>9</v>
          </cell>
          <cell r="H1561">
            <v>0</v>
          </cell>
        </row>
        <row r="1562">
          <cell r="B1562">
            <v>10252</v>
          </cell>
          <cell r="C1562" t="str">
            <v>Waite; Ronald Eric</v>
          </cell>
          <cell r="D1562" t="str">
            <v>1C</v>
          </cell>
          <cell r="E1562" t="str">
            <v/>
          </cell>
          <cell r="F1562" t="str">
            <v/>
          </cell>
          <cell r="G1562" t="str">
            <v/>
          </cell>
          <cell r="H1562">
            <v>1</v>
          </cell>
        </row>
        <row r="1563">
          <cell r="B1563">
            <v>10253</v>
          </cell>
          <cell r="C1563" t="str">
            <v>Wakefield; Josiah T</v>
          </cell>
          <cell r="D1563" t="str">
            <v>1C</v>
          </cell>
          <cell r="E1563" t="str">
            <v/>
          </cell>
          <cell r="F1563" t="str">
            <v/>
          </cell>
          <cell r="G1563" t="str">
            <v/>
          </cell>
          <cell r="H1563">
            <v>1</v>
          </cell>
        </row>
        <row r="1564">
          <cell r="B1564">
            <v>10257</v>
          </cell>
          <cell r="C1564" t="str">
            <v>Wakeland; Alex R</v>
          </cell>
          <cell r="D1564" t="str">
            <v>1C</v>
          </cell>
          <cell r="E1564" t="str">
            <v>IBEWOUT</v>
          </cell>
          <cell r="F1564" t="str">
            <v>602R</v>
          </cell>
          <cell r="G1564" t="str">
            <v>8</v>
          </cell>
          <cell r="H1564">
            <v>0</v>
          </cell>
        </row>
        <row r="1565">
          <cell r="B1565">
            <v>10273</v>
          </cell>
          <cell r="C1565" t="str">
            <v>Walker; Matthew R.</v>
          </cell>
          <cell r="D1565" t="str">
            <v>1C</v>
          </cell>
          <cell r="E1565" t="str">
            <v>IBEWOUT</v>
          </cell>
          <cell r="F1565" t="str">
            <v>1245</v>
          </cell>
          <cell r="G1565" t="str">
            <v>8</v>
          </cell>
          <cell r="H1565">
            <v>0</v>
          </cell>
        </row>
        <row r="1566">
          <cell r="B1566">
            <v>10275</v>
          </cell>
          <cell r="C1566" t="str">
            <v>Walker; Danny L</v>
          </cell>
          <cell r="D1566" t="str">
            <v>1C</v>
          </cell>
          <cell r="E1566" t="str">
            <v>IBEWOUT</v>
          </cell>
          <cell r="F1566" t="str">
            <v>47</v>
          </cell>
          <cell r="G1566" t="str">
            <v>17</v>
          </cell>
          <cell r="H1566">
            <v>0</v>
          </cell>
        </row>
        <row r="1567">
          <cell r="B1567">
            <v>10276</v>
          </cell>
          <cell r="C1567" t="str">
            <v>Walker; Damon V</v>
          </cell>
          <cell r="D1567" t="str">
            <v>1C</v>
          </cell>
          <cell r="E1567" t="str">
            <v>IBEWOUT</v>
          </cell>
          <cell r="F1567" t="str">
            <v>1245</v>
          </cell>
          <cell r="G1567" t="str">
            <v>8</v>
          </cell>
          <cell r="H1567">
            <v>0</v>
          </cell>
        </row>
        <row r="1568">
          <cell r="B1568">
            <v>10279</v>
          </cell>
          <cell r="C1568" t="str">
            <v>Walker; Stephanie G.</v>
          </cell>
          <cell r="D1568" t="str">
            <v>1</v>
          </cell>
          <cell r="E1568" t="str">
            <v/>
          </cell>
          <cell r="F1568" t="str">
            <v/>
          </cell>
          <cell r="G1568" t="str">
            <v/>
          </cell>
          <cell r="H1568">
            <v>1</v>
          </cell>
        </row>
        <row r="1569">
          <cell r="B1569">
            <v>10289</v>
          </cell>
          <cell r="C1569" t="str">
            <v>Wallace; Benjamin D.</v>
          </cell>
          <cell r="D1569" t="str">
            <v>1C</v>
          </cell>
          <cell r="E1569" t="str">
            <v>IBEWOUT</v>
          </cell>
          <cell r="F1569" t="str">
            <v>47</v>
          </cell>
          <cell r="G1569" t="str">
            <v>8</v>
          </cell>
          <cell r="H1569">
            <v>0</v>
          </cell>
        </row>
        <row r="1570">
          <cell r="B1570">
            <v>10291</v>
          </cell>
          <cell r="C1570" t="str">
            <v>Walter; Ryan A.</v>
          </cell>
          <cell r="D1570" t="str">
            <v>1C</v>
          </cell>
          <cell r="E1570" t="str">
            <v>IBEWOUT</v>
          </cell>
          <cell r="F1570" t="str">
            <v>1245</v>
          </cell>
          <cell r="G1570" t="str">
            <v>8</v>
          </cell>
          <cell r="H1570">
            <v>0</v>
          </cell>
        </row>
        <row r="1571">
          <cell r="B1571">
            <v>10305</v>
          </cell>
          <cell r="C1571" t="str">
            <v>Wallace; Scott A.</v>
          </cell>
          <cell r="D1571" t="str">
            <v>1C</v>
          </cell>
          <cell r="E1571" t="str">
            <v>IBEWOUT</v>
          </cell>
          <cell r="F1571" t="str">
            <v>769</v>
          </cell>
          <cell r="G1571" t="str">
            <v>11</v>
          </cell>
          <cell r="H1571">
            <v>0</v>
          </cell>
        </row>
        <row r="1572">
          <cell r="B1572">
            <v>10432</v>
          </cell>
          <cell r="C1572" t="str">
            <v>Ward; Barry E</v>
          </cell>
          <cell r="D1572" t="str">
            <v>1C</v>
          </cell>
          <cell r="E1572" t="str">
            <v>IBEWOUT</v>
          </cell>
          <cell r="F1572" t="str">
            <v>1245</v>
          </cell>
          <cell r="G1572" t="str">
            <v>8</v>
          </cell>
          <cell r="H1572">
            <v>0</v>
          </cell>
        </row>
        <row r="1573">
          <cell r="B1573">
            <v>10437</v>
          </cell>
          <cell r="C1573" t="str">
            <v>Warner; Dusty D</v>
          </cell>
          <cell r="D1573" t="str">
            <v>1</v>
          </cell>
          <cell r="E1573" t="str">
            <v>IBEWOUT</v>
          </cell>
          <cell r="F1573" t="str">
            <v>125</v>
          </cell>
          <cell r="G1573" t="str">
            <v>33</v>
          </cell>
          <cell r="H1573">
            <v>0</v>
          </cell>
        </row>
        <row r="1574">
          <cell r="B1574">
            <v>10439</v>
          </cell>
          <cell r="C1574" t="str">
            <v>Washington; Donell</v>
          </cell>
          <cell r="D1574" t="str">
            <v>1C</v>
          </cell>
          <cell r="E1574" t="str">
            <v>IBEWOUT</v>
          </cell>
          <cell r="F1574" t="str">
            <v>396</v>
          </cell>
          <cell r="G1574" t="str">
            <v>33</v>
          </cell>
          <cell r="H1574">
            <v>0</v>
          </cell>
        </row>
        <row r="1575">
          <cell r="B1575">
            <v>10440</v>
          </cell>
          <cell r="C1575" t="str">
            <v>Wasdin; Jimmy L</v>
          </cell>
          <cell r="D1575" t="str">
            <v>1C</v>
          </cell>
          <cell r="E1575" t="str">
            <v>IBEWOUT</v>
          </cell>
          <cell r="F1575" t="str">
            <v>1245</v>
          </cell>
          <cell r="G1575" t="str">
            <v>8</v>
          </cell>
          <cell r="H1575">
            <v>0</v>
          </cell>
        </row>
        <row r="1576">
          <cell r="B1576">
            <v>10442</v>
          </cell>
          <cell r="C1576" t="str">
            <v>Ward; Edward A</v>
          </cell>
          <cell r="D1576" t="str">
            <v>1</v>
          </cell>
          <cell r="E1576" t="str">
            <v>IBEWOUT</v>
          </cell>
          <cell r="F1576" t="str">
            <v>1245</v>
          </cell>
          <cell r="G1576" t="str">
            <v>8</v>
          </cell>
          <cell r="H1576">
            <v>0</v>
          </cell>
        </row>
        <row r="1577">
          <cell r="B1577">
            <v>10445</v>
          </cell>
          <cell r="C1577" t="str">
            <v>Watkins; Garrett L</v>
          </cell>
          <cell r="D1577" t="str">
            <v>1C</v>
          </cell>
          <cell r="E1577" t="str">
            <v>IBEWOUT</v>
          </cell>
          <cell r="F1577" t="str">
            <v>126</v>
          </cell>
          <cell r="G1577" t="str">
            <v>16</v>
          </cell>
          <cell r="H1577">
            <v>0</v>
          </cell>
        </row>
        <row r="1578">
          <cell r="B1578">
            <v>10449</v>
          </cell>
          <cell r="C1578" t="str">
            <v>Watkins; Gary L</v>
          </cell>
          <cell r="D1578" t="str">
            <v>1C</v>
          </cell>
          <cell r="E1578" t="str">
            <v>IBEWOUT</v>
          </cell>
          <cell r="F1578" t="str">
            <v>126</v>
          </cell>
          <cell r="G1578" t="str">
            <v>8</v>
          </cell>
          <cell r="H1578">
            <v>0</v>
          </cell>
        </row>
        <row r="1579">
          <cell r="B1579">
            <v>10453</v>
          </cell>
          <cell r="C1579" t="str">
            <v>Watson; Frederic M.</v>
          </cell>
          <cell r="D1579" t="str">
            <v>1C</v>
          </cell>
          <cell r="E1579" t="str">
            <v>IBEWIN</v>
          </cell>
          <cell r="F1579" t="str">
            <v>714</v>
          </cell>
          <cell r="G1579" t="str">
            <v>8I</v>
          </cell>
          <cell r="H1579">
            <v>0</v>
          </cell>
        </row>
        <row r="1580">
          <cell r="B1580">
            <v>10455</v>
          </cell>
          <cell r="C1580" t="str">
            <v>Watkins; Jonathan D</v>
          </cell>
          <cell r="D1580" t="str">
            <v>1</v>
          </cell>
          <cell r="E1580" t="str">
            <v>IBEWOUT</v>
          </cell>
          <cell r="F1580" t="str">
            <v>47</v>
          </cell>
          <cell r="G1580" t="str">
            <v>17</v>
          </cell>
          <cell r="H1580">
            <v>0</v>
          </cell>
        </row>
        <row r="1581">
          <cell r="B1581">
            <v>10457</v>
          </cell>
          <cell r="C1581" t="str">
            <v>Wayne; Cory M</v>
          </cell>
          <cell r="D1581" t="str">
            <v>1</v>
          </cell>
          <cell r="E1581" t="str">
            <v>IBEWOUT</v>
          </cell>
          <cell r="F1581" t="str">
            <v>77</v>
          </cell>
          <cell r="G1581" t="str">
            <v>15</v>
          </cell>
          <cell r="H1581">
            <v>0</v>
          </cell>
        </row>
        <row r="1582">
          <cell r="B1582">
            <v>10546</v>
          </cell>
          <cell r="C1582" t="str">
            <v>Torres Cervantes; Federico</v>
          </cell>
          <cell r="D1582" t="str">
            <v>1</v>
          </cell>
          <cell r="E1582" t="str">
            <v/>
          </cell>
          <cell r="F1582" t="str">
            <v/>
          </cell>
          <cell r="G1582" t="str">
            <v/>
          </cell>
          <cell r="H1582">
            <v>0</v>
          </cell>
        </row>
        <row r="1583">
          <cell r="B1583">
            <v>10549</v>
          </cell>
          <cell r="C1583" t="str">
            <v>Werner; Allen</v>
          </cell>
          <cell r="D1583" t="str">
            <v>1C</v>
          </cell>
          <cell r="E1583" t="str">
            <v>IBEWOUT</v>
          </cell>
          <cell r="F1583" t="str">
            <v>1245</v>
          </cell>
          <cell r="G1583" t="str">
            <v>60</v>
          </cell>
          <cell r="H1583">
            <v>0</v>
          </cell>
        </row>
        <row r="1584">
          <cell r="B1584">
            <v>10550</v>
          </cell>
          <cell r="C1584" t="str">
            <v>Weathers; Kenneth Wilford</v>
          </cell>
          <cell r="D1584" t="str">
            <v>1</v>
          </cell>
          <cell r="E1584" t="str">
            <v/>
          </cell>
          <cell r="F1584" t="str">
            <v/>
          </cell>
          <cell r="G1584" t="str">
            <v/>
          </cell>
          <cell r="H1584">
            <v>1</v>
          </cell>
        </row>
        <row r="1585">
          <cell r="B1585">
            <v>10552</v>
          </cell>
          <cell r="C1585" t="str">
            <v>Weaver; Emmett Lynn</v>
          </cell>
          <cell r="D1585" t="str">
            <v>1</v>
          </cell>
          <cell r="E1585" t="str">
            <v>IBEWOUT</v>
          </cell>
          <cell r="F1585" t="str">
            <v>125</v>
          </cell>
          <cell r="G1585" t="str">
            <v>33</v>
          </cell>
          <cell r="H1585">
            <v>0</v>
          </cell>
        </row>
        <row r="1586">
          <cell r="B1586">
            <v>10556</v>
          </cell>
          <cell r="C1586" t="str">
            <v>Weaver; Benjamin P.</v>
          </cell>
          <cell r="D1586" t="str">
            <v>1C</v>
          </cell>
          <cell r="E1586" t="str">
            <v>IBEWOUT</v>
          </cell>
          <cell r="F1586" t="str">
            <v>1319</v>
          </cell>
          <cell r="G1586" t="str">
            <v>8</v>
          </cell>
          <cell r="H1586">
            <v>0</v>
          </cell>
        </row>
        <row r="1587">
          <cell r="B1587">
            <v>10557</v>
          </cell>
          <cell r="C1587" t="str">
            <v>Weber; Jeremy Louis</v>
          </cell>
          <cell r="D1587" t="str">
            <v>1C</v>
          </cell>
          <cell r="E1587" t="str">
            <v>IBEWOUT</v>
          </cell>
          <cell r="F1587" t="str">
            <v>77</v>
          </cell>
          <cell r="G1587" t="str">
            <v>7</v>
          </cell>
          <cell r="H1587">
            <v>0</v>
          </cell>
        </row>
        <row r="1588">
          <cell r="B1588">
            <v>10558</v>
          </cell>
          <cell r="C1588" t="str">
            <v>Webber; Cody C</v>
          </cell>
          <cell r="D1588" t="str">
            <v>1C</v>
          </cell>
          <cell r="E1588" t="str">
            <v>IBEWOUT</v>
          </cell>
          <cell r="F1588" t="str">
            <v>1245</v>
          </cell>
          <cell r="G1588" t="str">
            <v>8</v>
          </cell>
          <cell r="H1588">
            <v>0</v>
          </cell>
        </row>
        <row r="1589">
          <cell r="B1589">
            <v>10559</v>
          </cell>
          <cell r="C1589" t="str">
            <v>Weekes; Bruce S</v>
          </cell>
          <cell r="D1589" t="str">
            <v>1C</v>
          </cell>
          <cell r="E1589" t="str">
            <v>IBEWOUT</v>
          </cell>
          <cell r="F1589" t="str">
            <v>1245</v>
          </cell>
          <cell r="G1589" t="str">
            <v>8</v>
          </cell>
          <cell r="H1589">
            <v>0</v>
          </cell>
        </row>
        <row r="1590">
          <cell r="B1590">
            <v>10560</v>
          </cell>
          <cell r="C1590" t="str">
            <v>Weber; Austin J</v>
          </cell>
          <cell r="D1590" t="str">
            <v>1C</v>
          </cell>
          <cell r="E1590" t="str">
            <v>IBEWOUT</v>
          </cell>
          <cell r="F1590" t="str">
            <v>77</v>
          </cell>
          <cell r="G1590" t="str">
            <v>9</v>
          </cell>
          <cell r="H1590">
            <v>0</v>
          </cell>
        </row>
        <row r="1591">
          <cell r="B1591">
            <v>10563</v>
          </cell>
          <cell r="C1591" t="str">
            <v>Webb; Jeffrey A</v>
          </cell>
          <cell r="D1591" t="str">
            <v>1</v>
          </cell>
          <cell r="E1591" t="str">
            <v>IBEWOUT</v>
          </cell>
          <cell r="F1591" t="str">
            <v>1245</v>
          </cell>
          <cell r="G1591" t="str">
            <v>8</v>
          </cell>
          <cell r="H1591">
            <v>0</v>
          </cell>
        </row>
        <row r="1592">
          <cell r="B1592">
            <v>10564</v>
          </cell>
          <cell r="C1592" t="str">
            <v>Webb; Richard R.</v>
          </cell>
          <cell r="D1592" t="str">
            <v>1</v>
          </cell>
          <cell r="E1592" t="str">
            <v>IBEWOUT</v>
          </cell>
          <cell r="F1592" t="str">
            <v>1245</v>
          </cell>
          <cell r="G1592" t="str">
            <v>8</v>
          </cell>
          <cell r="H1592">
            <v>0</v>
          </cell>
        </row>
        <row r="1593">
          <cell r="B1593">
            <v>10565</v>
          </cell>
          <cell r="C1593" t="str">
            <v>Weatherford; Joel B</v>
          </cell>
          <cell r="D1593" t="str">
            <v>1</v>
          </cell>
          <cell r="E1593" t="str">
            <v>IBEWOUT</v>
          </cell>
          <cell r="F1593" t="str">
            <v>1245</v>
          </cell>
          <cell r="G1593" t="str">
            <v>7</v>
          </cell>
          <cell r="H1593">
            <v>0</v>
          </cell>
        </row>
        <row r="1594">
          <cell r="B1594">
            <v>10579</v>
          </cell>
          <cell r="C1594" t="str">
            <v>Welsh; Darren W</v>
          </cell>
          <cell r="D1594" t="str">
            <v>1</v>
          </cell>
          <cell r="E1594" t="str">
            <v>IBEWOUT</v>
          </cell>
          <cell r="F1594" t="str">
            <v>769</v>
          </cell>
          <cell r="G1594" t="str">
            <v>11</v>
          </cell>
          <cell r="H1594">
            <v>0</v>
          </cell>
        </row>
        <row r="1595">
          <cell r="B1595">
            <v>10580</v>
          </cell>
          <cell r="C1595" t="str">
            <v>Wells; Chris A.</v>
          </cell>
          <cell r="D1595" t="str">
            <v>1C</v>
          </cell>
          <cell r="E1595" t="str">
            <v>IBEWOUT</v>
          </cell>
          <cell r="F1595" t="str">
            <v>769</v>
          </cell>
          <cell r="G1595" t="str">
            <v>20</v>
          </cell>
          <cell r="H1595">
            <v>0</v>
          </cell>
        </row>
        <row r="1596">
          <cell r="B1596">
            <v>10581</v>
          </cell>
          <cell r="C1596" t="str">
            <v>Wells; Robert O</v>
          </cell>
          <cell r="D1596" t="str">
            <v>1C</v>
          </cell>
          <cell r="E1596" t="str">
            <v>IBEWOUT</v>
          </cell>
          <cell r="F1596" t="str">
            <v>602R</v>
          </cell>
          <cell r="G1596" t="str">
            <v>8</v>
          </cell>
          <cell r="H1596">
            <v>0</v>
          </cell>
        </row>
        <row r="1597">
          <cell r="B1597">
            <v>10582</v>
          </cell>
          <cell r="C1597" t="str">
            <v>West; Matthew R</v>
          </cell>
          <cell r="D1597" t="str">
            <v>1</v>
          </cell>
          <cell r="E1597" t="str">
            <v>IBEWOUT</v>
          </cell>
          <cell r="F1597" t="str">
            <v>77</v>
          </cell>
          <cell r="G1597" t="str">
            <v>14</v>
          </cell>
          <cell r="H1597">
            <v>0</v>
          </cell>
        </row>
        <row r="1598">
          <cell r="B1598">
            <v>10586</v>
          </cell>
          <cell r="C1598" t="str">
            <v>Welch; David A</v>
          </cell>
          <cell r="D1598" t="str">
            <v>1</v>
          </cell>
          <cell r="E1598" t="str">
            <v>IBEWOUT</v>
          </cell>
          <cell r="F1598" t="str">
            <v>1245</v>
          </cell>
          <cell r="G1598" t="str">
            <v>9</v>
          </cell>
          <cell r="H1598">
            <v>0</v>
          </cell>
        </row>
        <row r="1599">
          <cell r="B1599">
            <v>10587</v>
          </cell>
          <cell r="C1599" t="str">
            <v>Wendt; Matthew S</v>
          </cell>
          <cell r="D1599" t="str">
            <v>1C</v>
          </cell>
          <cell r="E1599" t="str">
            <v>IBEWOUT</v>
          </cell>
          <cell r="F1599" t="str">
            <v>47</v>
          </cell>
          <cell r="G1599" t="str">
            <v>7</v>
          </cell>
          <cell r="H1599">
            <v>0</v>
          </cell>
        </row>
        <row r="1600">
          <cell r="B1600">
            <v>10594</v>
          </cell>
          <cell r="C1600" t="str">
            <v>Weldon; Brett A</v>
          </cell>
          <cell r="D1600" t="str">
            <v>1</v>
          </cell>
          <cell r="E1600" t="str">
            <v>IBEWOUT</v>
          </cell>
          <cell r="F1600" t="str">
            <v>125</v>
          </cell>
          <cell r="G1600" t="str">
            <v>8</v>
          </cell>
          <cell r="H1600">
            <v>0</v>
          </cell>
        </row>
        <row r="1601">
          <cell r="B1601">
            <v>10595</v>
          </cell>
          <cell r="C1601" t="str">
            <v>Weideman; Michael R</v>
          </cell>
          <cell r="D1601" t="str">
            <v>1C</v>
          </cell>
          <cell r="E1601" t="str">
            <v>IBEWOUT</v>
          </cell>
          <cell r="F1601" t="str">
            <v>1245</v>
          </cell>
          <cell r="G1601" t="str">
            <v>8</v>
          </cell>
          <cell r="H1601">
            <v>0</v>
          </cell>
        </row>
        <row r="1602">
          <cell r="B1602">
            <v>10597</v>
          </cell>
          <cell r="C1602" t="str">
            <v>West; Rueben James</v>
          </cell>
          <cell r="D1602" t="str">
            <v>1</v>
          </cell>
          <cell r="E1602" t="str">
            <v>IBEWOUT</v>
          </cell>
          <cell r="F1602" t="str">
            <v>70</v>
          </cell>
          <cell r="G1602" t="str">
            <v>7</v>
          </cell>
          <cell r="H1602">
            <v>0</v>
          </cell>
        </row>
        <row r="1603">
          <cell r="B1603">
            <v>10599</v>
          </cell>
          <cell r="C1603" t="str">
            <v>Welcher; Scott A</v>
          </cell>
          <cell r="D1603" t="str">
            <v>1</v>
          </cell>
          <cell r="E1603" t="str">
            <v/>
          </cell>
          <cell r="F1603" t="str">
            <v/>
          </cell>
          <cell r="G1603" t="str">
            <v/>
          </cell>
          <cell r="H1603">
            <v>0</v>
          </cell>
        </row>
        <row r="1604">
          <cell r="B1604">
            <v>10603</v>
          </cell>
          <cell r="C1604" t="str">
            <v>Westmoreland; Blake K</v>
          </cell>
          <cell r="D1604" t="str">
            <v>1</v>
          </cell>
          <cell r="E1604" t="str">
            <v>IBEWOUT</v>
          </cell>
          <cell r="F1604" t="str">
            <v>1245</v>
          </cell>
          <cell r="G1604" t="str">
            <v>8</v>
          </cell>
          <cell r="H1604">
            <v>0</v>
          </cell>
        </row>
        <row r="1605">
          <cell r="B1605">
            <v>10630</v>
          </cell>
          <cell r="C1605" t="str">
            <v>White; Jamail</v>
          </cell>
          <cell r="D1605" t="str">
            <v>1C</v>
          </cell>
          <cell r="E1605" t="str">
            <v>IBEWOUT</v>
          </cell>
          <cell r="F1605" t="str">
            <v>47</v>
          </cell>
          <cell r="G1605" t="str">
            <v>8</v>
          </cell>
          <cell r="H1605">
            <v>0</v>
          </cell>
        </row>
        <row r="1606">
          <cell r="B1606">
            <v>10642</v>
          </cell>
          <cell r="C1606" t="str">
            <v>Wheeler; Shane M</v>
          </cell>
          <cell r="D1606" t="str">
            <v>1C</v>
          </cell>
          <cell r="E1606" t="str">
            <v>IBEWOUT</v>
          </cell>
          <cell r="F1606" t="str">
            <v>77</v>
          </cell>
          <cell r="G1606" t="str">
            <v>16</v>
          </cell>
          <cell r="H1606">
            <v>0</v>
          </cell>
        </row>
        <row r="1607">
          <cell r="B1607">
            <v>10647</v>
          </cell>
          <cell r="C1607" t="str">
            <v>Whitaker; Justin W</v>
          </cell>
          <cell r="D1607" t="str">
            <v>1C</v>
          </cell>
          <cell r="E1607" t="str">
            <v>IBEWOUT</v>
          </cell>
          <cell r="F1607" t="str">
            <v>47</v>
          </cell>
          <cell r="G1607" t="str">
            <v>8</v>
          </cell>
          <cell r="H1607">
            <v>0</v>
          </cell>
        </row>
        <row r="1608">
          <cell r="B1608">
            <v>10648</v>
          </cell>
          <cell r="C1608" t="str">
            <v>Whitcomb; Shawn M</v>
          </cell>
          <cell r="D1608" t="str">
            <v>1C</v>
          </cell>
          <cell r="E1608" t="str">
            <v>IBEWOUT</v>
          </cell>
          <cell r="F1608" t="str">
            <v>396</v>
          </cell>
          <cell r="G1608" t="str">
            <v>8</v>
          </cell>
          <cell r="H1608">
            <v>0</v>
          </cell>
        </row>
        <row r="1609">
          <cell r="B1609">
            <v>10652</v>
          </cell>
          <cell r="C1609" t="str">
            <v>Whitney; Jason K</v>
          </cell>
          <cell r="D1609" t="str">
            <v>1C</v>
          </cell>
          <cell r="E1609" t="str">
            <v>IBEWOUT</v>
          </cell>
          <cell r="F1609" t="str">
            <v>1245</v>
          </cell>
          <cell r="G1609" t="str">
            <v>7</v>
          </cell>
          <cell r="H1609">
            <v>0</v>
          </cell>
        </row>
        <row r="1610">
          <cell r="B1610">
            <v>10653</v>
          </cell>
          <cell r="C1610" t="str">
            <v>White; Anthony S</v>
          </cell>
          <cell r="D1610" t="str">
            <v>1C</v>
          </cell>
          <cell r="E1610" t="str">
            <v>IBEWOUT</v>
          </cell>
          <cell r="F1610" t="str">
            <v>47</v>
          </cell>
          <cell r="G1610" t="str">
            <v>8</v>
          </cell>
          <cell r="H1610">
            <v>0</v>
          </cell>
        </row>
        <row r="1611">
          <cell r="B1611">
            <v>10665</v>
          </cell>
          <cell r="C1611" t="str">
            <v>Whiting; Kenneth E.</v>
          </cell>
          <cell r="D1611" t="str">
            <v>1C</v>
          </cell>
          <cell r="E1611" t="str">
            <v>IBEWOUT</v>
          </cell>
          <cell r="F1611" t="str">
            <v>47</v>
          </cell>
          <cell r="G1611" t="str">
            <v>8</v>
          </cell>
          <cell r="H1611">
            <v>0</v>
          </cell>
        </row>
        <row r="1612">
          <cell r="B1612">
            <v>10672</v>
          </cell>
          <cell r="C1612" t="str">
            <v>Wickman; David S.</v>
          </cell>
          <cell r="D1612" t="str">
            <v>1C</v>
          </cell>
          <cell r="E1612" t="str">
            <v>IBEWOUT</v>
          </cell>
          <cell r="F1612" t="str">
            <v>125</v>
          </cell>
          <cell r="G1612" t="str">
            <v>14</v>
          </cell>
          <cell r="H1612">
            <v>0</v>
          </cell>
        </row>
        <row r="1613">
          <cell r="B1613">
            <v>10679</v>
          </cell>
          <cell r="C1613" t="str">
            <v>Wilburn; Sean D.</v>
          </cell>
          <cell r="D1613" t="str">
            <v>1C</v>
          </cell>
          <cell r="E1613" t="str">
            <v>IBEWOUT</v>
          </cell>
          <cell r="F1613" t="str">
            <v>1245</v>
          </cell>
          <cell r="G1613" t="str">
            <v>8</v>
          </cell>
          <cell r="H1613">
            <v>0</v>
          </cell>
        </row>
        <row r="1614">
          <cell r="B1614">
            <v>10687</v>
          </cell>
          <cell r="C1614" t="str">
            <v>Wilcox; Freddy H.</v>
          </cell>
          <cell r="D1614" t="str">
            <v>1C</v>
          </cell>
          <cell r="E1614" t="str">
            <v>IBEWOUT</v>
          </cell>
          <cell r="F1614" t="str">
            <v>125</v>
          </cell>
          <cell r="G1614" t="str">
            <v>15</v>
          </cell>
          <cell r="H1614">
            <v>0</v>
          </cell>
        </row>
        <row r="1615">
          <cell r="B1615">
            <v>10723</v>
          </cell>
          <cell r="C1615" t="str">
            <v>Wilkinson; Cody M</v>
          </cell>
          <cell r="D1615" t="str">
            <v>1C</v>
          </cell>
          <cell r="E1615" t="str">
            <v>IBEWOUT</v>
          </cell>
          <cell r="F1615" t="str">
            <v>1245</v>
          </cell>
          <cell r="G1615" t="str">
            <v>8</v>
          </cell>
          <cell r="H1615">
            <v>0</v>
          </cell>
        </row>
        <row r="1616">
          <cell r="B1616">
            <v>10730</v>
          </cell>
          <cell r="C1616" t="str">
            <v>Worlinsky; Benjamin C.</v>
          </cell>
          <cell r="D1616" t="str">
            <v>1C</v>
          </cell>
          <cell r="E1616" t="str">
            <v>IBEWOUT</v>
          </cell>
          <cell r="F1616" t="str">
            <v>1319</v>
          </cell>
          <cell r="G1616" t="str">
            <v>13</v>
          </cell>
          <cell r="H1616">
            <v>0</v>
          </cell>
        </row>
        <row r="1617">
          <cell r="B1617">
            <v>10747</v>
          </cell>
          <cell r="C1617" t="str">
            <v>Williams; Anthony J</v>
          </cell>
          <cell r="D1617" t="str">
            <v>1C</v>
          </cell>
          <cell r="E1617" t="str">
            <v>IBEWOUT</v>
          </cell>
          <cell r="F1617" t="str">
            <v>1245</v>
          </cell>
          <cell r="G1617" t="str">
            <v>8</v>
          </cell>
          <cell r="H1617">
            <v>0</v>
          </cell>
        </row>
        <row r="1618">
          <cell r="B1618">
            <v>10749</v>
          </cell>
          <cell r="C1618" t="str">
            <v>Williams II; Orville C.</v>
          </cell>
          <cell r="D1618" t="str">
            <v>1C</v>
          </cell>
          <cell r="E1618" t="str">
            <v>IBEWOUT</v>
          </cell>
          <cell r="F1618" t="str">
            <v>769</v>
          </cell>
          <cell r="G1618" t="str">
            <v>20</v>
          </cell>
          <cell r="H1618">
            <v>0</v>
          </cell>
        </row>
        <row r="1619">
          <cell r="B1619">
            <v>10750</v>
          </cell>
          <cell r="C1619" t="str">
            <v>Williams; Harley L.</v>
          </cell>
          <cell r="D1619" t="str">
            <v>1C</v>
          </cell>
          <cell r="E1619" t="str">
            <v>IBEWOUT</v>
          </cell>
          <cell r="F1619" t="str">
            <v>769</v>
          </cell>
          <cell r="G1619" t="str">
            <v>33</v>
          </cell>
          <cell r="H1619">
            <v>1</v>
          </cell>
        </row>
        <row r="1620">
          <cell r="B1620">
            <v>10754</v>
          </cell>
          <cell r="C1620" t="str">
            <v>Williams; Benjamin J</v>
          </cell>
          <cell r="D1620" t="str">
            <v>1C</v>
          </cell>
          <cell r="E1620" t="str">
            <v>IBEWOUT</v>
          </cell>
          <cell r="F1620" t="str">
            <v>47</v>
          </cell>
          <cell r="G1620" t="str">
            <v>8</v>
          </cell>
          <cell r="H1620">
            <v>0</v>
          </cell>
        </row>
        <row r="1621">
          <cell r="B1621">
            <v>10756</v>
          </cell>
          <cell r="C1621" t="str">
            <v>Williams; Michael Lavell</v>
          </cell>
          <cell r="D1621" t="str">
            <v>1C</v>
          </cell>
          <cell r="E1621" t="str">
            <v>IBEWOUT</v>
          </cell>
          <cell r="F1621" t="str">
            <v>396</v>
          </cell>
          <cell r="G1621" t="str">
            <v>18</v>
          </cell>
          <cell r="H1621">
            <v>0</v>
          </cell>
        </row>
        <row r="1622">
          <cell r="B1622">
            <v>10763</v>
          </cell>
          <cell r="C1622" t="str">
            <v>Williams; Rodney L.</v>
          </cell>
          <cell r="D1622" t="str">
            <v>1</v>
          </cell>
          <cell r="E1622" t="str">
            <v>IBEWOUT</v>
          </cell>
          <cell r="F1622" t="str">
            <v>125</v>
          </cell>
          <cell r="G1622" t="str">
            <v>7</v>
          </cell>
          <cell r="H1622">
            <v>0</v>
          </cell>
        </row>
        <row r="1623">
          <cell r="B1623">
            <v>10766</v>
          </cell>
          <cell r="C1623" t="str">
            <v>Williams; Robbie A</v>
          </cell>
          <cell r="D1623" t="str">
            <v>1C</v>
          </cell>
          <cell r="E1623" t="str">
            <v>IBEWOUT</v>
          </cell>
          <cell r="F1623" t="str">
            <v>1245</v>
          </cell>
          <cell r="G1623" t="str">
            <v>8</v>
          </cell>
          <cell r="H1623">
            <v>0</v>
          </cell>
        </row>
        <row r="1624">
          <cell r="B1624">
            <v>10767</v>
          </cell>
          <cell r="C1624" t="str">
            <v>Williams; Andy Ryan</v>
          </cell>
          <cell r="D1624" t="str">
            <v>1</v>
          </cell>
          <cell r="E1624" t="str">
            <v>IBEWOUT</v>
          </cell>
          <cell r="F1624" t="str">
            <v>769</v>
          </cell>
          <cell r="G1624" t="str">
            <v>7</v>
          </cell>
          <cell r="H1624">
            <v>0</v>
          </cell>
        </row>
        <row r="1625">
          <cell r="B1625">
            <v>10768</v>
          </cell>
          <cell r="C1625" t="str">
            <v>Woods; Kevin N</v>
          </cell>
          <cell r="D1625" t="str">
            <v>1C</v>
          </cell>
          <cell r="E1625" t="str">
            <v>IBEWOUT</v>
          </cell>
          <cell r="F1625" t="str">
            <v>1245</v>
          </cell>
          <cell r="G1625" t="str">
            <v>8</v>
          </cell>
          <cell r="H1625">
            <v>0</v>
          </cell>
        </row>
        <row r="1626">
          <cell r="B1626">
            <v>10771</v>
          </cell>
          <cell r="C1626" t="str">
            <v>Wood; Jansen M</v>
          </cell>
          <cell r="D1626" t="str">
            <v>1</v>
          </cell>
          <cell r="E1626" t="str">
            <v>IBEWOUT</v>
          </cell>
          <cell r="F1626" t="str">
            <v>70</v>
          </cell>
          <cell r="G1626" t="str">
            <v>17</v>
          </cell>
          <cell r="H1626">
            <v>0</v>
          </cell>
        </row>
        <row r="1627">
          <cell r="B1627">
            <v>10780</v>
          </cell>
          <cell r="C1627" t="str">
            <v>Williams Jr.; Rich W.</v>
          </cell>
          <cell r="D1627" t="str">
            <v>1C</v>
          </cell>
          <cell r="E1627" t="str">
            <v>IBEWOUT</v>
          </cell>
          <cell r="F1627" t="str">
            <v>125</v>
          </cell>
          <cell r="G1627" t="str">
            <v>1</v>
          </cell>
          <cell r="H1627">
            <v>1</v>
          </cell>
        </row>
        <row r="1628">
          <cell r="B1628">
            <v>10784</v>
          </cell>
          <cell r="C1628" t="str">
            <v>Wimberly; Bryan E</v>
          </cell>
          <cell r="D1628" t="str">
            <v>1C</v>
          </cell>
          <cell r="E1628" t="str">
            <v>IBEWOUT</v>
          </cell>
          <cell r="F1628" t="str">
            <v>47</v>
          </cell>
          <cell r="G1628" t="str">
            <v>17</v>
          </cell>
          <cell r="H1628">
            <v>0</v>
          </cell>
        </row>
        <row r="1629">
          <cell r="B1629">
            <v>10787</v>
          </cell>
          <cell r="C1629" t="str">
            <v>Winkler; Jessie E.</v>
          </cell>
          <cell r="D1629" t="str">
            <v>1C</v>
          </cell>
          <cell r="E1629" t="str">
            <v>IBEWOUT</v>
          </cell>
          <cell r="F1629" t="str">
            <v>1319</v>
          </cell>
          <cell r="G1629" t="str">
            <v>8</v>
          </cell>
          <cell r="H1629">
            <v>0</v>
          </cell>
        </row>
        <row r="1630">
          <cell r="B1630">
            <v>10789</v>
          </cell>
          <cell r="C1630" t="str">
            <v>Woods; Kyle E.</v>
          </cell>
          <cell r="D1630" t="str">
            <v>1C</v>
          </cell>
          <cell r="E1630" t="str">
            <v>IBEWOUT</v>
          </cell>
          <cell r="F1630" t="str">
            <v>1245</v>
          </cell>
          <cell r="G1630" t="str">
            <v>8</v>
          </cell>
          <cell r="H1630">
            <v>0</v>
          </cell>
        </row>
        <row r="1631">
          <cell r="B1631">
            <v>10792</v>
          </cell>
          <cell r="C1631" t="str">
            <v>Wilson; Hayward L</v>
          </cell>
          <cell r="D1631" t="str">
            <v>1</v>
          </cell>
          <cell r="E1631" t="str">
            <v/>
          </cell>
          <cell r="F1631" t="str">
            <v/>
          </cell>
          <cell r="G1631" t="str">
            <v/>
          </cell>
          <cell r="H1631">
            <v>0</v>
          </cell>
        </row>
        <row r="1632">
          <cell r="B1632">
            <v>10795</v>
          </cell>
          <cell r="C1632" t="str">
            <v>Wilmarth; Lewis Day</v>
          </cell>
          <cell r="D1632" t="str">
            <v>1C</v>
          </cell>
          <cell r="E1632" t="str">
            <v>IBEWOUT</v>
          </cell>
          <cell r="F1632" t="str">
            <v>47</v>
          </cell>
          <cell r="G1632" t="str">
            <v>16</v>
          </cell>
          <cell r="H1632">
            <v>0</v>
          </cell>
        </row>
        <row r="1633">
          <cell r="B1633">
            <v>10797</v>
          </cell>
          <cell r="C1633" t="str">
            <v>Wilson; Glenn M</v>
          </cell>
          <cell r="D1633" t="str">
            <v>1</v>
          </cell>
          <cell r="E1633" t="str">
            <v>IBEWOUT</v>
          </cell>
          <cell r="F1633" t="str">
            <v>47</v>
          </cell>
          <cell r="G1633" t="str">
            <v>16</v>
          </cell>
          <cell r="H1633">
            <v>0</v>
          </cell>
        </row>
        <row r="1634">
          <cell r="B1634">
            <v>10798</v>
          </cell>
          <cell r="C1634" t="str">
            <v>Winslow; Andy J</v>
          </cell>
          <cell r="D1634" t="str">
            <v>1C</v>
          </cell>
          <cell r="E1634" t="str">
            <v/>
          </cell>
          <cell r="F1634" t="str">
            <v/>
          </cell>
          <cell r="G1634" t="str">
            <v/>
          </cell>
          <cell r="H1634">
            <v>1</v>
          </cell>
        </row>
        <row r="1635">
          <cell r="B1635">
            <v>10799</v>
          </cell>
          <cell r="C1635" t="str">
            <v>Wilson; John D.</v>
          </cell>
          <cell r="D1635" t="str">
            <v>1C</v>
          </cell>
          <cell r="E1635" t="str">
            <v>IBEWOUT</v>
          </cell>
          <cell r="F1635" t="str">
            <v>47</v>
          </cell>
          <cell r="G1635" t="str">
            <v>7</v>
          </cell>
          <cell r="H1635">
            <v>0</v>
          </cell>
        </row>
        <row r="1636">
          <cell r="B1636">
            <v>10800</v>
          </cell>
          <cell r="C1636" t="str">
            <v>Wiseley II; Carl W.</v>
          </cell>
          <cell r="D1636" t="str">
            <v>1C</v>
          </cell>
          <cell r="E1636" t="str">
            <v>IBEWOUT</v>
          </cell>
          <cell r="F1636" t="str">
            <v>1245</v>
          </cell>
          <cell r="G1636" t="str">
            <v>8</v>
          </cell>
          <cell r="H1636">
            <v>0</v>
          </cell>
        </row>
        <row r="1637">
          <cell r="B1637">
            <v>10803</v>
          </cell>
          <cell r="C1637" t="str">
            <v>Wimer; Christopher R</v>
          </cell>
          <cell r="D1637" t="str">
            <v>1C</v>
          </cell>
          <cell r="E1637" t="str">
            <v>IBEWOUT</v>
          </cell>
          <cell r="F1637" t="str">
            <v>1245</v>
          </cell>
          <cell r="G1637" t="str">
            <v>11</v>
          </cell>
          <cell r="H1637">
            <v>0</v>
          </cell>
        </row>
        <row r="1638">
          <cell r="B1638">
            <v>10806</v>
          </cell>
          <cell r="C1638" t="str">
            <v>Wing; Chad E</v>
          </cell>
          <cell r="D1638" t="str">
            <v>1C</v>
          </cell>
          <cell r="E1638" t="str">
            <v>IBEWOUT</v>
          </cell>
          <cell r="F1638" t="str">
            <v>1245</v>
          </cell>
          <cell r="G1638" t="str">
            <v>12</v>
          </cell>
          <cell r="H1638">
            <v>0</v>
          </cell>
        </row>
        <row r="1639">
          <cell r="B1639">
            <v>10808</v>
          </cell>
          <cell r="C1639" t="str">
            <v>Wobbema; Austin R</v>
          </cell>
          <cell r="D1639" t="str">
            <v>1</v>
          </cell>
          <cell r="E1639" t="str">
            <v>IBEWOUT</v>
          </cell>
          <cell r="F1639" t="str">
            <v>70</v>
          </cell>
          <cell r="G1639" t="str">
            <v>7</v>
          </cell>
          <cell r="H1639">
            <v>0</v>
          </cell>
        </row>
        <row r="1640">
          <cell r="B1640">
            <v>10811</v>
          </cell>
          <cell r="C1640" t="str">
            <v>Wolford; Cabot L.</v>
          </cell>
          <cell r="D1640" t="str">
            <v>1</v>
          </cell>
          <cell r="E1640" t="str">
            <v/>
          </cell>
          <cell r="F1640" t="str">
            <v/>
          </cell>
          <cell r="G1640" t="str">
            <v/>
          </cell>
          <cell r="H1640">
            <v>1</v>
          </cell>
        </row>
        <row r="1641">
          <cell r="B1641">
            <v>10821</v>
          </cell>
          <cell r="C1641" t="str">
            <v>Wilson; Robby A</v>
          </cell>
          <cell r="D1641" t="str">
            <v>1</v>
          </cell>
          <cell r="E1641" t="str">
            <v>IBEWOUT</v>
          </cell>
          <cell r="F1641" t="str">
            <v>1245</v>
          </cell>
          <cell r="G1641" t="str">
            <v>7</v>
          </cell>
          <cell r="H1641">
            <v>0</v>
          </cell>
        </row>
        <row r="1642">
          <cell r="B1642">
            <v>10826</v>
          </cell>
          <cell r="C1642" t="str">
            <v>Wirth; Steve B</v>
          </cell>
          <cell r="D1642" t="str">
            <v>1</v>
          </cell>
          <cell r="E1642" t="str">
            <v>IBEWOUT</v>
          </cell>
          <cell r="F1642" t="str">
            <v>1245</v>
          </cell>
          <cell r="G1642" t="str">
            <v>1</v>
          </cell>
          <cell r="H1642">
            <v>0</v>
          </cell>
        </row>
        <row r="1643">
          <cell r="B1643">
            <v>10831</v>
          </cell>
          <cell r="C1643" t="str">
            <v>Wofford; Joseph W</v>
          </cell>
          <cell r="D1643" t="str">
            <v>1C</v>
          </cell>
          <cell r="E1643" t="str">
            <v>IBEWOUT</v>
          </cell>
          <cell r="F1643" t="str">
            <v>47</v>
          </cell>
          <cell r="G1643" t="str">
            <v>16</v>
          </cell>
          <cell r="H1643">
            <v>0</v>
          </cell>
        </row>
        <row r="1644">
          <cell r="B1644">
            <v>10832</v>
          </cell>
          <cell r="C1644" t="str">
            <v>Wolski; Andrew J</v>
          </cell>
          <cell r="D1644" t="str">
            <v>1</v>
          </cell>
          <cell r="E1644" t="str">
            <v/>
          </cell>
          <cell r="F1644" t="str">
            <v/>
          </cell>
          <cell r="G1644" t="str">
            <v/>
          </cell>
          <cell r="H1644">
            <v>1</v>
          </cell>
        </row>
        <row r="1645">
          <cell r="B1645">
            <v>10836</v>
          </cell>
          <cell r="C1645" t="str">
            <v>Woitt; Tom D.</v>
          </cell>
          <cell r="D1645" t="str">
            <v>1C</v>
          </cell>
          <cell r="E1645" t="str">
            <v/>
          </cell>
          <cell r="F1645" t="str">
            <v/>
          </cell>
          <cell r="G1645" t="str">
            <v/>
          </cell>
          <cell r="H1645">
            <v>1</v>
          </cell>
        </row>
        <row r="1646">
          <cell r="B1646">
            <v>10837</v>
          </cell>
          <cell r="C1646" t="str">
            <v>Wolsten; Todd M.</v>
          </cell>
          <cell r="D1646" t="str">
            <v>1C</v>
          </cell>
          <cell r="E1646" t="str">
            <v>IBEWOUT</v>
          </cell>
          <cell r="F1646" t="str">
            <v>1245</v>
          </cell>
          <cell r="G1646" t="str">
            <v>17</v>
          </cell>
          <cell r="H1646">
            <v>0</v>
          </cell>
        </row>
        <row r="1647">
          <cell r="B1647">
            <v>10839</v>
          </cell>
          <cell r="C1647" t="str">
            <v>Woodard; Christopher K</v>
          </cell>
          <cell r="D1647" t="str">
            <v>1C</v>
          </cell>
          <cell r="E1647" t="str">
            <v>IBEWOUT</v>
          </cell>
          <cell r="F1647" t="str">
            <v>47</v>
          </cell>
          <cell r="G1647" t="str">
            <v>8</v>
          </cell>
          <cell r="H1647">
            <v>0</v>
          </cell>
        </row>
        <row r="1648">
          <cell r="B1648">
            <v>10841</v>
          </cell>
          <cell r="C1648" t="str">
            <v>Wittner; Adam K</v>
          </cell>
          <cell r="D1648" t="str">
            <v>1C</v>
          </cell>
          <cell r="E1648" t="str">
            <v>IBEWOUT</v>
          </cell>
          <cell r="F1648" t="str">
            <v>77</v>
          </cell>
          <cell r="G1648" t="str">
            <v>8</v>
          </cell>
          <cell r="H1648">
            <v>0</v>
          </cell>
        </row>
        <row r="1649">
          <cell r="B1649">
            <v>10843</v>
          </cell>
          <cell r="C1649" t="str">
            <v>Wurzer; Mark J</v>
          </cell>
          <cell r="D1649" t="str">
            <v>1</v>
          </cell>
          <cell r="E1649" t="str">
            <v>IBEWOUT</v>
          </cell>
          <cell r="F1649" t="str">
            <v>125</v>
          </cell>
          <cell r="G1649" t="str">
            <v>33</v>
          </cell>
          <cell r="H1649">
            <v>0</v>
          </cell>
        </row>
        <row r="1650">
          <cell r="B1650">
            <v>10849</v>
          </cell>
          <cell r="C1650" t="str">
            <v>Wilson; Stephanie L</v>
          </cell>
          <cell r="D1650" t="str">
            <v>1</v>
          </cell>
          <cell r="E1650" t="str">
            <v/>
          </cell>
          <cell r="F1650" t="str">
            <v/>
          </cell>
          <cell r="G1650" t="str">
            <v/>
          </cell>
          <cell r="H1650">
            <v>0</v>
          </cell>
        </row>
        <row r="1651">
          <cell r="B1651">
            <v>10853</v>
          </cell>
          <cell r="C1651" t="str">
            <v>Wyatt; Layton D</v>
          </cell>
          <cell r="D1651" t="str">
            <v>1</v>
          </cell>
          <cell r="E1651" t="str">
            <v>IBEWOUT</v>
          </cell>
          <cell r="F1651" t="str">
            <v>47</v>
          </cell>
          <cell r="G1651" t="str">
            <v>8</v>
          </cell>
          <cell r="H1651">
            <v>0</v>
          </cell>
        </row>
        <row r="1652">
          <cell r="B1652">
            <v>10854</v>
          </cell>
          <cell r="C1652" t="str">
            <v>Wolfe; Chad A</v>
          </cell>
          <cell r="D1652" t="str">
            <v>1</v>
          </cell>
          <cell r="E1652" t="str">
            <v>IBEWOUT</v>
          </cell>
          <cell r="F1652" t="str">
            <v>1245</v>
          </cell>
          <cell r="G1652" t="str">
            <v>10</v>
          </cell>
          <cell r="H1652">
            <v>0</v>
          </cell>
        </row>
        <row r="1653">
          <cell r="B1653">
            <v>10869</v>
          </cell>
          <cell r="C1653" t="str">
            <v>Wilson; Jeffrey M.</v>
          </cell>
          <cell r="D1653" t="str">
            <v>1C</v>
          </cell>
          <cell r="E1653" t="str">
            <v>IBEWOUT</v>
          </cell>
          <cell r="F1653" t="str">
            <v>1245</v>
          </cell>
          <cell r="G1653" t="str">
            <v>8</v>
          </cell>
          <cell r="H1653">
            <v>0</v>
          </cell>
        </row>
        <row r="1654">
          <cell r="B1654">
            <v>10879</v>
          </cell>
          <cell r="C1654" t="str">
            <v>Wilson; Brenton J</v>
          </cell>
          <cell r="D1654" t="str">
            <v>1C</v>
          </cell>
          <cell r="E1654" t="str">
            <v>IBEWOUT</v>
          </cell>
          <cell r="F1654" t="str">
            <v>47</v>
          </cell>
          <cell r="G1654" t="str">
            <v>9</v>
          </cell>
          <cell r="H1654">
            <v>0</v>
          </cell>
        </row>
        <row r="1655">
          <cell r="B1655">
            <v>10884</v>
          </cell>
          <cell r="C1655" t="str">
            <v>Woll; Mark Anthone</v>
          </cell>
          <cell r="D1655" t="str">
            <v>1</v>
          </cell>
          <cell r="E1655" t="str">
            <v>IBEWOUT</v>
          </cell>
          <cell r="F1655" t="str">
            <v>125</v>
          </cell>
          <cell r="G1655" t="str">
            <v>16</v>
          </cell>
          <cell r="H1655">
            <v>0</v>
          </cell>
        </row>
        <row r="1656">
          <cell r="B1656">
            <v>10886</v>
          </cell>
          <cell r="C1656" t="str">
            <v>Vinyard; Max D</v>
          </cell>
          <cell r="D1656" t="str">
            <v>1</v>
          </cell>
          <cell r="E1656" t="str">
            <v>IBEWOUT</v>
          </cell>
          <cell r="F1656" t="str">
            <v>1245</v>
          </cell>
          <cell r="G1656" t="str">
            <v>7</v>
          </cell>
          <cell r="H1656">
            <v>0</v>
          </cell>
        </row>
        <row r="1657">
          <cell r="B1657">
            <v>10889</v>
          </cell>
          <cell r="C1657" t="str">
            <v>Yetka; Brian V.</v>
          </cell>
          <cell r="D1657" t="str">
            <v>1C</v>
          </cell>
          <cell r="E1657" t="str">
            <v>IBEWOUT</v>
          </cell>
          <cell r="F1657" t="str">
            <v>47</v>
          </cell>
          <cell r="G1657" t="str">
            <v>8</v>
          </cell>
          <cell r="H1657">
            <v>0</v>
          </cell>
        </row>
        <row r="1658">
          <cell r="B1658">
            <v>10891</v>
          </cell>
          <cell r="C1658" t="str">
            <v>Yadon; Nicholas J.</v>
          </cell>
          <cell r="D1658" t="str">
            <v>1C</v>
          </cell>
          <cell r="E1658" t="str">
            <v>IBEWOUT</v>
          </cell>
          <cell r="F1658" t="str">
            <v>769</v>
          </cell>
          <cell r="G1658" t="str">
            <v>8</v>
          </cell>
          <cell r="H1658">
            <v>0</v>
          </cell>
        </row>
        <row r="1659">
          <cell r="B1659">
            <v>10893</v>
          </cell>
          <cell r="C1659" t="str">
            <v>Yazzie; Dehn D</v>
          </cell>
          <cell r="D1659" t="str">
            <v>1C</v>
          </cell>
          <cell r="E1659" t="str">
            <v>IBEWOUT</v>
          </cell>
          <cell r="F1659" t="str">
            <v>769</v>
          </cell>
          <cell r="G1659" t="str">
            <v>8</v>
          </cell>
          <cell r="H1659">
            <v>0</v>
          </cell>
        </row>
        <row r="1660">
          <cell r="B1660">
            <v>10894</v>
          </cell>
          <cell r="C1660" t="str">
            <v>Yazzie; Merlon K.</v>
          </cell>
          <cell r="D1660" t="str">
            <v>1C</v>
          </cell>
          <cell r="E1660" t="str">
            <v>IBEWOUT</v>
          </cell>
          <cell r="F1660" t="str">
            <v>769</v>
          </cell>
          <cell r="G1660" t="str">
            <v>8</v>
          </cell>
          <cell r="H1660">
            <v>0</v>
          </cell>
        </row>
        <row r="1661">
          <cell r="B1661">
            <v>10899</v>
          </cell>
          <cell r="C1661" t="str">
            <v>Yochum; Kevin R</v>
          </cell>
          <cell r="D1661" t="str">
            <v>1C</v>
          </cell>
          <cell r="E1661" t="str">
            <v>IBEWOUT</v>
          </cell>
          <cell r="F1661" t="str">
            <v>602R</v>
          </cell>
          <cell r="G1661" t="str">
            <v>8</v>
          </cell>
          <cell r="H1661">
            <v>0</v>
          </cell>
        </row>
        <row r="1662">
          <cell r="B1662">
            <v>10902</v>
          </cell>
          <cell r="C1662" t="str">
            <v>Young; Greg N</v>
          </cell>
          <cell r="D1662" t="str">
            <v>1C</v>
          </cell>
          <cell r="E1662" t="str">
            <v>IBEWOUT</v>
          </cell>
          <cell r="F1662" t="str">
            <v>1245</v>
          </cell>
          <cell r="G1662" t="str">
            <v>8</v>
          </cell>
          <cell r="H1662">
            <v>0</v>
          </cell>
        </row>
        <row r="1663">
          <cell r="B1663">
            <v>10905</v>
          </cell>
          <cell r="C1663" t="str">
            <v>Zamora; Rod R.</v>
          </cell>
          <cell r="D1663" t="str">
            <v>1C</v>
          </cell>
          <cell r="E1663" t="str">
            <v>IBEWOUT</v>
          </cell>
          <cell r="F1663" t="str">
            <v>47</v>
          </cell>
          <cell r="G1663" t="str">
            <v>17</v>
          </cell>
          <cell r="H1663">
            <v>0</v>
          </cell>
        </row>
        <row r="1664">
          <cell r="B1664">
            <v>10907</v>
          </cell>
          <cell r="C1664" t="str">
            <v>Zamora; Catarino R</v>
          </cell>
          <cell r="D1664" t="str">
            <v>1C</v>
          </cell>
          <cell r="E1664" t="str">
            <v>IBEWOUT</v>
          </cell>
          <cell r="F1664" t="str">
            <v>47</v>
          </cell>
          <cell r="G1664" t="str">
            <v>16</v>
          </cell>
          <cell r="H1664">
            <v>0</v>
          </cell>
        </row>
        <row r="1665">
          <cell r="B1665">
            <v>10909</v>
          </cell>
          <cell r="C1665" t="str">
            <v>Zamudio U; Raymundo</v>
          </cell>
          <cell r="D1665" t="str">
            <v>1C</v>
          </cell>
          <cell r="E1665" t="str">
            <v>IBEWOUT</v>
          </cell>
          <cell r="F1665" t="str">
            <v>1245</v>
          </cell>
          <cell r="G1665" t="str">
            <v>70T</v>
          </cell>
          <cell r="H1665">
            <v>0</v>
          </cell>
        </row>
        <row r="1666">
          <cell r="B1666">
            <v>10910</v>
          </cell>
          <cell r="C1666" t="str">
            <v>Zinkl; Matthew H</v>
          </cell>
          <cell r="D1666" t="str">
            <v>1C</v>
          </cell>
          <cell r="E1666" t="str">
            <v>IBEWOUT</v>
          </cell>
          <cell r="F1666" t="str">
            <v>47</v>
          </cell>
          <cell r="G1666" t="str">
            <v>13</v>
          </cell>
          <cell r="H1666">
            <v>0</v>
          </cell>
        </row>
        <row r="1667">
          <cell r="B1667">
            <v>10912</v>
          </cell>
          <cell r="C1667" t="str">
            <v>Yanez; Fernando V</v>
          </cell>
          <cell r="D1667" t="str">
            <v>1C</v>
          </cell>
          <cell r="E1667" t="str">
            <v>IBEWOUT</v>
          </cell>
          <cell r="F1667" t="str">
            <v>47</v>
          </cell>
          <cell r="G1667" t="str">
            <v>16</v>
          </cell>
          <cell r="H1667">
            <v>0</v>
          </cell>
        </row>
        <row r="1668">
          <cell r="B1668">
            <v>10920</v>
          </cell>
          <cell r="C1668" t="str">
            <v>Zaumseil; Kody T</v>
          </cell>
          <cell r="D1668" t="str">
            <v>1C</v>
          </cell>
          <cell r="E1668" t="str">
            <v>IBEWOUT</v>
          </cell>
          <cell r="F1668" t="str">
            <v>1245</v>
          </cell>
          <cell r="G1668" t="str">
            <v>8</v>
          </cell>
          <cell r="H1668">
            <v>0</v>
          </cell>
        </row>
        <row r="1669">
          <cell r="B1669">
            <v>10923</v>
          </cell>
          <cell r="C1669" t="str">
            <v>Zeulner; Zachariah Robert</v>
          </cell>
          <cell r="D1669" t="str">
            <v>1</v>
          </cell>
          <cell r="E1669" t="str">
            <v>IBEWOUT</v>
          </cell>
          <cell r="F1669" t="str">
            <v>1245</v>
          </cell>
          <cell r="G1669" t="str">
            <v>1</v>
          </cell>
          <cell r="H1669">
            <v>1</v>
          </cell>
        </row>
        <row r="1670">
          <cell r="B1670">
            <v>10924</v>
          </cell>
          <cell r="C1670" t="str">
            <v>Zeveney; Patrick J</v>
          </cell>
          <cell r="D1670" t="str">
            <v>1C</v>
          </cell>
          <cell r="E1670" t="str">
            <v>IBEWOUT</v>
          </cell>
          <cell r="F1670" t="str">
            <v>1319</v>
          </cell>
          <cell r="G1670" t="str">
            <v>8</v>
          </cell>
          <cell r="H1670">
            <v>0</v>
          </cell>
        </row>
        <row r="1671">
          <cell r="B1671">
            <v>10926</v>
          </cell>
          <cell r="C1671" t="str">
            <v>Zacher; Theodore R.</v>
          </cell>
          <cell r="D1671" t="str">
            <v>1C</v>
          </cell>
          <cell r="E1671" t="str">
            <v/>
          </cell>
          <cell r="F1671" t="str">
            <v/>
          </cell>
          <cell r="G1671" t="str">
            <v/>
          </cell>
          <cell r="H1671">
            <v>1</v>
          </cell>
        </row>
        <row r="1672">
          <cell r="B1672">
            <v>10929</v>
          </cell>
          <cell r="C1672" t="str">
            <v>Nieves Zarate; Jose</v>
          </cell>
          <cell r="D1672" t="str">
            <v>1C</v>
          </cell>
          <cell r="E1672" t="str">
            <v>IBEWOUT</v>
          </cell>
          <cell r="F1672" t="str">
            <v>47</v>
          </cell>
          <cell r="G1672" t="str">
            <v>8</v>
          </cell>
          <cell r="H1672">
            <v>0</v>
          </cell>
        </row>
        <row r="1673">
          <cell r="B1673">
            <v>10930</v>
          </cell>
          <cell r="C1673" t="str">
            <v>Young; Micah J.</v>
          </cell>
          <cell r="D1673" t="str">
            <v>1C</v>
          </cell>
          <cell r="E1673" t="str">
            <v>IBEWOUT</v>
          </cell>
          <cell r="F1673" t="str">
            <v>1245</v>
          </cell>
          <cell r="G1673" t="str">
            <v>8</v>
          </cell>
          <cell r="H1673">
            <v>0</v>
          </cell>
        </row>
        <row r="1674">
          <cell r="B1674">
            <v>10931</v>
          </cell>
          <cell r="C1674" t="str">
            <v>Zul; Daniel</v>
          </cell>
          <cell r="D1674" t="str">
            <v>1C</v>
          </cell>
          <cell r="E1674" t="str">
            <v>IBEWOUT</v>
          </cell>
          <cell r="F1674" t="str">
            <v>1245</v>
          </cell>
          <cell r="G1674" t="str">
            <v>17</v>
          </cell>
          <cell r="H1674">
            <v>0</v>
          </cell>
        </row>
        <row r="1675">
          <cell r="B1675">
            <v>10932</v>
          </cell>
          <cell r="C1675" t="str">
            <v>Youngblood; Mark O</v>
          </cell>
          <cell r="D1675" t="str">
            <v>1C</v>
          </cell>
          <cell r="E1675" t="str">
            <v>IBEWOUT</v>
          </cell>
          <cell r="F1675" t="str">
            <v>602R</v>
          </cell>
          <cell r="G1675" t="str">
            <v>8</v>
          </cell>
          <cell r="H1675">
            <v>0</v>
          </cell>
        </row>
        <row r="1676">
          <cell r="B1676">
            <v>10933</v>
          </cell>
          <cell r="C1676" t="str">
            <v>Yunkin; Russell</v>
          </cell>
          <cell r="D1676" t="str">
            <v>1C</v>
          </cell>
          <cell r="E1676" t="str">
            <v>IBEWOUT</v>
          </cell>
          <cell r="F1676" t="str">
            <v>126</v>
          </cell>
          <cell r="G1676" t="str">
            <v>8</v>
          </cell>
          <cell r="H1676">
            <v>0</v>
          </cell>
        </row>
        <row r="1677">
          <cell r="B1677">
            <v>10934</v>
          </cell>
          <cell r="C1677" t="str">
            <v>Zeigler; Logan R</v>
          </cell>
          <cell r="D1677" t="str">
            <v>1C</v>
          </cell>
          <cell r="E1677" t="str">
            <v>IBEWOUT</v>
          </cell>
          <cell r="F1677" t="str">
            <v>611</v>
          </cell>
          <cell r="G1677" t="str">
            <v>12</v>
          </cell>
          <cell r="H1677">
            <v>0</v>
          </cell>
        </row>
        <row r="1678">
          <cell r="B1678">
            <v>10939</v>
          </cell>
          <cell r="C1678" t="str">
            <v>Zwan; Andrew F</v>
          </cell>
          <cell r="D1678" t="str">
            <v>1C</v>
          </cell>
          <cell r="E1678" t="str">
            <v>IBEWOUT</v>
          </cell>
          <cell r="F1678" t="str">
            <v>1245</v>
          </cell>
          <cell r="G1678" t="str">
            <v>16</v>
          </cell>
          <cell r="H167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ed Codes"/>
      <sheetName val="Job Details"/>
      <sheetName val="Employees"/>
      <sheetName val="Job List"/>
      <sheetName val="Master Tab "/>
      <sheetName val="Master Training"/>
      <sheetName val="Hernandez, Alex"/>
      <sheetName val="Vinyard"/>
      <sheetName val="Demond"/>
      <sheetName val="Baldridge"/>
      <sheetName val="Stafford"/>
      <sheetName val="Turpin"/>
      <sheetName val="Tidwell"/>
      <sheetName val="Conway"/>
      <sheetName val="Klien"/>
      <sheetName val="Shaw - Sunderland"/>
      <sheetName val="Raper "/>
      <sheetName val="Smith "/>
      <sheetName val="A Peterson "/>
      <sheetName val="Lloyd "/>
      <sheetName val="Bliudzius"/>
      <sheetName val="Peterson"/>
      <sheetName val="Webb"/>
      <sheetName val="Pion"/>
      <sheetName val="Bolsover"/>
      <sheetName val="Clark "/>
      <sheetName val="Cordova "/>
      <sheetName val="Johnston"/>
      <sheetName val="Bykonen"/>
      <sheetName val="Rodriguez"/>
      <sheetName val="Cree"/>
      <sheetName val="Cozad "/>
      <sheetName val="Dutton"/>
      <sheetName val="Stewart"/>
      <sheetName val="LaMountain"/>
      <sheetName val="Pulido "/>
      <sheetName val="Marunde"/>
      <sheetName val="Greene"/>
      <sheetName val="Franks"/>
      <sheetName val="Palacios"/>
      <sheetName val="Dunton "/>
      <sheetName val="Flores"/>
      <sheetName val="LeCaire "/>
      <sheetName val="Elliott"/>
      <sheetName val="Thomas"/>
      <sheetName val="Ruiz"/>
      <sheetName val="C Johnson"/>
      <sheetName val="Girnus"/>
      <sheetName val="Thompson"/>
      <sheetName val="Dovichi"/>
      <sheetName val="Stephens"/>
      <sheetName val="Wolfe"/>
      <sheetName val="Johnson"/>
      <sheetName val="Boeken"/>
      <sheetName val="Hegr"/>
      <sheetName val="Apalategui"/>
      <sheetName val="Foster "/>
      <sheetName val="Hill"/>
      <sheetName val="LeeSoon"/>
      <sheetName val="Mallory"/>
      <sheetName val="Bettinelli "/>
      <sheetName val="Clark TR"/>
      <sheetName val="Cozad TR"/>
      <sheetName val="Cordova TR"/>
      <sheetName val="Foster TR"/>
      <sheetName val="Lloyd TR"/>
      <sheetName val="Dunton TR"/>
      <sheetName val="Raper TR"/>
      <sheetName val="A Peterson TR"/>
      <sheetName val="Smith TR"/>
      <sheetName val="Bettinelli TR"/>
      <sheetName val="Bliudzius TR"/>
      <sheetName val="LeeSoon TR"/>
      <sheetName val="Flores TR"/>
      <sheetName val="Buitrago TR"/>
      <sheetName val="Pion TR"/>
      <sheetName val="LeCaire TR"/>
      <sheetName val="Elliott TR"/>
      <sheetName val="Thomas TR"/>
      <sheetName val="Dunn TR"/>
      <sheetName val="Bruder TR"/>
      <sheetName val="Stafford TR"/>
      <sheetName val="Hodge TR"/>
      <sheetName val="Cree TR"/>
      <sheetName val="Wolfe TR"/>
      <sheetName val="Barraza TR"/>
      <sheetName val="Hinkley TR"/>
      <sheetName val="Grant TR"/>
      <sheetName val="Baldridge TR "/>
      <sheetName val="Klein TR"/>
      <sheetName val="Stephens TR"/>
      <sheetName val="Apalategui TR"/>
      <sheetName val="Stewart TR"/>
      <sheetName val="Marunde TR"/>
      <sheetName val="LaMountain TR"/>
      <sheetName val="Pulido TR"/>
      <sheetName val="Greene TR"/>
      <sheetName val="D, Boudreau TR"/>
      <sheetName val="Richardson TR"/>
      <sheetName val="Aguilar TR"/>
      <sheetName val="Thompson TR"/>
      <sheetName val="Urretia TR"/>
      <sheetName val="Ruiz TR"/>
      <sheetName val="C Johnston TR"/>
      <sheetName val="Mallory TR"/>
      <sheetName val="Hill, D TR"/>
      <sheetName val="Adamson TR"/>
      <sheetName val="Rosenberg TR"/>
      <sheetName val="Canal TR"/>
      <sheetName val="Girnus TR"/>
      <sheetName val="Delcarlo TR"/>
      <sheetName val="Johnston TR"/>
      <sheetName val="Dutton TR"/>
      <sheetName val="Bykonen TR"/>
      <sheetName val="Bolsover TR"/>
      <sheetName val="Peterson TR"/>
      <sheetName val="Webb TR"/>
      <sheetName val="Schmidt TR"/>
      <sheetName val="Rodriguez TR"/>
      <sheetName val="Vinyard TR"/>
      <sheetName val="Demond TR"/>
      <sheetName val="Turpin TR"/>
      <sheetName val="Tidwell Trn"/>
      <sheetName val="Conway TR"/>
      <sheetName val="Sunderland TR"/>
      <sheetName val="Boeken TR"/>
      <sheetName val="Hill TR"/>
      <sheetName val="Munoz TR"/>
      <sheetName val="Gonzalez TR"/>
      <sheetName val="Stewart, T TR"/>
      <sheetName val="Luiz TR"/>
      <sheetName val="Palacios TR"/>
      <sheetName val="Harvat TR"/>
      <sheetName val="Hegr TR"/>
      <sheetName val="Curtis Franks TR"/>
      <sheetName val="Dovichi TR"/>
      <sheetName val="Durbin TR"/>
      <sheetName val="ColumnLists"/>
    </sheetNames>
    <sheetDataSet>
      <sheetData sheetId="0"/>
      <sheetData sheetId="1"/>
      <sheetData sheetId="2">
        <row r="1">
          <cell r="B1" t="str">
            <v>Employees</v>
          </cell>
          <cell r="C1"/>
          <cell r="D1"/>
          <cell r="E1"/>
          <cell r="F1"/>
          <cell r="G1"/>
          <cell r="H1"/>
        </row>
        <row r="2">
          <cell r="B2" t="str">
            <v>EE ID</v>
          </cell>
          <cell r="C2" t="str">
            <v>Employee Name</v>
          </cell>
          <cell r="D2" t="str">
            <v>Pay Group</v>
          </cell>
          <cell r="E2" t="str">
            <v>Union ID</v>
          </cell>
          <cell r="F2" t="str">
            <v>Union Local</v>
          </cell>
          <cell r="G2" t="str">
            <v>Union Class</v>
          </cell>
          <cell r="H2" t="str">
            <v>Exclude From Cert. Report</v>
          </cell>
        </row>
        <row r="3">
          <cell r="B3">
            <v>1025</v>
          </cell>
          <cell r="C3" t="str">
            <v>Abella; Christian Marcelo</v>
          </cell>
          <cell r="D3" t="str">
            <v>1</v>
          </cell>
          <cell r="E3" t="str">
            <v>IBEWOUT</v>
          </cell>
          <cell r="F3" t="str">
            <v>1245</v>
          </cell>
          <cell r="G3" t="str">
            <v>1</v>
          </cell>
          <cell r="H3">
            <v>0</v>
          </cell>
        </row>
        <row r="4">
          <cell r="B4">
            <v>1038</v>
          </cell>
          <cell r="C4" t="str">
            <v>Aguilar; Juan A.</v>
          </cell>
          <cell r="D4" t="str">
            <v>1</v>
          </cell>
          <cell r="E4" t="str">
            <v/>
          </cell>
          <cell r="F4" t="str">
            <v/>
          </cell>
          <cell r="G4" t="str">
            <v/>
          </cell>
          <cell r="H4">
            <v>0</v>
          </cell>
        </row>
        <row r="5">
          <cell r="B5">
            <v>1043</v>
          </cell>
          <cell r="C5" t="str">
            <v>Adema; Matthew</v>
          </cell>
          <cell r="D5" t="str">
            <v>1C</v>
          </cell>
          <cell r="E5" t="str">
            <v>IBEWOUT</v>
          </cell>
          <cell r="F5" t="str">
            <v>1245</v>
          </cell>
          <cell r="G5" t="str">
            <v>8</v>
          </cell>
          <cell r="H5">
            <v>0</v>
          </cell>
        </row>
        <row r="6">
          <cell r="B6">
            <v>1046</v>
          </cell>
          <cell r="C6" t="str">
            <v>Alcala Jr.; Juan Antonio</v>
          </cell>
          <cell r="D6" t="str">
            <v>1C</v>
          </cell>
          <cell r="E6" t="str">
            <v>IBEWOUT</v>
          </cell>
          <cell r="F6" t="str">
            <v>47</v>
          </cell>
          <cell r="G6" t="str">
            <v>7</v>
          </cell>
          <cell r="H6">
            <v>0</v>
          </cell>
        </row>
        <row r="7">
          <cell r="B7">
            <v>1055</v>
          </cell>
          <cell r="C7" t="str">
            <v>Adams; Timothy J</v>
          </cell>
          <cell r="D7" t="str">
            <v>1</v>
          </cell>
          <cell r="E7" t="str">
            <v>IBEWOUT</v>
          </cell>
          <cell r="F7" t="str">
            <v>1245</v>
          </cell>
          <cell r="G7" t="str">
            <v>70</v>
          </cell>
          <cell r="H7">
            <v>0</v>
          </cell>
        </row>
        <row r="8">
          <cell r="B8">
            <v>1056</v>
          </cell>
          <cell r="C8" t="str">
            <v>Ewanchew; John F.</v>
          </cell>
          <cell r="D8" t="str">
            <v>1C</v>
          </cell>
          <cell r="E8" t="str">
            <v>IBEWOUT</v>
          </cell>
          <cell r="F8" t="str">
            <v>396</v>
          </cell>
          <cell r="G8" t="str">
            <v>8</v>
          </cell>
          <cell r="H8">
            <v>0</v>
          </cell>
        </row>
        <row r="9">
          <cell r="B9">
            <v>1059</v>
          </cell>
          <cell r="C9" t="str">
            <v>Aleman; Carlos A</v>
          </cell>
          <cell r="D9" t="str">
            <v>1C</v>
          </cell>
          <cell r="E9" t="str">
            <v>IBEWOUT</v>
          </cell>
          <cell r="F9" t="str">
            <v>1245</v>
          </cell>
          <cell r="G9" t="str">
            <v>11</v>
          </cell>
          <cell r="H9">
            <v>0</v>
          </cell>
        </row>
        <row r="10">
          <cell r="B10">
            <v>1061</v>
          </cell>
          <cell r="C10" t="str">
            <v>Alday; Caleb T.</v>
          </cell>
          <cell r="D10" t="str">
            <v>1C</v>
          </cell>
          <cell r="E10" t="str">
            <v>IBEWOUT</v>
          </cell>
          <cell r="F10" t="str">
            <v>1245</v>
          </cell>
          <cell r="G10" t="str">
            <v>8</v>
          </cell>
          <cell r="H10">
            <v>0</v>
          </cell>
        </row>
        <row r="11">
          <cell r="B11">
            <v>1064</v>
          </cell>
          <cell r="C11" t="str">
            <v>Aguilar; Matthias J</v>
          </cell>
          <cell r="D11" t="str">
            <v>1C</v>
          </cell>
          <cell r="E11" t="str">
            <v>IBEWOUT</v>
          </cell>
          <cell r="F11" t="str">
            <v>1245</v>
          </cell>
          <cell r="G11" t="str">
            <v>17</v>
          </cell>
          <cell r="H11">
            <v>0</v>
          </cell>
        </row>
        <row r="12">
          <cell r="B12">
            <v>1085</v>
          </cell>
          <cell r="C12" t="str">
            <v>Almendarez; Raymond K</v>
          </cell>
          <cell r="D12" t="str">
            <v>1C</v>
          </cell>
          <cell r="E12" t="str">
            <v>IBEWOUT</v>
          </cell>
          <cell r="F12" t="str">
            <v>1245</v>
          </cell>
          <cell r="G12" t="str">
            <v>8</v>
          </cell>
          <cell r="H12">
            <v>0</v>
          </cell>
        </row>
        <row r="13">
          <cell r="B13">
            <v>1095</v>
          </cell>
          <cell r="C13" t="str">
            <v>Alexander; James C</v>
          </cell>
          <cell r="D13" t="str">
            <v>1C</v>
          </cell>
          <cell r="E13" t="str">
            <v>IBEWOUT</v>
          </cell>
          <cell r="F13" t="str">
            <v>47</v>
          </cell>
          <cell r="G13" t="str">
            <v>8</v>
          </cell>
          <cell r="H13">
            <v>0</v>
          </cell>
        </row>
        <row r="14">
          <cell r="B14">
            <v>1103</v>
          </cell>
          <cell r="C14" t="str">
            <v>Allen; Corey L.</v>
          </cell>
          <cell r="D14" t="str">
            <v>1C</v>
          </cell>
          <cell r="E14" t="str">
            <v>IBEWOUT</v>
          </cell>
          <cell r="F14" t="str">
            <v>1245</v>
          </cell>
          <cell r="G14" t="str">
            <v>7</v>
          </cell>
          <cell r="H14">
            <v>0</v>
          </cell>
        </row>
        <row r="15">
          <cell r="B15">
            <v>1104</v>
          </cell>
          <cell r="C15" t="str">
            <v>Amburgey; James R</v>
          </cell>
          <cell r="D15" t="str">
            <v>1C</v>
          </cell>
          <cell r="E15" t="str">
            <v>IBEWOUT</v>
          </cell>
          <cell r="F15" t="str">
            <v>769</v>
          </cell>
          <cell r="G15" t="str">
            <v>8</v>
          </cell>
          <cell r="H15">
            <v>0</v>
          </cell>
        </row>
        <row r="16">
          <cell r="B16">
            <v>1106</v>
          </cell>
          <cell r="C16" t="str">
            <v>Archibeque; Larry Michael</v>
          </cell>
          <cell r="D16" t="str">
            <v>1C</v>
          </cell>
          <cell r="E16" t="str">
            <v>IBEWOUT</v>
          </cell>
          <cell r="F16" t="str">
            <v>611</v>
          </cell>
          <cell r="G16" t="str">
            <v>16</v>
          </cell>
          <cell r="H16">
            <v>0</v>
          </cell>
        </row>
        <row r="17">
          <cell r="B17">
            <v>1108</v>
          </cell>
          <cell r="C17" t="str">
            <v>Arehart; Joshua D.</v>
          </cell>
          <cell r="D17" t="str">
            <v>1C</v>
          </cell>
          <cell r="E17" t="str">
            <v>IBEWOUT</v>
          </cell>
          <cell r="F17" t="str">
            <v>125</v>
          </cell>
          <cell r="G17" t="str">
            <v>7</v>
          </cell>
          <cell r="H17">
            <v>0</v>
          </cell>
        </row>
        <row r="18">
          <cell r="B18">
            <v>1109</v>
          </cell>
          <cell r="C18" t="str">
            <v>Atayde; Manuel</v>
          </cell>
          <cell r="D18" t="str">
            <v>1C</v>
          </cell>
          <cell r="E18" t="str">
            <v>IBEWOUT</v>
          </cell>
          <cell r="F18" t="str">
            <v>769</v>
          </cell>
          <cell r="G18" t="str">
            <v>22</v>
          </cell>
          <cell r="H18">
            <v>0</v>
          </cell>
        </row>
        <row r="19">
          <cell r="B19">
            <v>1110</v>
          </cell>
          <cell r="C19" t="str">
            <v>Al-Raies; Sam</v>
          </cell>
          <cell r="D19" t="str">
            <v>1C</v>
          </cell>
          <cell r="E19" t="str">
            <v>IBEWOUT</v>
          </cell>
          <cell r="F19" t="str">
            <v>47</v>
          </cell>
          <cell r="G19" t="str">
            <v>60</v>
          </cell>
          <cell r="H19">
            <v>0</v>
          </cell>
        </row>
        <row r="20">
          <cell r="B20">
            <v>1111</v>
          </cell>
          <cell r="C20" t="str">
            <v>Atchison; Jason E.</v>
          </cell>
          <cell r="D20" t="str">
            <v>1C</v>
          </cell>
          <cell r="E20" t="str">
            <v>IBEWOUT</v>
          </cell>
          <cell r="F20" t="str">
            <v>769</v>
          </cell>
          <cell r="G20" t="str">
            <v>8</v>
          </cell>
          <cell r="H20">
            <v>0</v>
          </cell>
        </row>
        <row r="21">
          <cell r="B21">
            <v>1112</v>
          </cell>
          <cell r="C21" t="str">
            <v>Amato; Pietro</v>
          </cell>
          <cell r="D21" t="str">
            <v>1C</v>
          </cell>
          <cell r="E21" t="str">
            <v>IBEWOUT</v>
          </cell>
          <cell r="F21" t="str">
            <v>1049</v>
          </cell>
          <cell r="G21" t="str">
            <v>15</v>
          </cell>
          <cell r="H21">
            <v>0</v>
          </cell>
        </row>
        <row r="22">
          <cell r="B22">
            <v>1114</v>
          </cell>
          <cell r="C22" t="str">
            <v>Archuleta Jr.; Felix</v>
          </cell>
          <cell r="D22" t="str">
            <v>1C</v>
          </cell>
          <cell r="E22" t="str">
            <v>IBEWOUT</v>
          </cell>
          <cell r="F22" t="str">
            <v>611</v>
          </cell>
          <cell r="G22" t="str">
            <v>10</v>
          </cell>
          <cell r="H22">
            <v>0</v>
          </cell>
        </row>
        <row r="23">
          <cell r="B23">
            <v>1115</v>
          </cell>
          <cell r="C23" t="str">
            <v>Archuleta; Louis A.</v>
          </cell>
          <cell r="D23" t="str">
            <v>1C</v>
          </cell>
          <cell r="E23" t="str">
            <v>IBEWOUT</v>
          </cell>
          <cell r="F23" t="str">
            <v>1245</v>
          </cell>
          <cell r="G23" t="str">
            <v>17</v>
          </cell>
          <cell r="H23">
            <v>0</v>
          </cell>
        </row>
        <row r="24">
          <cell r="B24">
            <v>1118</v>
          </cell>
          <cell r="C24" t="str">
            <v>Arias; Albert G</v>
          </cell>
          <cell r="D24" t="str">
            <v>1</v>
          </cell>
          <cell r="E24" t="str">
            <v>IBEWOUT</v>
          </cell>
          <cell r="F24" t="str">
            <v>47</v>
          </cell>
          <cell r="G24" t="str">
            <v>12</v>
          </cell>
          <cell r="H24">
            <v>0</v>
          </cell>
        </row>
        <row r="25">
          <cell r="B25">
            <v>1130</v>
          </cell>
          <cell r="C25" t="str">
            <v>Allred; Shane M.</v>
          </cell>
          <cell r="D25" t="str">
            <v>1C</v>
          </cell>
          <cell r="E25" t="str">
            <v>IBEWOUT</v>
          </cell>
          <cell r="F25" t="str">
            <v>1245</v>
          </cell>
          <cell r="G25" t="str">
            <v>8</v>
          </cell>
          <cell r="H25">
            <v>0</v>
          </cell>
        </row>
        <row r="26">
          <cell r="B26">
            <v>1180</v>
          </cell>
          <cell r="C26" t="str">
            <v>Atayde; Dimas</v>
          </cell>
          <cell r="D26" t="str">
            <v>1C</v>
          </cell>
          <cell r="E26" t="str">
            <v>IBEWOUT</v>
          </cell>
          <cell r="F26" t="str">
            <v>769</v>
          </cell>
          <cell r="G26" t="str">
            <v>22</v>
          </cell>
          <cell r="H26">
            <v>0</v>
          </cell>
        </row>
        <row r="27">
          <cell r="B27">
            <v>1192</v>
          </cell>
          <cell r="C27" t="str">
            <v>Andersen; David Mitch</v>
          </cell>
          <cell r="D27" t="str">
            <v>1C</v>
          </cell>
          <cell r="E27" t="str">
            <v/>
          </cell>
          <cell r="F27" t="str">
            <v/>
          </cell>
          <cell r="G27" t="str">
            <v/>
          </cell>
          <cell r="H27">
            <v>0</v>
          </cell>
        </row>
        <row r="28">
          <cell r="B28">
            <v>1193</v>
          </cell>
          <cell r="C28" t="str">
            <v>Arredondo; Juan V</v>
          </cell>
          <cell r="D28" t="str">
            <v>1C</v>
          </cell>
          <cell r="E28" t="str">
            <v>IBEWOUT</v>
          </cell>
          <cell r="F28" t="str">
            <v>769</v>
          </cell>
          <cell r="G28" t="str">
            <v>8</v>
          </cell>
          <cell r="H28">
            <v>0</v>
          </cell>
        </row>
        <row r="29">
          <cell r="B29">
            <v>1194</v>
          </cell>
          <cell r="C29" t="str">
            <v>Arreola; George</v>
          </cell>
          <cell r="D29" t="str">
            <v>1C</v>
          </cell>
          <cell r="E29" t="str">
            <v>IBEWOUT</v>
          </cell>
          <cell r="F29" t="str">
            <v>47</v>
          </cell>
          <cell r="G29" t="str">
            <v>17</v>
          </cell>
          <cell r="H29">
            <v>0</v>
          </cell>
        </row>
        <row r="30">
          <cell r="B30">
            <v>1197</v>
          </cell>
          <cell r="C30" t="str">
            <v>Andrea; Josh M</v>
          </cell>
          <cell r="D30" t="str">
            <v>1C</v>
          </cell>
          <cell r="E30" t="str">
            <v>IBEWOUT</v>
          </cell>
          <cell r="F30" t="str">
            <v>77</v>
          </cell>
          <cell r="G30" t="str">
            <v>15</v>
          </cell>
          <cell r="H30">
            <v>0</v>
          </cell>
        </row>
        <row r="31">
          <cell r="B31">
            <v>1199</v>
          </cell>
          <cell r="C31" t="str">
            <v>Andress; Jesse B</v>
          </cell>
          <cell r="D31" t="str">
            <v>1C</v>
          </cell>
          <cell r="E31" t="str">
            <v>IBEWOUT</v>
          </cell>
          <cell r="F31" t="str">
            <v>77</v>
          </cell>
          <cell r="G31" t="str">
            <v>8</v>
          </cell>
          <cell r="H31">
            <v>0</v>
          </cell>
        </row>
        <row r="32">
          <cell r="B32">
            <v>1202</v>
          </cell>
          <cell r="C32" t="str">
            <v>Anderson; Chad M.</v>
          </cell>
          <cell r="D32" t="str">
            <v>1C</v>
          </cell>
          <cell r="E32" t="str">
            <v/>
          </cell>
          <cell r="F32" t="str">
            <v/>
          </cell>
          <cell r="G32" t="str">
            <v/>
          </cell>
          <cell r="H32">
            <v>1</v>
          </cell>
        </row>
        <row r="33">
          <cell r="B33">
            <v>1203</v>
          </cell>
          <cell r="C33" t="str">
            <v>Anderson; Clyde M.</v>
          </cell>
          <cell r="D33" t="str">
            <v>1C</v>
          </cell>
          <cell r="E33" t="str">
            <v/>
          </cell>
          <cell r="F33" t="str">
            <v/>
          </cell>
          <cell r="G33" t="str">
            <v/>
          </cell>
          <cell r="H33">
            <v>1</v>
          </cell>
        </row>
        <row r="34">
          <cell r="B34">
            <v>1217</v>
          </cell>
          <cell r="C34" t="str">
            <v>Andrews; Cory R</v>
          </cell>
          <cell r="D34" t="str">
            <v>1C</v>
          </cell>
          <cell r="E34" t="str">
            <v>IBEWOUT</v>
          </cell>
          <cell r="F34" t="str">
            <v>125</v>
          </cell>
          <cell r="G34" t="str">
            <v>8</v>
          </cell>
          <cell r="H34">
            <v>0</v>
          </cell>
        </row>
        <row r="35">
          <cell r="B35">
            <v>1223</v>
          </cell>
          <cell r="C35" t="str">
            <v>Angulo; Jose L</v>
          </cell>
          <cell r="D35" t="str">
            <v>1C</v>
          </cell>
          <cell r="E35" t="str">
            <v>IBEWOUT</v>
          </cell>
          <cell r="F35" t="str">
            <v>47</v>
          </cell>
          <cell r="G35" t="str">
            <v>17</v>
          </cell>
          <cell r="H35">
            <v>0</v>
          </cell>
        </row>
        <row r="36">
          <cell r="B36">
            <v>1228</v>
          </cell>
          <cell r="C36" t="str">
            <v>Apalategui; Randall</v>
          </cell>
          <cell r="D36" t="str">
            <v>1</v>
          </cell>
          <cell r="E36" t="str">
            <v>IBEWOUT</v>
          </cell>
          <cell r="F36" t="str">
            <v>1245</v>
          </cell>
          <cell r="G36" t="str">
            <v>12</v>
          </cell>
          <cell r="H36">
            <v>0</v>
          </cell>
        </row>
        <row r="37">
          <cell r="B37">
            <v>1229</v>
          </cell>
          <cell r="C37" t="str">
            <v>Apana; Walter K</v>
          </cell>
          <cell r="D37" t="str">
            <v>1C</v>
          </cell>
          <cell r="E37" t="str">
            <v>IBEWOUT</v>
          </cell>
          <cell r="F37" t="str">
            <v>1186</v>
          </cell>
          <cell r="G37" t="str">
            <v>16</v>
          </cell>
          <cell r="H37">
            <v>0</v>
          </cell>
        </row>
        <row r="38">
          <cell r="B38">
            <v>1231</v>
          </cell>
          <cell r="C38" t="str">
            <v>Aparicio; Diego</v>
          </cell>
          <cell r="D38" t="str">
            <v>1C</v>
          </cell>
          <cell r="E38" t="str">
            <v>IBEWOUT</v>
          </cell>
          <cell r="F38" t="str">
            <v>1245</v>
          </cell>
          <cell r="G38" t="str">
            <v>14</v>
          </cell>
          <cell r="H38">
            <v>0</v>
          </cell>
        </row>
        <row r="39">
          <cell r="B39">
            <v>1232</v>
          </cell>
          <cell r="C39" t="str">
            <v>Apperson; Todd J</v>
          </cell>
          <cell r="D39" t="str">
            <v>1C</v>
          </cell>
          <cell r="E39" t="str">
            <v>IBEWIN</v>
          </cell>
          <cell r="F39" t="str">
            <v>280</v>
          </cell>
          <cell r="G39" t="str">
            <v>62</v>
          </cell>
          <cell r="H39">
            <v>0</v>
          </cell>
        </row>
        <row r="40">
          <cell r="B40">
            <v>1234</v>
          </cell>
          <cell r="C40" t="str">
            <v>Andrews; Riston B.</v>
          </cell>
          <cell r="D40" t="str">
            <v>1C</v>
          </cell>
          <cell r="E40" t="str">
            <v>IBEWOUT</v>
          </cell>
          <cell r="F40" t="str">
            <v>125</v>
          </cell>
          <cell r="G40" t="str">
            <v>17</v>
          </cell>
          <cell r="H40">
            <v>0</v>
          </cell>
        </row>
        <row r="41">
          <cell r="B41">
            <v>1236</v>
          </cell>
          <cell r="C41" t="str">
            <v>Anderson; James N</v>
          </cell>
          <cell r="D41" t="str">
            <v>1C</v>
          </cell>
          <cell r="E41" t="str">
            <v>IBEWOUT</v>
          </cell>
          <cell r="F41" t="str">
            <v>1245</v>
          </cell>
          <cell r="G41" t="str">
            <v>17</v>
          </cell>
          <cell r="H41">
            <v>0</v>
          </cell>
        </row>
        <row r="42">
          <cell r="B42">
            <v>1238</v>
          </cell>
          <cell r="C42" t="str">
            <v>Anderson; Trenton L.</v>
          </cell>
          <cell r="D42" t="str">
            <v>1C</v>
          </cell>
          <cell r="E42" t="str">
            <v>IBEWOUT</v>
          </cell>
          <cell r="F42" t="str">
            <v>47</v>
          </cell>
          <cell r="G42" t="str">
            <v>8</v>
          </cell>
          <cell r="H42">
            <v>0</v>
          </cell>
        </row>
        <row r="43">
          <cell r="B43">
            <v>1240</v>
          </cell>
          <cell r="C43" t="str">
            <v>Anderson; Max C</v>
          </cell>
          <cell r="D43" t="str">
            <v>1C</v>
          </cell>
          <cell r="E43" t="str">
            <v>IBEWOUT</v>
          </cell>
          <cell r="F43" t="str">
            <v>77</v>
          </cell>
          <cell r="G43" t="str">
            <v>8</v>
          </cell>
          <cell r="H43">
            <v>0</v>
          </cell>
        </row>
        <row r="44">
          <cell r="B44">
            <v>1241</v>
          </cell>
          <cell r="C44" t="str">
            <v>Anderson; Michael L.</v>
          </cell>
          <cell r="D44" t="str">
            <v>1C</v>
          </cell>
          <cell r="E44" t="str">
            <v>IBEWOUT</v>
          </cell>
          <cell r="F44" t="str">
            <v>1245</v>
          </cell>
          <cell r="G44" t="str">
            <v>10</v>
          </cell>
          <cell r="H44">
            <v>0</v>
          </cell>
        </row>
        <row r="45">
          <cell r="B45">
            <v>1242</v>
          </cell>
          <cell r="C45" t="str">
            <v>Andrew; Lucas D.</v>
          </cell>
          <cell r="D45" t="str">
            <v>1</v>
          </cell>
          <cell r="E45" t="str">
            <v>IBEWOUT</v>
          </cell>
          <cell r="F45" t="str">
            <v>47</v>
          </cell>
          <cell r="G45" t="str">
            <v>7</v>
          </cell>
          <cell r="H45">
            <v>0</v>
          </cell>
        </row>
        <row r="46">
          <cell r="B46">
            <v>1245</v>
          </cell>
          <cell r="C46" t="str">
            <v>Arnold; Dylan M</v>
          </cell>
          <cell r="D46" t="str">
            <v>1C</v>
          </cell>
          <cell r="E46" t="str">
            <v>IBEWOUT</v>
          </cell>
          <cell r="F46" t="str">
            <v>77</v>
          </cell>
          <cell r="G46" t="str">
            <v>8</v>
          </cell>
          <cell r="H46">
            <v>0</v>
          </cell>
        </row>
        <row r="47">
          <cell r="B47">
            <v>1247</v>
          </cell>
          <cell r="C47" t="str">
            <v>Arana; Daniel I</v>
          </cell>
          <cell r="D47" t="str">
            <v>1C</v>
          </cell>
          <cell r="E47" t="str">
            <v>IBEWOUT</v>
          </cell>
          <cell r="F47" t="str">
            <v>47</v>
          </cell>
          <cell r="G47" t="str">
            <v>13</v>
          </cell>
          <cell r="H47">
            <v>0</v>
          </cell>
        </row>
        <row r="48">
          <cell r="B48">
            <v>1255</v>
          </cell>
          <cell r="C48" t="str">
            <v>Ash IV; Leonard C</v>
          </cell>
          <cell r="D48" t="str">
            <v>1C</v>
          </cell>
          <cell r="E48" t="str">
            <v>IBEWOUT</v>
          </cell>
          <cell r="F48" t="str">
            <v>611</v>
          </cell>
          <cell r="G48" t="str">
            <v>8</v>
          </cell>
          <cell r="H48">
            <v>0</v>
          </cell>
        </row>
        <row r="49">
          <cell r="B49">
            <v>1260</v>
          </cell>
          <cell r="C49" t="str">
            <v>Austin; Berton R.</v>
          </cell>
          <cell r="D49" t="str">
            <v>1C</v>
          </cell>
          <cell r="E49" t="str">
            <v/>
          </cell>
          <cell r="F49" t="str">
            <v/>
          </cell>
          <cell r="G49" t="str">
            <v/>
          </cell>
          <cell r="H49">
            <v>1</v>
          </cell>
        </row>
        <row r="50">
          <cell r="B50">
            <v>1261</v>
          </cell>
          <cell r="C50" t="str">
            <v>Auzston; Russell E</v>
          </cell>
          <cell r="D50" t="str">
            <v>1C</v>
          </cell>
          <cell r="E50" t="str">
            <v>IBEWOUT</v>
          </cell>
          <cell r="F50" t="str">
            <v>47</v>
          </cell>
          <cell r="G50" t="str">
            <v>8</v>
          </cell>
          <cell r="H50">
            <v>0</v>
          </cell>
        </row>
        <row r="51">
          <cell r="B51">
            <v>1270</v>
          </cell>
          <cell r="C51" t="str">
            <v>Ayers; Christopher S</v>
          </cell>
          <cell r="D51" t="str">
            <v>1C</v>
          </cell>
          <cell r="E51" t="str">
            <v>IBEWOUT</v>
          </cell>
          <cell r="F51" t="str">
            <v>769</v>
          </cell>
          <cell r="G51" t="str">
            <v>15</v>
          </cell>
          <cell r="H51">
            <v>0</v>
          </cell>
        </row>
        <row r="52">
          <cell r="B52">
            <v>1275</v>
          </cell>
          <cell r="C52" t="str">
            <v>Avery; Bella</v>
          </cell>
          <cell r="D52" t="str">
            <v>1C</v>
          </cell>
          <cell r="E52" t="str">
            <v/>
          </cell>
          <cell r="F52" t="str">
            <v/>
          </cell>
          <cell r="G52" t="str">
            <v/>
          </cell>
          <cell r="H52">
            <v>0</v>
          </cell>
        </row>
        <row r="53">
          <cell r="B53">
            <v>1283</v>
          </cell>
          <cell r="C53" t="str">
            <v>Avelar Palacios; Moises</v>
          </cell>
          <cell r="D53" t="str">
            <v>1C</v>
          </cell>
          <cell r="E53" t="str">
            <v>IBEWOUT</v>
          </cell>
          <cell r="F53" t="str">
            <v>1245</v>
          </cell>
          <cell r="G53" t="str">
            <v>11</v>
          </cell>
          <cell r="H53">
            <v>0</v>
          </cell>
        </row>
        <row r="54">
          <cell r="B54">
            <v>1331</v>
          </cell>
          <cell r="C54" t="str">
            <v>Babb; Mitchell R.</v>
          </cell>
          <cell r="D54" t="str">
            <v>1C</v>
          </cell>
          <cell r="E54" t="str">
            <v>IBEWOUT</v>
          </cell>
          <cell r="F54" t="str">
            <v>1245</v>
          </cell>
          <cell r="G54" t="str">
            <v>8</v>
          </cell>
          <cell r="H54">
            <v>0</v>
          </cell>
        </row>
        <row r="55">
          <cell r="B55">
            <v>1335</v>
          </cell>
          <cell r="C55" t="str">
            <v>Badalamente; Joseph A</v>
          </cell>
          <cell r="D55" t="str">
            <v>1C</v>
          </cell>
          <cell r="E55" t="str">
            <v>IBEWOUT</v>
          </cell>
          <cell r="F55" t="str">
            <v>1049</v>
          </cell>
          <cell r="G55" t="str">
            <v>15</v>
          </cell>
          <cell r="H55">
            <v>0</v>
          </cell>
        </row>
        <row r="56">
          <cell r="B56">
            <v>1338</v>
          </cell>
          <cell r="C56" t="str">
            <v>Bair; Ronald</v>
          </cell>
          <cell r="D56" t="str">
            <v>1</v>
          </cell>
          <cell r="E56" t="str">
            <v/>
          </cell>
          <cell r="F56" t="str">
            <v/>
          </cell>
          <cell r="G56" t="str">
            <v/>
          </cell>
          <cell r="H56">
            <v>0</v>
          </cell>
        </row>
        <row r="57">
          <cell r="B57">
            <v>1352</v>
          </cell>
          <cell r="C57" t="str">
            <v>Bandy; Cameron R</v>
          </cell>
          <cell r="D57" t="str">
            <v>1</v>
          </cell>
          <cell r="E57" t="str">
            <v>IBEWOUT</v>
          </cell>
          <cell r="F57" t="str">
            <v>77</v>
          </cell>
          <cell r="G57" t="str">
            <v>8</v>
          </cell>
          <cell r="H57">
            <v>0</v>
          </cell>
        </row>
        <row r="58">
          <cell r="B58">
            <v>1353</v>
          </cell>
          <cell r="C58" t="str">
            <v>Bannister Jr; Kenneth W</v>
          </cell>
          <cell r="D58" t="str">
            <v>1C</v>
          </cell>
          <cell r="E58" t="str">
            <v>IBEWOUT</v>
          </cell>
          <cell r="F58" t="str">
            <v>1245</v>
          </cell>
          <cell r="G58" t="str">
            <v>8</v>
          </cell>
          <cell r="H58">
            <v>0</v>
          </cell>
        </row>
        <row r="59">
          <cell r="B59">
            <v>1355</v>
          </cell>
          <cell r="C59" t="str">
            <v>Baldridge; Stephen W</v>
          </cell>
          <cell r="D59" t="str">
            <v>1</v>
          </cell>
          <cell r="E59" t="str">
            <v>IBEWOUT</v>
          </cell>
          <cell r="F59" t="str">
            <v>1245</v>
          </cell>
          <cell r="G59" t="str">
            <v>8</v>
          </cell>
          <cell r="H59">
            <v>0</v>
          </cell>
        </row>
        <row r="60">
          <cell r="B60">
            <v>1358</v>
          </cell>
          <cell r="C60" t="str">
            <v>Baldovino; Ernest Dion</v>
          </cell>
          <cell r="D60" t="str">
            <v>1C</v>
          </cell>
          <cell r="E60" t="str">
            <v>IBEWOUT</v>
          </cell>
          <cell r="F60" t="str">
            <v>1049</v>
          </cell>
          <cell r="G60" t="str">
            <v>8</v>
          </cell>
          <cell r="H60">
            <v>0</v>
          </cell>
        </row>
        <row r="61">
          <cell r="B61">
            <v>1359</v>
          </cell>
          <cell r="C61" t="str">
            <v>Bailey; Gary D</v>
          </cell>
          <cell r="D61" t="str">
            <v>1C</v>
          </cell>
          <cell r="E61" t="str">
            <v>IBEWOUT</v>
          </cell>
          <cell r="F61" t="str">
            <v>602R</v>
          </cell>
          <cell r="G61" t="str">
            <v>15T</v>
          </cell>
          <cell r="H61">
            <v>0</v>
          </cell>
        </row>
        <row r="62">
          <cell r="B62">
            <v>1361</v>
          </cell>
          <cell r="C62" t="str">
            <v>Bailey; Michael J</v>
          </cell>
          <cell r="D62" t="str">
            <v>1C</v>
          </cell>
          <cell r="E62" t="str">
            <v>IBEWOUT</v>
          </cell>
          <cell r="F62" t="str">
            <v>483</v>
          </cell>
          <cell r="G62" t="str">
            <v>8</v>
          </cell>
          <cell r="H62">
            <v>0</v>
          </cell>
        </row>
        <row r="63">
          <cell r="B63">
            <v>1365</v>
          </cell>
          <cell r="C63" t="str">
            <v>Bagwell; Douglas W.</v>
          </cell>
          <cell r="D63" t="str">
            <v>1</v>
          </cell>
          <cell r="E63" t="str">
            <v>IBEWOUT</v>
          </cell>
          <cell r="F63" t="str">
            <v>611</v>
          </cell>
          <cell r="G63" t="str">
            <v>16</v>
          </cell>
          <cell r="H63">
            <v>0</v>
          </cell>
        </row>
        <row r="64">
          <cell r="B64">
            <v>1371</v>
          </cell>
          <cell r="C64" t="str">
            <v>Baggerly; Richard A</v>
          </cell>
          <cell r="D64" t="str">
            <v>1C</v>
          </cell>
          <cell r="E64" t="str">
            <v>IBEWOUT</v>
          </cell>
          <cell r="F64" t="str">
            <v>77</v>
          </cell>
          <cell r="G64" t="str">
            <v>17</v>
          </cell>
          <cell r="H64">
            <v>0</v>
          </cell>
        </row>
        <row r="65">
          <cell r="B65">
            <v>1372</v>
          </cell>
          <cell r="C65" t="str">
            <v>Bamer; Gregory F</v>
          </cell>
          <cell r="D65" t="str">
            <v>1C</v>
          </cell>
          <cell r="E65" t="str">
            <v>IBEWOUT</v>
          </cell>
          <cell r="F65" t="str">
            <v>77</v>
          </cell>
          <cell r="G65" t="str">
            <v>7</v>
          </cell>
          <cell r="H65">
            <v>0</v>
          </cell>
        </row>
        <row r="66">
          <cell r="B66">
            <v>1374</v>
          </cell>
          <cell r="C66" t="str">
            <v>Bailey; Matthew</v>
          </cell>
          <cell r="D66" t="str">
            <v>1C</v>
          </cell>
          <cell r="E66" t="str">
            <v>IBEWOUT</v>
          </cell>
          <cell r="F66" t="str">
            <v>47</v>
          </cell>
          <cell r="G66" t="str">
            <v>8</v>
          </cell>
          <cell r="H66">
            <v>0</v>
          </cell>
        </row>
        <row r="67">
          <cell r="B67">
            <v>1377</v>
          </cell>
          <cell r="C67" t="str">
            <v>Baliaris-Salvi; Rajan A</v>
          </cell>
          <cell r="D67" t="str">
            <v>1C</v>
          </cell>
          <cell r="E67" t="str">
            <v>IBEWOUT</v>
          </cell>
          <cell r="F67" t="str">
            <v>1186</v>
          </cell>
          <cell r="G67" t="str">
            <v>18</v>
          </cell>
          <cell r="H67">
            <v>0</v>
          </cell>
        </row>
        <row r="68">
          <cell r="B68">
            <v>1475</v>
          </cell>
          <cell r="C68" t="str">
            <v>Barley; Tyrone L</v>
          </cell>
          <cell r="D68" t="str">
            <v>1C</v>
          </cell>
          <cell r="E68" t="str">
            <v>IBEWOUT</v>
          </cell>
          <cell r="F68" t="str">
            <v>1245</v>
          </cell>
          <cell r="G68" t="str">
            <v>17</v>
          </cell>
          <cell r="H68">
            <v>0</v>
          </cell>
        </row>
        <row r="69">
          <cell r="B69">
            <v>1482</v>
          </cell>
          <cell r="C69" t="str">
            <v>Barcena; Oscar</v>
          </cell>
          <cell r="D69" t="str">
            <v>1C</v>
          </cell>
          <cell r="E69" t="str">
            <v>IBEWOUT</v>
          </cell>
          <cell r="F69" t="str">
            <v>47</v>
          </cell>
          <cell r="G69" t="str">
            <v>17</v>
          </cell>
          <cell r="H69">
            <v>0</v>
          </cell>
        </row>
        <row r="70">
          <cell r="B70">
            <v>1485</v>
          </cell>
          <cell r="C70" t="str">
            <v>Barker; Kyle D.</v>
          </cell>
          <cell r="D70" t="str">
            <v>1C</v>
          </cell>
          <cell r="E70" t="str">
            <v>IBEWOUT</v>
          </cell>
          <cell r="F70" t="str">
            <v>77</v>
          </cell>
          <cell r="G70" t="str">
            <v>12</v>
          </cell>
          <cell r="H70">
            <v>0</v>
          </cell>
        </row>
        <row r="71">
          <cell r="B71">
            <v>1490</v>
          </cell>
          <cell r="C71" t="str">
            <v>Barlow; Gary L</v>
          </cell>
          <cell r="D71" t="str">
            <v>1C</v>
          </cell>
          <cell r="E71" t="str">
            <v>IBEWOUT</v>
          </cell>
          <cell r="F71" t="str">
            <v>47</v>
          </cell>
          <cell r="G71" t="str">
            <v>17</v>
          </cell>
          <cell r="H71">
            <v>0</v>
          </cell>
        </row>
        <row r="72">
          <cell r="B72">
            <v>1491</v>
          </cell>
          <cell r="C72" t="str">
            <v>Barnard; Mathew W.</v>
          </cell>
          <cell r="D72" t="str">
            <v>1</v>
          </cell>
          <cell r="E72" t="str">
            <v>IBEWOUT</v>
          </cell>
          <cell r="F72" t="str">
            <v>47</v>
          </cell>
          <cell r="G72" t="str">
            <v>8</v>
          </cell>
          <cell r="H72">
            <v>0</v>
          </cell>
        </row>
        <row r="73">
          <cell r="B73">
            <v>1500</v>
          </cell>
          <cell r="C73" t="str">
            <v>Barnes; Brian Dale</v>
          </cell>
          <cell r="D73" t="str">
            <v>1C</v>
          </cell>
          <cell r="E73" t="str">
            <v>IBEWOUT</v>
          </cell>
          <cell r="F73" t="str">
            <v>77</v>
          </cell>
          <cell r="G73" t="str">
            <v>7</v>
          </cell>
          <cell r="H73">
            <v>0</v>
          </cell>
        </row>
        <row r="74">
          <cell r="B74">
            <v>1506</v>
          </cell>
          <cell r="C74" t="str">
            <v>Barnes; Rodney</v>
          </cell>
          <cell r="D74" t="str">
            <v>1C</v>
          </cell>
          <cell r="E74" t="str">
            <v>IBEWOUT</v>
          </cell>
          <cell r="F74" t="str">
            <v>47</v>
          </cell>
          <cell r="G74" t="str">
            <v>8</v>
          </cell>
          <cell r="H74">
            <v>0</v>
          </cell>
        </row>
        <row r="75">
          <cell r="B75">
            <v>1527</v>
          </cell>
          <cell r="C75" t="str">
            <v>Bash; Troy S.</v>
          </cell>
          <cell r="D75" t="str">
            <v>1C</v>
          </cell>
          <cell r="E75" t="str">
            <v>IBEWOUT</v>
          </cell>
          <cell r="F75" t="str">
            <v>769</v>
          </cell>
          <cell r="G75" t="str">
            <v>14</v>
          </cell>
          <cell r="H75">
            <v>0</v>
          </cell>
        </row>
        <row r="76">
          <cell r="B76">
            <v>1530</v>
          </cell>
          <cell r="C76" t="str">
            <v>Basham; Geoffery K</v>
          </cell>
          <cell r="D76" t="str">
            <v>1C</v>
          </cell>
          <cell r="E76" t="str">
            <v>IBEWOUT</v>
          </cell>
          <cell r="F76" t="str">
            <v>602R</v>
          </cell>
          <cell r="G76" t="str">
            <v>18</v>
          </cell>
          <cell r="H76">
            <v>0</v>
          </cell>
        </row>
        <row r="77">
          <cell r="B77">
            <v>1532</v>
          </cell>
          <cell r="C77" t="str">
            <v>Battise; Nikolas T</v>
          </cell>
          <cell r="D77" t="str">
            <v>1C</v>
          </cell>
          <cell r="E77" t="str">
            <v>IBEWOUT</v>
          </cell>
          <cell r="F77" t="str">
            <v>47</v>
          </cell>
          <cell r="G77" t="str">
            <v>8</v>
          </cell>
          <cell r="H77">
            <v>0</v>
          </cell>
        </row>
        <row r="78">
          <cell r="B78">
            <v>1533</v>
          </cell>
          <cell r="C78" t="str">
            <v>Barron; Cameron S</v>
          </cell>
          <cell r="D78" t="str">
            <v>1C</v>
          </cell>
          <cell r="E78" t="str">
            <v>IBEWOUT</v>
          </cell>
          <cell r="F78" t="str">
            <v>602R</v>
          </cell>
          <cell r="G78" t="str">
            <v>14T</v>
          </cell>
          <cell r="H78">
            <v>0</v>
          </cell>
        </row>
        <row r="79">
          <cell r="B79">
            <v>1536</v>
          </cell>
          <cell r="C79" t="str">
            <v>Barrows; Trent D</v>
          </cell>
          <cell r="D79" t="str">
            <v>1</v>
          </cell>
          <cell r="E79" t="str">
            <v>IBEWOUT</v>
          </cell>
          <cell r="F79" t="str">
            <v>47</v>
          </cell>
          <cell r="G79" t="str">
            <v>16</v>
          </cell>
          <cell r="H79">
            <v>0</v>
          </cell>
        </row>
        <row r="80">
          <cell r="B80">
            <v>1540</v>
          </cell>
          <cell r="C80" t="str">
            <v>Bates; Daniel D</v>
          </cell>
          <cell r="D80" t="str">
            <v>1</v>
          </cell>
          <cell r="E80" t="str">
            <v>IBEWOUT</v>
          </cell>
          <cell r="F80" t="str">
            <v>77</v>
          </cell>
          <cell r="G80" t="str">
            <v>8</v>
          </cell>
          <cell r="H80">
            <v>0</v>
          </cell>
        </row>
        <row r="81">
          <cell r="B81">
            <v>1554</v>
          </cell>
          <cell r="C81" t="str">
            <v>Beck; Evan D.</v>
          </cell>
          <cell r="D81" t="str">
            <v>1C</v>
          </cell>
          <cell r="E81" t="str">
            <v>IBEWOUT</v>
          </cell>
          <cell r="F81" t="str">
            <v>125</v>
          </cell>
          <cell r="G81" t="str">
            <v>8</v>
          </cell>
          <cell r="H81">
            <v>0</v>
          </cell>
        </row>
        <row r="82">
          <cell r="B82">
            <v>1556</v>
          </cell>
          <cell r="C82" t="str">
            <v>Bednar; Shannon Michael</v>
          </cell>
          <cell r="D82" t="str">
            <v>1C</v>
          </cell>
          <cell r="E82" t="str">
            <v>IBEWOUT</v>
          </cell>
          <cell r="F82" t="str">
            <v>1245</v>
          </cell>
          <cell r="G82" t="str">
            <v>8</v>
          </cell>
          <cell r="H82">
            <v>0</v>
          </cell>
        </row>
        <row r="83">
          <cell r="B83">
            <v>1565</v>
          </cell>
          <cell r="C83" t="str">
            <v>Begaye; Donald</v>
          </cell>
          <cell r="D83" t="str">
            <v>1C</v>
          </cell>
          <cell r="E83" t="str">
            <v>IBEWOUT</v>
          </cell>
          <cell r="F83" t="str">
            <v>769</v>
          </cell>
          <cell r="G83" t="str">
            <v>8</v>
          </cell>
          <cell r="H83">
            <v>0</v>
          </cell>
        </row>
        <row r="84">
          <cell r="B84">
            <v>1568</v>
          </cell>
          <cell r="C84" t="str">
            <v>Beissel; Lee C</v>
          </cell>
          <cell r="D84" t="str">
            <v>1C</v>
          </cell>
          <cell r="E84" t="str">
            <v/>
          </cell>
          <cell r="F84" t="str">
            <v/>
          </cell>
          <cell r="G84" t="str">
            <v/>
          </cell>
          <cell r="H84">
            <v>1</v>
          </cell>
        </row>
        <row r="85">
          <cell r="B85">
            <v>1572</v>
          </cell>
          <cell r="C85" t="str">
            <v>Belcher; Jeffrey James</v>
          </cell>
          <cell r="D85" t="str">
            <v>1C</v>
          </cell>
          <cell r="E85" t="str">
            <v>IBEWOUT</v>
          </cell>
          <cell r="F85" t="str">
            <v>47</v>
          </cell>
          <cell r="G85" t="str">
            <v>8</v>
          </cell>
          <cell r="H85">
            <v>0</v>
          </cell>
        </row>
        <row r="86">
          <cell r="B86">
            <v>1574</v>
          </cell>
          <cell r="C86" t="str">
            <v>Beach; Dale D.</v>
          </cell>
          <cell r="D86" t="str">
            <v>1</v>
          </cell>
          <cell r="E86" t="str">
            <v>IBEWOUT</v>
          </cell>
          <cell r="F86" t="str">
            <v>77</v>
          </cell>
          <cell r="G86" t="str">
            <v>1</v>
          </cell>
          <cell r="H86">
            <v>0</v>
          </cell>
        </row>
        <row r="87">
          <cell r="B87">
            <v>1579</v>
          </cell>
          <cell r="C87" t="str">
            <v>Bauer; Bradley L</v>
          </cell>
          <cell r="D87" t="str">
            <v>1C</v>
          </cell>
          <cell r="E87" t="str">
            <v>IBEWOUT</v>
          </cell>
          <cell r="F87" t="str">
            <v>160</v>
          </cell>
          <cell r="G87" t="str">
            <v>8</v>
          </cell>
          <cell r="H87">
            <v>0</v>
          </cell>
        </row>
        <row r="88">
          <cell r="B88">
            <v>1580</v>
          </cell>
          <cell r="C88" t="str">
            <v>Bell; Edward Douglas</v>
          </cell>
          <cell r="D88" t="str">
            <v>1C</v>
          </cell>
          <cell r="E88" t="str">
            <v>IBEWOUT</v>
          </cell>
          <cell r="F88" t="str">
            <v>1245</v>
          </cell>
          <cell r="G88" t="str">
            <v>8</v>
          </cell>
          <cell r="H88">
            <v>0</v>
          </cell>
        </row>
        <row r="89">
          <cell r="B89">
            <v>1581</v>
          </cell>
          <cell r="C89" t="str">
            <v>Bedoy; Cody J</v>
          </cell>
          <cell r="D89" t="str">
            <v>1C</v>
          </cell>
          <cell r="E89" t="str">
            <v>IBEWOUT</v>
          </cell>
          <cell r="F89" t="str">
            <v>1245</v>
          </cell>
          <cell r="G89" t="str">
            <v>8</v>
          </cell>
          <cell r="H89">
            <v>0</v>
          </cell>
        </row>
        <row r="90">
          <cell r="B90">
            <v>1585</v>
          </cell>
          <cell r="C90" t="str">
            <v>Bellos; Jacob G.</v>
          </cell>
          <cell r="D90" t="str">
            <v>1C</v>
          </cell>
          <cell r="E90" t="str">
            <v>IBEWOUT</v>
          </cell>
          <cell r="F90" t="str">
            <v>77</v>
          </cell>
          <cell r="G90" t="str">
            <v>12</v>
          </cell>
          <cell r="H90">
            <v>0</v>
          </cell>
        </row>
        <row r="91">
          <cell r="B91">
            <v>1586</v>
          </cell>
          <cell r="C91" t="str">
            <v>Beeler; Michael A</v>
          </cell>
          <cell r="D91" t="str">
            <v>1</v>
          </cell>
          <cell r="E91" t="str">
            <v/>
          </cell>
          <cell r="F91" t="str">
            <v/>
          </cell>
          <cell r="G91" t="str">
            <v/>
          </cell>
          <cell r="H91">
            <v>0</v>
          </cell>
        </row>
        <row r="92">
          <cell r="B92">
            <v>1595</v>
          </cell>
          <cell r="C92" t="str">
            <v>Beltran; Juan F</v>
          </cell>
          <cell r="D92" t="str">
            <v>1C</v>
          </cell>
          <cell r="E92" t="str">
            <v>IBEWOUT</v>
          </cell>
          <cell r="F92" t="str">
            <v>47</v>
          </cell>
          <cell r="G92" t="str">
            <v>8</v>
          </cell>
          <cell r="H92">
            <v>0</v>
          </cell>
        </row>
        <row r="93">
          <cell r="B93">
            <v>1598</v>
          </cell>
          <cell r="C93" t="str">
            <v>Becker; Bryan</v>
          </cell>
          <cell r="D93" t="str">
            <v>1C</v>
          </cell>
          <cell r="E93" t="str">
            <v/>
          </cell>
          <cell r="F93" t="str">
            <v/>
          </cell>
          <cell r="G93" t="str">
            <v/>
          </cell>
          <cell r="H93">
            <v>0</v>
          </cell>
        </row>
        <row r="94">
          <cell r="B94">
            <v>1599</v>
          </cell>
          <cell r="C94" t="str">
            <v>Luna Beltran; Ramon</v>
          </cell>
          <cell r="D94" t="str">
            <v>1C</v>
          </cell>
          <cell r="E94" t="str">
            <v>IBEWOUT</v>
          </cell>
          <cell r="F94" t="str">
            <v>1245</v>
          </cell>
          <cell r="G94" t="str">
            <v>17</v>
          </cell>
          <cell r="H94">
            <v>0</v>
          </cell>
        </row>
        <row r="95">
          <cell r="B95">
            <v>1604</v>
          </cell>
          <cell r="C95" t="str">
            <v>Bojt; James E</v>
          </cell>
          <cell r="D95" t="str">
            <v>1C</v>
          </cell>
          <cell r="E95" t="str">
            <v>IBEWOUT</v>
          </cell>
          <cell r="F95" t="str">
            <v>126</v>
          </cell>
          <cell r="G95" t="str">
            <v>7S</v>
          </cell>
          <cell r="H95">
            <v>0</v>
          </cell>
        </row>
        <row r="96">
          <cell r="B96">
            <v>1606</v>
          </cell>
          <cell r="C96" t="str">
            <v>Bock; Nathan Philip</v>
          </cell>
          <cell r="D96" t="str">
            <v>1C</v>
          </cell>
          <cell r="E96" t="str">
            <v>IBEWOUT</v>
          </cell>
          <cell r="F96" t="str">
            <v>77</v>
          </cell>
          <cell r="G96" t="str">
            <v>8</v>
          </cell>
          <cell r="H96">
            <v>0</v>
          </cell>
        </row>
        <row r="97">
          <cell r="B97">
            <v>1608</v>
          </cell>
          <cell r="C97" t="str">
            <v>Boisvert; Harry A</v>
          </cell>
          <cell r="D97" t="str">
            <v>1</v>
          </cell>
          <cell r="E97" t="str">
            <v>IBEWOUT</v>
          </cell>
          <cell r="F97" t="str">
            <v>1245</v>
          </cell>
          <cell r="G97" t="str">
            <v>8</v>
          </cell>
          <cell r="H97">
            <v>0</v>
          </cell>
        </row>
        <row r="98">
          <cell r="B98">
            <v>1610</v>
          </cell>
          <cell r="C98" t="str">
            <v>Belsterling; David J</v>
          </cell>
          <cell r="D98" t="str">
            <v>1C</v>
          </cell>
          <cell r="E98" t="str">
            <v>IBEWOUT</v>
          </cell>
          <cell r="F98" t="str">
            <v>126</v>
          </cell>
          <cell r="G98" t="str">
            <v>13</v>
          </cell>
          <cell r="H98">
            <v>0</v>
          </cell>
        </row>
        <row r="99">
          <cell r="B99">
            <v>1614</v>
          </cell>
          <cell r="C99" t="str">
            <v>Bentley; Lonne</v>
          </cell>
          <cell r="D99" t="str">
            <v>1C</v>
          </cell>
          <cell r="E99" t="str">
            <v>IBEWOUT</v>
          </cell>
          <cell r="F99" t="str">
            <v>77</v>
          </cell>
          <cell r="G99" t="str">
            <v>8</v>
          </cell>
          <cell r="H99">
            <v>0</v>
          </cell>
        </row>
        <row r="100">
          <cell r="B100">
            <v>1616</v>
          </cell>
          <cell r="C100" t="str">
            <v>Bolsover; Amber E</v>
          </cell>
          <cell r="D100" t="str">
            <v>1</v>
          </cell>
          <cell r="E100" t="str">
            <v>IBEWOUT</v>
          </cell>
          <cell r="F100" t="str">
            <v>1245</v>
          </cell>
          <cell r="G100" t="str">
            <v>13</v>
          </cell>
          <cell r="H100">
            <v>0</v>
          </cell>
        </row>
        <row r="101">
          <cell r="B101">
            <v>1621</v>
          </cell>
          <cell r="C101" t="str">
            <v>Boeken; Daniel J</v>
          </cell>
          <cell r="D101" t="str">
            <v>1</v>
          </cell>
          <cell r="E101" t="str">
            <v>IBEWOUT</v>
          </cell>
          <cell r="F101" t="str">
            <v>1245</v>
          </cell>
          <cell r="G101" t="str">
            <v>8</v>
          </cell>
          <cell r="H101">
            <v>0</v>
          </cell>
        </row>
        <row r="102">
          <cell r="B102">
            <v>1647</v>
          </cell>
          <cell r="C102" t="str">
            <v>Baxter; Olliver</v>
          </cell>
          <cell r="D102" t="str">
            <v>1</v>
          </cell>
          <cell r="E102" t="str">
            <v/>
          </cell>
          <cell r="F102" t="str">
            <v/>
          </cell>
          <cell r="G102" t="str">
            <v/>
          </cell>
          <cell r="H102">
            <v>0</v>
          </cell>
        </row>
        <row r="103">
          <cell r="B103">
            <v>1720</v>
          </cell>
          <cell r="C103" t="str">
            <v>Berry; Andrew C.</v>
          </cell>
          <cell r="D103" t="str">
            <v>1</v>
          </cell>
          <cell r="E103" t="str">
            <v>IBEWOUT</v>
          </cell>
          <cell r="F103" t="str">
            <v>47</v>
          </cell>
          <cell r="G103" t="str">
            <v>8</v>
          </cell>
          <cell r="H103">
            <v>0</v>
          </cell>
        </row>
        <row r="104">
          <cell r="B104">
            <v>1738</v>
          </cell>
          <cell r="C104" t="str">
            <v>Bereta Jr; Larry L</v>
          </cell>
          <cell r="D104" t="str">
            <v>1C</v>
          </cell>
          <cell r="E104" t="str">
            <v>IBEWOUT</v>
          </cell>
          <cell r="F104" t="str">
            <v>47</v>
          </cell>
          <cell r="G104" t="str">
            <v>8</v>
          </cell>
          <cell r="H104">
            <v>0</v>
          </cell>
        </row>
        <row r="105">
          <cell r="B105">
            <v>1755</v>
          </cell>
          <cell r="C105" t="str">
            <v>Bibiano; Brandon Lee</v>
          </cell>
          <cell r="D105" t="str">
            <v>1C</v>
          </cell>
          <cell r="E105" t="str">
            <v>IBEWOUT</v>
          </cell>
          <cell r="F105" t="str">
            <v>611</v>
          </cell>
          <cell r="G105" t="str">
            <v>8</v>
          </cell>
          <cell r="H105">
            <v>0</v>
          </cell>
        </row>
        <row r="106">
          <cell r="B106">
            <v>1763</v>
          </cell>
          <cell r="C106" t="str">
            <v>Biggs; Bret S</v>
          </cell>
          <cell r="D106" t="str">
            <v>1C</v>
          </cell>
          <cell r="E106" t="str">
            <v>IBEWOUT</v>
          </cell>
          <cell r="F106" t="str">
            <v>1245</v>
          </cell>
          <cell r="G106" t="str">
            <v>8</v>
          </cell>
          <cell r="H106">
            <v>0</v>
          </cell>
        </row>
        <row r="107">
          <cell r="B107">
            <v>1765</v>
          </cell>
          <cell r="C107" t="str">
            <v>Bettinelli; Rio E</v>
          </cell>
          <cell r="D107" t="str">
            <v>1</v>
          </cell>
          <cell r="E107" t="str">
            <v>IBEWOUT</v>
          </cell>
          <cell r="F107" t="str">
            <v>1245</v>
          </cell>
          <cell r="G107" t="str">
            <v>12</v>
          </cell>
          <cell r="H107">
            <v>0</v>
          </cell>
        </row>
        <row r="108">
          <cell r="B108">
            <v>1769</v>
          </cell>
          <cell r="C108" t="str">
            <v>Bindel; Bruce A.</v>
          </cell>
          <cell r="D108" t="str">
            <v>1C</v>
          </cell>
          <cell r="E108" t="str">
            <v>IBEWOUT</v>
          </cell>
          <cell r="F108" t="str">
            <v>1245</v>
          </cell>
          <cell r="G108" t="str">
            <v>17</v>
          </cell>
          <cell r="H108">
            <v>0</v>
          </cell>
        </row>
        <row r="109">
          <cell r="B109">
            <v>1770</v>
          </cell>
          <cell r="C109" t="str">
            <v>Biro; Brandon J</v>
          </cell>
          <cell r="D109" t="str">
            <v>1C</v>
          </cell>
          <cell r="E109" t="str">
            <v>IBEWOUT</v>
          </cell>
          <cell r="F109" t="str">
            <v>769</v>
          </cell>
          <cell r="G109" t="str">
            <v>17</v>
          </cell>
          <cell r="H109">
            <v>0</v>
          </cell>
        </row>
        <row r="110">
          <cell r="B110">
            <v>1774</v>
          </cell>
          <cell r="C110" t="str">
            <v>Bishop; Clark Bryant</v>
          </cell>
          <cell r="D110" t="str">
            <v>1C</v>
          </cell>
          <cell r="E110" t="str">
            <v>IBEWOUT</v>
          </cell>
          <cell r="F110" t="str">
            <v>1245</v>
          </cell>
          <cell r="G110" t="str">
            <v>8</v>
          </cell>
          <cell r="H110">
            <v>0</v>
          </cell>
        </row>
        <row r="111">
          <cell r="B111">
            <v>1775</v>
          </cell>
          <cell r="C111" t="str">
            <v>Bishop; Andrew M</v>
          </cell>
          <cell r="D111" t="str">
            <v>1C</v>
          </cell>
          <cell r="E111" t="str">
            <v>IBEWOUT</v>
          </cell>
          <cell r="F111" t="str">
            <v>77</v>
          </cell>
          <cell r="G111" t="str">
            <v>23</v>
          </cell>
          <cell r="H111">
            <v>0</v>
          </cell>
        </row>
        <row r="112">
          <cell r="B112">
            <v>1778</v>
          </cell>
          <cell r="C112" t="str">
            <v>Bishop; Toby J.</v>
          </cell>
          <cell r="D112" t="str">
            <v>1C</v>
          </cell>
          <cell r="E112" t="str">
            <v>IBEWOUT</v>
          </cell>
          <cell r="F112" t="str">
            <v>396</v>
          </cell>
          <cell r="G112" t="str">
            <v>8</v>
          </cell>
          <cell r="H112">
            <v>0</v>
          </cell>
        </row>
        <row r="113">
          <cell r="B113">
            <v>1780</v>
          </cell>
          <cell r="C113" t="str">
            <v>Bischoff; Robert S</v>
          </cell>
          <cell r="D113" t="str">
            <v>1C</v>
          </cell>
          <cell r="E113" t="str">
            <v>IBEWOUT</v>
          </cell>
          <cell r="F113" t="str">
            <v>1319</v>
          </cell>
          <cell r="G113" t="str">
            <v>8</v>
          </cell>
          <cell r="H113">
            <v>0</v>
          </cell>
        </row>
        <row r="114">
          <cell r="B114">
            <v>1830</v>
          </cell>
          <cell r="C114" t="str">
            <v>Black; Jonathan Michael</v>
          </cell>
          <cell r="D114" t="str">
            <v>1</v>
          </cell>
          <cell r="E114" t="str">
            <v>IBEWOUT</v>
          </cell>
          <cell r="F114" t="str">
            <v>77</v>
          </cell>
          <cell r="G114" t="str">
            <v>8</v>
          </cell>
          <cell r="H114">
            <v>0</v>
          </cell>
        </row>
        <row r="115">
          <cell r="B115">
            <v>1831</v>
          </cell>
          <cell r="C115" t="str">
            <v>Black; Haven</v>
          </cell>
          <cell r="D115" t="str">
            <v>1C</v>
          </cell>
          <cell r="E115" t="str">
            <v>IBEWOUT</v>
          </cell>
          <cell r="F115" t="str">
            <v>47</v>
          </cell>
          <cell r="G115" t="str">
            <v>17</v>
          </cell>
          <cell r="H115">
            <v>0</v>
          </cell>
        </row>
        <row r="116">
          <cell r="B116">
            <v>1835</v>
          </cell>
          <cell r="C116" t="str">
            <v>Blacksheep; Darrell A.</v>
          </cell>
          <cell r="D116" t="str">
            <v>1C</v>
          </cell>
          <cell r="E116" t="str">
            <v>IBEWOUT</v>
          </cell>
          <cell r="F116" t="str">
            <v>769</v>
          </cell>
          <cell r="G116" t="str">
            <v>8</v>
          </cell>
          <cell r="H116">
            <v>0</v>
          </cell>
        </row>
        <row r="117">
          <cell r="B117">
            <v>1839</v>
          </cell>
          <cell r="C117" t="str">
            <v>Blagg; Michael L.</v>
          </cell>
          <cell r="D117" t="str">
            <v>1C</v>
          </cell>
          <cell r="E117" t="str">
            <v>IBEWOUT</v>
          </cell>
          <cell r="F117" t="str">
            <v>602R</v>
          </cell>
          <cell r="G117" t="str">
            <v>8</v>
          </cell>
          <cell r="H117">
            <v>0</v>
          </cell>
        </row>
        <row r="118">
          <cell r="B118">
            <v>1840</v>
          </cell>
          <cell r="C118" t="str">
            <v>Blair; Garrett T</v>
          </cell>
          <cell r="D118" t="str">
            <v>1</v>
          </cell>
          <cell r="E118" t="str">
            <v>IBEWOUT</v>
          </cell>
          <cell r="F118" t="str">
            <v>47</v>
          </cell>
          <cell r="G118" t="str">
            <v>8</v>
          </cell>
          <cell r="H118">
            <v>0</v>
          </cell>
        </row>
        <row r="119">
          <cell r="B119">
            <v>1842</v>
          </cell>
          <cell r="C119" t="str">
            <v>Blair; Seth W</v>
          </cell>
          <cell r="D119" t="str">
            <v>1</v>
          </cell>
          <cell r="E119" t="str">
            <v>IBEWOUT</v>
          </cell>
          <cell r="F119" t="str">
            <v>47</v>
          </cell>
          <cell r="G119" t="str">
            <v>8</v>
          </cell>
          <cell r="H119">
            <v>0</v>
          </cell>
        </row>
        <row r="120">
          <cell r="B120">
            <v>1846</v>
          </cell>
          <cell r="C120" t="str">
            <v>Blalock; Michael R</v>
          </cell>
          <cell r="D120" t="str">
            <v>1C</v>
          </cell>
          <cell r="E120" t="str">
            <v>IBEWOUT</v>
          </cell>
          <cell r="F120" t="str">
            <v>769</v>
          </cell>
          <cell r="G120" t="str">
            <v>8</v>
          </cell>
          <cell r="H120">
            <v>0</v>
          </cell>
        </row>
        <row r="121">
          <cell r="B121">
            <v>1849</v>
          </cell>
          <cell r="C121" t="str">
            <v>Blakely Jr.; Steven William</v>
          </cell>
          <cell r="D121" t="str">
            <v>1C</v>
          </cell>
          <cell r="E121" t="str">
            <v>IBEWOUT</v>
          </cell>
          <cell r="F121" t="str">
            <v>769</v>
          </cell>
          <cell r="G121" t="str">
            <v>22</v>
          </cell>
          <cell r="H121">
            <v>0</v>
          </cell>
        </row>
        <row r="122">
          <cell r="B122">
            <v>1851</v>
          </cell>
          <cell r="C122" t="str">
            <v>Blakely; Taunia M</v>
          </cell>
          <cell r="D122" t="str">
            <v>1C</v>
          </cell>
          <cell r="E122" t="str">
            <v>IBEWIN</v>
          </cell>
          <cell r="F122" t="str">
            <v>280</v>
          </cell>
          <cell r="G122" t="str">
            <v>61</v>
          </cell>
          <cell r="H122">
            <v>0</v>
          </cell>
        </row>
        <row r="123">
          <cell r="B123">
            <v>1859</v>
          </cell>
          <cell r="C123" t="str">
            <v>Bliudzius; Nicholas J</v>
          </cell>
          <cell r="D123" t="str">
            <v>1</v>
          </cell>
          <cell r="E123" t="str">
            <v>IBEWOUT</v>
          </cell>
          <cell r="F123" t="str">
            <v>1245</v>
          </cell>
          <cell r="G123" t="str">
            <v>17</v>
          </cell>
          <cell r="H123">
            <v>0</v>
          </cell>
        </row>
        <row r="124">
          <cell r="B124">
            <v>1860</v>
          </cell>
          <cell r="C124" t="str">
            <v>Bligh; Brandon R</v>
          </cell>
          <cell r="D124" t="str">
            <v>1C</v>
          </cell>
          <cell r="E124" t="str">
            <v>IBEWOUT</v>
          </cell>
          <cell r="F124" t="str">
            <v>47</v>
          </cell>
          <cell r="G124" t="str">
            <v>8</v>
          </cell>
          <cell r="H124">
            <v>0</v>
          </cell>
        </row>
        <row r="125">
          <cell r="B125">
            <v>1869</v>
          </cell>
          <cell r="C125" t="str">
            <v>Bleak; Coby R</v>
          </cell>
          <cell r="D125" t="str">
            <v>1</v>
          </cell>
          <cell r="E125" t="str">
            <v>IBEWOUT</v>
          </cell>
          <cell r="F125" t="str">
            <v>47</v>
          </cell>
          <cell r="G125" t="str">
            <v>8</v>
          </cell>
          <cell r="H125">
            <v>0</v>
          </cell>
        </row>
        <row r="126">
          <cell r="B126">
            <v>1871</v>
          </cell>
          <cell r="C126" t="str">
            <v>Blount; Undrae A</v>
          </cell>
          <cell r="D126" t="str">
            <v>1C</v>
          </cell>
          <cell r="E126" t="str">
            <v>IBEWOUT</v>
          </cell>
          <cell r="F126" t="str">
            <v>1049</v>
          </cell>
          <cell r="G126" t="str">
            <v>17</v>
          </cell>
          <cell r="H126">
            <v>0</v>
          </cell>
        </row>
        <row r="127">
          <cell r="B127">
            <v>1940</v>
          </cell>
          <cell r="C127" t="str">
            <v>Bond; Bob M.</v>
          </cell>
          <cell r="D127" t="str">
            <v>1C</v>
          </cell>
          <cell r="E127" t="str">
            <v>IBEWOUT</v>
          </cell>
          <cell r="F127" t="str">
            <v>77</v>
          </cell>
          <cell r="G127" t="str">
            <v>8</v>
          </cell>
          <cell r="H127">
            <v>0</v>
          </cell>
        </row>
        <row r="128">
          <cell r="B128">
            <v>1962</v>
          </cell>
          <cell r="C128" t="str">
            <v>Booker; Chris L</v>
          </cell>
          <cell r="D128" t="str">
            <v>1C</v>
          </cell>
          <cell r="E128" t="str">
            <v>IBEWOUT</v>
          </cell>
          <cell r="F128" t="str">
            <v>1245</v>
          </cell>
          <cell r="G128" t="str">
            <v>8</v>
          </cell>
          <cell r="H128">
            <v>0</v>
          </cell>
        </row>
        <row r="129">
          <cell r="B129">
            <v>1970</v>
          </cell>
          <cell r="C129" t="str">
            <v>Booton; Michael G</v>
          </cell>
          <cell r="D129" t="str">
            <v>1C</v>
          </cell>
          <cell r="E129" t="str">
            <v>IBEWOUT</v>
          </cell>
          <cell r="F129" t="str">
            <v>1245</v>
          </cell>
          <cell r="G129" t="str">
            <v>13</v>
          </cell>
          <cell r="H129">
            <v>0</v>
          </cell>
        </row>
        <row r="130">
          <cell r="B130">
            <v>1980</v>
          </cell>
          <cell r="C130" t="str">
            <v>Borboa; Jose C.</v>
          </cell>
          <cell r="D130" t="str">
            <v>1C</v>
          </cell>
          <cell r="E130" t="str">
            <v>IBEWOUT</v>
          </cell>
          <cell r="F130" t="str">
            <v>769</v>
          </cell>
          <cell r="G130" t="str">
            <v>20</v>
          </cell>
          <cell r="H130">
            <v>0</v>
          </cell>
        </row>
        <row r="131">
          <cell r="B131">
            <v>2068</v>
          </cell>
          <cell r="C131" t="str">
            <v>Bauder; Craig Richard</v>
          </cell>
          <cell r="D131" t="str">
            <v>1</v>
          </cell>
          <cell r="E131" t="str">
            <v/>
          </cell>
          <cell r="F131" t="str">
            <v/>
          </cell>
          <cell r="G131" t="str">
            <v/>
          </cell>
          <cell r="H131">
            <v>1</v>
          </cell>
        </row>
        <row r="132">
          <cell r="B132">
            <v>2086</v>
          </cell>
          <cell r="C132" t="str">
            <v>Boulden; Alexander A</v>
          </cell>
          <cell r="D132" t="str">
            <v>1C</v>
          </cell>
          <cell r="E132" t="str">
            <v>IBEWOUT</v>
          </cell>
          <cell r="F132" t="str">
            <v>1245</v>
          </cell>
          <cell r="G132" t="str">
            <v>17</v>
          </cell>
          <cell r="H132">
            <v>0</v>
          </cell>
        </row>
        <row r="133">
          <cell r="B133">
            <v>2090</v>
          </cell>
          <cell r="C133" t="str">
            <v>Bourgeois; Russel L</v>
          </cell>
          <cell r="D133" t="str">
            <v>1C</v>
          </cell>
          <cell r="E133" t="str">
            <v>IBEWOUT</v>
          </cell>
          <cell r="F133" t="str">
            <v>77</v>
          </cell>
          <cell r="G133" t="str">
            <v>8</v>
          </cell>
          <cell r="H133">
            <v>0</v>
          </cell>
        </row>
        <row r="134">
          <cell r="B134">
            <v>2114</v>
          </cell>
          <cell r="C134" t="str">
            <v>Bowie; William B</v>
          </cell>
          <cell r="D134" t="str">
            <v>1C</v>
          </cell>
          <cell r="E134" t="str">
            <v>IBEWOUT</v>
          </cell>
          <cell r="F134" t="str">
            <v>1049</v>
          </cell>
          <cell r="G134" t="str">
            <v>8</v>
          </cell>
          <cell r="H134">
            <v>0</v>
          </cell>
        </row>
        <row r="135">
          <cell r="B135">
            <v>2115</v>
          </cell>
          <cell r="C135" t="str">
            <v>Bowkett; John D</v>
          </cell>
          <cell r="D135" t="str">
            <v>1</v>
          </cell>
          <cell r="E135" t="str">
            <v>IBEWOUT</v>
          </cell>
          <cell r="F135" t="str">
            <v>611</v>
          </cell>
          <cell r="G135" t="str">
            <v>8</v>
          </cell>
          <cell r="H135">
            <v>0</v>
          </cell>
        </row>
        <row r="136">
          <cell r="B136">
            <v>2118</v>
          </cell>
          <cell r="C136" t="str">
            <v>Bautista; Hector N.</v>
          </cell>
          <cell r="D136" t="str">
            <v>1C</v>
          </cell>
          <cell r="E136" t="str">
            <v>IBEWOUT</v>
          </cell>
          <cell r="F136" t="str">
            <v>396</v>
          </cell>
          <cell r="G136" t="str">
            <v>8</v>
          </cell>
          <cell r="H136">
            <v>0</v>
          </cell>
        </row>
        <row r="137">
          <cell r="B137">
            <v>2119</v>
          </cell>
          <cell r="C137" t="str">
            <v>Brandt; Travis M</v>
          </cell>
          <cell r="D137" t="str">
            <v>1</v>
          </cell>
          <cell r="E137" t="str">
            <v>IBEWOUT</v>
          </cell>
          <cell r="F137" t="str">
            <v>47</v>
          </cell>
          <cell r="G137" t="str">
            <v>7</v>
          </cell>
          <cell r="H137">
            <v>0</v>
          </cell>
        </row>
        <row r="138">
          <cell r="B138">
            <v>2128</v>
          </cell>
          <cell r="C138" t="str">
            <v>Braaten; Jason W</v>
          </cell>
          <cell r="D138" t="str">
            <v>1C</v>
          </cell>
          <cell r="E138" t="str">
            <v>IBEWOUT</v>
          </cell>
          <cell r="F138" t="str">
            <v>1245</v>
          </cell>
          <cell r="G138" t="str">
            <v>8</v>
          </cell>
          <cell r="H138">
            <v>0</v>
          </cell>
        </row>
        <row r="139">
          <cell r="B139">
            <v>2129</v>
          </cell>
          <cell r="C139" t="str">
            <v>Bradford; Richard</v>
          </cell>
          <cell r="D139" t="str">
            <v>1C</v>
          </cell>
          <cell r="E139" t="str">
            <v>IBEWOUT</v>
          </cell>
          <cell r="F139" t="str">
            <v>602R</v>
          </cell>
          <cell r="G139" t="str">
            <v>7</v>
          </cell>
          <cell r="H139">
            <v>0</v>
          </cell>
        </row>
        <row r="140">
          <cell r="B140">
            <v>2131</v>
          </cell>
          <cell r="C140" t="str">
            <v>Bradley; Michael W.</v>
          </cell>
          <cell r="D140" t="str">
            <v>1C</v>
          </cell>
          <cell r="E140" t="str">
            <v>IBEWOUT</v>
          </cell>
          <cell r="F140" t="str">
            <v>1245</v>
          </cell>
          <cell r="G140" t="str">
            <v>8</v>
          </cell>
          <cell r="H140">
            <v>0</v>
          </cell>
        </row>
        <row r="141">
          <cell r="B141">
            <v>2136</v>
          </cell>
          <cell r="C141" t="str">
            <v>Boyd Jr.; Philip R.</v>
          </cell>
          <cell r="D141" t="str">
            <v>1C</v>
          </cell>
          <cell r="E141" t="str">
            <v>IBEWOUT</v>
          </cell>
          <cell r="F141" t="str">
            <v>1245</v>
          </cell>
          <cell r="G141" t="str">
            <v>8</v>
          </cell>
          <cell r="H141">
            <v>0</v>
          </cell>
        </row>
        <row r="142">
          <cell r="B142">
            <v>2137</v>
          </cell>
          <cell r="C142" t="str">
            <v>Boyd; Joseph M</v>
          </cell>
          <cell r="D142" t="str">
            <v>1</v>
          </cell>
          <cell r="E142" t="str">
            <v>IBEWOUT</v>
          </cell>
          <cell r="F142" t="str">
            <v>77</v>
          </cell>
          <cell r="G142" t="str">
            <v>12</v>
          </cell>
          <cell r="H142">
            <v>0</v>
          </cell>
        </row>
        <row r="143">
          <cell r="B143">
            <v>2140</v>
          </cell>
          <cell r="C143" t="str">
            <v>Brant; Justin</v>
          </cell>
          <cell r="D143" t="str">
            <v>1C</v>
          </cell>
          <cell r="E143" t="str">
            <v/>
          </cell>
          <cell r="F143" t="str">
            <v/>
          </cell>
          <cell r="G143" t="str">
            <v/>
          </cell>
          <cell r="H143">
            <v>0</v>
          </cell>
        </row>
        <row r="144">
          <cell r="B144">
            <v>2141</v>
          </cell>
          <cell r="C144" t="str">
            <v>Boyle; Kevin T.</v>
          </cell>
          <cell r="D144" t="str">
            <v>1C</v>
          </cell>
          <cell r="E144" t="str">
            <v>IBEWOUT</v>
          </cell>
          <cell r="F144" t="str">
            <v>125</v>
          </cell>
          <cell r="G144" t="str">
            <v>12</v>
          </cell>
          <cell r="H144">
            <v>0</v>
          </cell>
        </row>
        <row r="145">
          <cell r="B145">
            <v>2144</v>
          </cell>
          <cell r="C145" t="str">
            <v>Brdlik; Michael R</v>
          </cell>
          <cell r="D145" t="str">
            <v>1C</v>
          </cell>
          <cell r="E145" t="str">
            <v>IBEWOUT</v>
          </cell>
          <cell r="F145" t="str">
            <v>1245</v>
          </cell>
          <cell r="G145" t="str">
            <v>8</v>
          </cell>
          <cell r="H145">
            <v>0</v>
          </cell>
        </row>
        <row r="146">
          <cell r="B146">
            <v>2174</v>
          </cell>
          <cell r="C146" t="str">
            <v>Breaux; Derrick J</v>
          </cell>
          <cell r="D146" t="str">
            <v>1</v>
          </cell>
          <cell r="E146" t="str">
            <v/>
          </cell>
          <cell r="F146" t="str">
            <v/>
          </cell>
          <cell r="G146" t="str">
            <v/>
          </cell>
          <cell r="H146">
            <v>0</v>
          </cell>
        </row>
        <row r="147">
          <cell r="B147">
            <v>2188</v>
          </cell>
          <cell r="C147" t="str">
            <v>Brennan; Michael D.</v>
          </cell>
          <cell r="D147" t="str">
            <v>1</v>
          </cell>
          <cell r="E147" t="str">
            <v>IBEWOUT</v>
          </cell>
          <cell r="F147" t="str">
            <v>611</v>
          </cell>
          <cell r="G147" t="str">
            <v>7</v>
          </cell>
          <cell r="H147">
            <v>0</v>
          </cell>
        </row>
        <row r="148">
          <cell r="B148">
            <v>2203</v>
          </cell>
          <cell r="C148" t="str">
            <v>Britt; Mitchell L.</v>
          </cell>
          <cell r="D148" t="str">
            <v>1C</v>
          </cell>
          <cell r="E148" t="str">
            <v>IBEWOUT</v>
          </cell>
          <cell r="F148" t="str">
            <v>1245</v>
          </cell>
          <cell r="G148" t="str">
            <v>8</v>
          </cell>
          <cell r="H148">
            <v>0</v>
          </cell>
        </row>
        <row r="149">
          <cell r="B149">
            <v>2205</v>
          </cell>
          <cell r="C149" t="str">
            <v>Britton; Mark C</v>
          </cell>
          <cell r="D149" t="str">
            <v>1</v>
          </cell>
          <cell r="E149" t="str">
            <v/>
          </cell>
          <cell r="F149" t="str">
            <v/>
          </cell>
          <cell r="G149" t="str">
            <v/>
          </cell>
          <cell r="H149">
            <v>1</v>
          </cell>
        </row>
        <row r="150">
          <cell r="B150">
            <v>2210</v>
          </cell>
          <cell r="C150" t="str">
            <v>Brogdon; Case O</v>
          </cell>
          <cell r="D150" t="str">
            <v>1C</v>
          </cell>
          <cell r="E150" t="str">
            <v>IBEWOUT</v>
          </cell>
          <cell r="F150" t="str">
            <v>611</v>
          </cell>
          <cell r="G150" t="str">
            <v>11</v>
          </cell>
          <cell r="H150">
            <v>0</v>
          </cell>
        </row>
        <row r="151">
          <cell r="B151">
            <v>2213</v>
          </cell>
          <cell r="C151" t="str">
            <v>Bronson; Jeffrey Wayne</v>
          </cell>
          <cell r="D151" t="str">
            <v>1</v>
          </cell>
          <cell r="E151" t="str">
            <v>IBEWOUT</v>
          </cell>
          <cell r="F151" t="str">
            <v>1245</v>
          </cell>
          <cell r="G151" t="str">
            <v>1</v>
          </cell>
          <cell r="H151">
            <v>1</v>
          </cell>
        </row>
        <row r="152">
          <cell r="B152">
            <v>2221</v>
          </cell>
          <cell r="C152" t="str">
            <v>Brown; Zebulun M</v>
          </cell>
          <cell r="D152" t="str">
            <v>1</v>
          </cell>
          <cell r="E152" t="str">
            <v>IBEWOUT</v>
          </cell>
          <cell r="F152" t="str">
            <v>77</v>
          </cell>
          <cell r="G152" t="str">
            <v>16</v>
          </cell>
          <cell r="H152">
            <v>0</v>
          </cell>
        </row>
        <row r="153">
          <cell r="B153">
            <v>2223</v>
          </cell>
          <cell r="C153" t="str">
            <v>Childers; Clayton J</v>
          </cell>
          <cell r="D153" t="str">
            <v>1C</v>
          </cell>
          <cell r="E153" t="str">
            <v>IBEWOUT</v>
          </cell>
          <cell r="F153" t="str">
            <v>77</v>
          </cell>
          <cell r="G153" t="str">
            <v>8</v>
          </cell>
          <cell r="H153">
            <v>0</v>
          </cell>
        </row>
        <row r="154">
          <cell r="B154">
            <v>2243</v>
          </cell>
          <cell r="C154" t="str">
            <v>Brown; Kevin C.</v>
          </cell>
          <cell r="D154" t="str">
            <v>1C</v>
          </cell>
          <cell r="E154" t="str">
            <v>IBEWOUT</v>
          </cell>
          <cell r="F154" t="str">
            <v>1245</v>
          </cell>
          <cell r="G154" t="str">
            <v>7</v>
          </cell>
          <cell r="H154">
            <v>0</v>
          </cell>
        </row>
        <row r="155">
          <cell r="B155">
            <v>2265</v>
          </cell>
          <cell r="C155" t="str">
            <v>Brothers; John W</v>
          </cell>
          <cell r="D155" t="str">
            <v>1C</v>
          </cell>
          <cell r="E155" t="str">
            <v/>
          </cell>
          <cell r="F155" t="str">
            <v/>
          </cell>
          <cell r="G155" t="str">
            <v/>
          </cell>
          <cell r="H155">
            <v>0</v>
          </cell>
        </row>
        <row r="156">
          <cell r="B156">
            <v>2268</v>
          </cell>
          <cell r="C156" t="str">
            <v>Brown; Richard R</v>
          </cell>
          <cell r="D156" t="str">
            <v>1C</v>
          </cell>
          <cell r="E156" t="str">
            <v>IBEWOUT</v>
          </cell>
          <cell r="F156" t="str">
            <v>126</v>
          </cell>
          <cell r="G156" t="str">
            <v>16</v>
          </cell>
          <cell r="H156">
            <v>0</v>
          </cell>
        </row>
        <row r="157">
          <cell r="B157">
            <v>2270</v>
          </cell>
          <cell r="C157" t="str">
            <v>Brown; Floyd W</v>
          </cell>
          <cell r="D157" t="str">
            <v>1C</v>
          </cell>
          <cell r="E157" t="str">
            <v>IBEWOUT</v>
          </cell>
          <cell r="F157" t="str">
            <v>769</v>
          </cell>
          <cell r="G157" t="str">
            <v>8</v>
          </cell>
          <cell r="H157">
            <v>0</v>
          </cell>
        </row>
        <row r="158">
          <cell r="B158">
            <v>2279</v>
          </cell>
          <cell r="C158" t="str">
            <v>Bruce; Carson L</v>
          </cell>
          <cell r="D158" t="str">
            <v>1C</v>
          </cell>
          <cell r="E158" t="str">
            <v>IBEWOUT</v>
          </cell>
          <cell r="F158" t="str">
            <v>1245</v>
          </cell>
          <cell r="G158" t="str">
            <v>7</v>
          </cell>
          <cell r="H158">
            <v>0</v>
          </cell>
        </row>
        <row r="159">
          <cell r="B159">
            <v>2341</v>
          </cell>
          <cell r="C159" t="str">
            <v>Buchanan; Jerrett S</v>
          </cell>
          <cell r="D159" t="str">
            <v>1C</v>
          </cell>
          <cell r="E159" t="str">
            <v>IBEWOUT</v>
          </cell>
          <cell r="F159" t="str">
            <v>125</v>
          </cell>
          <cell r="G159" t="str">
            <v>11</v>
          </cell>
          <cell r="H159">
            <v>0</v>
          </cell>
        </row>
        <row r="160">
          <cell r="B160">
            <v>2360</v>
          </cell>
          <cell r="C160" t="str">
            <v>Bunnell; Gregory L</v>
          </cell>
          <cell r="D160" t="str">
            <v>1C</v>
          </cell>
          <cell r="E160" t="str">
            <v>IBEWOUT</v>
          </cell>
          <cell r="F160" t="str">
            <v>1245</v>
          </cell>
          <cell r="G160" t="str">
            <v>8</v>
          </cell>
          <cell r="H160">
            <v>0</v>
          </cell>
        </row>
        <row r="161">
          <cell r="B161">
            <v>2365</v>
          </cell>
          <cell r="C161" t="str">
            <v>Burkhard; Christopher R</v>
          </cell>
          <cell r="D161" t="str">
            <v>1</v>
          </cell>
          <cell r="E161" t="str">
            <v>IBEWOUT</v>
          </cell>
          <cell r="F161" t="str">
            <v>611</v>
          </cell>
          <cell r="G161" t="str">
            <v>7</v>
          </cell>
          <cell r="H161">
            <v>0</v>
          </cell>
        </row>
        <row r="162">
          <cell r="B162">
            <v>2366</v>
          </cell>
          <cell r="C162" t="str">
            <v>Burchett; Justin D.</v>
          </cell>
          <cell r="D162" t="str">
            <v>1C</v>
          </cell>
          <cell r="E162" t="str">
            <v>IBEWOUT</v>
          </cell>
          <cell r="F162" t="str">
            <v>769</v>
          </cell>
          <cell r="G162" t="str">
            <v>15</v>
          </cell>
          <cell r="H162">
            <v>0</v>
          </cell>
        </row>
        <row r="163">
          <cell r="B163">
            <v>2380</v>
          </cell>
          <cell r="C163" t="str">
            <v>Bush; Jeffrey W.</v>
          </cell>
          <cell r="D163" t="str">
            <v>1C</v>
          </cell>
          <cell r="E163" t="str">
            <v>IBEWOUT</v>
          </cell>
          <cell r="F163" t="str">
            <v>769</v>
          </cell>
          <cell r="G163" t="str">
            <v>16</v>
          </cell>
          <cell r="H163">
            <v>0</v>
          </cell>
        </row>
        <row r="164">
          <cell r="B164">
            <v>2388</v>
          </cell>
          <cell r="C164" t="str">
            <v>Buswell; Gannon B.</v>
          </cell>
          <cell r="D164" t="str">
            <v>1</v>
          </cell>
          <cell r="E164" t="str">
            <v/>
          </cell>
          <cell r="F164" t="str">
            <v/>
          </cell>
          <cell r="G164" t="str">
            <v/>
          </cell>
          <cell r="H164">
            <v>1</v>
          </cell>
        </row>
        <row r="165">
          <cell r="B165">
            <v>2389</v>
          </cell>
          <cell r="C165" t="str">
            <v>Bustos; Anthony D</v>
          </cell>
          <cell r="D165" t="str">
            <v>1</v>
          </cell>
          <cell r="E165" t="str">
            <v>IBEWOUT</v>
          </cell>
          <cell r="F165" t="str">
            <v>611</v>
          </cell>
          <cell r="G165" t="str">
            <v>8</v>
          </cell>
          <cell r="H165">
            <v>0</v>
          </cell>
        </row>
        <row r="166">
          <cell r="B166">
            <v>2402</v>
          </cell>
          <cell r="C166" t="str">
            <v>Burt; Matthew P</v>
          </cell>
          <cell r="D166" t="str">
            <v>1C</v>
          </cell>
          <cell r="E166" t="str">
            <v>IBEWOUT</v>
          </cell>
          <cell r="F166" t="str">
            <v>47</v>
          </cell>
          <cell r="G166" t="str">
            <v>8</v>
          </cell>
          <cell r="H166">
            <v>0</v>
          </cell>
        </row>
        <row r="167">
          <cell r="B167">
            <v>2408</v>
          </cell>
          <cell r="C167" t="str">
            <v>Burnett; Eva M</v>
          </cell>
          <cell r="D167" t="str">
            <v>1C</v>
          </cell>
          <cell r="E167" t="str">
            <v>IBEWOUT</v>
          </cell>
          <cell r="F167" t="str">
            <v>47</v>
          </cell>
          <cell r="G167" t="str">
            <v>17</v>
          </cell>
          <cell r="H167">
            <v>0</v>
          </cell>
        </row>
        <row r="168">
          <cell r="B168">
            <v>2420</v>
          </cell>
          <cell r="C168" t="str">
            <v>Butcher; Kody A.</v>
          </cell>
          <cell r="D168" t="str">
            <v>1C</v>
          </cell>
          <cell r="E168" t="str">
            <v>IBEWOUT</v>
          </cell>
          <cell r="F168" t="str">
            <v>1319</v>
          </cell>
          <cell r="G168" t="str">
            <v>12</v>
          </cell>
          <cell r="H168">
            <v>0</v>
          </cell>
        </row>
        <row r="169">
          <cell r="B169">
            <v>2425</v>
          </cell>
          <cell r="C169" t="str">
            <v>Bykonen; Shane R</v>
          </cell>
          <cell r="D169" t="str">
            <v>1</v>
          </cell>
          <cell r="E169" t="str">
            <v>IBEWOUT</v>
          </cell>
          <cell r="F169" t="str">
            <v>1245</v>
          </cell>
          <cell r="G169" t="str">
            <v>8</v>
          </cell>
          <cell r="H169">
            <v>0</v>
          </cell>
        </row>
        <row r="170">
          <cell r="B170">
            <v>2551</v>
          </cell>
          <cell r="C170" t="str">
            <v>Calahan; Stephen D</v>
          </cell>
          <cell r="D170" t="str">
            <v>1</v>
          </cell>
          <cell r="E170" t="str">
            <v>IBEWOUT</v>
          </cell>
          <cell r="F170" t="str">
            <v>47</v>
          </cell>
          <cell r="G170" t="str">
            <v>17</v>
          </cell>
          <cell r="H170">
            <v>0</v>
          </cell>
        </row>
        <row r="171">
          <cell r="B171">
            <v>2555</v>
          </cell>
          <cell r="C171" t="str">
            <v>Cain; Jonathan B</v>
          </cell>
          <cell r="D171" t="str">
            <v>1C</v>
          </cell>
          <cell r="E171" t="str">
            <v>IBEWOUT</v>
          </cell>
          <cell r="F171" t="str">
            <v>1245</v>
          </cell>
          <cell r="G171" t="str">
            <v>8</v>
          </cell>
          <cell r="H171">
            <v>0</v>
          </cell>
        </row>
        <row r="172">
          <cell r="B172">
            <v>2556</v>
          </cell>
          <cell r="C172" t="str">
            <v>Calhoun; Anthony R</v>
          </cell>
          <cell r="D172" t="str">
            <v>1C</v>
          </cell>
          <cell r="E172" t="str">
            <v>IBEWOUT</v>
          </cell>
          <cell r="F172" t="str">
            <v>1245</v>
          </cell>
          <cell r="G172" t="str">
            <v>8</v>
          </cell>
          <cell r="H172">
            <v>0</v>
          </cell>
        </row>
        <row r="173">
          <cell r="B173">
            <v>2557</v>
          </cell>
          <cell r="C173" t="str">
            <v>Caldwell; Shawn D.</v>
          </cell>
          <cell r="D173" t="str">
            <v>1</v>
          </cell>
          <cell r="E173" t="str">
            <v/>
          </cell>
          <cell r="F173" t="str">
            <v/>
          </cell>
          <cell r="G173" t="str">
            <v/>
          </cell>
          <cell r="H173">
            <v>1</v>
          </cell>
        </row>
        <row r="174">
          <cell r="B174">
            <v>2558</v>
          </cell>
          <cell r="C174" t="str">
            <v>Calvillo; Ramon C</v>
          </cell>
          <cell r="D174" t="str">
            <v>1C</v>
          </cell>
          <cell r="E174" t="str">
            <v>IBEWOUT</v>
          </cell>
          <cell r="F174" t="str">
            <v>47</v>
          </cell>
          <cell r="G174" t="str">
            <v>17</v>
          </cell>
          <cell r="H174">
            <v>0</v>
          </cell>
        </row>
        <row r="175">
          <cell r="B175">
            <v>2559</v>
          </cell>
          <cell r="C175" t="str">
            <v>Caldwell; Brian J</v>
          </cell>
          <cell r="D175" t="str">
            <v>1C</v>
          </cell>
          <cell r="E175" t="str">
            <v>IBEWOUT</v>
          </cell>
          <cell r="F175" t="str">
            <v>104</v>
          </cell>
          <cell r="G175" t="str">
            <v>8</v>
          </cell>
          <cell r="H175">
            <v>0</v>
          </cell>
        </row>
        <row r="176">
          <cell r="B176">
            <v>2560</v>
          </cell>
          <cell r="C176" t="str">
            <v>Cage; Cody M</v>
          </cell>
          <cell r="D176" t="str">
            <v>1C</v>
          </cell>
          <cell r="E176" t="str">
            <v>IBEWOUT</v>
          </cell>
          <cell r="F176" t="str">
            <v>1245</v>
          </cell>
          <cell r="G176" t="str">
            <v>8</v>
          </cell>
          <cell r="H176">
            <v>0</v>
          </cell>
        </row>
        <row r="177">
          <cell r="B177">
            <v>2561</v>
          </cell>
          <cell r="C177" t="str">
            <v>Caldwell; Randy C</v>
          </cell>
          <cell r="D177" t="str">
            <v>1C</v>
          </cell>
          <cell r="E177" t="str">
            <v>IBEWOUT</v>
          </cell>
          <cell r="F177" t="str">
            <v>1245</v>
          </cell>
          <cell r="G177" t="str">
            <v>8</v>
          </cell>
          <cell r="H177">
            <v>0</v>
          </cell>
        </row>
        <row r="178">
          <cell r="B178">
            <v>2562</v>
          </cell>
          <cell r="C178" t="str">
            <v>Cady; Chad M</v>
          </cell>
          <cell r="D178" t="str">
            <v>1</v>
          </cell>
          <cell r="E178" t="str">
            <v>IBEWOUT</v>
          </cell>
          <cell r="F178" t="str">
            <v>47</v>
          </cell>
          <cell r="G178" t="str">
            <v>17</v>
          </cell>
          <cell r="H178">
            <v>0</v>
          </cell>
        </row>
        <row r="179">
          <cell r="B179">
            <v>2563</v>
          </cell>
          <cell r="C179" t="str">
            <v>Canal; Adam</v>
          </cell>
          <cell r="D179" t="str">
            <v>1C</v>
          </cell>
          <cell r="E179" t="str">
            <v>IBEWOUT</v>
          </cell>
          <cell r="F179" t="str">
            <v>1245</v>
          </cell>
          <cell r="G179" t="str">
            <v>17</v>
          </cell>
          <cell r="H179">
            <v>0</v>
          </cell>
        </row>
        <row r="180">
          <cell r="B180">
            <v>2572</v>
          </cell>
          <cell r="C180" t="str">
            <v>Carbajal Jr.; Robert E</v>
          </cell>
          <cell r="D180" t="str">
            <v>1C</v>
          </cell>
          <cell r="E180" t="str">
            <v>IBEWOUT</v>
          </cell>
          <cell r="F180" t="str">
            <v>47</v>
          </cell>
          <cell r="G180" t="str">
            <v>8</v>
          </cell>
          <cell r="H180">
            <v>0</v>
          </cell>
        </row>
        <row r="181">
          <cell r="B181">
            <v>2575</v>
          </cell>
          <cell r="C181" t="str">
            <v>Carlon; Ramy M.</v>
          </cell>
          <cell r="D181" t="str">
            <v>1C</v>
          </cell>
          <cell r="E181" t="str">
            <v>IBEWOUT</v>
          </cell>
          <cell r="F181" t="str">
            <v>769</v>
          </cell>
          <cell r="G181" t="str">
            <v>20</v>
          </cell>
          <cell r="H181">
            <v>0</v>
          </cell>
        </row>
        <row r="182">
          <cell r="B182">
            <v>2584</v>
          </cell>
          <cell r="C182" t="str">
            <v>Campas; Abdullah J.</v>
          </cell>
          <cell r="D182" t="str">
            <v>1C</v>
          </cell>
          <cell r="E182" t="str">
            <v>IBEWOUT</v>
          </cell>
          <cell r="F182" t="str">
            <v>769</v>
          </cell>
          <cell r="G182" t="str">
            <v>13</v>
          </cell>
          <cell r="H182">
            <v>0</v>
          </cell>
        </row>
        <row r="183">
          <cell r="B183">
            <v>2591</v>
          </cell>
          <cell r="C183" t="str">
            <v>Camacho II; Christopher B</v>
          </cell>
          <cell r="D183" t="str">
            <v>1C</v>
          </cell>
          <cell r="E183" t="str">
            <v>IBEWOUT</v>
          </cell>
          <cell r="F183" t="str">
            <v>47</v>
          </cell>
          <cell r="G183" t="str">
            <v>13</v>
          </cell>
          <cell r="H183">
            <v>0</v>
          </cell>
        </row>
        <row r="184">
          <cell r="B184">
            <v>2597</v>
          </cell>
          <cell r="C184" t="str">
            <v>Campos; Hector A.</v>
          </cell>
          <cell r="D184" t="str">
            <v>1C</v>
          </cell>
          <cell r="E184" t="str">
            <v>IBEWOUT</v>
          </cell>
          <cell r="F184" t="str">
            <v>769</v>
          </cell>
          <cell r="G184" t="str">
            <v>16</v>
          </cell>
          <cell r="H184">
            <v>0</v>
          </cell>
        </row>
        <row r="185">
          <cell r="B185">
            <v>2616</v>
          </cell>
          <cell r="C185" t="str">
            <v>Carr; Jeffrey A</v>
          </cell>
          <cell r="D185" t="str">
            <v>1C</v>
          </cell>
          <cell r="E185" t="str">
            <v>IBEWOUT</v>
          </cell>
          <cell r="F185" t="str">
            <v>1245</v>
          </cell>
          <cell r="G185" t="str">
            <v>9</v>
          </cell>
          <cell r="H185">
            <v>0</v>
          </cell>
        </row>
        <row r="186">
          <cell r="B186">
            <v>2617</v>
          </cell>
          <cell r="C186" t="str">
            <v>Carlson; Dina M</v>
          </cell>
          <cell r="D186" t="str">
            <v>1</v>
          </cell>
          <cell r="E186" t="str">
            <v/>
          </cell>
          <cell r="F186" t="str">
            <v/>
          </cell>
          <cell r="G186" t="str">
            <v/>
          </cell>
          <cell r="H186">
            <v>1</v>
          </cell>
        </row>
        <row r="187">
          <cell r="B187">
            <v>2621</v>
          </cell>
          <cell r="C187" t="str">
            <v>Carlton; Ryan W</v>
          </cell>
          <cell r="D187" t="str">
            <v>1C</v>
          </cell>
          <cell r="E187" t="str">
            <v>IBEWOUT</v>
          </cell>
          <cell r="F187" t="str">
            <v>77</v>
          </cell>
          <cell r="G187" t="str">
            <v>8</v>
          </cell>
          <cell r="H187">
            <v>0</v>
          </cell>
        </row>
        <row r="188">
          <cell r="B188">
            <v>2622</v>
          </cell>
          <cell r="C188" t="str">
            <v>Carmona; Jonathan H</v>
          </cell>
          <cell r="D188" t="str">
            <v>1C</v>
          </cell>
          <cell r="E188" t="str">
            <v>IBEWOUT</v>
          </cell>
          <cell r="F188" t="str">
            <v>1245</v>
          </cell>
          <cell r="G188" t="str">
            <v>17</v>
          </cell>
          <cell r="H188">
            <v>0</v>
          </cell>
        </row>
        <row r="189">
          <cell r="B189">
            <v>2623</v>
          </cell>
          <cell r="C189" t="str">
            <v>Carrillo; Kylie Dianne</v>
          </cell>
          <cell r="D189" t="str">
            <v>1C</v>
          </cell>
          <cell r="E189" t="str">
            <v/>
          </cell>
          <cell r="F189" t="str">
            <v/>
          </cell>
          <cell r="G189" t="str">
            <v/>
          </cell>
          <cell r="H189">
            <v>0</v>
          </cell>
        </row>
        <row r="190">
          <cell r="B190">
            <v>2626</v>
          </cell>
          <cell r="C190" t="str">
            <v>Carstensen; Joshua J</v>
          </cell>
          <cell r="D190" t="str">
            <v>1C</v>
          </cell>
          <cell r="E190" t="str">
            <v>IBEWOUT</v>
          </cell>
          <cell r="F190" t="str">
            <v>769</v>
          </cell>
          <cell r="G190" t="str">
            <v>8</v>
          </cell>
          <cell r="H190">
            <v>0</v>
          </cell>
        </row>
        <row r="191">
          <cell r="B191">
            <v>2627</v>
          </cell>
          <cell r="C191" t="str">
            <v>Carter; Andrew R.</v>
          </cell>
          <cell r="D191" t="str">
            <v>1C</v>
          </cell>
          <cell r="E191" t="str">
            <v/>
          </cell>
          <cell r="F191" t="str">
            <v/>
          </cell>
          <cell r="G191" t="str">
            <v/>
          </cell>
          <cell r="H191">
            <v>0</v>
          </cell>
        </row>
        <row r="192">
          <cell r="B192">
            <v>2628</v>
          </cell>
          <cell r="C192" t="str">
            <v>Carter; Craig A</v>
          </cell>
          <cell r="D192" t="str">
            <v>1C</v>
          </cell>
          <cell r="E192" t="str">
            <v>IBEWOUT</v>
          </cell>
          <cell r="F192" t="str">
            <v>602R</v>
          </cell>
          <cell r="G192" t="str">
            <v>10T</v>
          </cell>
          <cell r="H192">
            <v>0</v>
          </cell>
        </row>
        <row r="193">
          <cell r="B193">
            <v>2631</v>
          </cell>
          <cell r="C193" t="str">
            <v>Carter; Richard Ashley</v>
          </cell>
          <cell r="D193" t="str">
            <v>1</v>
          </cell>
          <cell r="E193" t="str">
            <v/>
          </cell>
          <cell r="F193" t="str">
            <v/>
          </cell>
          <cell r="G193" t="str">
            <v/>
          </cell>
          <cell r="H193">
            <v>0</v>
          </cell>
        </row>
        <row r="194">
          <cell r="B194">
            <v>2634</v>
          </cell>
          <cell r="C194" t="str">
            <v>Case; Kory V</v>
          </cell>
          <cell r="D194" t="str">
            <v>1</v>
          </cell>
          <cell r="E194" t="str">
            <v>IBEWOUT</v>
          </cell>
          <cell r="F194" t="str">
            <v>1245</v>
          </cell>
          <cell r="G194" t="str">
            <v>1</v>
          </cell>
          <cell r="H194">
            <v>0</v>
          </cell>
        </row>
        <row r="195">
          <cell r="B195">
            <v>2635</v>
          </cell>
          <cell r="C195" t="str">
            <v>Case; Scott R</v>
          </cell>
          <cell r="D195" t="str">
            <v>1C</v>
          </cell>
          <cell r="E195" t="str">
            <v>IBEWOUT</v>
          </cell>
          <cell r="F195" t="str">
            <v>47</v>
          </cell>
          <cell r="G195" t="str">
            <v>8</v>
          </cell>
          <cell r="H195">
            <v>0</v>
          </cell>
        </row>
        <row r="196">
          <cell r="B196">
            <v>2637</v>
          </cell>
          <cell r="C196" t="str">
            <v>Casey; Justin B</v>
          </cell>
          <cell r="D196" t="str">
            <v>1C</v>
          </cell>
          <cell r="E196" t="str">
            <v>IBEWOUT</v>
          </cell>
          <cell r="F196" t="str">
            <v>1245</v>
          </cell>
          <cell r="G196" t="str">
            <v>12</v>
          </cell>
          <cell r="H196">
            <v>0</v>
          </cell>
        </row>
        <row r="197">
          <cell r="B197">
            <v>2638</v>
          </cell>
          <cell r="C197" t="str">
            <v>Cashman; William Brady</v>
          </cell>
          <cell r="D197" t="str">
            <v>1C</v>
          </cell>
          <cell r="E197" t="str">
            <v/>
          </cell>
          <cell r="F197" t="str">
            <v/>
          </cell>
          <cell r="G197" t="str">
            <v/>
          </cell>
          <cell r="H197">
            <v>0</v>
          </cell>
        </row>
        <row r="198">
          <cell r="B198">
            <v>2640</v>
          </cell>
          <cell r="C198" t="str">
            <v>Cavanaugh; Thomas</v>
          </cell>
          <cell r="D198" t="str">
            <v>1C</v>
          </cell>
          <cell r="E198" t="str">
            <v>IBEWOUT</v>
          </cell>
          <cell r="F198" t="str">
            <v>104</v>
          </cell>
          <cell r="G198" t="str">
            <v>33</v>
          </cell>
          <cell r="H198">
            <v>0</v>
          </cell>
        </row>
        <row r="199">
          <cell r="B199">
            <v>2641</v>
          </cell>
          <cell r="C199" t="str">
            <v>Caves; Dustan L</v>
          </cell>
          <cell r="D199" t="str">
            <v>1C</v>
          </cell>
          <cell r="E199" t="str">
            <v>IBEWOUT</v>
          </cell>
          <cell r="F199" t="str">
            <v>602R</v>
          </cell>
          <cell r="G199" t="str">
            <v>8</v>
          </cell>
          <cell r="H199">
            <v>0</v>
          </cell>
        </row>
        <row r="200">
          <cell r="B200">
            <v>2643</v>
          </cell>
          <cell r="C200" t="str">
            <v>Cedillo; Ceasar A</v>
          </cell>
          <cell r="D200" t="str">
            <v>1C</v>
          </cell>
          <cell r="E200" t="str">
            <v>IBEWOUT</v>
          </cell>
          <cell r="F200" t="str">
            <v>47</v>
          </cell>
          <cell r="G200" t="str">
            <v>15</v>
          </cell>
          <cell r="H200">
            <v>0</v>
          </cell>
        </row>
        <row r="201">
          <cell r="B201">
            <v>2646</v>
          </cell>
          <cell r="C201" t="str">
            <v>Castillo; Rudy Remigio</v>
          </cell>
          <cell r="D201" t="str">
            <v>1C</v>
          </cell>
          <cell r="E201" t="str">
            <v>IBEWOUT</v>
          </cell>
          <cell r="F201" t="str">
            <v>47</v>
          </cell>
          <cell r="G201" t="str">
            <v>8</v>
          </cell>
          <cell r="H201">
            <v>0</v>
          </cell>
        </row>
        <row r="202">
          <cell r="B202">
            <v>2647</v>
          </cell>
          <cell r="C202" t="str">
            <v>Castellon; Luis R</v>
          </cell>
          <cell r="D202" t="str">
            <v>1C</v>
          </cell>
          <cell r="E202" t="str">
            <v>IBEWOUT</v>
          </cell>
          <cell r="F202" t="str">
            <v>1245</v>
          </cell>
          <cell r="G202" t="str">
            <v>17</v>
          </cell>
          <cell r="H202">
            <v>0</v>
          </cell>
        </row>
        <row r="203">
          <cell r="B203">
            <v>2652</v>
          </cell>
          <cell r="C203" t="str">
            <v>Catlin; Jeffrey A</v>
          </cell>
          <cell r="D203" t="str">
            <v>1C</v>
          </cell>
          <cell r="E203" t="str">
            <v>IBEWOUT</v>
          </cell>
          <cell r="F203" t="str">
            <v>1245</v>
          </cell>
          <cell r="G203" t="str">
            <v>16</v>
          </cell>
          <cell r="H203">
            <v>0</v>
          </cell>
        </row>
        <row r="204">
          <cell r="B204">
            <v>2653</v>
          </cell>
          <cell r="C204" t="str">
            <v>Campbell; Aaron D</v>
          </cell>
          <cell r="D204" t="str">
            <v>1C</v>
          </cell>
          <cell r="E204" t="str">
            <v>IBEWOUT</v>
          </cell>
          <cell r="F204" t="str">
            <v>77</v>
          </cell>
          <cell r="G204" t="str">
            <v>8</v>
          </cell>
          <cell r="H204">
            <v>0</v>
          </cell>
        </row>
        <row r="205">
          <cell r="B205">
            <v>2658</v>
          </cell>
          <cell r="C205" t="str">
            <v>Casey; Austin J</v>
          </cell>
          <cell r="D205" t="str">
            <v>1C</v>
          </cell>
          <cell r="E205" t="str">
            <v/>
          </cell>
          <cell r="F205" t="str">
            <v/>
          </cell>
          <cell r="G205" t="str">
            <v/>
          </cell>
          <cell r="H205">
            <v>1</v>
          </cell>
        </row>
        <row r="206">
          <cell r="B206">
            <v>2662</v>
          </cell>
          <cell r="C206" t="str">
            <v>Castle; Nicholas C.</v>
          </cell>
          <cell r="D206" t="str">
            <v>1C</v>
          </cell>
          <cell r="E206" t="str">
            <v>IBEWOUT</v>
          </cell>
          <cell r="F206" t="str">
            <v>47</v>
          </cell>
          <cell r="G206" t="str">
            <v>8</v>
          </cell>
          <cell r="H206">
            <v>0</v>
          </cell>
        </row>
        <row r="207">
          <cell r="B207">
            <v>2670</v>
          </cell>
          <cell r="C207" t="str">
            <v>Cartwright; Brandon J</v>
          </cell>
          <cell r="D207" t="str">
            <v>1C</v>
          </cell>
          <cell r="E207" t="str">
            <v>IBEWOUT</v>
          </cell>
          <cell r="F207" t="str">
            <v>1245</v>
          </cell>
          <cell r="G207" t="str">
            <v>8</v>
          </cell>
          <cell r="H207">
            <v>0</v>
          </cell>
        </row>
        <row r="208">
          <cell r="B208">
            <v>2707</v>
          </cell>
          <cell r="C208" t="str">
            <v>Champion; Rusty D.</v>
          </cell>
          <cell r="D208" t="str">
            <v>1C</v>
          </cell>
          <cell r="E208" t="str">
            <v>IBEWOUT</v>
          </cell>
          <cell r="F208" t="str">
            <v>47</v>
          </cell>
          <cell r="G208" t="str">
            <v>17</v>
          </cell>
          <cell r="H208">
            <v>0</v>
          </cell>
        </row>
        <row r="209">
          <cell r="B209">
            <v>2709</v>
          </cell>
          <cell r="C209" t="str">
            <v>Champagne; Ronald R</v>
          </cell>
          <cell r="D209" t="str">
            <v>1C</v>
          </cell>
          <cell r="E209" t="str">
            <v>IBEWOUT</v>
          </cell>
          <cell r="F209" t="str">
            <v>47</v>
          </cell>
          <cell r="G209" t="str">
            <v>8</v>
          </cell>
          <cell r="H209">
            <v>0</v>
          </cell>
        </row>
        <row r="210">
          <cell r="B210">
            <v>2715</v>
          </cell>
          <cell r="C210" t="str">
            <v>Cheatham; Daryl T.</v>
          </cell>
          <cell r="D210" t="str">
            <v>1C</v>
          </cell>
          <cell r="E210" t="str">
            <v>IBEWOUT</v>
          </cell>
          <cell r="F210" t="str">
            <v>47</v>
          </cell>
          <cell r="G210" t="str">
            <v>8</v>
          </cell>
          <cell r="H210">
            <v>0</v>
          </cell>
        </row>
        <row r="211">
          <cell r="B211">
            <v>2716</v>
          </cell>
          <cell r="C211" t="str">
            <v>Chemaly; James Arthur</v>
          </cell>
          <cell r="D211" t="str">
            <v>1</v>
          </cell>
          <cell r="E211" t="str">
            <v>IBEWOUT</v>
          </cell>
          <cell r="F211" t="str">
            <v>769</v>
          </cell>
          <cell r="G211" t="str">
            <v>7</v>
          </cell>
          <cell r="H211">
            <v>0</v>
          </cell>
        </row>
        <row r="212">
          <cell r="B212">
            <v>2718</v>
          </cell>
          <cell r="C212" t="str">
            <v>Chew; Seth D</v>
          </cell>
          <cell r="D212" t="str">
            <v>1C</v>
          </cell>
          <cell r="E212" t="str">
            <v>IBEWOUT</v>
          </cell>
          <cell r="F212" t="str">
            <v>1245</v>
          </cell>
          <cell r="G212" t="str">
            <v>8</v>
          </cell>
          <cell r="H212">
            <v>0</v>
          </cell>
        </row>
        <row r="213">
          <cell r="B213">
            <v>2722</v>
          </cell>
          <cell r="C213" t="str">
            <v>Chennault; Jacob</v>
          </cell>
          <cell r="D213" t="str">
            <v>1C</v>
          </cell>
          <cell r="E213" t="str">
            <v>IBEWOUT</v>
          </cell>
          <cell r="F213" t="str">
            <v>1245</v>
          </cell>
          <cell r="G213" t="str">
            <v>8</v>
          </cell>
          <cell r="H213">
            <v>0</v>
          </cell>
        </row>
        <row r="214">
          <cell r="B214">
            <v>2724</v>
          </cell>
          <cell r="C214" t="str">
            <v>Choron; Romuald Laurent</v>
          </cell>
          <cell r="D214" t="str">
            <v>1C</v>
          </cell>
          <cell r="E214" t="str">
            <v>IBEWOUT</v>
          </cell>
          <cell r="F214" t="str">
            <v>1245</v>
          </cell>
          <cell r="G214" t="str">
            <v>8</v>
          </cell>
          <cell r="H214">
            <v>0</v>
          </cell>
        </row>
        <row r="215">
          <cell r="B215">
            <v>2726</v>
          </cell>
          <cell r="C215" t="str">
            <v>Ciddio; Perez L</v>
          </cell>
          <cell r="D215" t="str">
            <v>1C</v>
          </cell>
          <cell r="E215" t="str">
            <v>IBEWOUT</v>
          </cell>
          <cell r="F215" t="str">
            <v>611</v>
          </cell>
          <cell r="G215" t="str">
            <v>1</v>
          </cell>
          <cell r="H215">
            <v>0</v>
          </cell>
        </row>
        <row r="216">
          <cell r="B216">
            <v>2751</v>
          </cell>
          <cell r="C216" t="str">
            <v>Clark; Benjamin F</v>
          </cell>
          <cell r="D216" t="str">
            <v>1C</v>
          </cell>
          <cell r="E216" t="str">
            <v>IBEWOUT</v>
          </cell>
          <cell r="F216" t="str">
            <v>1245</v>
          </cell>
          <cell r="G216" t="str">
            <v>8</v>
          </cell>
          <cell r="H216">
            <v>0</v>
          </cell>
        </row>
        <row r="217">
          <cell r="B217">
            <v>2753</v>
          </cell>
          <cell r="C217" t="str">
            <v>Clardy; Ryan R</v>
          </cell>
          <cell r="D217" t="str">
            <v>1C</v>
          </cell>
          <cell r="E217" t="str">
            <v>IBEWOUT</v>
          </cell>
          <cell r="F217" t="str">
            <v>602R</v>
          </cell>
          <cell r="G217" t="str">
            <v>8</v>
          </cell>
          <cell r="H217">
            <v>0</v>
          </cell>
        </row>
        <row r="218">
          <cell r="B218">
            <v>2757</v>
          </cell>
          <cell r="C218" t="str">
            <v>Clark; Milton Jay</v>
          </cell>
          <cell r="D218" t="str">
            <v>1</v>
          </cell>
          <cell r="E218" t="str">
            <v>IBEWOUT</v>
          </cell>
          <cell r="F218" t="str">
            <v>47</v>
          </cell>
          <cell r="G218" t="str">
            <v>1</v>
          </cell>
          <cell r="H218">
            <v>0</v>
          </cell>
        </row>
        <row r="219">
          <cell r="B219">
            <v>2759</v>
          </cell>
          <cell r="C219" t="str">
            <v>Clark; Stephen L</v>
          </cell>
          <cell r="D219" t="str">
            <v>1</v>
          </cell>
          <cell r="E219" t="str">
            <v>IBEWOUT</v>
          </cell>
          <cell r="F219" t="str">
            <v>47</v>
          </cell>
          <cell r="G219" t="str">
            <v>8</v>
          </cell>
          <cell r="H219">
            <v>0</v>
          </cell>
        </row>
        <row r="220">
          <cell r="B220">
            <v>2760</v>
          </cell>
          <cell r="C220" t="str">
            <v>Clark; Dakota J</v>
          </cell>
          <cell r="D220" t="str">
            <v>1C</v>
          </cell>
          <cell r="E220" t="str">
            <v>IBEWOUT</v>
          </cell>
          <cell r="F220" t="str">
            <v>1245</v>
          </cell>
          <cell r="G220" t="str">
            <v>14</v>
          </cell>
          <cell r="H220">
            <v>0</v>
          </cell>
        </row>
        <row r="221">
          <cell r="B221">
            <v>2761</v>
          </cell>
          <cell r="C221" t="str">
            <v>Cline; Luke Gordon</v>
          </cell>
          <cell r="D221" t="str">
            <v>1</v>
          </cell>
          <cell r="E221" t="str">
            <v>IBEWOUT</v>
          </cell>
          <cell r="F221" t="str">
            <v>1245</v>
          </cell>
          <cell r="G221" t="str">
            <v>8</v>
          </cell>
          <cell r="H221">
            <v>0</v>
          </cell>
        </row>
        <row r="222">
          <cell r="B222">
            <v>2790</v>
          </cell>
          <cell r="C222" t="str">
            <v>Clawson; Robert R.</v>
          </cell>
          <cell r="D222" t="str">
            <v>1C</v>
          </cell>
          <cell r="E222" t="str">
            <v>IBEWOUT</v>
          </cell>
          <cell r="F222" t="str">
            <v>1245</v>
          </cell>
          <cell r="G222" t="str">
            <v>8</v>
          </cell>
          <cell r="H222">
            <v>0</v>
          </cell>
        </row>
        <row r="223">
          <cell r="B223">
            <v>2796</v>
          </cell>
          <cell r="C223" t="str">
            <v>Clay Jr.; Michael R.</v>
          </cell>
          <cell r="D223" t="str">
            <v>1C</v>
          </cell>
          <cell r="E223" t="str">
            <v>IBEWOUT</v>
          </cell>
          <cell r="F223" t="str">
            <v>47</v>
          </cell>
          <cell r="G223" t="str">
            <v>8</v>
          </cell>
          <cell r="H223">
            <v>0</v>
          </cell>
        </row>
        <row r="224">
          <cell r="B224">
            <v>2798</v>
          </cell>
          <cell r="C224" t="str">
            <v>Chesser; Ronnie E</v>
          </cell>
          <cell r="D224" t="str">
            <v>1</v>
          </cell>
          <cell r="E224" t="str">
            <v>IBEWOUT</v>
          </cell>
          <cell r="F224" t="str">
            <v>70</v>
          </cell>
          <cell r="G224" t="str">
            <v>7</v>
          </cell>
          <cell r="H224">
            <v>0</v>
          </cell>
        </row>
        <row r="225">
          <cell r="B225">
            <v>2802</v>
          </cell>
          <cell r="C225" t="str">
            <v>Clements; Joshua J.</v>
          </cell>
          <cell r="D225" t="str">
            <v>1</v>
          </cell>
          <cell r="E225" t="str">
            <v>IBEWOUT</v>
          </cell>
          <cell r="F225" t="str">
            <v>77</v>
          </cell>
          <cell r="G225" t="str">
            <v>7</v>
          </cell>
          <cell r="H225">
            <v>0</v>
          </cell>
        </row>
        <row r="226">
          <cell r="B226">
            <v>2803</v>
          </cell>
          <cell r="C226" t="str">
            <v>Chandler; Allen L</v>
          </cell>
          <cell r="D226" t="str">
            <v>1C</v>
          </cell>
          <cell r="E226" t="str">
            <v>IBEWOUT</v>
          </cell>
          <cell r="F226" t="str">
            <v>77</v>
          </cell>
          <cell r="G226" t="str">
            <v>17</v>
          </cell>
          <cell r="H226">
            <v>0</v>
          </cell>
        </row>
        <row r="227">
          <cell r="B227">
            <v>2805</v>
          </cell>
          <cell r="C227" t="str">
            <v>Chavez; Eugene G</v>
          </cell>
          <cell r="D227" t="str">
            <v>1C</v>
          </cell>
          <cell r="E227" t="str">
            <v>IBEWOUT</v>
          </cell>
          <cell r="F227" t="str">
            <v>611</v>
          </cell>
          <cell r="G227" t="str">
            <v>17</v>
          </cell>
          <cell r="H227">
            <v>0</v>
          </cell>
        </row>
        <row r="228">
          <cell r="B228">
            <v>2807</v>
          </cell>
          <cell r="C228" t="str">
            <v>Chavez Herrara; Jared</v>
          </cell>
          <cell r="D228" t="str">
            <v>1C</v>
          </cell>
          <cell r="E228" t="str">
            <v/>
          </cell>
          <cell r="F228" t="str">
            <v/>
          </cell>
          <cell r="G228" t="str">
            <v/>
          </cell>
          <cell r="H228">
            <v>0</v>
          </cell>
        </row>
        <row r="229">
          <cell r="B229">
            <v>2815</v>
          </cell>
          <cell r="C229" t="str">
            <v>Christopherson; Stephanie M</v>
          </cell>
          <cell r="D229" t="str">
            <v>1</v>
          </cell>
          <cell r="E229" t="str">
            <v/>
          </cell>
          <cell r="F229" t="str">
            <v/>
          </cell>
          <cell r="G229" t="str">
            <v/>
          </cell>
          <cell r="H229">
            <v>1</v>
          </cell>
        </row>
        <row r="230">
          <cell r="B230">
            <v>2816</v>
          </cell>
          <cell r="C230" t="str">
            <v>Christopherson; Isaac Jo</v>
          </cell>
          <cell r="D230" t="str">
            <v>1</v>
          </cell>
          <cell r="E230" t="str">
            <v>IBEWOUT</v>
          </cell>
          <cell r="F230" t="str">
            <v>125</v>
          </cell>
          <cell r="G230" t="str">
            <v>1</v>
          </cell>
          <cell r="H230">
            <v>0</v>
          </cell>
        </row>
        <row r="231">
          <cell r="B231">
            <v>2817</v>
          </cell>
          <cell r="C231" t="str">
            <v>Christie; John Vincent</v>
          </cell>
          <cell r="D231" t="str">
            <v>1C</v>
          </cell>
          <cell r="E231" t="str">
            <v>IBEWOUT</v>
          </cell>
          <cell r="F231" t="str">
            <v>769</v>
          </cell>
          <cell r="G231" t="str">
            <v>8</v>
          </cell>
          <cell r="H231">
            <v>0</v>
          </cell>
        </row>
        <row r="232">
          <cell r="B232">
            <v>2822</v>
          </cell>
          <cell r="C232" t="str">
            <v>Chaves Jr; Arthur R</v>
          </cell>
          <cell r="D232" t="str">
            <v>1C</v>
          </cell>
          <cell r="E232" t="str">
            <v>IBEWOUT</v>
          </cell>
          <cell r="F232" t="str">
            <v>47</v>
          </cell>
          <cell r="G232" t="str">
            <v>17</v>
          </cell>
          <cell r="H232">
            <v>0</v>
          </cell>
        </row>
        <row r="233">
          <cell r="B233">
            <v>2830</v>
          </cell>
          <cell r="C233" t="str">
            <v>Christensen; Shane M</v>
          </cell>
          <cell r="D233" t="str">
            <v>1</v>
          </cell>
          <cell r="E233" t="str">
            <v>IBEWOUT</v>
          </cell>
          <cell r="F233" t="str">
            <v>47</v>
          </cell>
          <cell r="G233" t="str">
            <v>7</v>
          </cell>
          <cell r="H233">
            <v>0</v>
          </cell>
        </row>
        <row r="234">
          <cell r="B234">
            <v>2834</v>
          </cell>
          <cell r="C234" t="str">
            <v>Clause; Jason James</v>
          </cell>
          <cell r="D234" t="str">
            <v>1C</v>
          </cell>
          <cell r="E234" t="str">
            <v>IBEWOUT</v>
          </cell>
          <cell r="F234" t="str">
            <v>1245</v>
          </cell>
          <cell r="G234" t="str">
            <v>8</v>
          </cell>
          <cell r="H234">
            <v>0</v>
          </cell>
        </row>
        <row r="235">
          <cell r="B235">
            <v>2856</v>
          </cell>
          <cell r="C235" t="str">
            <v>Collins; John C</v>
          </cell>
          <cell r="D235" t="str">
            <v>1C</v>
          </cell>
          <cell r="E235" t="str">
            <v/>
          </cell>
          <cell r="F235" t="str">
            <v/>
          </cell>
          <cell r="G235" t="str">
            <v/>
          </cell>
          <cell r="H235">
            <v>0</v>
          </cell>
        </row>
        <row r="236">
          <cell r="B236">
            <v>2881</v>
          </cell>
          <cell r="C236" t="str">
            <v>Conner; Michael Joseph</v>
          </cell>
          <cell r="D236" t="str">
            <v>1C</v>
          </cell>
          <cell r="E236" t="str">
            <v>IBEWOUT</v>
          </cell>
          <cell r="F236" t="str">
            <v>47</v>
          </cell>
          <cell r="G236" t="str">
            <v>16</v>
          </cell>
          <cell r="H236">
            <v>0</v>
          </cell>
        </row>
        <row r="237">
          <cell r="B237">
            <v>2884</v>
          </cell>
          <cell r="C237" t="str">
            <v>Cohen; Steven J</v>
          </cell>
          <cell r="D237" t="str">
            <v>1C</v>
          </cell>
          <cell r="E237" t="str">
            <v>OPERT ENG</v>
          </cell>
          <cell r="F237" t="str">
            <v>138</v>
          </cell>
          <cell r="G237" t="str">
            <v>34</v>
          </cell>
          <cell r="H237">
            <v>0</v>
          </cell>
        </row>
        <row r="238">
          <cell r="B238">
            <v>2885</v>
          </cell>
          <cell r="C238" t="str">
            <v>Coleman; David L</v>
          </cell>
          <cell r="D238" t="str">
            <v>1C</v>
          </cell>
          <cell r="E238" t="str">
            <v>IBEWOUT</v>
          </cell>
          <cell r="F238" t="str">
            <v>1245</v>
          </cell>
          <cell r="G238" t="str">
            <v>7</v>
          </cell>
          <cell r="H238">
            <v>0</v>
          </cell>
        </row>
        <row r="239">
          <cell r="B239">
            <v>2886</v>
          </cell>
          <cell r="C239" t="str">
            <v>Coleman; David Scott</v>
          </cell>
          <cell r="D239" t="str">
            <v>1C</v>
          </cell>
          <cell r="E239" t="str">
            <v>IBEWOUT</v>
          </cell>
          <cell r="F239" t="str">
            <v>769</v>
          </cell>
          <cell r="G239" t="str">
            <v>16</v>
          </cell>
          <cell r="H239">
            <v>0</v>
          </cell>
        </row>
        <row r="240">
          <cell r="B240">
            <v>2889</v>
          </cell>
          <cell r="C240" t="str">
            <v>Condoll; Brenton K.</v>
          </cell>
          <cell r="D240" t="str">
            <v>1C</v>
          </cell>
          <cell r="E240" t="str">
            <v>IBEWOUT</v>
          </cell>
          <cell r="F240" t="str">
            <v>769</v>
          </cell>
          <cell r="G240" t="str">
            <v>8</v>
          </cell>
          <cell r="H240">
            <v>0</v>
          </cell>
        </row>
        <row r="241">
          <cell r="B241">
            <v>2890</v>
          </cell>
          <cell r="C241" t="str">
            <v>Connor; Phillip A.</v>
          </cell>
          <cell r="D241" t="str">
            <v>1</v>
          </cell>
          <cell r="E241" t="str">
            <v/>
          </cell>
          <cell r="F241" t="str">
            <v/>
          </cell>
          <cell r="G241" t="str">
            <v/>
          </cell>
          <cell r="H241">
            <v>1</v>
          </cell>
        </row>
        <row r="242">
          <cell r="B242">
            <v>2893</v>
          </cell>
          <cell r="C242" t="str">
            <v>Churchman; Garyn M</v>
          </cell>
          <cell r="D242" t="str">
            <v>1C</v>
          </cell>
          <cell r="E242" t="str">
            <v>IBEWOUT</v>
          </cell>
          <cell r="F242" t="str">
            <v>77</v>
          </cell>
          <cell r="G242" t="str">
            <v>11</v>
          </cell>
          <cell r="H242">
            <v>0</v>
          </cell>
        </row>
        <row r="243">
          <cell r="B243">
            <v>2894</v>
          </cell>
          <cell r="C243" t="str">
            <v>Coffelt; Kenneth</v>
          </cell>
          <cell r="D243" t="str">
            <v>1C</v>
          </cell>
          <cell r="E243" t="str">
            <v/>
          </cell>
          <cell r="F243" t="str">
            <v/>
          </cell>
          <cell r="G243" t="str">
            <v/>
          </cell>
          <cell r="H243">
            <v>0</v>
          </cell>
        </row>
        <row r="244">
          <cell r="B244">
            <v>2897</v>
          </cell>
          <cell r="C244" t="str">
            <v>Conrad; Pamela A</v>
          </cell>
          <cell r="D244" t="str">
            <v>1C</v>
          </cell>
          <cell r="E244" t="str">
            <v>IBEWOUT</v>
          </cell>
          <cell r="F244" t="str">
            <v>769</v>
          </cell>
          <cell r="G244" t="str">
            <v>7</v>
          </cell>
          <cell r="H244">
            <v>0</v>
          </cell>
        </row>
        <row r="245">
          <cell r="B245">
            <v>2899</v>
          </cell>
          <cell r="C245" t="str">
            <v>Conrad; Thomas H</v>
          </cell>
          <cell r="D245" t="str">
            <v>1C</v>
          </cell>
          <cell r="E245" t="str">
            <v>IBEWOUT</v>
          </cell>
          <cell r="F245" t="str">
            <v>769</v>
          </cell>
          <cell r="G245" t="str">
            <v>7</v>
          </cell>
          <cell r="H245">
            <v>0</v>
          </cell>
        </row>
        <row r="246">
          <cell r="B246">
            <v>2902</v>
          </cell>
          <cell r="C246" t="str">
            <v>Colvin; Brian M</v>
          </cell>
          <cell r="D246" t="str">
            <v>1C</v>
          </cell>
          <cell r="E246" t="str">
            <v>IBEWOUT</v>
          </cell>
          <cell r="F246" t="str">
            <v>1245</v>
          </cell>
          <cell r="G246" t="str">
            <v>8</v>
          </cell>
          <cell r="H246">
            <v>0</v>
          </cell>
        </row>
        <row r="247">
          <cell r="B247">
            <v>2903</v>
          </cell>
          <cell r="C247" t="str">
            <v>Conde; Carleton John</v>
          </cell>
          <cell r="D247" t="str">
            <v>1C</v>
          </cell>
          <cell r="E247" t="str">
            <v>IBEWOUT</v>
          </cell>
          <cell r="F247" t="str">
            <v>769</v>
          </cell>
          <cell r="G247" t="str">
            <v>22</v>
          </cell>
          <cell r="H247">
            <v>0</v>
          </cell>
        </row>
        <row r="248">
          <cell r="B248">
            <v>2904</v>
          </cell>
          <cell r="C248" t="str">
            <v>Cole Jr.; William C.</v>
          </cell>
          <cell r="D248" t="str">
            <v>1C</v>
          </cell>
          <cell r="E248" t="str">
            <v/>
          </cell>
          <cell r="F248" t="str">
            <v/>
          </cell>
          <cell r="G248" t="str">
            <v/>
          </cell>
          <cell r="H248">
            <v>0</v>
          </cell>
        </row>
        <row r="249">
          <cell r="B249">
            <v>2905</v>
          </cell>
          <cell r="C249" t="str">
            <v>Cocotis; Shayne G.</v>
          </cell>
          <cell r="D249" t="str">
            <v>1C</v>
          </cell>
          <cell r="E249" t="str">
            <v>IBEWOUT</v>
          </cell>
          <cell r="F249" t="str">
            <v>1245</v>
          </cell>
          <cell r="G249" t="str">
            <v>14</v>
          </cell>
          <cell r="H249">
            <v>0</v>
          </cell>
        </row>
        <row r="250">
          <cell r="B250">
            <v>2909</v>
          </cell>
          <cell r="C250" t="str">
            <v>Comer; James S</v>
          </cell>
          <cell r="D250" t="str">
            <v>1C</v>
          </cell>
          <cell r="E250" t="str">
            <v>IBEWOUT</v>
          </cell>
          <cell r="F250" t="str">
            <v>1049</v>
          </cell>
          <cell r="G250" t="str">
            <v>8</v>
          </cell>
          <cell r="H250">
            <v>0</v>
          </cell>
        </row>
        <row r="251">
          <cell r="B251">
            <v>2912</v>
          </cell>
          <cell r="C251" t="str">
            <v>Conway; Dustyn D</v>
          </cell>
          <cell r="D251" t="str">
            <v>1</v>
          </cell>
          <cell r="E251" t="str">
            <v>IBEWOUT</v>
          </cell>
          <cell r="F251" t="str">
            <v>1245</v>
          </cell>
          <cell r="G251" t="str">
            <v>8</v>
          </cell>
          <cell r="H251">
            <v>0</v>
          </cell>
        </row>
        <row r="252">
          <cell r="B252">
            <v>2975</v>
          </cell>
          <cell r="C252" t="str">
            <v>Coolbaugh; Brandon S.</v>
          </cell>
          <cell r="D252" t="str">
            <v>1C</v>
          </cell>
          <cell r="E252" t="str">
            <v>IBEWOUT</v>
          </cell>
          <cell r="F252" t="str">
            <v>1319</v>
          </cell>
          <cell r="G252" t="str">
            <v>12</v>
          </cell>
          <cell r="H252">
            <v>0</v>
          </cell>
        </row>
        <row r="253">
          <cell r="B253">
            <v>3002</v>
          </cell>
          <cell r="C253" t="str">
            <v>Cooper; Russell L</v>
          </cell>
          <cell r="D253" t="str">
            <v>1</v>
          </cell>
          <cell r="E253" t="str">
            <v/>
          </cell>
          <cell r="F253" t="str">
            <v/>
          </cell>
          <cell r="G253" t="str">
            <v/>
          </cell>
          <cell r="H253">
            <v>1</v>
          </cell>
        </row>
        <row r="254">
          <cell r="B254">
            <v>3004</v>
          </cell>
          <cell r="C254" t="str">
            <v>Cooper; Kelly D</v>
          </cell>
          <cell r="D254" t="str">
            <v>1C</v>
          </cell>
          <cell r="E254" t="str">
            <v>IBEWOUT</v>
          </cell>
          <cell r="F254" t="str">
            <v>1245</v>
          </cell>
          <cell r="G254" t="str">
            <v>17</v>
          </cell>
          <cell r="H254">
            <v>0</v>
          </cell>
        </row>
        <row r="255">
          <cell r="B255">
            <v>3010</v>
          </cell>
          <cell r="C255" t="str">
            <v>Copen; James R</v>
          </cell>
          <cell r="D255" t="str">
            <v>1C</v>
          </cell>
          <cell r="E255" t="str">
            <v>IBEWOUT</v>
          </cell>
          <cell r="F255" t="str">
            <v>1245</v>
          </cell>
          <cell r="G255" t="str">
            <v>8</v>
          </cell>
          <cell r="H255">
            <v>0</v>
          </cell>
        </row>
        <row r="256">
          <cell r="B256">
            <v>3020</v>
          </cell>
          <cell r="C256" t="str">
            <v>Corbin; Aaron</v>
          </cell>
          <cell r="D256" t="str">
            <v>1C</v>
          </cell>
          <cell r="E256" t="str">
            <v>IBEWOUT</v>
          </cell>
          <cell r="F256" t="str">
            <v>1245</v>
          </cell>
          <cell r="G256" t="str">
            <v>8</v>
          </cell>
          <cell r="H256">
            <v>0</v>
          </cell>
        </row>
        <row r="257">
          <cell r="B257">
            <v>3028</v>
          </cell>
          <cell r="C257" t="str">
            <v>Cornett; Michael J</v>
          </cell>
          <cell r="D257" t="str">
            <v>1C</v>
          </cell>
          <cell r="E257" t="str">
            <v>IBEWOUT</v>
          </cell>
          <cell r="F257" t="str">
            <v>47</v>
          </cell>
          <cell r="G257" t="str">
            <v>17</v>
          </cell>
          <cell r="H257">
            <v>0</v>
          </cell>
        </row>
        <row r="258">
          <cell r="B258">
            <v>3029</v>
          </cell>
          <cell r="C258" t="str">
            <v>Cordova; Stephen R</v>
          </cell>
          <cell r="D258" t="str">
            <v>1C</v>
          </cell>
          <cell r="E258" t="str">
            <v>IBEWOUT</v>
          </cell>
          <cell r="F258" t="str">
            <v>1245</v>
          </cell>
          <cell r="G258" t="str">
            <v>8</v>
          </cell>
          <cell r="H258">
            <v>0</v>
          </cell>
        </row>
        <row r="259">
          <cell r="B259">
            <v>3030</v>
          </cell>
          <cell r="C259" t="str">
            <v>Cordova; John J</v>
          </cell>
          <cell r="D259" t="str">
            <v>1C</v>
          </cell>
          <cell r="E259" t="str">
            <v>IBEWOUT</v>
          </cell>
          <cell r="F259" t="str">
            <v>602R</v>
          </cell>
          <cell r="G259" t="str">
            <v>8</v>
          </cell>
          <cell r="H259">
            <v>0</v>
          </cell>
        </row>
        <row r="260">
          <cell r="B260">
            <v>3034</v>
          </cell>
          <cell r="C260" t="str">
            <v>Corsetti; Michael A</v>
          </cell>
          <cell r="D260" t="str">
            <v>1C</v>
          </cell>
          <cell r="E260" t="str">
            <v>IBEWOUT</v>
          </cell>
          <cell r="F260" t="str">
            <v>126</v>
          </cell>
          <cell r="G260" t="str">
            <v>33</v>
          </cell>
          <cell r="H260">
            <v>0</v>
          </cell>
        </row>
        <row r="261">
          <cell r="B261">
            <v>3045</v>
          </cell>
          <cell r="C261" t="str">
            <v>Covey; Lawrence Peter</v>
          </cell>
          <cell r="D261" t="str">
            <v>1C</v>
          </cell>
          <cell r="E261" t="str">
            <v>IBEWOUT</v>
          </cell>
          <cell r="F261" t="str">
            <v>1245</v>
          </cell>
          <cell r="G261" t="str">
            <v>1</v>
          </cell>
          <cell r="H261">
            <v>0</v>
          </cell>
        </row>
        <row r="262">
          <cell r="B262">
            <v>3046</v>
          </cell>
          <cell r="C262" t="str">
            <v>Cozad; Joshua L</v>
          </cell>
          <cell r="D262" t="str">
            <v>1C</v>
          </cell>
          <cell r="E262" t="str">
            <v>IBEWOUT</v>
          </cell>
          <cell r="F262" t="str">
            <v>1245</v>
          </cell>
          <cell r="G262" t="str">
            <v>8</v>
          </cell>
          <cell r="H262">
            <v>0</v>
          </cell>
        </row>
        <row r="263">
          <cell r="B263">
            <v>3047</v>
          </cell>
          <cell r="C263" t="str">
            <v>Coulson; Christopher D</v>
          </cell>
          <cell r="D263" t="str">
            <v>1</v>
          </cell>
          <cell r="E263" t="str">
            <v/>
          </cell>
          <cell r="F263" t="str">
            <v/>
          </cell>
          <cell r="G263" t="str">
            <v/>
          </cell>
          <cell r="H263">
            <v>0</v>
          </cell>
        </row>
        <row r="264">
          <cell r="B264">
            <v>3048</v>
          </cell>
          <cell r="C264" t="str">
            <v>Cousland; Peter D.</v>
          </cell>
          <cell r="D264" t="str">
            <v>1C</v>
          </cell>
          <cell r="E264" t="str">
            <v>IBEWOUT</v>
          </cell>
          <cell r="F264" t="str">
            <v>77</v>
          </cell>
          <cell r="G264" t="str">
            <v>8</v>
          </cell>
          <cell r="H264">
            <v>0</v>
          </cell>
        </row>
        <row r="265">
          <cell r="B265">
            <v>3049</v>
          </cell>
          <cell r="C265" t="str">
            <v>Coury; Andrew A</v>
          </cell>
          <cell r="D265" t="str">
            <v>1C</v>
          </cell>
          <cell r="E265" t="str">
            <v>IBEWOUT</v>
          </cell>
          <cell r="F265" t="str">
            <v>1245</v>
          </cell>
          <cell r="G265" t="str">
            <v>8</v>
          </cell>
          <cell r="H265">
            <v>0</v>
          </cell>
        </row>
        <row r="266">
          <cell r="B266">
            <v>3050</v>
          </cell>
          <cell r="C266" t="str">
            <v>Cortez; Daniel R</v>
          </cell>
          <cell r="D266" t="str">
            <v>1</v>
          </cell>
          <cell r="E266" t="str">
            <v>IBEWOUT</v>
          </cell>
          <cell r="F266" t="str">
            <v>47</v>
          </cell>
          <cell r="G266" t="str">
            <v>8</v>
          </cell>
          <cell r="H266">
            <v>0</v>
          </cell>
        </row>
        <row r="267">
          <cell r="B267">
            <v>3051</v>
          </cell>
          <cell r="C267" t="str">
            <v>Cortez; David Esteban</v>
          </cell>
          <cell r="D267" t="str">
            <v>1</v>
          </cell>
          <cell r="E267" t="str">
            <v>IBEWOUT</v>
          </cell>
          <cell r="F267" t="str">
            <v>47</v>
          </cell>
          <cell r="G267" t="str">
            <v>7</v>
          </cell>
          <cell r="H267">
            <v>0</v>
          </cell>
        </row>
        <row r="268">
          <cell r="B268">
            <v>3052</v>
          </cell>
          <cell r="C268" t="str">
            <v>Coscarart; Juan</v>
          </cell>
          <cell r="D268" t="str">
            <v>1C</v>
          </cell>
          <cell r="E268" t="str">
            <v>IBEWOUT</v>
          </cell>
          <cell r="F268" t="str">
            <v>47</v>
          </cell>
          <cell r="G268" t="str">
            <v>8</v>
          </cell>
          <cell r="H268">
            <v>0</v>
          </cell>
        </row>
        <row r="269">
          <cell r="B269">
            <v>3062</v>
          </cell>
          <cell r="C269" t="str">
            <v>Cox; Jody F.</v>
          </cell>
          <cell r="D269" t="str">
            <v>1C</v>
          </cell>
          <cell r="E269" t="str">
            <v>IBEWOUT</v>
          </cell>
          <cell r="F269" t="str">
            <v>47</v>
          </cell>
          <cell r="G269" t="str">
            <v>7</v>
          </cell>
          <cell r="H269">
            <v>0</v>
          </cell>
        </row>
        <row r="270">
          <cell r="B270">
            <v>3068</v>
          </cell>
          <cell r="C270" t="str">
            <v>Crabtree; Leroy J</v>
          </cell>
          <cell r="D270" t="str">
            <v>1C</v>
          </cell>
          <cell r="E270" t="str">
            <v/>
          </cell>
          <cell r="F270" t="str">
            <v/>
          </cell>
          <cell r="G270" t="str">
            <v/>
          </cell>
          <cell r="H270">
            <v>0</v>
          </cell>
        </row>
        <row r="271">
          <cell r="B271">
            <v>3072</v>
          </cell>
          <cell r="C271" t="str">
            <v>Crabtree; Cassandra R.</v>
          </cell>
          <cell r="D271" t="str">
            <v>1</v>
          </cell>
          <cell r="E271" t="str">
            <v>IBEWOUT</v>
          </cell>
          <cell r="F271" t="str">
            <v>77</v>
          </cell>
          <cell r="G271" t="str">
            <v>9</v>
          </cell>
          <cell r="H271">
            <v>0</v>
          </cell>
        </row>
        <row r="272">
          <cell r="B272">
            <v>3075</v>
          </cell>
          <cell r="C272" t="str">
            <v>Craver; Adam S</v>
          </cell>
          <cell r="D272" t="str">
            <v>1C</v>
          </cell>
          <cell r="E272" t="str">
            <v>IBEWOUT</v>
          </cell>
          <cell r="F272" t="str">
            <v>77</v>
          </cell>
          <cell r="G272" t="str">
            <v>8</v>
          </cell>
          <cell r="H272">
            <v>0</v>
          </cell>
        </row>
        <row r="273">
          <cell r="B273">
            <v>3079</v>
          </cell>
          <cell r="C273" t="str">
            <v>Creighton; Mark Jeffrey</v>
          </cell>
          <cell r="D273" t="str">
            <v>1C</v>
          </cell>
          <cell r="E273" t="str">
            <v>IBEWOUT</v>
          </cell>
          <cell r="F273" t="str">
            <v>125</v>
          </cell>
          <cell r="G273" t="str">
            <v>33</v>
          </cell>
          <cell r="H273">
            <v>0</v>
          </cell>
        </row>
        <row r="274">
          <cell r="B274">
            <v>3082</v>
          </cell>
          <cell r="C274" t="str">
            <v>Cross; Mitchel Dee</v>
          </cell>
          <cell r="D274" t="str">
            <v>1C</v>
          </cell>
          <cell r="E274" t="str">
            <v>IBEWOUT</v>
          </cell>
          <cell r="F274" t="str">
            <v>769</v>
          </cell>
          <cell r="G274" t="str">
            <v>7</v>
          </cell>
          <cell r="H274">
            <v>0</v>
          </cell>
        </row>
        <row r="275">
          <cell r="B275">
            <v>3084</v>
          </cell>
          <cell r="C275" t="str">
            <v>Crowder; Joseph Dennis</v>
          </cell>
          <cell r="D275" t="str">
            <v>1C</v>
          </cell>
          <cell r="E275" t="str">
            <v>IBEWOUT</v>
          </cell>
          <cell r="F275" t="str">
            <v>47</v>
          </cell>
          <cell r="G275" t="str">
            <v>16</v>
          </cell>
          <cell r="H275">
            <v>0</v>
          </cell>
        </row>
        <row r="276">
          <cell r="B276">
            <v>3085</v>
          </cell>
          <cell r="C276" t="str">
            <v>Crowder; Travis M</v>
          </cell>
          <cell r="D276" t="str">
            <v>1C</v>
          </cell>
          <cell r="E276" t="str">
            <v>IBEWOUT</v>
          </cell>
          <cell r="F276" t="str">
            <v>77</v>
          </cell>
          <cell r="G276" t="str">
            <v>8</v>
          </cell>
          <cell r="H276">
            <v>0</v>
          </cell>
        </row>
        <row r="277">
          <cell r="B277">
            <v>3090</v>
          </cell>
          <cell r="C277" t="str">
            <v>Cressell; David A</v>
          </cell>
          <cell r="D277" t="str">
            <v>1C</v>
          </cell>
          <cell r="E277" t="str">
            <v>IBEWOUT</v>
          </cell>
          <cell r="F277" t="str">
            <v>70</v>
          </cell>
          <cell r="G277" t="str">
            <v>15</v>
          </cell>
          <cell r="H277">
            <v>0</v>
          </cell>
        </row>
        <row r="278">
          <cell r="B278">
            <v>3095</v>
          </cell>
          <cell r="C278" t="str">
            <v>Crites; Eric J</v>
          </cell>
          <cell r="D278" t="str">
            <v>1C</v>
          </cell>
          <cell r="E278" t="str">
            <v>IBEWOUT</v>
          </cell>
          <cell r="F278" t="str">
            <v>1245</v>
          </cell>
          <cell r="G278" t="str">
            <v>60</v>
          </cell>
          <cell r="H278">
            <v>0</v>
          </cell>
        </row>
        <row r="279">
          <cell r="B279">
            <v>3113</v>
          </cell>
          <cell r="C279" t="str">
            <v>Curry; Patrick Michael</v>
          </cell>
          <cell r="D279" t="str">
            <v>1C</v>
          </cell>
          <cell r="E279" t="str">
            <v>IBEWOUT</v>
          </cell>
          <cell r="F279" t="str">
            <v>77</v>
          </cell>
          <cell r="G279" t="str">
            <v>8</v>
          </cell>
          <cell r="H279">
            <v>0</v>
          </cell>
        </row>
        <row r="280">
          <cell r="B280">
            <v>3118</v>
          </cell>
          <cell r="C280" t="str">
            <v>Crupper; David Daniel</v>
          </cell>
          <cell r="D280" t="str">
            <v>1C</v>
          </cell>
          <cell r="E280" t="str">
            <v/>
          </cell>
          <cell r="F280" t="str">
            <v/>
          </cell>
          <cell r="G280" t="str">
            <v/>
          </cell>
          <cell r="H280">
            <v>0</v>
          </cell>
        </row>
        <row r="281">
          <cell r="B281">
            <v>3124</v>
          </cell>
          <cell r="C281" t="str">
            <v>Currie; Dean Anthony</v>
          </cell>
          <cell r="D281" t="str">
            <v>1C</v>
          </cell>
          <cell r="E281" t="str">
            <v>IBEWOUT</v>
          </cell>
          <cell r="F281" t="str">
            <v>77</v>
          </cell>
          <cell r="G281" t="str">
            <v>8</v>
          </cell>
          <cell r="H281">
            <v>0</v>
          </cell>
        </row>
        <row r="282">
          <cell r="B282">
            <v>3125</v>
          </cell>
          <cell r="C282" t="str">
            <v>Crouch; Daniel Jennings</v>
          </cell>
          <cell r="D282" t="str">
            <v>1C</v>
          </cell>
          <cell r="E282" t="str">
            <v>IBEWOUT</v>
          </cell>
          <cell r="F282" t="str">
            <v>47</v>
          </cell>
          <cell r="G282" t="str">
            <v>8</v>
          </cell>
          <cell r="H282">
            <v>0</v>
          </cell>
        </row>
        <row r="283">
          <cell r="B283">
            <v>3127</v>
          </cell>
          <cell r="C283" t="str">
            <v>Cummings; Mark R</v>
          </cell>
          <cell r="D283" t="str">
            <v>1C</v>
          </cell>
          <cell r="E283" t="str">
            <v/>
          </cell>
          <cell r="F283" t="str">
            <v/>
          </cell>
          <cell r="G283" t="str">
            <v/>
          </cell>
          <cell r="H283">
            <v>0</v>
          </cell>
        </row>
        <row r="284">
          <cell r="B284">
            <v>3128</v>
          </cell>
          <cell r="C284" t="str">
            <v>Crouch; Steven J</v>
          </cell>
          <cell r="D284" t="str">
            <v>1C</v>
          </cell>
          <cell r="E284" t="str">
            <v/>
          </cell>
          <cell r="F284" t="str">
            <v/>
          </cell>
          <cell r="G284" t="str">
            <v/>
          </cell>
          <cell r="H284">
            <v>1</v>
          </cell>
        </row>
        <row r="285">
          <cell r="B285">
            <v>3133</v>
          </cell>
          <cell r="C285" t="str">
            <v>Currie; Curtis J</v>
          </cell>
          <cell r="D285" t="str">
            <v>1</v>
          </cell>
          <cell r="E285" t="str">
            <v>IBEWOUT</v>
          </cell>
          <cell r="F285" t="str">
            <v>77</v>
          </cell>
          <cell r="G285" t="str">
            <v>15</v>
          </cell>
          <cell r="H285">
            <v>0</v>
          </cell>
        </row>
        <row r="286">
          <cell r="B286">
            <v>3140</v>
          </cell>
          <cell r="C286" t="str">
            <v>Crosby; Paul S.</v>
          </cell>
          <cell r="D286" t="str">
            <v>1C</v>
          </cell>
          <cell r="E286" t="str">
            <v>IBEWOUT</v>
          </cell>
          <cell r="F286" t="str">
            <v>769</v>
          </cell>
          <cell r="G286" t="str">
            <v>16</v>
          </cell>
          <cell r="H286">
            <v>0</v>
          </cell>
        </row>
        <row r="287">
          <cell r="B287">
            <v>3301</v>
          </cell>
          <cell r="C287" t="str">
            <v>Daggett; Travis S.</v>
          </cell>
          <cell r="D287" t="str">
            <v>1C</v>
          </cell>
          <cell r="E287" t="str">
            <v/>
          </cell>
          <cell r="F287" t="str">
            <v/>
          </cell>
          <cell r="G287" t="str">
            <v/>
          </cell>
          <cell r="H287">
            <v>1</v>
          </cell>
        </row>
        <row r="288">
          <cell r="B288">
            <v>3310</v>
          </cell>
          <cell r="C288" t="str">
            <v>Dalman; Jerrod W</v>
          </cell>
          <cell r="D288" t="str">
            <v>1C</v>
          </cell>
          <cell r="E288" t="str">
            <v>IBEWOUT</v>
          </cell>
          <cell r="F288" t="str">
            <v>602R</v>
          </cell>
          <cell r="G288" t="str">
            <v>8</v>
          </cell>
          <cell r="H288">
            <v>0</v>
          </cell>
        </row>
        <row r="289">
          <cell r="B289">
            <v>3311</v>
          </cell>
          <cell r="C289" t="str">
            <v>Damery; William J.</v>
          </cell>
          <cell r="D289" t="str">
            <v>1C</v>
          </cell>
          <cell r="E289" t="str">
            <v>IBEWOUT</v>
          </cell>
          <cell r="F289" t="str">
            <v>47</v>
          </cell>
          <cell r="G289" t="str">
            <v>16</v>
          </cell>
          <cell r="H289">
            <v>0</v>
          </cell>
        </row>
        <row r="290">
          <cell r="B290">
            <v>3313</v>
          </cell>
          <cell r="C290" t="str">
            <v>Dalman; Joseph W</v>
          </cell>
          <cell r="D290" t="str">
            <v>1</v>
          </cell>
          <cell r="E290" t="str">
            <v>IBEWOUT</v>
          </cell>
          <cell r="F290" t="str">
            <v>47</v>
          </cell>
          <cell r="G290" t="str">
            <v>8</v>
          </cell>
          <cell r="H290">
            <v>0</v>
          </cell>
        </row>
        <row r="291">
          <cell r="B291">
            <v>3317</v>
          </cell>
          <cell r="C291" t="str">
            <v>Daniels; Dustin J.</v>
          </cell>
          <cell r="D291" t="str">
            <v>1C</v>
          </cell>
          <cell r="E291" t="str">
            <v>IBEWOUT</v>
          </cell>
          <cell r="F291" t="str">
            <v>77</v>
          </cell>
          <cell r="G291" t="str">
            <v>8</v>
          </cell>
          <cell r="H291">
            <v>0</v>
          </cell>
        </row>
        <row r="292">
          <cell r="B292">
            <v>3318</v>
          </cell>
          <cell r="C292" t="str">
            <v>Danielson; Ryan G.</v>
          </cell>
          <cell r="D292" t="str">
            <v>1C</v>
          </cell>
          <cell r="E292" t="str">
            <v>IBEWOUT</v>
          </cell>
          <cell r="F292" t="str">
            <v>769</v>
          </cell>
          <cell r="G292" t="str">
            <v>8</v>
          </cell>
          <cell r="H292">
            <v>0</v>
          </cell>
        </row>
        <row r="293">
          <cell r="B293">
            <v>3320</v>
          </cell>
          <cell r="C293" t="str">
            <v>Danner; Joshua S</v>
          </cell>
          <cell r="D293" t="str">
            <v>1C</v>
          </cell>
          <cell r="E293" t="str">
            <v>IBEWOUT</v>
          </cell>
          <cell r="F293" t="str">
            <v>126</v>
          </cell>
          <cell r="G293" t="str">
            <v>16</v>
          </cell>
          <cell r="H293">
            <v>0</v>
          </cell>
        </row>
        <row r="294">
          <cell r="B294">
            <v>3321</v>
          </cell>
          <cell r="C294" t="str">
            <v>Darr; Taylor W</v>
          </cell>
          <cell r="D294" t="str">
            <v>1C</v>
          </cell>
          <cell r="E294" t="str">
            <v>IBEWOUT</v>
          </cell>
          <cell r="F294" t="str">
            <v>1245</v>
          </cell>
          <cell r="G294" t="str">
            <v>8</v>
          </cell>
          <cell r="H294">
            <v>0</v>
          </cell>
        </row>
        <row r="295">
          <cell r="B295">
            <v>3322</v>
          </cell>
          <cell r="C295" t="str">
            <v>Daugs; Matthew J</v>
          </cell>
          <cell r="D295" t="str">
            <v>1C</v>
          </cell>
          <cell r="E295" t="str">
            <v>IBEWOUT</v>
          </cell>
          <cell r="F295" t="str">
            <v>1245</v>
          </cell>
          <cell r="G295" t="str">
            <v>8</v>
          </cell>
          <cell r="H295">
            <v>0</v>
          </cell>
        </row>
        <row r="296">
          <cell r="B296">
            <v>3324</v>
          </cell>
          <cell r="C296" t="str">
            <v>Daugherty; Jerry Lee</v>
          </cell>
          <cell r="D296" t="str">
            <v>1C</v>
          </cell>
          <cell r="E296" t="str">
            <v>IBEWOUT</v>
          </cell>
          <cell r="F296" t="str">
            <v>1245</v>
          </cell>
          <cell r="G296" t="str">
            <v>8</v>
          </cell>
          <cell r="H296">
            <v>0</v>
          </cell>
        </row>
        <row r="297">
          <cell r="B297">
            <v>3342</v>
          </cell>
          <cell r="C297" t="str">
            <v>Davis; Jayson A</v>
          </cell>
          <cell r="D297" t="str">
            <v>1C</v>
          </cell>
          <cell r="E297" t="str">
            <v>IBEWOUT</v>
          </cell>
          <cell r="F297" t="str">
            <v>126</v>
          </cell>
          <cell r="G297" t="str">
            <v>8</v>
          </cell>
          <cell r="H297">
            <v>0</v>
          </cell>
        </row>
        <row r="298">
          <cell r="B298">
            <v>3349</v>
          </cell>
          <cell r="C298" t="str">
            <v>Davis; Daniel J</v>
          </cell>
          <cell r="D298" t="str">
            <v>1C</v>
          </cell>
          <cell r="E298" t="str">
            <v>IBEWOUT</v>
          </cell>
          <cell r="F298" t="str">
            <v>160</v>
          </cell>
          <cell r="G298" t="str">
            <v>15</v>
          </cell>
          <cell r="H298">
            <v>0</v>
          </cell>
        </row>
        <row r="299">
          <cell r="B299">
            <v>3356</v>
          </cell>
          <cell r="C299" t="str">
            <v>Davis; Keane A</v>
          </cell>
          <cell r="D299" t="str">
            <v>1C</v>
          </cell>
          <cell r="E299" t="str">
            <v>IBEWOUT</v>
          </cell>
          <cell r="F299" t="str">
            <v>1245</v>
          </cell>
          <cell r="G299" t="str">
            <v>8</v>
          </cell>
          <cell r="H299">
            <v>0</v>
          </cell>
        </row>
        <row r="300">
          <cell r="B300">
            <v>3367</v>
          </cell>
          <cell r="C300" t="str">
            <v>De La Torre; Filimon V</v>
          </cell>
          <cell r="D300" t="str">
            <v>1C</v>
          </cell>
          <cell r="E300" t="str">
            <v>IBEWOUT</v>
          </cell>
          <cell r="F300" t="str">
            <v>47</v>
          </cell>
          <cell r="G300" t="str">
            <v>17</v>
          </cell>
          <cell r="H300">
            <v>0</v>
          </cell>
        </row>
        <row r="301">
          <cell r="B301">
            <v>3368</v>
          </cell>
          <cell r="C301" t="str">
            <v>Dees; Bradley A</v>
          </cell>
          <cell r="D301" t="str">
            <v>1C</v>
          </cell>
          <cell r="E301" t="str">
            <v>IBEWOUT</v>
          </cell>
          <cell r="F301" t="str">
            <v>1245</v>
          </cell>
          <cell r="G301" t="str">
            <v>8</v>
          </cell>
          <cell r="H301">
            <v>0</v>
          </cell>
        </row>
        <row r="302">
          <cell r="B302">
            <v>3371</v>
          </cell>
          <cell r="C302" t="str">
            <v>DeBon; Mitchell C</v>
          </cell>
          <cell r="D302" t="str">
            <v>1C</v>
          </cell>
          <cell r="E302" t="str">
            <v>IBEWOUT</v>
          </cell>
          <cell r="F302" t="str">
            <v>1245</v>
          </cell>
          <cell r="G302" t="str">
            <v>17</v>
          </cell>
          <cell r="H302">
            <v>0</v>
          </cell>
        </row>
        <row r="303">
          <cell r="B303">
            <v>3372</v>
          </cell>
          <cell r="C303" t="str">
            <v>DeBruler; Daniel</v>
          </cell>
          <cell r="D303" t="str">
            <v>1</v>
          </cell>
          <cell r="E303" t="str">
            <v/>
          </cell>
          <cell r="F303" t="str">
            <v/>
          </cell>
          <cell r="G303" t="str">
            <v/>
          </cell>
          <cell r="H303">
            <v>1</v>
          </cell>
        </row>
        <row r="304">
          <cell r="B304">
            <v>3373</v>
          </cell>
          <cell r="C304" t="str">
            <v>Dearing; Randy E</v>
          </cell>
          <cell r="D304" t="str">
            <v>1C</v>
          </cell>
          <cell r="E304" t="str">
            <v>IBEWOUT</v>
          </cell>
          <cell r="F304" t="str">
            <v>1245</v>
          </cell>
          <cell r="G304" t="str">
            <v>1</v>
          </cell>
          <cell r="H304">
            <v>0</v>
          </cell>
        </row>
        <row r="305">
          <cell r="B305">
            <v>3377</v>
          </cell>
          <cell r="C305" t="str">
            <v>Deal; Nathan W.</v>
          </cell>
          <cell r="D305" t="str">
            <v>1C</v>
          </cell>
          <cell r="E305" t="str">
            <v>IBEWOUT</v>
          </cell>
          <cell r="F305" t="str">
            <v>125</v>
          </cell>
          <cell r="G305" t="str">
            <v>12</v>
          </cell>
          <cell r="H305">
            <v>0</v>
          </cell>
        </row>
        <row r="306">
          <cell r="B306">
            <v>3382</v>
          </cell>
          <cell r="C306" t="str">
            <v>Deitz; Steve Andrew</v>
          </cell>
          <cell r="D306" t="str">
            <v>1C</v>
          </cell>
          <cell r="E306" t="str">
            <v>IBEWOUT</v>
          </cell>
          <cell r="F306" t="str">
            <v>77</v>
          </cell>
          <cell r="G306" t="str">
            <v>16</v>
          </cell>
          <cell r="H306">
            <v>0</v>
          </cell>
        </row>
        <row r="307">
          <cell r="B307">
            <v>3383</v>
          </cell>
          <cell r="C307" t="str">
            <v>Delong; Joseph Henry</v>
          </cell>
          <cell r="D307" t="str">
            <v>1C</v>
          </cell>
          <cell r="E307" t="str">
            <v/>
          </cell>
          <cell r="F307" t="str">
            <v/>
          </cell>
          <cell r="G307" t="str">
            <v/>
          </cell>
          <cell r="H307">
            <v>0</v>
          </cell>
        </row>
        <row r="308">
          <cell r="B308">
            <v>3386</v>
          </cell>
          <cell r="C308" t="str">
            <v>Denestan; Hector</v>
          </cell>
          <cell r="D308" t="str">
            <v>1C</v>
          </cell>
          <cell r="E308" t="str">
            <v>IBEWOUT</v>
          </cell>
          <cell r="F308" t="str">
            <v>602R</v>
          </cell>
          <cell r="G308" t="str">
            <v>8</v>
          </cell>
          <cell r="H308">
            <v>0</v>
          </cell>
        </row>
        <row r="309">
          <cell r="B309">
            <v>3387</v>
          </cell>
          <cell r="C309" t="str">
            <v>DeWitt; Craig R</v>
          </cell>
          <cell r="D309" t="str">
            <v>1</v>
          </cell>
          <cell r="E309" t="str">
            <v/>
          </cell>
          <cell r="F309" t="str">
            <v/>
          </cell>
          <cell r="G309" t="str">
            <v/>
          </cell>
          <cell r="H309">
            <v>1</v>
          </cell>
        </row>
        <row r="310">
          <cell r="B310">
            <v>3388</v>
          </cell>
          <cell r="C310" t="str">
            <v>Del Pizzo; Scott</v>
          </cell>
          <cell r="D310" t="str">
            <v>1</v>
          </cell>
          <cell r="E310" t="str">
            <v>IBEWOUT</v>
          </cell>
          <cell r="F310" t="str">
            <v>1245</v>
          </cell>
          <cell r="G310" t="str">
            <v>7</v>
          </cell>
          <cell r="H310">
            <v>0</v>
          </cell>
        </row>
        <row r="311">
          <cell r="B311">
            <v>3389</v>
          </cell>
          <cell r="C311" t="str">
            <v>Deluna; Ricardo</v>
          </cell>
          <cell r="D311" t="str">
            <v>1</v>
          </cell>
          <cell r="E311" t="str">
            <v/>
          </cell>
          <cell r="F311" t="str">
            <v/>
          </cell>
          <cell r="G311" t="str">
            <v/>
          </cell>
          <cell r="H311">
            <v>0</v>
          </cell>
        </row>
        <row r="312">
          <cell r="B312">
            <v>3392</v>
          </cell>
          <cell r="C312" t="str">
            <v>Demond; Kyle D</v>
          </cell>
          <cell r="D312" t="str">
            <v>1</v>
          </cell>
          <cell r="E312" t="str">
            <v>IBEWOUT</v>
          </cell>
          <cell r="F312" t="str">
            <v>1245</v>
          </cell>
          <cell r="G312" t="str">
            <v>8</v>
          </cell>
          <cell r="H312">
            <v>0</v>
          </cell>
        </row>
        <row r="313">
          <cell r="B313">
            <v>3407</v>
          </cell>
          <cell r="C313" t="str">
            <v>Devine; Chad Emery</v>
          </cell>
          <cell r="D313" t="str">
            <v>1</v>
          </cell>
          <cell r="E313" t="str">
            <v>IBEWOUT</v>
          </cell>
          <cell r="F313" t="str">
            <v>77</v>
          </cell>
          <cell r="G313" t="str">
            <v>1</v>
          </cell>
          <cell r="H313">
            <v>1</v>
          </cell>
        </row>
        <row r="314">
          <cell r="B314">
            <v>3408</v>
          </cell>
          <cell r="C314" t="str">
            <v>Desz; Daniel R</v>
          </cell>
          <cell r="D314" t="str">
            <v>1C</v>
          </cell>
          <cell r="E314" t="str">
            <v>IBEWOUT</v>
          </cell>
          <cell r="F314" t="str">
            <v>1049</v>
          </cell>
          <cell r="G314" t="str">
            <v>15</v>
          </cell>
          <cell r="H314">
            <v>0</v>
          </cell>
        </row>
        <row r="315">
          <cell r="B315">
            <v>3413</v>
          </cell>
          <cell r="C315" t="str">
            <v>Denk; Dean L.</v>
          </cell>
          <cell r="D315" t="str">
            <v>1C</v>
          </cell>
          <cell r="E315" t="str">
            <v>IBEWOUT</v>
          </cell>
          <cell r="F315" t="str">
            <v>769</v>
          </cell>
          <cell r="G315" t="str">
            <v>8</v>
          </cell>
          <cell r="H315">
            <v>0</v>
          </cell>
        </row>
        <row r="316">
          <cell r="B316">
            <v>3417</v>
          </cell>
          <cell r="C316" t="str">
            <v>Domenick; James A</v>
          </cell>
          <cell r="D316" t="str">
            <v>1C</v>
          </cell>
          <cell r="E316" t="str">
            <v>IBEWOUT</v>
          </cell>
          <cell r="F316" t="str">
            <v>396</v>
          </cell>
          <cell r="G316" t="str">
            <v>18</v>
          </cell>
          <cell r="H316">
            <v>0</v>
          </cell>
        </row>
        <row r="317">
          <cell r="B317">
            <v>3435</v>
          </cell>
          <cell r="C317" t="str">
            <v>Diaz; Robert H.</v>
          </cell>
          <cell r="D317" t="str">
            <v>1C</v>
          </cell>
          <cell r="E317" t="str">
            <v>IBEWOUT</v>
          </cell>
          <cell r="F317" t="str">
            <v>47</v>
          </cell>
          <cell r="G317" t="str">
            <v>16</v>
          </cell>
          <cell r="H317">
            <v>0</v>
          </cell>
        </row>
        <row r="318">
          <cell r="B318">
            <v>3438</v>
          </cell>
          <cell r="C318" t="str">
            <v>Andrade Diaz; Jose Rolando</v>
          </cell>
          <cell r="D318" t="str">
            <v>1C</v>
          </cell>
          <cell r="E318" t="str">
            <v>IBEWOUT</v>
          </cell>
          <cell r="F318" t="str">
            <v>1245</v>
          </cell>
          <cell r="G318" t="str">
            <v>70</v>
          </cell>
          <cell r="H318">
            <v>0</v>
          </cell>
        </row>
        <row r="319">
          <cell r="B319">
            <v>3465</v>
          </cell>
          <cell r="C319" t="str">
            <v>Dineen; Timothy J.</v>
          </cell>
          <cell r="D319" t="str">
            <v>1C</v>
          </cell>
          <cell r="E319" t="str">
            <v>IBEWOUT</v>
          </cell>
          <cell r="F319" t="str">
            <v>1319</v>
          </cell>
          <cell r="G319" t="str">
            <v>8</v>
          </cell>
          <cell r="H319">
            <v>0</v>
          </cell>
        </row>
        <row r="320">
          <cell r="B320">
            <v>3470</v>
          </cell>
          <cell r="C320" t="str">
            <v>Dixon; Dustin M.</v>
          </cell>
          <cell r="D320" t="str">
            <v>1C</v>
          </cell>
          <cell r="E320" t="str">
            <v>IBEWOUT</v>
          </cell>
          <cell r="F320" t="str">
            <v>1245</v>
          </cell>
          <cell r="G320" t="str">
            <v>8</v>
          </cell>
          <cell r="H320">
            <v>0</v>
          </cell>
        </row>
        <row r="321">
          <cell r="B321">
            <v>3532</v>
          </cell>
          <cell r="C321" t="str">
            <v>Dodd; Richard L</v>
          </cell>
          <cell r="D321" t="str">
            <v>1C</v>
          </cell>
          <cell r="E321" t="str">
            <v>IBEWOUT</v>
          </cell>
          <cell r="F321" t="str">
            <v>77</v>
          </cell>
          <cell r="G321" t="str">
            <v>60</v>
          </cell>
          <cell r="H321">
            <v>0</v>
          </cell>
        </row>
        <row r="322">
          <cell r="B322">
            <v>3537</v>
          </cell>
          <cell r="C322" t="str">
            <v>Dotson; David Lee</v>
          </cell>
          <cell r="D322" t="str">
            <v>1C</v>
          </cell>
          <cell r="E322" t="str">
            <v/>
          </cell>
          <cell r="F322" t="str">
            <v/>
          </cell>
          <cell r="G322" t="str">
            <v/>
          </cell>
          <cell r="H322">
            <v>0</v>
          </cell>
        </row>
        <row r="323">
          <cell r="B323">
            <v>3548</v>
          </cell>
          <cell r="C323" t="str">
            <v>Douglas; Wyatt J</v>
          </cell>
          <cell r="D323" t="str">
            <v>1</v>
          </cell>
          <cell r="E323" t="str">
            <v/>
          </cell>
          <cell r="F323" t="str">
            <v/>
          </cell>
          <cell r="G323" t="str">
            <v/>
          </cell>
          <cell r="H323">
            <v>1</v>
          </cell>
        </row>
        <row r="324">
          <cell r="B324">
            <v>3549</v>
          </cell>
          <cell r="C324" t="str">
            <v>Early; Darren M</v>
          </cell>
          <cell r="D324" t="str">
            <v>1C</v>
          </cell>
          <cell r="E324" t="str">
            <v/>
          </cell>
          <cell r="F324" t="str">
            <v/>
          </cell>
          <cell r="G324" t="str">
            <v/>
          </cell>
          <cell r="H324">
            <v>0</v>
          </cell>
        </row>
        <row r="325">
          <cell r="B325">
            <v>3550</v>
          </cell>
          <cell r="C325" t="str">
            <v>Giles; Martinez A.</v>
          </cell>
          <cell r="D325" t="str">
            <v>1C</v>
          </cell>
          <cell r="E325" t="str">
            <v>IBEWOUT</v>
          </cell>
          <cell r="F325" t="str">
            <v>1245</v>
          </cell>
          <cell r="G325" t="str">
            <v>8</v>
          </cell>
          <cell r="H325">
            <v>0</v>
          </cell>
        </row>
        <row r="326">
          <cell r="B326">
            <v>3559</v>
          </cell>
          <cell r="C326" t="str">
            <v>Donlucas; Fernando</v>
          </cell>
          <cell r="D326" t="str">
            <v>1</v>
          </cell>
          <cell r="E326" t="str">
            <v>IBEWOUT</v>
          </cell>
          <cell r="F326" t="str">
            <v>47</v>
          </cell>
          <cell r="G326" t="str">
            <v>17</v>
          </cell>
          <cell r="H326">
            <v>0</v>
          </cell>
        </row>
        <row r="327">
          <cell r="B327">
            <v>3584</v>
          </cell>
          <cell r="C327" t="str">
            <v>Downs; Nicholas S</v>
          </cell>
          <cell r="D327" t="str">
            <v>1C</v>
          </cell>
          <cell r="E327" t="str">
            <v>IBEWOUT</v>
          </cell>
          <cell r="F327" t="str">
            <v>769</v>
          </cell>
          <cell r="G327" t="str">
            <v>14</v>
          </cell>
          <cell r="H327">
            <v>0</v>
          </cell>
        </row>
        <row r="328">
          <cell r="B328">
            <v>3585</v>
          </cell>
          <cell r="C328" t="str">
            <v>Dudley; Eric L</v>
          </cell>
          <cell r="D328" t="str">
            <v>1C</v>
          </cell>
          <cell r="E328" t="str">
            <v>IBEWOUT</v>
          </cell>
          <cell r="F328" t="str">
            <v>125</v>
          </cell>
          <cell r="G328" t="str">
            <v>16</v>
          </cell>
          <cell r="H328">
            <v>0</v>
          </cell>
        </row>
        <row r="329">
          <cell r="B329">
            <v>3588</v>
          </cell>
          <cell r="C329" t="str">
            <v>Duffer; Taylor L</v>
          </cell>
          <cell r="D329" t="str">
            <v>1C</v>
          </cell>
          <cell r="E329" t="str">
            <v>IBEWOUT</v>
          </cell>
          <cell r="F329" t="str">
            <v>769</v>
          </cell>
          <cell r="G329" t="str">
            <v>8</v>
          </cell>
          <cell r="H329">
            <v>0</v>
          </cell>
        </row>
        <row r="330">
          <cell r="B330">
            <v>3594</v>
          </cell>
          <cell r="C330" t="str">
            <v>Duncan; Jerry</v>
          </cell>
          <cell r="D330" t="str">
            <v>1C</v>
          </cell>
          <cell r="E330" t="str">
            <v>IBEWOUT</v>
          </cell>
          <cell r="F330" t="str">
            <v>126</v>
          </cell>
          <cell r="G330" t="str">
            <v>8</v>
          </cell>
          <cell r="H330">
            <v>0</v>
          </cell>
        </row>
        <row r="331">
          <cell r="B331">
            <v>3595</v>
          </cell>
          <cell r="C331" t="str">
            <v>Dungan; Joshua</v>
          </cell>
          <cell r="D331" t="str">
            <v>1C</v>
          </cell>
          <cell r="E331" t="str">
            <v>IBEWOUT</v>
          </cell>
          <cell r="F331" t="str">
            <v>1245</v>
          </cell>
          <cell r="G331" t="str">
            <v>8</v>
          </cell>
          <cell r="H331">
            <v>0</v>
          </cell>
        </row>
        <row r="332">
          <cell r="B332">
            <v>3596</v>
          </cell>
          <cell r="C332" t="str">
            <v>Dunn; Bradley C</v>
          </cell>
          <cell r="D332" t="str">
            <v>1C</v>
          </cell>
          <cell r="E332" t="str">
            <v>IBEWOUT</v>
          </cell>
          <cell r="F332" t="str">
            <v>611</v>
          </cell>
          <cell r="G332" t="str">
            <v>15</v>
          </cell>
          <cell r="H332">
            <v>0</v>
          </cell>
        </row>
        <row r="333">
          <cell r="B333">
            <v>3597</v>
          </cell>
          <cell r="C333" t="str">
            <v>Duncan Jr.; Ronald B</v>
          </cell>
          <cell r="D333" t="str">
            <v>1C</v>
          </cell>
          <cell r="E333" t="str">
            <v>IBEWOUT</v>
          </cell>
          <cell r="F333" t="str">
            <v>77</v>
          </cell>
          <cell r="G333" t="str">
            <v>8</v>
          </cell>
          <cell r="H333">
            <v>0</v>
          </cell>
        </row>
        <row r="334">
          <cell r="B334">
            <v>3598</v>
          </cell>
          <cell r="C334" t="str">
            <v>Dunton; Lewis R</v>
          </cell>
          <cell r="D334" t="str">
            <v>1</v>
          </cell>
          <cell r="E334" t="str">
            <v>IBEWOUT</v>
          </cell>
          <cell r="F334" t="str">
            <v>1245</v>
          </cell>
          <cell r="G334" t="str">
            <v>8</v>
          </cell>
          <cell r="H334">
            <v>0</v>
          </cell>
        </row>
        <row r="335">
          <cell r="B335">
            <v>3600</v>
          </cell>
          <cell r="C335" t="str">
            <v>Dunlap; Chad J</v>
          </cell>
          <cell r="D335" t="str">
            <v>1C</v>
          </cell>
          <cell r="E335" t="str">
            <v/>
          </cell>
          <cell r="F335" t="str">
            <v/>
          </cell>
          <cell r="G335" t="str">
            <v/>
          </cell>
          <cell r="H335">
            <v>0</v>
          </cell>
        </row>
        <row r="336">
          <cell r="B336">
            <v>3604</v>
          </cell>
          <cell r="C336" t="str">
            <v>Dove; Noah C.</v>
          </cell>
          <cell r="D336" t="str">
            <v>1</v>
          </cell>
          <cell r="E336" t="str">
            <v>IBEWOUT</v>
          </cell>
          <cell r="F336" t="str">
            <v>77</v>
          </cell>
          <cell r="G336" t="str">
            <v>7</v>
          </cell>
          <cell r="H336">
            <v>0</v>
          </cell>
        </row>
        <row r="337">
          <cell r="B337">
            <v>3608</v>
          </cell>
          <cell r="C337" t="str">
            <v>Dovichi; Gregory D</v>
          </cell>
          <cell r="D337" t="str">
            <v>1C</v>
          </cell>
          <cell r="E337" t="str">
            <v>IBEWOUT</v>
          </cell>
          <cell r="F337" t="str">
            <v>1245</v>
          </cell>
          <cell r="G337" t="str">
            <v>8</v>
          </cell>
          <cell r="H337">
            <v>0</v>
          </cell>
        </row>
        <row r="338">
          <cell r="B338">
            <v>3610</v>
          </cell>
          <cell r="C338" t="str">
            <v>Driver; Kenneth R</v>
          </cell>
          <cell r="D338" t="str">
            <v>1C</v>
          </cell>
          <cell r="E338" t="str">
            <v>IBEWOUT</v>
          </cell>
          <cell r="F338" t="str">
            <v>1245</v>
          </cell>
          <cell r="G338" t="str">
            <v>17</v>
          </cell>
          <cell r="H338">
            <v>0</v>
          </cell>
        </row>
        <row r="339">
          <cell r="B339">
            <v>3612</v>
          </cell>
          <cell r="C339" t="str">
            <v>Drauschak; Joseph D</v>
          </cell>
          <cell r="D339" t="str">
            <v>1C</v>
          </cell>
          <cell r="E339" t="str">
            <v>IBEWOUT</v>
          </cell>
          <cell r="F339" t="str">
            <v>1319</v>
          </cell>
          <cell r="G339" t="str">
            <v>21</v>
          </cell>
          <cell r="H339">
            <v>0</v>
          </cell>
        </row>
        <row r="340">
          <cell r="B340">
            <v>3614</v>
          </cell>
          <cell r="C340" t="str">
            <v>Duncan; Thomas K</v>
          </cell>
          <cell r="D340" t="str">
            <v>1C</v>
          </cell>
          <cell r="E340" t="str">
            <v>IBEWOUT</v>
          </cell>
          <cell r="F340" t="str">
            <v>77</v>
          </cell>
          <cell r="G340" t="str">
            <v>8</v>
          </cell>
          <cell r="H340">
            <v>0</v>
          </cell>
        </row>
        <row r="341">
          <cell r="B341">
            <v>3615</v>
          </cell>
          <cell r="C341" t="str">
            <v>Durkin; Patrick J</v>
          </cell>
          <cell r="D341" t="str">
            <v>1C</v>
          </cell>
          <cell r="E341" t="str">
            <v>IBEWOUT</v>
          </cell>
          <cell r="F341" t="str">
            <v>104</v>
          </cell>
          <cell r="G341" t="str">
            <v>15</v>
          </cell>
          <cell r="H341">
            <v>0</v>
          </cell>
        </row>
        <row r="342">
          <cell r="B342">
            <v>3616</v>
          </cell>
          <cell r="C342" t="str">
            <v>Dobry; Casey A</v>
          </cell>
          <cell r="D342" t="str">
            <v>1C</v>
          </cell>
          <cell r="E342" t="str">
            <v>IBEWOUT</v>
          </cell>
          <cell r="F342" t="str">
            <v>1245</v>
          </cell>
          <cell r="G342" t="str">
            <v>7</v>
          </cell>
          <cell r="H342">
            <v>0</v>
          </cell>
        </row>
        <row r="343">
          <cell r="B343">
            <v>3618</v>
          </cell>
          <cell r="C343" t="str">
            <v>Doan; Christopher P</v>
          </cell>
          <cell r="D343" t="str">
            <v>1C</v>
          </cell>
          <cell r="E343" t="str">
            <v>IBEWOUT</v>
          </cell>
          <cell r="F343" t="str">
            <v>126</v>
          </cell>
          <cell r="G343" t="str">
            <v>33</v>
          </cell>
          <cell r="H343">
            <v>0</v>
          </cell>
        </row>
        <row r="344">
          <cell r="B344">
            <v>3622</v>
          </cell>
          <cell r="C344" t="str">
            <v>Eberhart; Bradley D</v>
          </cell>
          <cell r="D344" t="str">
            <v>1C</v>
          </cell>
          <cell r="E344" t="str">
            <v>IBEWOUT</v>
          </cell>
          <cell r="F344" t="str">
            <v>77</v>
          </cell>
          <cell r="G344" t="str">
            <v>16</v>
          </cell>
          <cell r="H344">
            <v>0</v>
          </cell>
        </row>
        <row r="345">
          <cell r="B345">
            <v>3623</v>
          </cell>
          <cell r="C345" t="str">
            <v>Eckstein; Blake Robert</v>
          </cell>
          <cell r="D345" t="str">
            <v>1C</v>
          </cell>
          <cell r="E345" t="str">
            <v>IBEWOUT</v>
          </cell>
          <cell r="F345" t="str">
            <v>1245</v>
          </cell>
          <cell r="G345" t="str">
            <v>7</v>
          </cell>
          <cell r="H345">
            <v>0</v>
          </cell>
        </row>
        <row r="346">
          <cell r="B346">
            <v>3625</v>
          </cell>
          <cell r="C346" t="str">
            <v>Edwards; Cole</v>
          </cell>
          <cell r="D346" t="str">
            <v>1C</v>
          </cell>
          <cell r="E346" t="str">
            <v>IBEWOUT</v>
          </cell>
          <cell r="F346" t="str">
            <v>1245</v>
          </cell>
          <cell r="G346" t="str">
            <v>12</v>
          </cell>
          <cell r="H346">
            <v>0</v>
          </cell>
        </row>
        <row r="347">
          <cell r="B347">
            <v>3626</v>
          </cell>
          <cell r="C347" t="str">
            <v>Eckhardt; Kenneth R</v>
          </cell>
          <cell r="D347" t="str">
            <v>1</v>
          </cell>
          <cell r="E347" t="str">
            <v>IBEWOUT</v>
          </cell>
          <cell r="F347" t="str">
            <v>47</v>
          </cell>
          <cell r="G347" t="str">
            <v>16</v>
          </cell>
          <cell r="H347">
            <v>0</v>
          </cell>
        </row>
        <row r="348">
          <cell r="B348">
            <v>3629</v>
          </cell>
          <cell r="C348" t="str">
            <v>Durbin; Logan B</v>
          </cell>
          <cell r="D348" t="str">
            <v>1C</v>
          </cell>
          <cell r="E348" t="str">
            <v>IBEWOUT</v>
          </cell>
          <cell r="F348" t="str">
            <v>1245</v>
          </cell>
          <cell r="G348" t="str">
            <v>16</v>
          </cell>
          <cell r="H348">
            <v>0</v>
          </cell>
        </row>
        <row r="349">
          <cell r="B349">
            <v>3630</v>
          </cell>
          <cell r="C349" t="str">
            <v>Egress Jr; Frank</v>
          </cell>
          <cell r="D349" t="str">
            <v>1C</v>
          </cell>
          <cell r="E349" t="str">
            <v>IBEWOUT</v>
          </cell>
          <cell r="F349" t="str">
            <v>1245</v>
          </cell>
          <cell r="G349" t="str">
            <v>8</v>
          </cell>
          <cell r="H349">
            <v>0</v>
          </cell>
        </row>
        <row r="350">
          <cell r="B350">
            <v>3645</v>
          </cell>
          <cell r="C350" t="str">
            <v>Elam; John C</v>
          </cell>
          <cell r="D350" t="str">
            <v>1</v>
          </cell>
          <cell r="E350" t="str">
            <v>IBEWOUT</v>
          </cell>
          <cell r="F350" t="str">
            <v>769</v>
          </cell>
          <cell r="G350" t="str">
            <v>8</v>
          </cell>
          <cell r="H350">
            <v>0</v>
          </cell>
        </row>
        <row r="351">
          <cell r="B351">
            <v>3647</v>
          </cell>
          <cell r="C351" t="str">
            <v>Elliott; Charles M</v>
          </cell>
          <cell r="D351" t="str">
            <v>1</v>
          </cell>
          <cell r="E351" t="str">
            <v>IBEWOUT</v>
          </cell>
          <cell r="F351" t="str">
            <v>1245</v>
          </cell>
          <cell r="G351" t="str">
            <v>8</v>
          </cell>
          <cell r="H351">
            <v>0</v>
          </cell>
        </row>
        <row r="352">
          <cell r="B352">
            <v>3662</v>
          </cell>
          <cell r="C352" t="str">
            <v>Elder; John J</v>
          </cell>
          <cell r="D352" t="str">
            <v>1C</v>
          </cell>
          <cell r="E352" t="str">
            <v>IBEWOUT</v>
          </cell>
          <cell r="F352" t="str">
            <v>47</v>
          </cell>
          <cell r="G352" t="str">
            <v>8</v>
          </cell>
          <cell r="H352">
            <v>0</v>
          </cell>
        </row>
        <row r="353">
          <cell r="B353">
            <v>3767</v>
          </cell>
          <cell r="C353" t="str">
            <v>Ellis; Shawn P</v>
          </cell>
          <cell r="D353" t="str">
            <v>1C</v>
          </cell>
          <cell r="E353" t="str">
            <v>IBEWOUT</v>
          </cell>
          <cell r="F353" t="str">
            <v>47</v>
          </cell>
          <cell r="G353" t="str">
            <v>8</v>
          </cell>
          <cell r="H353">
            <v>0</v>
          </cell>
        </row>
        <row r="354">
          <cell r="B354">
            <v>3780</v>
          </cell>
          <cell r="C354" t="str">
            <v>Enders; Rodney J.</v>
          </cell>
          <cell r="D354" t="str">
            <v>1</v>
          </cell>
          <cell r="E354" t="str">
            <v/>
          </cell>
          <cell r="F354" t="str">
            <v/>
          </cell>
          <cell r="G354" t="str">
            <v/>
          </cell>
          <cell r="H354">
            <v>0</v>
          </cell>
        </row>
        <row r="355">
          <cell r="B355">
            <v>3785</v>
          </cell>
          <cell r="C355" t="str">
            <v>English; Richard R</v>
          </cell>
          <cell r="D355" t="str">
            <v>1C</v>
          </cell>
          <cell r="E355" t="str">
            <v>IBEWOUT</v>
          </cell>
          <cell r="F355" t="str">
            <v>77</v>
          </cell>
          <cell r="G355" t="str">
            <v>15</v>
          </cell>
          <cell r="H355">
            <v>0</v>
          </cell>
        </row>
        <row r="356">
          <cell r="B356">
            <v>3920</v>
          </cell>
          <cell r="C356" t="str">
            <v>Edgar; Donald G</v>
          </cell>
          <cell r="D356" t="str">
            <v>1C</v>
          </cell>
          <cell r="E356" t="str">
            <v>IBEWOUT</v>
          </cell>
          <cell r="F356" t="str">
            <v>47</v>
          </cell>
          <cell r="G356" t="str">
            <v>8</v>
          </cell>
          <cell r="H356">
            <v>0</v>
          </cell>
        </row>
        <row r="357">
          <cell r="B357">
            <v>3942</v>
          </cell>
          <cell r="C357" t="str">
            <v>Erickson; Clancy W</v>
          </cell>
          <cell r="D357" t="str">
            <v>1C</v>
          </cell>
          <cell r="E357" t="str">
            <v>IBEWOUT</v>
          </cell>
          <cell r="F357" t="str">
            <v>1245</v>
          </cell>
          <cell r="G357" t="str">
            <v>8</v>
          </cell>
          <cell r="H357">
            <v>0</v>
          </cell>
        </row>
        <row r="358">
          <cell r="B358">
            <v>3944</v>
          </cell>
          <cell r="C358" t="str">
            <v>Erickson; Mitchell</v>
          </cell>
          <cell r="D358" t="str">
            <v>1C</v>
          </cell>
          <cell r="E358" t="str">
            <v>IBEWOUT</v>
          </cell>
          <cell r="F358" t="str">
            <v>77</v>
          </cell>
          <cell r="G358" t="str">
            <v>17</v>
          </cell>
          <cell r="H358">
            <v>0</v>
          </cell>
        </row>
        <row r="359">
          <cell r="B359">
            <v>3990</v>
          </cell>
          <cell r="C359" t="str">
            <v>Esparza; Joel S.</v>
          </cell>
          <cell r="D359" t="str">
            <v>1C</v>
          </cell>
          <cell r="E359" t="str">
            <v>IBEWOUT</v>
          </cell>
          <cell r="F359" t="str">
            <v>396</v>
          </cell>
          <cell r="G359" t="str">
            <v>8</v>
          </cell>
          <cell r="H359">
            <v>0</v>
          </cell>
        </row>
        <row r="360">
          <cell r="B360">
            <v>3999</v>
          </cell>
          <cell r="C360" t="str">
            <v>Franks; Billy J</v>
          </cell>
          <cell r="D360" t="str">
            <v>1C</v>
          </cell>
          <cell r="E360" t="str">
            <v>IBEWOUT</v>
          </cell>
          <cell r="F360" t="str">
            <v>1245</v>
          </cell>
          <cell r="G360" t="str">
            <v>8</v>
          </cell>
          <cell r="H360">
            <v>0</v>
          </cell>
        </row>
        <row r="361">
          <cell r="B361">
            <v>4005</v>
          </cell>
          <cell r="C361" t="str">
            <v>Espinoza; Joseph A.</v>
          </cell>
          <cell r="D361" t="str">
            <v>1C</v>
          </cell>
          <cell r="E361" t="str">
            <v>IBEWOUT</v>
          </cell>
          <cell r="F361" t="str">
            <v>47</v>
          </cell>
          <cell r="G361" t="str">
            <v>8</v>
          </cell>
          <cell r="H361">
            <v>0</v>
          </cell>
        </row>
        <row r="362">
          <cell r="B362">
            <v>4032</v>
          </cell>
          <cell r="C362" t="str">
            <v>Fahlund; Adam S</v>
          </cell>
          <cell r="D362" t="str">
            <v>1C</v>
          </cell>
          <cell r="E362" t="str">
            <v>IBEWOUT</v>
          </cell>
          <cell r="F362" t="str">
            <v>1049</v>
          </cell>
          <cell r="G362" t="str">
            <v>17</v>
          </cell>
          <cell r="H362">
            <v>0</v>
          </cell>
        </row>
        <row r="363">
          <cell r="B363">
            <v>4051</v>
          </cell>
          <cell r="C363" t="str">
            <v>Farmer; Keith A</v>
          </cell>
          <cell r="D363" t="str">
            <v>1C</v>
          </cell>
          <cell r="E363" t="str">
            <v>IBEWOUT</v>
          </cell>
          <cell r="F363" t="str">
            <v>47</v>
          </cell>
          <cell r="G363" t="str">
            <v>16</v>
          </cell>
          <cell r="H363">
            <v>0</v>
          </cell>
        </row>
        <row r="364">
          <cell r="B364">
            <v>4061</v>
          </cell>
          <cell r="C364" t="str">
            <v>Farris; Christopher J</v>
          </cell>
          <cell r="D364" t="str">
            <v>1C</v>
          </cell>
          <cell r="E364" t="str">
            <v>IBEWOUT</v>
          </cell>
          <cell r="F364" t="str">
            <v>1245</v>
          </cell>
          <cell r="G364" t="str">
            <v>7</v>
          </cell>
          <cell r="H364">
            <v>0</v>
          </cell>
        </row>
        <row r="365">
          <cell r="B365">
            <v>4066</v>
          </cell>
          <cell r="C365" t="str">
            <v>Farias; Jose M</v>
          </cell>
          <cell r="D365" t="str">
            <v>1</v>
          </cell>
          <cell r="E365" t="str">
            <v>IBEWOUT</v>
          </cell>
          <cell r="F365" t="str">
            <v>1245</v>
          </cell>
          <cell r="G365" t="str">
            <v>8</v>
          </cell>
          <cell r="H365">
            <v>0</v>
          </cell>
        </row>
        <row r="366">
          <cell r="B366">
            <v>4067</v>
          </cell>
          <cell r="C366" t="str">
            <v>Fazio; Joseph A.</v>
          </cell>
          <cell r="D366" t="str">
            <v>1C</v>
          </cell>
          <cell r="E366" t="str">
            <v/>
          </cell>
          <cell r="F366" t="str">
            <v/>
          </cell>
          <cell r="G366" t="str">
            <v/>
          </cell>
          <cell r="H366">
            <v>0</v>
          </cell>
        </row>
        <row r="367">
          <cell r="B367">
            <v>4068</v>
          </cell>
          <cell r="C367" t="str">
            <v>Farias; Ramon A</v>
          </cell>
          <cell r="D367" t="str">
            <v>1</v>
          </cell>
          <cell r="E367" t="str">
            <v>IBEWOUT</v>
          </cell>
          <cell r="F367" t="str">
            <v>1245</v>
          </cell>
          <cell r="G367" t="str">
            <v>8</v>
          </cell>
          <cell r="H367">
            <v>0</v>
          </cell>
        </row>
        <row r="368">
          <cell r="B368">
            <v>4071</v>
          </cell>
          <cell r="C368" t="str">
            <v>Fell; Jeffrey C</v>
          </cell>
          <cell r="D368" t="str">
            <v>1C</v>
          </cell>
          <cell r="E368" t="str">
            <v>IBEWOUT</v>
          </cell>
          <cell r="F368" t="str">
            <v>77</v>
          </cell>
          <cell r="G368" t="str">
            <v>7</v>
          </cell>
          <cell r="H368">
            <v>0</v>
          </cell>
        </row>
        <row r="369">
          <cell r="B369">
            <v>4072</v>
          </cell>
          <cell r="C369" t="str">
            <v>Felts; Dallas Z.</v>
          </cell>
          <cell r="D369" t="str">
            <v>1C</v>
          </cell>
          <cell r="E369" t="str">
            <v>IBEWOUT</v>
          </cell>
          <cell r="F369" t="str">
            <v>47</v>
          </cell>
          <cell r="G369" t="str">
            <v>8</v>
          </cell>
          <cell r="H369">
            <v>0</v>
          </cell>
        </row>
        <row r="370">
          <cell r="B370">
            <v>4075</v>
          </cell>
          <cell r="C370" t="str">
            <v>Ferrara; Jeffrey C.</v>
          </cell>
          <cell r="D370" t="str">
            <v>1C</v>
          </cell>
          <cell r="E370" t="str">
            <v>IBEWOUT</v>
          </cell>
          <cell r="F370" t="str">
            <v>47</v>
          </cell>
          <cell r="G370" t="str">
            <v>17</v>
          </cell>
          <cell r="H370">
            <v>0</v>
          </cell>
        </row>
        <row r="371">
          <cell r="B371">
            <v>4076</v>
          </cell>
          <cell r="C371" t="str">
            <v>Ferrari; Michael T</v>
          </cell>
          <cell r="D371" t="str">
            <v>1C</v>
          </cell>
          <cell r="E371" t="str">
            <v>IBEWOUT</v>
          </cell>
          <cell r="F371" t="str">
            <v>769</v>
          </cell>
          <cell r="G371" t="str">
            <v>10</v>
          </cell>
          <cell r="H371">
            <v>0</v>
          </cell>
        </row>
        <row r="372">
          <cell r="B372">
            <v>4079</v>
          </cell>
          <cell r="C372" t="str">
            <v>Fergus; Jeffrey</v>
          </cell>
          <cell r="D372" t="str">
            <v>1C</v>
          </cell>
          <cell r="E372" t="str">
            <v>IBEWOUT</v>
          </cell>
          <cell r="F372" t="str">
            <v>47</v>
          </cell>
          <cell r="G372" t="str">
            <v>60</v>
          </cell>
          <cell r="H372">
            <v>0</v>
          </cell>
        </row>
        <row r="373">
          <cell r="B373">
            <v>4080</v>
          </cell>
          <cell r="C373" t="str">
            <v>Federline; Christopher M</v>
          </cell>
          <cell r="D373" t="str">
            <v>1</v>
          </cell>
          <cell r="E373" t="str">
            <v>IBEWOUT</v>
          </cell>
          <cell r="F373" t="str">
            <v>47</v>
          </cell>
          <cell r="G373" t="str">
            <v>8</v>
          </cell>
          <cell r="H373">
            <v>0</v>
          </cell>
        </row>
        <row r="374">
          <cell r="B374">
            <v>4081</v>
          </cell>
          <cell r="C374" t="str">
            <v>Fenstermaker; Marshall D</v>
          </cell>
          <cell r="D374" t="str">
            <v>1</v>
          </cell>
          <cell r="E374" t="str">
            <v>IBEWOUT</v>
          </cell>
          <cell r="F374" t="str">
            <v>47</v>
          </cell>
          <cell r="G374" t="str">
            <v>8</v>
          </cell>
          <cell r="H374">
            <v>0</v>
          </cell>
        </row>
        <row r="375">
          <cell r="B375">
            <v>4098</v>
          </cell>
          <cell r="C375" t="str">
            <v>Fitzgerald; Thomas L.</v>
          </cell>
          <cell r="D375" t="str">
            <v>1</v>
          </cell>
          <cell r="E375" t="str">
            <v>IBEWOUT</v>
          </cell>
          <cell r="F375" t="str">
            <v>77</v>
          </cell>
          <cell r="G375" t="str">
            <v>7</v>
          </cell>
          <cell r="H375">
            <v>0</v>
          </cell>
        </row>
        <row r="376">
          <cell r="B376">
            <v>4103</v>
          </cell>
          <cell r="C376" t="str">
            <v>Fitzpatrick; John Michael</v>
          </cell>
          <cell r="D376" t="str">
            <v>1C</v>
          </cell>
          <cell r="E376" t="str">
            <v>IBEWOUT</v>
          </cell>
          <cell r="F376" t="str">
            <v>1245</v>
          </cell>
          <cell r="G376" t="str">
            <v>7</v>
          </cell>
          <cell r="H376">
            <v>0</v>
          </cell>
        </row>
        <row r="377">
          <cell r="B377">
            <v>4107</v>
          </cell>
          <cell r="C377" t="str">
            <v>Fisher; Lucas M.</v>
          </cell>
          <cell r="D377" t="str">
            <v>1</v>
          </cell>
          <cell r="E377" t="str">
            <v>IBEWOUT</v>
          </cell>
          <cell r="F377" t="str">
            <v>77</v>
          </cell>
          <cell r="G377" t="str">
            <v>7</v>
          </cell>
          <cell r="H377">
            <v>0</v>
          </cell>
        </row>
        <row r="378">
          <cell r="B378">
            <v>4110</v>
          </cell>
          <cell r="C378" t="str">
            <v>Flanagan; Christopher M</v>
          </cell>
          <cell r="D378" t="str">
            <v>1C</v>
          </cell>
          <cell r="E378" t="str">
            <v>IBEWOUT</v>
          </cell>
          <cell r="F378" t="str">
            <v>47</v>
          </cell>
          <cell r="G378" t="str">
            <v>17</v>
          </cell>
          <cell r="H378">
            <v>0</v>
          </cell>
        </row>
        <row r="379">
          <cell r="B379">
            <v>4115</v>
          </cell>
          <cell r="C379" t="str">
            <v>Flores; Raul D</v>
          </cell>
          <cell r="D379" t="str">
            <v>1</v>
          </cell>
          <cell r="E379" t="str">
            <v>IBEWOUT</v>
          </cell>
          <cell r="F379" t="str">
            <v>1245</v>
          </cell>
          <cell r="G379" t="str">
            <v>8</v>
          </cell>
          <cell r="H379">
            <v>0</v>
          </cell>
        </row>
        <row r="380">
          <cell r="B380">
            <v>4119</v>
          </cell>
          <cell r="C380" t="str">
            <v>Flores; Jose M</v>
          </cell>
          <cell r="D380" t="str">
            <v>1</v>
          </cell>
          <cell r="E380" t="str">
            <v>IBEWOUT</v>
          </cell>
          <cell r="F380" t="str">
            <v>1245</v>
          </cell>
          <cell r="G380" t="str">
            <v>12</v>
          </cell>
          <cell r="H380">
            <v>0</v>
          </cell>
        </row>
        <row r="381">
          <cell r="B381">
            <v>4122</v>
          </cell>
          <cell r="C381" t="str">
            <v>Fierro; Anthony</v>
          </cell>
          <cell r="D381" t="str">
            <v>1C</v>
          </cell>
          <cell r="E381" t="str">
            <v>IBEWOUT</v>
          </cell>
          <cell r="F381" t="str">
            <v>1245</v>
          </cell>
          <cell r="G381" t="str">
            <v>8</v>
          </cell>
          <cell r="H381">
            <v>0</v>
          </cell>
        </row>
        <row r="382">
          <cell r="B382">
            <v>4123</v>
          </cell>
          <cell r="C382" t="str">
            <v>Fierro; Abraham M.</v>
          </cell>
          <cell r="D382" t="str">
            <v>1C</v>
          </cell>
          <cell r="E382" t="str">
            <v>IBEWOUT</v>
          </cell>
          <cell r="F382" t="str">
            <v>47</v>
          </cell>
          <cell r="G382" t="str">
            <v>8</v>
          </cell>
          <cell r="H382">
            <v>0</v>
          </cell>
        </row>
        <row r="383">
          <cell r="B383">
            <v>4127</v>
          </cell>
          <cell r="C383" t="str">
            <v>Filkins; Shane K</v>
          </cell>
          <cell r="D383" t="str">
            <v>1C</v>
          </cell>
          <cell r="E383" t="str">
            <v>IBEWOUT</v>
          </cell>
          <cell r="F383" t="str">
            <v>1245</v>
          </cell>
          <cell r="G383" t="str">
            <v>8</v>
          </cell>
          <cell r="H383">
            <v>0</v>
          </cell>
        </row>
        <row r="384">
          <cell r="B384">
            <v>4129</v>
          </cell>
          <cell r="C384" t="str">
            <v>Flynn; Daniel T.</v>
          </cell>
          <cell r="D384" t="str">
            <v>1C</v>
          </cell>
          <cell r="E384" t="str">
            <v>IBEWOUT</v>
          </cell>
          <cell r="F384" t="str">
            <v>47</v>
          </cell>
          <cell r="G384" t="str">
            <v>8</v>
          </cell>
          <cell r="H384">
            <v>0</v>
          </cell>
        </row>
        <row r="385">
          <cell r="B385">
            <v>4130</v>
          </cell>
          <cell r="C385" t="str">
            <v>Filippini; Lucas V</v>
          </cell>
          <cell r="D385" t="str">
            <v>1C</v>
          </cell>
          <cell r="E385" t="str">
            <v>IBEWOUT</v>
          </cell>
          <cell r="F385" t="str">
            <v>47</v>
          </cell>
          <cell r="G385" t="str">
            <v>15</v>
          </cell>
          <cell r="H385">
            <v>0</v>
          </cell>
        </row>
        <row r="386">
          <cell r="B386">
            <v>4135</v>
          </cell>
          <cell r="C386" t="str">
            <v>Fernandez; Jose A.</v>
          </cell>
          <cell r="D386" t="str">
            <v>1C</v>
          </cell>
          <cell r="E386" t="str">
            <v>IBEWOUT</v>
          </cell>
          <cell r="F386" t="str">
            <v>47</v>
          </cell>
          <cell r="G386" t="str">
            <v>8</v>
          </cell>
          <cell r="H386">
            <v>0</v>
          </cell>
        </row>
        <row r="387">
          <cell r="B387">
            <v>4141</v>
          </cell>
          <cell r="C387" t="str">
            <v>Fitzpatrick; Ryan C.</v>
          </cell>
          <cell r="D387" t="str">
            <v>1C</v>
          </cell>
          <cell r="E387" t="str">
            <v>IBEWOUT</v>
          </cell>
          <cell r="F387" t="str">
            <v>77</v>
          </cell>
          <cell r="G387" t="str">
            <v>10</v>
          </cell>
          <cell r="H387">
            <v>0</v>
          </cell>
        </row>
        <row r="388">
          <cell r="B388">
            <v>4142</v>
          </cell>
          <cell r="C388" t="str">
            <v>Finley; Jerry L</v>
          </cell>
          <cell r="D388" t="str">
            <v>1C</v>
          </cell>
          <cell r="E388" t="str">
            <v>IBEWOUT</v>
          </cell>
          <cell r="F388" t="str">
            <v>602R</v>
          </cell>
          <cell r="G388" t="str">
            <v>18</v>
          </cell>
          <cell r="H388">
            <v>0</v>
          </cell>
        </row>
        <row r="389">
          <cell r="B389">
            <v>4153</v>
          </cell>
          <cell r="C389" t="str">
            <v>Foreman; Shane M</v>
          </cell>
          <cell r="D389" t="str">
            <v>1C</v>
          </cell>
          <cell r="E389" t="str">
            <v>IBEWOUT</v>
          </cell>
          <cell r="F389" t="str">
            <v>769</v>
          </cell>
          <cell r="G389" t="str">
            <v>9</v>
          </cell>
          <cell r="H389">
            <v>0</v>
          </cell>
        </row>
        <row r="390">
          <cell r="B390">
            <v>4155</v>
          </cell>
          <cell r="C390" t="str">
            <v>Fondon; John W</v>
          </cell>
          <cell r="D390" t="str">
            <v>1C</v>
          </cell>
          <cell r="E390" t="str">
            <v>IBEWOUT</v>
          </cell>
          <cell r="F390" t="str">
            <v>1245</v>
          </cell>
          <cell r="G390" t="str">
            <v>8</v>
          </cell>
          <cell r="H390">
            <v>0</v>
          </cell>
        </row>
        <row r="391">
          <cell r="B391">
            <v>4158</v>
          </cell>
          <cell r="C391" t="str">
            <v>Forester; Gilbert R</v>
          </cell>
          <cell r="D391" t="str">
            <v>1C</v>
          </cell>
          <cell r="E391" t="str">
            <v>IBEWOUT</v>
          </cell>
          <cell r="F391" t="str">
            <v>602R</v>
          </cell>
          <cell r="G391" t="str">
            <v>33</v>
          </cell>
          <cell r="H391">
            <v>0</v>
          </cell>
        </row>
        <row r="392">
          <cell r="B392">
            <v>4173</v>
          </cell>
          <cell r="C392" t="str">
            <v>Foster; Christopher A</v>
          </cell>
          <cell r="D392" t="str">
            <v>1</v>
          </cell>
          <cell r="E392" t="str">
            <v>IBEWOUT</v>
          </cell>
          <cell r="F392" t="str">
            <v>1245</v>
          </cell>
          <cell r="G392" t="str">
            <v>8</v>
          </cell>
          <cell r="H392">
            <v>0</v>
          </cell>
        </row>
        <row r="393">
          <cell r="B393">
            <v>4179</v>
          </cell>
          <cell r="C393" t="str">
            <v>Foster; Kyle A.</v>
          </cell>
          <cell r="D393" t="str">
            <v>1C</v>
          </cell>
          <cell r="E393" t="str">
            <v>IBEWOUT</v>
          </cell>
          <cell r="F393" t="str">
            <v>1245</v>
          </cell>
          <cell r="G393" t="str">
            <v>17</v>
          </cell>
          <cell r="H393">
            <v>0</v>
          </cell>
        </row>
        <row r="394">
          <cell r="B394">
            <v>4194</v>
          </cell>
          <cell r="C394" t="str">
            <v>Francis; Adam J</v>
          </cell>
          <cell r="D394" t="str">
            <v>1C</v>
          </cell>
          <cell r="E394" t="str">
            <v>IBEWOUT</v>
          </cell>
          <cell r="F394" t="str">
            <v>47</v>
          </cell>
          <cell r="G394" t="str">
            <v>7</v>
          </cell>
          <cell r="H394">
            <v>0</v>
          </cell>
        </row>
        <row r="395">
          <cell r="B395">
            <v>4196</v>
          </cell>
          <cell r="C395" t="str">
            <v>Francis; Jonathan P</v>
          </cell>
          <cell r="D395" t="str">
            <v>1</v>
          </cell>
          <cell r="E395" t="str">
            <v/>
          </cell>
          <cell r="F395" t="str">
            <v/>
          </cell>
          <cell r="G395" t="str">
            <v/>
          </cell>
          <cell r="H395">
            <v>1</v>
          </cell>
        </row>
        <row r="396">
          <cell r="B396">
            <v>4200</v>
          </cell>
          <cell r="C396" t="str">
            <v>Franks; Curtis A.</v>
          </cell>
          <cell r="D396" t="str">
            <v>1</v>
          </cell>
          <cell r="E396" t="str">
            <v>IBEWOUT</v>
          </cell>
          <cell r="F396" t="str">
            <v>1245</v>
          </cell>
          <cell r="G396" t="str">
            <v>8</v>
          </cell>
          <cell r="H396">
            <v>0</v>
          </cell>
        </row>
        <row r="397">
          <cell r="B397">
            <v>4232</v>
          </cell>
          <cell r="C397" t="str">
            <v>Frederiksen; Shawn A.</v>
          </cell>
          <cell r="D397" t="str">
            <v>1C</v>
          </cell>
          <cell r="E397" t="str">
            <v>IBEWOUT</v>
          </cell>
          <cell r="F397" t="str">
            <v>396</v>
          </cell>
          <cell r="G397" t="str">
            <v>8</v>
          </cell>
          <cell r="H397">
            <v>0</v>
          </cell>
        </row>
        <row r="398">
          <cell r="B398">
            <v>4239</v>
          </cell>
          <cell r="C398" t="str">
            <v>Frazee; Darren R</v>
          </cell>
          <cell r="D398" t="str">
            <v>1C</v>
          </cell>
          <cell r="E398" t="str">
            <v>IBEWOUT</v>
          </cell>
          <cell r="F398" t="str">
            <v>602R</v>
          </cell>
          <cell r="G398" t="str">
            <v>33</v>
          </cell>
          <cell r="H398">
            <v>0</v>
          </cell>
        </row>
        <row r="399">
          <cell r="B399">
            <v>4240</v>
          </cell>
          <cell r="C399" t="str">
            <v>Frazier; Brad L.</v>
          </cell>
          <cell r="D399" t="str">
            <v>1</v>
          </cell>
          <cell r="E399" t="str">
            <v>IBEWOUT</v>
          </cell>
          <cell r="F399" t="str">
            <v>77</v>
          </cell>
          <cell r="G399" t="str">
            <v>1</v>
          </cell>
          <cell r="H399">
            <v>1</v>
          </cell>
        </row>
        <row r="400">
          <cell r="B400">
            <v>4241</v>
          </cell>
          <cell r="C400" t="str">
            <v>Freeman; Christopher Shane</v>
          </cell>
          <cell r="D400" t="str">
            <v>1C</v>
          </cell>
          <cell r="E400" t="str">
            <v>IBEWOUT</v>
          </cell>
          <cell r="F400" t="str">
            <v>769</v>
          </cell>
          <cell r="G400" t="str">
            <v>8</v>
          </cell>
          <cell r="H400">
            <v>0</v>
          </cell>
        </row>
        <row r="401">
          <cell r="B401">
            <v>4243</v>
          </cell>
          <cell r="C401" t="str">
            <v>Frazier; Forrest F</v>
          </cell>
          <cell r="D401" t="str">
            <v>1</v>
          </cell>
          <cell r="E401" t="str">
            <v/>
          </cell>
          <cell r="F401" t="str">
            <v/>
          </cell>
          <cell r="G401" t="str">
            <v/>
          </cell>
          <cell r="H401">
            <v>0</v>
          </cell>
        </row>
        <row r="402">
          <cell r="B402">
            <v>4249</v>
          </cell>
          <cell r="C402" t="str">
            <v>Hudson; Freeman L.</v>
          </cell>
          <cell r="D402" t="str">
            <v>1C</v>
          </cell>
          <cell r="E402" t="str">
            <v>IBEWOUT</v>
          </cell>
          <cell r="F402" t="str">
            <v>47</v>
          </cell>
          <cell r="G402" t="str">
            <v>8</v>
          </cell>
          <cell r="H402">
            <v>0</v>
          </cell>
        </row>
        <row r="403">
          <cell r="B403">
            <v>4250</v>
          </cell>
          <cell r="C403" t="str">
            <v>French; Steve K</v>
          </cell>
          <cell r="D403" t="str">
            <v>1</v>
          </cell>
          <cell r="E403" t="str">
            <v>IBEWOUT</v>
          </cell>
          <cell r="F403" t="str">
            <v>77</v>
          </cell>
          <cell r="G403" t="str">
            <v>1</v>
          </cell>
          <cell r="H403">
            <v>0</v>
          </cell>
        </row>
        <row r="404">
          <cell r="B404">
            <v>4251</v>
          </cell>
          <cell r="C404" t="str">
            <v>Freismuth; Edward J</v>
          </cell>
          <cell r="D404" t="str">
            <v>1C</v>
          </cell>
          <cell r="E404" t="str">
            <v>IBEWOUT</v>
          </cell>
          <cell r="F404" t="str">
            <v>769</v>
          </cell>
          <cell r="G404" t="str">
            <v>8</v>
          </cell>
          <cell r="H404">
            <v>0</v>
          </cell>
        </row>
        <row r="405">
          <cell r="B405">
            <v>4254</v>
          </cell>
          <cell r="C405" t="str">
            <v>French ll; Thomas E</v>
          </cell>
          <cell r="D405" t="str">
            <v>1C</v>
          </cell>
          <cell r="E405" t="str">
            <v>IBEWOUT</v>
          </cell>
          <cell r="F405" t="str">
            <v>1049</v>
          </cell>
          <cell r="G405" t="str">
            <v>15</v>
          </cell>
          <cell r="H405">
            <v>0</v>
          </cell>
        </row>
        <row r="406">
          <cell r="B406">
            <v>4259</v>
          </cell>
          <cell r="C406" t="str">
            <v>Frias; Ronald</v>
          </cell>
          <cell r="D406" t="str">
            <v>1C</v>
          </cell>
          <cell r="E406" t="str">
            <v>IBEWOUT</v>
          </cell>
          <cell r="F406" t="str">
            <v>47</v>
          </cell>
          <cell r="G406" t="str">
            <v>17</v>
          </cell>
          <cell r="H406">
            <v>0</v>
          </cell>
        </row>
        <row r="407">
          <cell r="B407">
            <v>4270</v>
          </cell>
          <cell r="C407" t="str">
            <v>Fuge; Daniel S</v>
          </cell>
          <cell r="D407" t="str">
            <v>1</v>
          </cell>
          <cell r="E407" t="str">
            <v/>
          </cell>
          <cell r="F407" t="str">
            <v/>
          </cell>
          <cell r="G407" t="str">
            <v/>
          </cell>
          <cell r="H407">
            <v>0</v>
          </cell>
        </row>
        <row r="408">
          <cell r="B408">
            <v>4284</v>
          </cell>
          <cell r="C408" t="str">
            <v>Fulton; Ross A</v>
          </cell>
          <cell r="D408" t="str">
            <v>1</v>
          </cell>
          <cell r="E408" t="str">
            <v>IBEWOUT</v>
          </cell>
          <cell r="F408" t="str">
            <v>769</v>
          </cell>
          <cell r="G408" t="str">
            <v>21</v>
          </cell>
          <cell r="H408">
            <v>0</v>
          </cell>
        </row>
        <row r="409">
          <cell r="B409">
            <v>4285</v>
          </cell>
          <cell r="C409" t="str">
            <v>Funez; Marcial</v>
          </cell>
          <cell r="D409" t="str">
            <v>1C</v>
          </cell>
          <cell r="E409" t="str">
            <v>IBEWOUT</v>
          </cell>
          <cell r="F409" t="str">
            <v>769</v>
          </cell>
          <cell r="G409" t="str">
            <v>22</v>
          </cell>
          <cell r="H409">
            <v>0</v>
          </cell>
        </row>
        <row r="410">
          <cell r="B410">
            <v>4286</v>
          </cell>
          <cell r="C410" t="str">
            <v>Garcia; Edith G</v>
          </cell>
          <cell r="D410" t="str">
            <v>1</v>
          </cell>
          <cell r="E410" t="str">
            <v/>
          </cell>
          <cell r="F410" t="str">
            <v/>
          </cell>
          <cell r="G410" t="str">
            <v/>
          </cell>
          <cell r="H410">
            <v>0</v>
          </cell>
        </row>
        <row r="411">
          <cell r="B411">
            <v>4330</v>
          </cell>
          <cell r="C411" t="str">
            <v>Gameng; Marlon G.</v>
          </cell>
          <cell r="D411" t="str">
            <v>1C</v>
          </cell>
          <cell r="E411" t="str">
            <v>IBEWOUT</v>
          </cell>
          <cell r="F411" t="str">
            <v>47</v>
          </cell>
          <cell r="G411" t="str">
            <v>60</v>
          </cell>
          <cell r="H411">
            <v>0</v>
          </cell>
        </row>
        <row r="412">
          <cell r="B412">
            <v>4336</v>
          </cell>
          <cell r="C412" t="str">
            <v>Gandy; Douglas John</v>
          </cell>
          <cell r="D412" t="str">
            <v>1C</v>
          </cell>
          <cell r="E412" t="str">
            <v>IBEWOUT</v>
          </cell>
          <cell r="F412" t="str">
            <v>47</v>
          </cell>
          <cell r="G412" t="str">
            <v>16</v>
          </cell>
          <cell r="H412">
            <v>0</v>
          </cell>
        </row>
        <row r="413">
          <cell r="B413">
            <v>4339</v>
          </cell>
          <cell r="C413" t="str">
            <v>Gabbert; Jarid D</v>
          </cell>
          <cell r="D413" t="str">
            <v>1</v>
          </cell>
          <cell r="E413" t="str">
            <v>IBEWOUT</v>
          </cell>
          <cell r="F413" t="str">
            <v>77</v>
          </cell>
          <cell r="G413" t="str">
            <v>8</v>
          </cell>
          <cell r="H413">
            <v>0</v>
          </cell>
        </row>
        <row r="414">
          <cell r="B414">
            <v>4340</v>
          </cell>
          <cell r="C414" t="str">
            <v>Garcia; John A</v>
          </cell>
          <cell r="D414" t="str">
            <v>1C</v>
          </cell>
          <cell r="E414" t="str">
            <v>IBEWOUT</v>
          </cell>
          <cell r="F414" t="str">
            <v>611</v>
          </cell>
          <cell r="G414" t="str">
            <v>18</v>
          </cell>
          <cell r="H414">
            <v>0</v>
          </cell>
        </row>
        <row r="415">
          <cell r="B415">
            <v>4341</v>
          </cell>
          <cell r="C415" t="str">
            <v>Fyfe; Dusty John</v>
          </cell>
          <cell r="D415" t="str">
            <v>1</v>
          </cell>
          <cell r="E415" t="str">
            <v>IBEWOUT</v>
          </cell>
          <cell r="F415" t="str">
            <v>47</v>
          </cell>
          <cell r="G415" t="str">
            <v>1</v>
          </cell>
          <cell r="H415">
            <v>0</v>
          </cell>
        </row>
        <row r="416">
          <cell r="B416">
            <v>4342</v>
          </cell>
          <cell r="C416" t="str">
            <v>Fye; Scott R</v>
          </cell>
          <cell r="D416" t="str">
            <v>1C</v>
          </cell>
          <cell r="E416" t="str">
            <v>IBEWOUT</v>
          </cell>
          <cell r="F416" t="str">
            <v>1245</v>
          </cell>
          <cell r="G416" t="str">
            <v>8</v>
          </cell>
          <cell r="H416">
            <v>0</v>
          </cell>
        </row>
        <row r="417">
          <cell r="B417">
            <v>4345</v>
          </cell>
          <cell r="C417" t="str">
            <v>Frolov; Gleb</v>
          </cell>
          <cell r="D417" t="str">
            <v>1C</v>
          </cell>
          <cell r="E417" t="str">
            <v>IBEWOUT</v>
          </cell>
          <cell r="F417" t="str">
            <v>47</v>
          </cell>
          <cell r="G417" t="str">
            <v>8</v>
          </cell>
          <cell r="H417">
            <v>0</v>
          </cell>
        </row>
        <row r="418">
          <cell r="B418">
            <v>4346</v>
          </cell>
          <cell r="C418" t="str">
            <v>Frost; Joston T</v>
          </cell>
          <cell r="D418" t="str">
            <v>1C</v>
          </cell>
          <cell r="E418" t="str">
            <v>IBEWOUT</v>
          </cell>
          <cell r="F418" t="str">
            <v>1245</v>
          </cell>
          <cell r="G418" t="str">
            <v>70</v>
          </cell>
          <cell r="H418">
            <v>0</v>
          </cell>
        </row>
        <row r="419">
          <cell r="B419">
            <v>4348</v>
          </cell>
          <cell r="C419" t="str">
            <v>Fuhs; Kirt R.</v>
          </cell>
          <cell r="D419" t="str">
            <v>1</v>
          </cell>
          <cell r="E419" t="str">
            <v/>
          </cell>
          <cell r="F419" t="str">
            <v/>
          </cell>
          <cell r="G419" t="str">
            <v/>
          </cell>
          <cell r="H419">
            <v>0</v>
          </cell>
        </row>
        <row r="420">
          <cell r="B420">
            <v>4350</v>
          </cell>
          <cell r="C420" t="str">
            <v>Full; Laramie M</v>
          </cell>
          <cell r="D420" t="str">
            <v>1C</v>
          </cell>
          <cell r="E420" t="str">
            <v>IBEWOUT</v>
          </cell>
          <cell r="F420" t="str">
            <v>47</v>
          </cell>
          <cell r="G420" t="str">
            <v>8</v>
          </cell>
          <cell r="H420">
            <v>0</v>
          </cell>
        </row>
        <row r="421">
          <cell r="B421">
            <v>4357</v>
          </cell>
          <cell r="C421" t="str">
            <v>Gage; Matthew Loren</v>
          </cell>
          <cell r="D421" t="str">
            <v>1C</v>
          </cell>
          <cell r="E421" t="str">
            <v>IBEWOUT</v>
          </cell>
          <cell r="F421" t="str">
            <v>125</v>
          </cell>
          <cell r="G421" t="str">
            <v>8</v>
          </cell>
          <cell r="H421">
            <v>0</v>
          </cell>
        </row>
        <row r="422">
          <cell r="B422">
            <v>4358</v>
          </cell>
          <cell r="C422" t="str">
            <v>Gadsby; Terrence P</v>
          </cell>
          <cell r="D422" t="str">
            <v>1C</v>
          </cell>
          <cell r="E422" t="str">
            <v>IBEWOUT</v>
          </cell>
          <cell r="F422" t="str">
            <v>126</v>
          </cell>
          <cell r="G422" t="str">
            <v>10</v>
          </cell>
          <cell r="H422">
            <v>0</v>
          </cell>
        </row>
        <row r="423">
          <cell r="B423">
            <v>4359</v>
          </cell>
          <cell r="C423" t="str">
            <v>Gannon; Jon B.</v>
          </cell>
          <cell r="D423" t="str">
            <v>1</v>
          </cell>
          <cell r="E423" t="str">
            <v>IBEWOUT</v>
          </cell>
          <cell r="F423" t="str">
            <v>47</v>
          </cell>
          <cell r="G423" t="str">
            <v>1</v>
          </cell>
          <cell r="H423">
            <v>0</v>
          </cell>
        </row>
        <row r="424">
          <cell r="B424">
            <v>4370</v>
          </cell>
          <cell r="C424" t="str">
            <v>Gardner; Michael Lynn</v>
          </cell>
          <cell r="D424" t="str">
            <v>1C</v>
          </cell>
          <cell r="E424" t="str">
            <v>IBEWOUT</v>
          </cell>
          <cell r="F424" t="str">
            <v>125</v>
          </cell>
          <cell r="G424" t="str">
            <v>33</v>
          </cell>
          <cell r="H424">
            <v>0</v>
          </cell>
        </row>
        <row r="425">
          <cell r="B425">
            <v>4371</v>
          </cell>
          <cell r="C425" t="str">
            <v>Garcia; Nathan M.</v>
          </cell>
          <cell r="D425" t="str">
            <v>1C</v>
          </cell>
          <cell r="E425" t="str">
            <v>IBEWOUT</v>
          </cell>
          <cell r="F425" t="str">
            <v>611</v>
          </cell>
          <cell r="G425" t="str">
            <v>17</v>
          </cell>
          <cell r="H425">
            <v>0</v>
          </cell>
        </row>
        <row r="426">
          <cell r="B426">
            <v>4372</v>
          </cell>
          <cell r="C426" t="str">
            <v>Gardapee; Cory D</v>
          </cell>
          <cell r="D426" t="str">
            <v>1C</v>
          </cell>
          <cell r="E426" t="str">
            <v>IBEWOUT</v>
          </cell>
          <cell r="F426" t="str">
            <v>160</v>
          </cell>
          <cell r="G426" t="str">
            <v>8</v>
          </cell>
          <cell r="H426">
            <v>0</v>
          </cell>
        </row>
        <row r="427">
          <cell r="B427">
            <v>4373</v>
          </cell>
          <cell r="C427" t="str">
            <v>Gardner; Mitchell T.</v>
          </cell>
          <cell r="D427" t="str">
            <v>1C</v>
          </cell>
          <cell r="E427" t="str">
            <v>IBEWOUT</v>
          </cell>
          <cell r="F427" t="str">
            <v>1245</v>
          </cell>
          <cell r="G427" t="str">
            <v>8</v>
          </cell>
          <cell r="H427">
            <v>0</v>
          </cell>
        </row>
        <row r="428">
          <cell r="B428">
            <v>4375</v>
          </cell>
          <cell r="C428" t="str">
            <v>Gardner; Jacob W.</v>
          </cell>
          <cell r="D428" t="str">
            <v>1C</v>
          </cell>
          <cell r="E428" t="str">
            <v>IBEWOUT</v>
          </cell>
          <cell r="F428" t="str">
            <v>602R</v>
          </cell>
          <cell r="G428" t="str">
            <v>8</v>
          </cell>
          <cell r="H428">
            <v>0</v>
          </cell>
        </row>
        <row r="429">
          <cell r="B429">
            <v>4381</v>
          </cell>
          <cell r="C429" t="str">
            <v>Garcia; David D.</v>
          </cell>
          <cell r="D429" t="str">
            <v>1C</v>
          </cell>
          <cell r="E429" t="str">
            <v>IBEWOUT</v>
          </cell>
          <cell r="F429" t="str">
            <v>769</v>
          </cell>
          <cell r="G429" t="str">
            <v>8</v>
          </cell>
          <cell r="H429">
            <v>0</v>
          </cell>
        </row>
        <row r="430">
          <cell r="B430">
            <v>4382</v>
          </cell>
          <cell r="C430" t="str">
            <v>Garcia; Edmundo</v>
          </cell>
          <cell r="D430" t="str">
            <v>1C</v>
          </cell>
          <cell r="E430" t="str">
            <v>IBEWOUT</v>
          </cell>
          <cell r="F430" t="str">
            <v>160</v>
          </cell>
          <cell r="G430" t="str">
            <v>8</v>
          </cell>
          <cell r="H430">
            <v>0</v>
          </cell>
        </row>
        <row r="431">
          <cell r="B431">
            <v>4387</v>
          </cell>
          <cell r="C431" t="str">
            <v>Gallegos; Jose I</v>
          </cell>
          <cell r="D431" t="str">
            <v>1C</v>
          </cell>
          <cell r="E431" t="str">
            <v>IBEWOUT</v>
          </cell>
          <cell r="F431" t="str">
            <v>602R</v>
          </cell>
          <cell r="G431" t="str">
            <v>11T</v>
          </cell>
          <cell r="H431">
            <v>0</v>
          </cell>
        </row>
        <row r="432">
          <cell r="B432">
            <v>4388</v>
          </cell>
          <cell r="C432" t="str">
            <v>Gallegos; Patrick A</v>
          </cell>
          <cell r="D432" t="str">
            <v>1</v>
          </cell>
          <cell r="E432" t="str">
            <v>IBEWOUT</v>
          </cell>
          <cell r="F432" t="str">
            <v>611</v>
          </cell>
          <cell r="G432" t="str">
            <v>16</v>
          </cell>
          <cell r="H432">
            <v>0</v>
          </cell>
        </row>
        <row r="433">
          <cell r="B433">
            <v>4389</v>
          </cell>
          <cell r="C433" t="str">
            <v>Garceau; Tristan J</v>
          </cell>
          <cell r="D433" t="str">
            <v>1C</v>
          </cell>
          <cell r="E433" t="str">
            <v>IBEWOUT</v>
          </cell>
          <cell r="F433" t="str">
            <v>1245</v>
          </cell>
          <cell r="G433" t="str">
            <v>8</v>
          </cell>
          <cell r="H433">
            <v>0</v>
          </cell>
        </row>
        <row r="434">
          <cell r="B434">
            <v>4390</v>
          </cell>
          <cell r="C434" t="str">
            <v>Gallaher; Adam C</v>
          </cell>
          <cell r="D434" t="str">
            <v>1C</v>
          </cell>
          <cell r="E434" t="str">
            <v>IBEWOUT</v>
          </cell>
          <cell r="F434" t="str">
            <v>126</v>
          </cell>
          <cell r="G434" t="str">
            <v>8</v>
          </cell>
          <cell r="H434">
            <v>0</v>
          </cell>
        </row>
        <row r="435">
          <cell r="B435">
            <v>4392</v>
          </cell>
          <cell r="C435" t="str">
            <v>Garcia; Albert A</v>
          </cell>
          <cell r="D435" t="str">
            <v>1C</v>
          </cell>
          <cell r="E435" t="str">
            <v>IBEWOUT</v>
          </cell>
          <cell r="F435" t="str">
            <v>47</v>
          </cell>
          <cell r="G435" t="str">
            <v>12</v>
          </cell>
          <cell r="H435">
            <v>0</v>
          </cell>
        </row>
        <row r="436">
          <cell r="B436">
            <v>4394</v>
          </cell>
          <cell r="C436" t="str">
            <v>Garcia; Kris</v>
          </cell>
          <cell r="D436" t="str">
            <v>1C</v>
          </cell>
          <cell r="E436" t="str">
            <v>IBEWOUT</v>
          </cell>
          <cell r="F436" t="str">
            <v>611</v>
          </cell>
          <cell r="G436" t="str">
            <v>10</v>
          </cell>
          <cell r="H436">
            <v>0</v>
          </cell>
        </row>
        <row r="437">
          <cell r="B437">
            <v>4398</v>
          </cell>
          <cell r="C437" t="str">
            <v>Garcia; Hafid</v>
          </cell>
          <cell r="D437" t="str">
            <v>1C</v>
          </cell>
          <cell r="E437" t="str">
            <v>IBEWOUT</v>
          </cell>
          <cell r="F437" t="str">
            <v>1245</v>
          </cell>
          <cell r="G437" t="str">
            <v>8</v>
          </cell>
          <cell r="H437">
            <v>0</v>
          </cell>
        </row>
        <row r="438">
          <cell r="B438">
            <v>4402</v>
          </cell>
          <cell r="C438" t="str">
            <v>Garcia; Israel J</v>
          </cell>
          <cell r="D438" t="str">
            <v>1C</v>
          </cell>
          <cell r="E438" t="str">
            <v>IBEWOUT</v>
          </cell>
          <cell r="F438" t="str">
            <v>611</v>
          </cell>
          <cell r="G438" t="str">
            <v>13</v>
          </cell>
          <cell r="H438">
            <v>0</v>
          </cell>
        </row>
        <row r="439">
          <cell r="B439">
            <v>4405</v>
          </cell>
          <cell r="C439" t="str">
            <v>Gatlin; Brian R</v>
          </cell>
          <cell r="D439" t="str">
            <v>1C</v>
          </cell>
          <cell r="E439" t="str">
            <v>IBEWOUT</v>
          </cell>
          <cell r="F439" t="str">
            <v>125</v>
          </cell>
          <cell r="G439" t="str">
            <v>15</v>
          </cell>
          <cell r="H439">
            <v>0</v>
          </cell>
        </row>
        <row r="440">
          <cell r="B440">
            <v>4420</v>
          </cell>
          <cell r="C440" t="str">
            <v>Garcia; Leonel V.</v>
          </cell>
          <cell r="D440" t="str">
            <v>1C</v>
          </cell>
          <cell r="E440" t="str">
            <v>IBEWOUT</v>
          </cell>
          <cell r="F440" t="str">
            <v>47</v>
          </cell>
          <cell r="G440" t="str">
            <v>8</v>
          </cell>
          <cell r="H440">
            <v>0</v>
          </cell>
        </row>
        <row r="441">
          <cell r="B441">
            <v>4423</v>
          </cell>
          <cell r="C441" t="str">
            <v>Garrett; Skyler A</v>
          </cell>
          <cell r="D441" t="str">
            <v>1</v>
          </cell>
          <cell r="E441" t="str">
            <v>IBEWOUT</v>
          </cell>
          <cell r="F441" t="str">
            <v>77</v>
          </cell>
          <cell r="G441" t="str">
            <v>15</v>
          </cell>
          <cell r="H441">
            <v>0</v>
          </cell>
        </row>
        <row r="442">
          <cell r="B442">
            <v>4424</v>
          </cell>
          <cell r="C442" t="str">
            <v>Garner; David C</v>
          </cell>
          <cell r="D442" t="str">
            <v>1C</v>
          </cell>
          <cell r="E442" t="str">
            <v>IBEWOUT</v>
          </cell>
          <cell r="F442" t="str">
            <v>396</v>
          </cell>
          <cell r="G442" t="str">
            <v>8</v>
          </cell>
          <cell r="H442">
            <v>0</v>
          </cell>
        </row>
        <row r="443">
          <cell r="B443">
            <v>4431</v>
          </cell>
          <cell r="C443" t="str">
            <v>Gebhart; Tanner A</v>
          </cell>
          <cell r="D443" t="str">
            <v>1C</v>
          </cell>
          <cell r="E443" t="str">
            <v>IBEWOUT</v>
          </cell>
          <cell r="F443" t="str">
            <v>602R</v>
          </cell>
          <cell r="G443" t="str">
            <v>8</v>
          </cell>
          <cell r="H443">
            <v>0</v>
          </cell>
        </row>
        <row r="444">
          <cell r="B444">
            <v>4432</v>
          </cell>
          <cell r="C444" t="str">
            <v>Ghering; Tadd P</v>
          </cell>
          <cell r="D444" t="str">
            <v>1C</v>
          </cell>
          <cell r="E444" t="str">
            <v>IBEWOUT</v>
          </cell>
          <cell r="F444" t="str">
            <v>1245</v>
          </cell>
          <cell r="G444" t="str">
            <v>8</v>
          </cell>
          <cell r="H444">
            <v>0</v>
          </cell>
        </row>
        <row r="445">
          <cell r="B445">
            <v>4435</v>
          </cell>
          <cell r="C445" t="str">
            <v>Gehring; Zachary W</v>
          </cell>
          <cell r="D445" t="str">
            <v>1</v>
          </cell>
          <cell r="E445" t="str">
            <v>IBEWOUT</v>
          </cell>
          <cell r="F445" t="str">
            <v>77</v>
          </cell>
          <cell r="G445" t="str">
            <v>8</v>
          </cell>
          <cell r="H445">
            <v>0</v>
          </cell>
        </row>
        <row r="446">
          <cell r="B446">
            <v>4440</v>
          </cell>
          <cell r="C446" t="str">
            <v>Gerber Jr; Christian</v>
          </cell>
          <cell r="D446" t="str">
            <v>1C</v>
          </cell>
          <cell r="E446" t="str">
            <v>IBEWOUT</v>
          </cell>
          <cell r="F446" t="str">
            <v>126</v>
          </cell>
          <cell r="G446" t="str">
            <v>14</v>
          </cell>
          <cell r="H446">
            <v>0</v>
          </cell>
        </row>
        <row r="447">
          <cell r="B447">
            <v>4441</v>
          </cell>
          <cell r="C447" t="str">
            <v>Germany; Micah K</v>
          </cell>
          <cell r="D447" t="str">
            <v>1C</v>
          </cell>
          <cell r="E447" t="str">
            <v>IBEWOUT</v>
          </cell>
          <cell r="F447" t="str">
            <v>1245</v>
          </cell>
          <cell r="G447" t="str">
            <v>16</v>
          </cell>
          <cell r="H447">
            <v>0</v>
          </cell>
        </row>
        <row r="448">
          <cell r="B448">
            <v>4442</v>
          </cell>
          <cell r="C448" t="str">
            <v>Germany; Sammy R</v>
          </cell>
          <cell r="D448" t="str">
            <v>1C</v>
          </cell>
          <cell r="E448" t="str">
            <v>IBEWOUT</v>
          </cell>
          <cell r="F448" t="str">
            <v>1245</v>
          </cell>
          <cell r="G448" t="str">
            <v>8</v>
          </cell>
          <cell r="H448">
            <v>0</v>
          </cell>
        </row>
        <row r="449">
          <cell r="B449">
            <v>4445</v>
          </cell>
          <cell r="C449" t="str">
            <v>Geronimo; Dionicio</v>
          </cell>
          <cell r="D449" t="str">
            <v>1C</v>
          </cell>
          <cell r="E449" t="str">
            <v>IBEWOUT</v>
          </cell>
          <cell r="F449" t="str">
            <v>1245</v>
          </cell>
          <cell r="G449" t="str">
            <v>8</v>
          </cell>
          <cell r="H449">
            <v>0</v>
          </cell>
        </row>
        <row r="450">
          <cell r="B450">
            <v>4500</v>
          </cell>
          <cell r="C450" t="str">
            <v>Gesiriech; Gustin W</v>
          </cell>
          <cell r="D450" t="str">
            <v>1C</v>
          </cell>
          <cell r="E450" t="str">
            <v>IBEWOUT</v>
          </cell>
          <cell r="F450" t="str">
            <v>1245</v>
          </cell>
          <cell r="G450" t="str">
            <v>8</v>
          </cell>
          <cell r="H450">
            <v>0</v>
          </cell>
        </row>
        <row r="451">
          <cell r="B451">
            <v>4522</v>
          </cell>
          <cell r="C451" t="str">
            <v>Gochenouer; Jacob C</v>
          </cell>
          <cell r="D451" t="str">
            <v>1</v>
          </cell>
          <cell r="E451" t="str">
            <v>IBEWOUT</v>
          </cell>
          <cell r="F451" t="str">
            <v>47</v>
          </cell>
          <cell r="G451" t="str">
            <v>13</v>
          </cell>
          <cell r="H451">
            <v>0</v>
          </cell>
        </row>
        <row r="452">
          <cell r="B452">
            <v>4525</v>
          </cell>
          <cell r="C452" t="str">
            <v>Gnall Jr.; John A</v>
          </cell>
          <cell r="D452" t="str">
            <v>1C</v>
          </cell>
          <cell r="E452" t="str">
            <v>IBEWOUT</v>
          </cell>
          <cell r="F452" t="str">
            <v>1319</v>
          </cell>
          <cell r="G452" t="str">
            <v>8</v>
          </cell>
          <cell r="H452">
            <v>0</v>
          </cell>
        </row>
        <row r="453">
          <cell r="B453">
            <v>4526</v>
          </cell>
          <cell r="C453" t="str">
            <v>Godeke; Joel</v>
          </cell>
          <cell r="D453" t="str">
            <v>1C</v>
          </cell>
          <cell r="E453" t="str">
            <v>IBEWOUT</v>
          </cell>
          <cell r="F453" t="str">
            <v>47</v>
          </cell>
          <cell r="G453" t="str">
            <v>60</v>
          </cell>
          <cell r="H453">
            <v>0</v>
          </cell>
        </row>
        <row r="454">
          <cell r="B454">
            <v>4528</v>
          </cell>
          <cell r="C454" t="str">
            <v>Gollehon; Nolan B</v>
          </cell>
          <cell r="D454" t="str">
            <v>1C</v>
          </cell>
          <cell r="E454" t="str">
            <v>IBEWOUT</v>
          </cell>
          <cell r="F454" t="str">
            <v>47</v>
          </cell>
          <cell r="G454" t="str">
            <v>13</v>
          </cell>
          <cell r="H454">
            <v>0</v>
          </cell>
        </row>
        <row r="455">
          <cell r="B455">
            <v>4535</v>
          </cell>
          <cell r="C455" t="str">
            <v>Goodrich; Thadeus J.</v>
          </cell>
          <cell r="D455" t="str">
            <v>1C</v>
          </cell>
          <cell r="E455" t="str">
            <v>IBEWOUT</v>
          </cell>
          <cell r="F455" t="str">
            <v>77</v>
          </cell>
          <cell r="G455" t="str">
            <v>17</v>
          </cell>
          <cell r="H455">
            <v>0</v>
          </cell>
        </row>
        <row r="456">
          <cell r="B456">
            <v>4538</v>
          </cell>
          <cell r="C456" t="str">
            <v>Goodman; Timothy L</v>
          </cell>
          <cell r="D456" t="str">
            <v>1</v>
          </cell>
          <cell r="E456" t="str">
            <v>IBEWOUT</v>
          </cell>
          <cell r="F456" t="str">
            <v>611</v>
          </cell>
          <cell r="G456" t="str">
            <v>10</v>
          </cell>
          <cell r="H456">
            <v>0</v>
          </cell>
        </row>
        <row r="457">
          <cell r="B457">
            <v>4542</v>
          </cell>
          <cell r="C457" t="str">
            <v>Gordon; Robert S</v>
          </cell>
          <cell r="D457" t="str">
            <v>1C</v>
          </cell>
          <cell r="E457" t="str">
            <v>IBEWOUT</v>
          </cell>
          <cell r="F457" t="str">
            <v>1245</v>
          </cell>
          <cell r="G457" t="str">
            <v>17</v>
          </cell>
          <cell r="H457">
            <v>0</v>
          </cell>
        </row>
        <row r="458">
          <cell r="B458">
            <v>4556</v>
          </cell>
          <cell r="C458" t="str">
            <v>Gonzales; Isaiah C.</v>
          </cell>
          <cell r="D458" t="str">
            <v>1C</v>
          </cell>
          <cell r="E458" t="str">
            <v>IBEWOUT</v>
          </cell>
          <cell r="F458" t="str">
            <v>769</v>
          </cell>
          <cell r="G458" t="str">
            <v>14</v>
          </cell>
          <cell r="H458">
            <v>0</v>
          </cell>
        </row>
        <row r="459">
          <cell r="B459">
            <v>4557</v>
          </cell>
          <cell r="C459" t="str">
            <v>Gordon; Austin K</v>
          </cell>
          <cell r="D459" t="str">
            <v>1C</v>
          </cell>
          <cell r="E459" t="str">
            <v/>
          </cell>
          <cell r="F459" t="str">
            <v/>
          </cell>
          <cell r="G459" t="str">
            <v/>
          </cell>
          <cell r="H459">
            <v>0</v>
          </cell>
        </row>
        <row r="460">
          <cell r="B460">
            <v>4558</v>
          </cell>
          <cell r="C460" t="str">
            <v>Gordon; Cody Richard</v>
          </cell>
          <cell r="D460" t="str">
            <v>1C</v>
          </cell>
          <cell r="E460" t="str">
            <v>IBEWOUT</v>
          </cell>
          <cell r="F460" t="str">
            <v>1245</v>
          </cell>
          <cell r="G460" t="str">
            <v>8</v>
          </cell>
          <cell r="H460">
            <v>0</v>
          </cell>
        </row>
        <row r="461">
          <cell r="B461">
            <v>4563</v>
          </cell>
          <cell r="C461" t="str">
            <v>Gordon; Seth</v>
          </cell>
          <cell r="D461" t="str">
            <v>1C</v>
          </cell>
          <cell r="E461" t="str">
            <v/>
          </cell>
          <cell r="F461" t="str">
            <v/>
          </cell>
          <cell r="G461" t="str">
            <v/>
          </cell>
          <cell r="H461">
            <v>1</v>
          </cell>
        </row>
        <row r="462">
          <cell r="B462">
            <v>4564</v>
          </cell>
          <cell r="C462" t="str">
            <v>Gomez; Angel S.</v>
          </cell>
          <cell r="D462" t="str">
            <v>1C</v>
          </cell>
          <cell r="E462" t="str">
            <v>IBEWOUT</v>
          </cell>
          <cell r="F462" t="str">
            <v>1319</v>
          </cell>
          <cell r="G462" t="str">
            <v>20</v>
          </cell>
          <cell r="H462">
            <v>0</v>
          </cell>
        </row>
        <row r="463">
          <cell r="B463">
            <v>4565</v>
          </cell>
          <cell r="C463" t="str">
            <v>Gorst; Quinn R</v>
          </cell>
          <cell r="D463" t="str">
            <v>1C</v>
          </cell>
          <cell r="E463" t="str">
            <v>IBEWOUT</v>
          </cell>
          <cell r="F463" t="str">
            <v>1245</v>
          </cell>
          <cell r="G463" t="str">
            <v>8</v>
          </cell>
          <cell r="H463">
            <v>0</v>
          </cell>
        </row>
        <row r="464">
          <cell r="B464">
            <v>4566</v>
          </cell>
          <cell r="C464" t="str">
            <v>Gomez; Javier A</v>
          </cell>
          <cell r="D464" t="str">
            <v>1C</v>
          </cell>
          <cell r="E464" t="str">
            <v>IBEWOUT</v>
          </cell>
          <cell r="F464" t="str">
            <v>47</v>
          </cell>
          <cell r="G464" t="str">
            <v>14</v>
          </cell>
          <cell r="H464">
            <v>0</v>
          </cell>
        </row>
        <row r="465">
          <cell r="B465">
            <v>4567</v>
          </cell>
          <cell r="C465" t="str">
            <v>Gonzales; Francisco</v>
          </cell>
          <cell r="D465" t="str">
            <v>1C</v>
          </cell>
          <cell r="E465" t="str">
            <v>IBEWOUT</v>
          </cell>
          <cell r="F465" t="str">
            <v>769</v>
          </cell>
          <cell r="G465" t="str">
            <v>22</v>
          </cell>
          <cell r="H465">
            <v>0</v>
          </cell>
        </row>
        <row r="466">
          <cell r="B466">
            <v>4568</v>
          </cell>
          <cell r="C466" t="str">
            <v>Gonzales; Danny S</v>
          </cell>
          <cell r="D466" t="str">
            <v>1C</v>
          </cell>
          <cell r="E466" t="str">
            <v>IBEWOUT</v>
          </cell>
          <cell r="F466" t="str">
            <v>47</v>
          </cell>
          <cell r="G466" t="str">
            <v>17</v>
          </cell>
          <cell r="H466">
            <v>0</v>
          </cell>
        </row>
        <row r="467">
          <cell r="B467">
            <v>4571</v>
          </cell>
          <cell r="C467" t="str">
            <v>Gonzales; Mark A</v>
          </cell>
          <cell r="D467" t="str">
            <v>1</v>
          </cell>
          <cell r="E467" t="str">
            <v/>
          </cell>
          <cell r="F467" t="str">
            <v/>
          </cell>
          <cell r="G467" t="str">
            <v/>
          </cell>
          <cell r="H467">
            <v>0</v>
          </cell>
        </row>
        <row r="468">
          <cell r="B468">
            <v>4576</v>
          </cell>
          <cell r="C468" t="str">
            <v>Gonzalez; Joshua A.</v>
          </cell>
          <cell r="D468" t="str">
            <v>1C</v>
          </cell>
          <cell r="E468" t="str">
            <v>IBEWOUT</v>
          </cell>
          <cell r="F468" t="str">
            <v>1245</v>
          </cell>
          <cell r="G468" t="str">
            <v>8</v>
          </cell>
          <cell r="H468">
            <v>0</v>
          </cell>
        </row>
        <row r="469">
          <cell r="B469">
            <v>4590</v>
          </cell>
          <cell r="C469" t="str">
            <v>Gowdy; Arthur S.</v>
          </cell>
          <cell r="D469" t="str">
            <v>1C</v>
          </cell>
          <cell r="E469" t="str">
            <v>IBEWOUT</v>
          </cell>
          <cell r="F469" t="str">
            <v>77</v>
          </cell>
          <cell r="G469" t="str">
            <v>33</v>
          </cell>
          <cell r="H469">
            <v>0</v>
          </cell>
        </row>
        <row r="470">
          <cell r="B470">
            <v>4630</v>
          </cell>
          <cell r="C470" t="str">
            <v>Gibby; Geoffrey S.</v>
          </cell>
          <cell r="D470" t="str">
            <v>1C</v>
          </cell>
          <cell r="E470" t="str">
            <v>IBEWOUT</v>
          </cell>
          <cell r="F470" t="str">
            <v>47</v>
          </cell>
          <cell r="G470" t="str">
            <v>8</v>
          </cell>
          <cell r="H470">
            <v>0</v>
          </cell>
        </row>
        <row r="471">
          <cell r="B471">
            <v>4640</v>
          </cell>
          <cell r="C471" t="str">
            <v>Gilman Jr.; David G.</v>
          </cell>
          <cell r="D471" t="str">
            <v>1</v>
          </cell>
          <cell r="E471" t="str">
            <v>IBEWOUT</v>
          </cell>
          <cell r="F471" t="str">
            <v>611</v>
          </cell>
          <cell r="G471" t="str">
            <v>7</v>
          </cell>
          <cell r="H471">
            <v>0</v>
          </cell>
        </row>
        <row r="472">
          <cell r="B472">
            <v>4641</v>
          </cell>
          <cell r="C472" t="str">
            <v>Gillmore; Buck W</v>
          </cell>
          <cell r="D472" t="str">
            <v>1</v>
          </cell>
          <cell r="E472" t="str">
            <v>IBEWOUT</v>
          </cell>
          <cell r="F472" t="str">
            <v>77</v>
          </cell>
          <cell r="G472" t="str">
            <v>7</v>
          </cell>
          <cell r="H472">
            <v>0</v>
          </cell>
        </row>
        <row r="473">
          <cell r="B473">
            <v>4645</v>
          </cell>
          <cell r="C473" t="str">
            <v>Gilkison; Glen W.</v>
          </cell>
          <cell r="D473" t="str">
            <v>1</v>
          </cell>
          <cell r="E473" t="str">
            <v/>
          </cell>
          <cell r="F473" t="str">
            <v/>
          </cell>
          <cell r="G473" t="str">
            <v/>
          </cell>
          <cell r="H473">
            <v>1</v>
          </cell>
        </row>
        <row r="474">
          <cell r="B474">
            <v>4671</v>
          </cell>
          <cell r="C474" t="str">
            <v>Giancola; Jacob F</v>
          </cell>
          <cell r="D474" t="str">
            <v>1C</v>
          </cell>
          <cell r="E474" t="str">
            <v>IBEWOUT</v>
          </cell>
          <cell r="F474" t="str">
            <v>1319</v>
          </cell>
          <cell r="G474" t="str">
            <v>8</v>
          </cell>
          <cell r="H474">
            <v>0</v>
          </cell>
        </row>
        <row r="475">
          <cell r="B475">
            <v>4673</v>
          </cell>
          <cell r="C475" t="str">
            <v>Gibbs; Bruce Everett</v>
          </cell>
          <cell r="D475" t="str">
            <v>1C</v>
          </cell>
          <cell r="E475" t="str">
            <v>IBEWOUT</v>
          </cell>
          <cell r="F475" t="str">
            <v>396</v>
          </cell>
          <cell r="G475" t="str">
            <v>33</v>
          </cell>
          <cell r="H475">
            <v>0</v>
          </cell>
        </row>
        <row r="476">
          <cell r="B476">
            <v>4674</v>
          </cell>
          <cell r="C476" t="str">
            <v>George; Benjamin A</v>
          </cell>
          <cell r="D476" t="str">
            <v>1C</v>
          </cell>
          <cell r="E476" t="str">
            <v/>
          </cell>
          <cell r="F476" t="str">
            <v/>
          </cell>
          <cell r="G476" t="str">
            <v/>
          </cell>
          <cell r="H476">
            <v>0</v>
          </cell>
        </row>
        <row r="477">
          <cell r="B477">
            <v>4675</v>
          </cell>
          <cell r="C477" t="str">
            <v>George; Marcus</v>
          </cell>
          <cell r="D477" t="str">
            <v>1C</v>
          </cell>
          <cell r="E477" t="str">
            <v>IBEWOUT</v>
          </cell>
          <cell r="F477" t="str">
            <v>769</v>
          </cell>
          <cell r="G477" t="str">
            <v>22</v>
          </cell>
          <cell r="H477">
            <v>0</v>
          </cell>
        </row>
        <row r="478">
          <cell r="B478">
            <v>4680</v>
          </cell>
          <cell r="C478" t="str">
            <v>Gibson; Nicholas A</v>
          </cell>
          <cell r="D478" t="str">
            <v>1</v>
          </cell>
          <cell r="E478" t="str">
            <v/>
          </cell>
          <cell r="F478" t="str">
            <v/>
          </cell>
          <cell r="G478" t="str">
            <v/>
          </cell>
          <cell r="H478">
            <v>1</v>
          </cell>
        </row>
        <row r="479">
          <cell r="B479">
            <v>4681</v>
          </cell>
          <cell r="C479" t="str">
            <v>Girnus IV; Gustav A</v>
          </cell>
          <cell r="D479" t="str">
            <v>1</v>
          </cell>
          <cell r="E479" t="str">
            <v>IBEWOUT</v>
          </cell>
          <cell r="F479" t="str">
            <v>1245</v>
          </cell>
          <cell r="G479" t="str">
            <v>8</v>
          </cell>
          <cell r="H479">
            <v>0</v>
          </cell>
        </row>
        <row r="480">
          <cell r="B480">
            <v>4682</v>
          </cell>
          <cell r="C480" t="str">
            <v>Gibson; Chase E</v>
          </cell>
          <cell r="D480" t="str">
            <v>1</v>
          </cell>
          <cell r="E480" t="str">
            <v>IBEWOUT</v>
          </cell>
          <cell r="F480" t="str">
            <v>47</v>
          </cell>
          <cell r="G480" t="str">
            <v>12</v>
          </cell>
          <cell r="H480">
            <v>0</v>
          </cell>
        </row>
        <row r="481">
          <cell r="B481">
            <v>4694</v>
          </cell>
          <cell r="C481" t="str">
            <v>Gitts; Gary W</v>
          </cell>
          <cell r="D481" t="str">
            <v>1</v>
          </cell>
          <cell r="E481" t="str">
            <v/>
          </cell>
          <cell r="F481" t="str">
            <v/>
          </cell>
          <cell r="G481" t="str">
            <v/>
          </cell>
          <cell r="H481">
            <v>0</v>
          </cell>
        </row>
        <row r="482">
          <cell r="B482">
            <v>4695</v>
          </cell>
          <cell r="C482" t="str">
            <v>Givens; David N</v>
          </cell>
          <cell r="D482" t="str">
            <v>1C</v>
          </cell>
          <cell r="E482" t="str">
            <v>IBEWOUT</v>
          </cell>
          <cell r="F482" t="str">
            <v>1049</v>
          </cell>
          <cell r="G482" t="str">
            <v>11</v>
          </cell>
          <cell r="H482">
            <v>0</v>
          </cell>
        </row>
        <row r="483">
          <cell r="B483">
            <v>4698</v>
          </cell>
          <cell r="C483" t="str">
            <v>Giguere; Jacob Robert</v>
          </cell>
          <cell r="D483" t="str">
            <v>1</v>
          </cell>
          <cell r="E483" t="str">
            <v>IBEWOUT</v>
          </cell>
          <cell r="F483" t="str">
            <v>47</v>
          </cell>
          <cell r="G483" t="str">
            <v>7</v>
          </cell>
          <cell r="H483">
            <v>0</v>
          </cell>
        </row>
        <row r="484">
          <cell r="B484">
            <v>4709</v>
          </cell>
          <cell r="C484" t="str">
            <v>Glasser; James T</v>
          </cell>
          <cell r="D484" t="str">
            <v>1C</v>
          </cell>
          <cell r="E484" t="str">
            <v>IBEWOUT</v>
          </cell>
          <cell r="F484" t="str">
            <v>47</v>
          </cell>
          <cell r="G484" t="str">
            <v>16</v>
          </cell>
          <cell r="H484">
            <v>0</v>
          </cell>
        </row>
        <row r="485">
          <cell r="B485">
            <v>4714</v>
          </cell>
          <cell r="C485" t="str">
            <v>Glover; Egan W</v>
          </cell>
          <cell r="D485" t="str">
            <v>1</v>
          </cell>
          <cell r="E485" t="str">
            <v>IBEWOUT</v>
          </cell>
          <cell r="F485" t="str">
            <v>77</v>
          </cell>
          <cell r="G485" t="str">
            <v>10</v>
          </cell>
          <cell r="H485">
            <v>0</v>
          </cell>
        </row>
        <row r="486">
          <cell r="B486">
            <v>4718</v>
          </cell>
          <cell r="C486" t="str">
            <v>Gravos; Jason D.</v>
          </cell>
          <cell r="D486" t="str">
            <v>1C</v>
          </cell>
          <cell r="E486" t="str">
            <v>IBEWOUT</v>
          </cell>
          <cell r="F486" t="str">
            <v>77</v>
          </cell>
          <cell r="G486" t="str">
            <v>8</v>
          </cell>
          <cell r="H486">
            <v>0</v>
          </cell>
        </row>
        <row r="487">
          <cell r="B487">
            <v>4721</v>
          </cell>
          <cell r="C487" t="str">
            <v>Graham; Zachary T</v>
          </cell>
          <cell r="D487" t="str">
            <v>1C</v>
          </cell>
          <cell r="E487" t="str">
            <v>IBEWOUT</v>
          </cell>
          <cell r="F487" t="str">
            <v>47</v>
          </cell>
          <cell r="G487" t="str">
            <v>8</v>
          </cell>
          <cell r="H487">
            <v>0</v>
          </cell>
        </row>
        <row r="488">
          <cell r="B488">
            <v>4722</v>
          </cell>
          <cell r="C488" t="str">
            <v>Graham; Wesley D</v>
          </cell>
          <cell r="D488" t="str">
            <v>1C</v>
          </cell>
          <cell r="E488" t="str">
            <v>IBEWOUT</v>
          </cell>
          <cell r="F488" t="str">
            <v>1245</v>
          </cell>
          <cell r="G488" t="str">
            <v>1</v>
          </cell>
          <cell r="H488">
            <v>0</v>
          </cell>
        </row>
        <row r="489">
          <cell r="B489">
            <v>4723</v>
          </cell>
          <cell r="C489" t="str">
            <v>Graebel; Pascal Ferling</v>
          </cell>
          <cell r="D489" t="str">
            <v>1C</v>
          </cell>
          <cell r="E489" t="str">
            <v>IBEWOUT</v>
          </cell>
          <cell r="F489" t="str">
            <v>1245</v>
          </cell>
          <cell r="G489" t="str">
            <v>8</v>
          </cell>
          <cell r="H489">
            <v>0</v>
          </cell>
        </row>
        <row r="490">
          <cell r="B490">
            <v>4724</v>
          </cell>
          <cell r="C490" t="str">
            <v>Grantham; Joshua O</v>
          </cell>
          <cell r="D490" t="str">
            <v>1C</v>
          </cell>
          <cell r="E490" t="str">
            <v>IBEWOUT</v>
          </cell>
          <cell r="F490" t="str">
            <v>1245</v>
          </cell>
          <cell r="G490" t="str">
            <v>8</v>
          </cell>
          <cell r="H490">
            <v>0</v>
          </cell>
        </row>
        <row r="491">
          <cell r="B491">
            <v>4725</v>
          </cell>
          <cell r="C491" t="str">
            <v>Grantham; Benjamin</v>
          </cell>
          <cell r="D491" t="str">
            <v>1C</v>
          </cell>
          <cell r="E491" t="str">
            <v>IBEWOUT</v>
          </cell>
          <cell r="F491" t="str">
            <v>1245</v>
          </cell>
          <cell r="G491" t="str">
            <v>8</v>
          </cell>
          <cell r="H491">
            <v>0</v>
          </cell>
        </row>
        <row r="492">
          <cell r="B492">
            <v>4729</v>
          </cell>
          <cell r="C492" t="str">
            <v>Grant; Jacob A</v>
          </cell>
          <cell r="D492" t="str">
            <v>1C</v>
          </cell>
          <cell r="E492" t="str">
            <v>IBEWOUT</v>
          </cell>
          <cell r="F492" t="str">
            <v>1245</v>
          </cell>
          <cell r="G492" t="str">
            <v>17</v>
          </cell>
          <cell r="H492">
            <v>0</v>
          </cell>
        </row>
        <row r="493">
          <cell r="B493">
            <v>4733</v>
          </cell>
          <cell r="C493" t="str">
            <v>Gray; Michael W</v>
          </cell>
          <cell r="D493" t="str">
            <v>1C</v>
          </cell>
          <cell r="E493" t="str">
            <v>IBEWOUT</v>
          </cell>
          <cell r="F493" t="str">
            <v>1245</v>
          </cell>
          <cell r="G493" t="str">
            <v>7</v>
          </cell>
          <cell r="H493">
            <v>0</v>
          </cell>
        </row>
        <row r="494">
          <cell r="B494">
            <v>4735</v>
          </cell>
          <cell r="C494" t="str">
            <v>Gray; Christopher N</v>
          </cell>
          <cell r="D494" t="str">
            <v>1C</v>
          </cell>
          <cell r="E494" t="str">
            <v>IBEWOUT</v>
          </cell>
          <cell r="F494" t="str">
            <v>1245</v>
          </cell>
          <cell r="G494" t="str">
            <v>8</v>
          </cell>
          <cell r="H494">
            <v>0</v>
          </cell>
        </row>
        <row r="495">
          <cell r="B495">
            <v>4736</v>
          </cell>
          <cell r="C495" t="str">
            <v>Gravelle; Joshua A</v>
          </cell>
          <cell r="D495" t="str">
            <v>1C</v>
          </cell>
          <cell r="E495" t="str">
            <v>IBEWOUT</v>
          </cell>
          <cell r="F495" t="str">
            <v>160</v>
          </cell>
          <cell r="G495" t="str">
            <v>8</v>
          </cell>
          <cell r="H495">
            <v>0</v>
          </cell>
        </row>
        <row r="496">
          <cell r="B496">
            <v>4737</v>
          </cell>
          <cell r="C496" t="str">
            <v>Gravil II; James F</v>
          </cell>
          <cell r="D496" t="str">
            <v>1C</v>
          </cell>
          <cell r="E496" t="str">
            <v>IBEWOUT</v>
          </cell>
          <cell r="F496" t="str">
            <v>1245</v>
          </cell>
          <cell r="G496" t="str">
            <v>8</v>
          </cell>
          <cell r="H496">
            <v>0</v>
          </cell>
        </row>
        <row r="497">
          <cell r="B497">
            <v>4739</v>
          </cell>
          <cell r="C497" t="str">
            <v>Green; David R</v>
          </cell>
          <cell r="D497" t="str">
            <v>1C</v>
          </cell>
          <cell r="E497" t="str">
            <v>IBEWOUT</v>
          </cell>
          <cell r="F497" t="str">
            <v>1245</v>
          </cell>
          <cell r="G497" t="str">
            <v>8</v>
          </cell>
          <cell r="H497">
            <v>0</v>
          </cell>
        </row>
        <row r="498">
          <cell r="B498">
            <v>4745</v>
          </cell>
          <cell r="C498" t="str">
            <v>Green; Christopher A</v>
          </cell>
          <cell r="D498" t="str">
            <v>1C</v>
          </cell>
          <cell r="E498" t="str">
            <v>IBEWOUT</v>
          </cell>
          <cell r="F498" t="str">
            <v>47</v>
          </cell>
          <cell r="G498" t="str">
            <v>14</v>
          </cell>
          <cell r="H498">
            <v>0</v>
          </cell>
        </row>
        <row r="499">
          <cell r="B499">
            <v>4746</v>
          </cell>
          <cell r="C499" t="str">
            <v>Green; Michael R</v>
          </cell>
          <cell r="D499" t="str">
            <v>1C</v>
          </cell>
          <cell r="E499" t="str">
            <v>IBEWOUT</v>
          </cell>
          <cell r="F499" t="str">
            <v>77</v>
          </cell>
          <cell r="G499" t="str">
            <v>9</v>
          </cell>
          <cell r="H499">
            <v>0</v>
          </cell>
        </row>
        <row r="500">
          <cell r="B500">
            <v>4749</v>
          </cell>
          <cell r="C500" t="str">
            <v>Green; Jacob E.</v>
          </cell>
          <cell r="D500" t="str">
            <v>1C</v>
          </cell>
          <cell r="E500" t="str">
            <v>IBEWOUT</v>
          </cell>
          <cell r="F500" t="str">
            <v>1245</v>
          </cell>
          <cell r="G500" t="str">
            <v>8</v>
          </cell>
          <cell r="H500">
            <v>0</v>
          </cell>
        </row>
        <row r="501">
          <cell r="B501">
            <v>4752</v>
          </cell>
          <cell r="C501" t="str">
            <v>Gutierrez; Fernando N</v>
          </cell>
          <cell r="D501" t="str">
            <v>1C</v>
          </cell>
          <cell r="E501" t="str">
            <v>IBEWOUT</v>
          </cell>
          <cell r="F501" t="str">
            <v>1245</v>
          </cell>
          <cell r="G501" t="str">
            <v>8</v>
          </cell>
          <cell r="H501">
            <v>0</v>
          </cell>
        </row>
        <row r="502">
          <cell r="B502">
            <v>4753</v>
          </cell>
          <cell r="C502" t="str">
            <v>Green; Douglas V</v>
          </cell>
          <cell r="D502" t="str">
            <v>1C</v>
          </cell>
          <cell r="E502" t="str">
            <v>IBEWOUT</v>
          </cell>
          <cell r="F502" t="str">
            <v>1245</v>
          </cell>
          <cell r="G502" t="str">
            <v>8</v>
          </cell>
          <cell r="H502">
            <v>0</v>
          </cell>
        </row>
        <row r="503">
          <cell r="B503">
            <v>4754</v>
          </cell>
          <cell r="C503" t="str">
            <v>Greer; Rebecca J.</v>
          </cell>
          <cell r="D503" t="str">
            <v>1C</v>
          </cell>
          <cell r="E503" t="str">
            <v/>
          </cell>
          <cell r="F503" t="str">
            <v/>
          </cell>
          <cell r="G503" t="str">
            <v/>
          </cell>
          <cell r="H503">
            <v>1</v>
          </cell>
        </row>
        <row r="504">
          <cell r="B504">
            <v>4755</v>
          </cell>
          <cell r="C504" t="str">
            <v>Gutierrez; Luis G</v>
          </cell>
          <cell r="D504" t="str">
            <v>1C</v>
          </cell>
          <cell r="E504" t="str">
            <v>IBEWOUT</v>
          </cell>
          <cell r="F504" t="str">
            <v>47</v>
          </cell>
          <cell r="G504" t="str">
            <v>17</v>
          </cell>
          <cell r="H504">
            <v>0</v>
          </cell>
        </row>
        <row r="505">
          <cell r="B505">
            <v>4762</v>
          </cell>
          <cell r="C505" t="str">
            <v>Greene; Matthew B</v>
          </cell>
          <cell r="D505" t="str">
            <v>1</v>
          </cell>
          <cell r="E505" t="str">
            <v>IBEWOUT</v>
          </cell>
          <cell r="F505" t="str">
            <v>1245</v>
          </cell>
          <cell r="G505" t="str">
            <v>7</v>
          </cell>
          <cell r="H505">
            <v>0</v>
          </cell>
        </row>
        <row r="506">
          <cell r="B506">
            <v>4764</v>
          </cell>
          <cell r="C506" t="str">
            <v>Greer; Arnold Joseph Jay</v>
          </cell>
          <cell r="D506" t="str">
            <v>1C</v>
          </cell>
          <cell r="E506" t="str">
            <v>IBEWOUT</v>
          </cell>
          <cell r="F506" t="str">
            <v>1245</v>
          </cell>
          <cell r="G506" t="str">
            <v>8</v>
          </cell>
          <cell r="H506">
            <v>0</v>
          </cell>
        </row>
        <row r="507">
          <cell r="B507">
            <v>4765</v>
          </cell>
          <cell r="C507" t="str">
            <v>Gregory; Corey J</v>
          </cell>
          <cell r="D507" t="str">
            <v>1C</v>
          </cell>
          <cell r="E507" t="str">
            <v>IBEWOUT</v>
          </cell>
          <cell r="F507" t="str">
            <v>125</v>
          </cell>
          <cell r="G507" t="str">
            <v>12</v>
          </cell>
          <cell r="H507">
            <v>0</v>
          </cell>
        </row>
        <row r="508">
          <cell r="B508">
            <v>4782</v>
          </cell>
          <cell r="C508" t="str">
            <v>Grose; Robert Douglas</v>
          </cell>
          <cell r="D508" t="str">
            <v>1C</v>
          </cell>
          <cell r="E508" t="str">
            <v>IBEWOUT</v>
          </cell>
          <cell r="F508" t="str">
            <v>125</v>
          </cell>
          <cell r="G508" t="str">
            <v>16</v>
          </cell>
          <cell r="H508">
            <v>0</v>
          </cell>
        </row>
        <row r="509">
          <cell r="B509">
            <v>4785</v>
          </cell>
          <cell r="C509" t="str">
            <v>Gross; Michael B</v>
          </cell>
          <cell r="D509" t="str">
            <v>1C</v>
          </cell>
          <cell r="E509" t="str">
            <v>IBEWOUT</v>
          </cell>
          <cell r="F509" t="str">
            <v>602R</v>
          </cell>
          <cell r="G509" t="str">
            <v>8</v>
          </cell>
          <cell r="H509">
            <v>0</v>
          </cell>
        </row>
        <row r="510">
          <cell r="B510">
            <v>4787</v>
          </cell>
          <cell r="C510" t="str">
            <v>Gross; Kacy E</v>
          </cell>
          <cell r="D510" t="str">
            <v>1</v>
          </cell>
          <cell r="E510" t="str">
            <v>IBEWOUT</v>
          </cell>
          <cell r="F510" t="str">
            <v>77</v>
          </cell>
          <cell r="G510" t="str">
            <v>11</v>
          </cell>
          <cell r="H510">
            <v>0</v>
          </cell>
        </row>
        <row r="511">
          <cell r="B511">
            <v>4807</v>
          </cell>
          <cell r="C511" t="str">
            <v>Gummig; Zechariah A</v>
          </cell>
          <cell r="D511" t="str">
            <v>1C</v>
          </cell>
          <cell r="E511" t="str">
            <v>IBEWOUT</v>
          </cell>
          <cell r="F511" t="str">
            <v>47</v>
          </cell>
          <cell r="G511" t="str">
            <v>8</v>
          </cell>
          <cell r="H511">
            <v>0</v>
          </cell>
        </row>
        <row r="512">
          <cell r="B512">
            <v>4813</v>
          </cell>
          <cell r="C512" t="str">
            <v>Guizar; Axel M</v>
          </cell>
          <cell r="D512" t="str">
            <v>1</v>
          </cell>
          <cell r="E512" t="str">
            <v>IBEWOUT</v>
          </cell>
          <cell r="F512" t="str">
            <v>769</v>
          </cell>
          <cell r="G512" t="str">
            <v>7</v>
          </cell>
          <cell r="H512">
            <v>0</v>
          </cell>
        </row>
        <row r="513">
          <cell r="B513">
            <v>4815</v>
          </cell>
          <cell r="C513" t="str">
            <v>Gunderson; Eric C</v>
          </cell>
          <cell r="D513" t="str">
            <v>1C</v>
          </cell>
          <cell r="E513" t="str">
            <v>IBEWOUT</v>
          </cell>
          <cell r="F513" t="str">
            <v>77</v>
          </cell>
          <cell r="G513" t="str">
            <v>16</v>
          </cell>
          <cell r="H513">
            <v>0</v>
          </cell>
        </row>
        <row r="514">
          <cell r="B514">
            <v>4817</v>
          </cell>
          <cell r="C514" t="str">
            <v>Grunst; Gary C.</v>
          </cell>
          <cell r="D514" t="str">
            <v>1</v>
          </cell>
          <cell r="E514" t="str">
            <v/>
          </cell>
          <cell r="F514" t="str">
            <v/>
          </cell>
          <cell r="G514" t="str">
            <v/>
          </cell>
          <cell r="H514">
            <v>1</v>
          </cell>
        </row>
        <row r="515">
          <cell r="B515">
            <v>4821</v>
          </cell>
          <cell r="C515" t="str">
            <v>Gunn; Larry O</v>
          </cell>
          <cell r="D515" t="str">
            <v>1</v>
          </cell>
          <cell r="E515" t="str">
            <v/>
          </cell>
          <cell r="F515" t="str">
            <v/>
          </cell>
          <cell r="G515" t="str">
            <v/>
          </cell>
          <cell r="H515">
            <v>1</v>
          </cell>
        </row>
        <row r="516">
          <cell r="B516">
            <v>4829</v>
          </cell>
          <cell r="C516" t="str">
            <v>Haase; Eric N</v>
          </cell>
          <cell r="D516" t="str">
            <v>1C</v>
          </cell>
          <cell r="E516" t="str">
            <v>IBEWOUT</v>
          </cell>
          <cell r="F516" t="str">
            <v>125</v>
          </cell>
          <cell r="G516" t="str">
            <v>16</v>
          </cell>
          <cell r="H516">
            <v>0</v>
          </cell>
        </row>
        <row r="517">
          <cell r="B517">
            <v>4830</v>
          </cell>
          <cell r="C517" t="str">
            <v>Guevara; Ruben</v>
          </cell>
          <cell r="D517" t="str">
            <v>1</v>
          </cell>
          <cell r="E517" t="str">
            <v>IBEWOUT</v>
          </cell>
          <cell r="F517" t="str">
            <v>1245</v>
          </cell>
          <cell r="G517" t="str">
            <v>7</v>
          </cell>
          <cell r="H517">
            <v>0</v>
          </cell>
        </row>
        <row r="518">
          <cell r="B518">
            <v>4832</v>
          </cell>
          <cell r="C518" t="str">
            <v>Guffey; Jess B</v>
          </cell>
          <cell r="D518" t="str">
            <v>1C</v>
          </cell>
          <cell r="E518" t="str">
            <v>IBEWOUT</v>
          </cell>
          <cell r="F518" t="str">
            <v>47</v>
          </cell>
          <cell r="G518" t="str">
            <v>15</v>
          </cell>
          <cell r="H518">
            <v>0</v>
          </cell>
        </row>
        <row r="519">
          <cell r="B519">
            <v>4833</v>
          </cell>
          <cell r="C519" t="str">
            <v>Gunia; Michael D</v>
          </cell>
          <cell r="D519" t="str">
            <v>1C</v>
          </cell>
          <cell r="E519" t="str">
            <v>IBEWOUT</v>
          </cell>
          <cell r="F519" t="str">
            <v>47</v>
          </cell>
          <cell r="G519" t="str">
            <v>8</v>
          </cell>
          <cell r="H519">
            <v>0</v>
          </cell>
        </row>
        <row r="520">
          <cell r="B520">
            <v>4834</v>
          </cell>
          <cell r="C520" t="str">
            <v>Hacker; Travis K</v>
          </cell>
          <cell r="D520" t="str">
            <v>1C</v>
          </cell>
          <cell r="E520" t="str">
            <v>IBEWOUT</v>
          </cell>
          <cell r="F520" t="str">
            <v>47</v>
          </cell>
          <cell r="G520" t="str">
            <v>8</v>
          </cell>
          <cell r="H520">
            <v>0</v>
          </cell>
        </row>
        <row r="521">
          <cell r="B521">
            <v>4836</v>
          </cell>
          <cell r="C521" t="str">
            <v>Guerrero; Rene J</v>
          </cell>
          <cell r="D521" t="str">
            <v>1C</v>
          </cell>
          <cell r="E521" t="str">
            <v>IBEWOUT</v>
          </cell>
          <cell r="F521" t="str">
            <v>47</v>
          </cell>
          <cell r="G521" t="str">
            <v>17</v>
          </cell>
          <cell r="H521">
            <v>0</v>
          </cell>
        </row>
        <row r="522">
          <cell r="B522">
            <v>4837</v>
          </cell>
          <cell r="C522" t="str">
            <v>Guy; Nicholas M</v>
          </cell>
          <cell r="D522" t="str">
            <v>1C</v>
          </cell>
          <cell r="E522" t="str">
            <v>IBEWOUT</v>
          </cell>
          <cell r="F522" t="str">
            <v>77</v>
          </cell>
          <cell r="G522" t="str">
            <v>10</v>
          </cell>
          <cell r="H522">
            <v>0</v>
          </cell>
        </row>
        <row r="523">
          <cell r="B523">
            <v>4846</v>
          </cell>
          <cell r="C523" t="str">
            <v>Haldiman; Zachary J</v>
          </cell>
          <cell r="D523" t="str">
            <v>1</v>
          </cell>
          <cell r="E523" t="str">
            <v>IBEWOUT</v>
          </cell>
          <cell r="F523" t="str">
            <v>769</v>
          </cell>
          <cell r="G523" t="str">
            <v>8</v>
          </cell>
          <cell r="H523">
            <v>0</v>
          </cell>
        </row>
        <row r="524">
          <cell r="B524">
            <v>4876</v>
          </cell>
          <cell r="C524" t="str">
            <v>Hall; Peter Joe</v>
          </cell>
          <cell r="D524" t="str">
            <v>1</v>
          </cell>
          <cell r="E524" t="str">
            <v/>
          </cell>
          <cell r="F524" t="str">
            <v/>
          </cell>
          <cell r="G524" t="str">
            <v/>
          </cell>
          <cell r="H524">
            <v>1</v>
          </cell>
        </row>
        <row r="525">
          <cell r="B525">
            <v>4882</v>
          </cell>
          <cell r="C525" t="str">
            <v>Hankins; Austin Allan</v>
          </cell>
          <cell r="D525" t="str">
            <v>1C</v>
          </cell>
          <cell r="E525" t="str">
            <v>IBEWOUT</v>
          </cell>
          <cell r="F525" t="str">
            <v>769</v>
          </cell>
          <cell r="G525" t="str">
            <v>22</v>
          </cell>
          <cell r="H525">
            <v>0</v>
          </cell>
        </row>
        <row r="526">
          <cell r="B526">
            <v>4891</v>
          </cell>
          <cell r="C526" t="str">
            <v>Hall; Cody R</v>
          </cell>
          <cell r="D526" t="str">
            <v>1C</v>
          </cell>
          <cell r="E526" t="str">
            <v>IBEWOUT</v>
          </cell>
          <cell r="F526" t="str">
            <v>77</v>
          </cell>
          <cell r="G526" t="str">
            <v>9</v>
          </cell>
          <cell r="H526">
            <v>0</v>
          </cell>
        </row>
        <row r="527">
          <cell r="B527">
            <v>4892</v>
          </cell>
          <cell r="C527" t="str">
            <v>Hall; Adam J</v>
          </cell>
          <cell r="D527" t="str">
            <v>1C</v>
          </cell>
          <cell r="E527" t="str">
            <v>IBEWOUT</v>
          </cell>
          <cell r="F527" t="str">
            <v>160</v>
          </cell>
          <cell r="G527" t="str">
            <v>8</v>
          </cell>
          <cell r="H527">
            <v>0</v>
          </cell>
        </row>
        <row r="528">
          <cell r="B528">
            <v>4895</v>
          </cell>
          <cell r="C528" t="str">
            <v>Harding; Grant l</v>
          </cell>
          <cell r="D528" t="str">
            <v>1C</v>
          </cell>
          <cell r="E528" t="str">
            <v>IBEWOUT</v>
          </cell>
          <cell r="F528" t="str">
            <v>47</v>
          </cell>
          <cell r="G528" t="str">
            <v>8</v>
          </cell>
          <cell r="H528">
            <v>0</v>
          </cell>
        </row>
        <row r="529">
          <cell r="B529">
            <v>4898</v>
          </cell>
          <cell r="C529" t="str">
            <v>Hall; Levi R</v>
          </cell>
          <cell r="D529" t="str">
            <v>1C</v>
          </cell>
          <cell r="E529" t="str">
            <v>IBEWOUT</v>
          </cell>
          <cell r="F529" t="str">
            <v>125</v>
          </cell>
          <cell r="G529" t="str">
            <v>10</v>
          </cell>
          <cell r="H529">
            <v>0</v>
          </cell>
        </row>
        <row r="530">
          <cell r="B530">
            <v>4899</v>
          </cell>
          <cell r="C530" t="str">
            <v>Hamelin; Kenneth L</v>
          </cell>
          <cell r="D530" t="str">
            <v>1C</v>
          </cell>
          <cell r="E530" t="str">
            <v>IBEWOUT</v>
          </cell>
          <cell r="F530" t="str">
            <v>77</v>
          </cell>
          <cell r="G530" t="str">
            <v>7</v>
          </cell>
          <cell r="H530">
            <v>0</v>
          </cell>
        </row>
        <row r="531">
          <cell r="B531">
            <v>4901</v>
          </cell>
          <cell r="C531" t="str">
            <v>Hall; Erik S</v>
          </cell>
          <cell r="D531" t="str">
            <v>1C</v>
          </cell>
          <cell r="E531" t="str">
            <v>IBEWOUT</v>
          </cell>
          <cell r="F531" t="str">
            <v>1245</v>
          </cell>
          <cell r="G531" t="str">
            <v>8</v>
          </cell>
          <cell r="H531">
            <v>0</v>
          </cell>
        </row>
        <row r="532">
          <cell r="B532">
            <v>4902</v>
          </cell>
          <cell r="C532" t="str">
            <v>Hamner; Brant S</v>
          </cell>
          <cell r="D532" t="str">
            <v>1C</v>
          </cell>
          <cell r="E532" t="str">
            <v>IBEWOUT</v>
          </cell>
          <cell r="F532" t="str">
            <v>1245</v>
          </cell>
          <cell r="G532" t="str">
            <v>15</v>
          </cell>
          <cell r="H532">
            <v>0</v>
          </cell>
        </row>
        <row r="533">
          <cell r="B533">
            <v>4904</v>
          </cell>
          <cell r="C533" t="str">
            <v>Hammon; Jake B</v>
          </cell>
          <cell r="D533" t="str">
            <v>1</v>
          </cell>
          <cell r="E533" t="str">
            <v>IBEWOUT</v>
          </cell>
          <cell r="F533" t="str">
            <v>47</v>
          </cell>
          <cell r="G533" t="str">
            <v>16</v>
          </cell>
          <cell r="H533">
            <v>0</v>
          </cell>
        </row>
        <row r="534">
          <cell r="B534">
            <v>4905</v>
          </cell>
          <cell r="C534" t="str">
            <v>Hancock; James A</v>
          </cell>
          <cell r="D534" t="str">
            <v>1C</v>
          </cell>
          <cell r="E534" t="str">
            <v>IBEWOUT</v>
          </cell>
          <cell r="F534" t="str">
            <v>125</v>
          </cell>
          <cell r="G534" t="str">
            <v>8</v>
          </cell>
          <cell r="H534">
            <v>0</v>
          </cell>
        </row>
        <row r="535">
          <cell r="B535">
            <v>4930</v>
          </cell>
          <cell r="C535" t="str">
            <v>Hathaway; Phillip J</v>
          </cell>
          <cell r="D535" t="str">
            <v>1C</v>
          </cell>
          <cell r="E535" t="str">
            <v>IBEWOUT</v>
          </cell>
          <cell r="F535" t="str">
            <v>769</v>
          </cell>
          <cell r="G535" t="str">
            <v>8</v>
          </cell>
          <cell r="H535">
            <v>0</v>
          </cell>
        </row>
        <row r="536">
          <cell r="B536">
            <v>4946</v>
          </cell>
          <cell r="C536" t="str">
            <v>Hawkins; Christopher D.</v>
          </cell>
          <cell r="D536" t="str">
            <v>1C</v>
          </cell>
          <cell r="E536" t="str">
            <v>IBEWOUT</v>
          </cell>
          <cell r="F536" t="str">
            <v>1245</v>
          </cell>
          <cell r="G536" t="str">
            <v>8</v>
          </cell>
          <cell r="H536">
            <v>0</v>
          </cell>
        </row>
        <row r="537">
          <cell r="B537">
            <v>4950</v>
          </cell>
          <cell r="C537" t="str">
            <v>Hawkins; Shawn C.</v>
          </cell>
          <cell r="D537" t="str">
            <v>1C</v>
          </cell>
          <cell r="E537" t="str">
            <v>IBEWOUT</v>
          </cell>
          <cell r="F537" t="str">
            <v>47</v>
          </cell>
          <cell r="G537" t="str">
            <v>8</v>
          </cell>
          <cell r="H537">
            <v>0</v>
          </cell>
        </row>
        <row r="538">
          <cell r="B538">
            <v>4963</v>
          </cell>
          <cell r="C538" t="str">
            <v>Hairell; Ronald W</v>
          </cell>
          <cell r="D538" t="str">
            <v>1C</v>
          </cell>
          <cell r="E538" t="str">
            <v>IBEWOUT</v>
          </cell>
          <cell r="F538" t="str">
            <v>1245</v>
          </cell>
          <cell r="G538" t="str">
            <v>17</v>
          </cell>
          <cell r="H538">
            <v>0</v>
          </cell>
        </row>
        <row r="539">
          <cell r="B539">
            <v>4967</v>
          </cell>
          <cell r="C539" t="str">
            <v>Hansen; David L</v>
          </cell>
          <cell r="D539" t="str">
            <v>1C</v>
          </cell>
          <cell r="E539" t="str">
            <v>IBEWOUT</v>
          </cell>
          <cell r="F539" t="str">
            <v>47</v>
          </cell>
          <cell r="G539" t="str">
            <v>17</v>
          </cell>
          <cell r="H539">
            <v>0</v>
          </cell>
        </row>
        <row r="540">
          <cell r="B540">
            <v>4969</v>
          </cell>
          <cell r="C540" t="str">
            <v>Hartman; Matthew J.</v>
          </cell>
          <cell r="D540" t="str">
            <v>1C</v>
          </cell>
          <cell r="E540" t="str">
            <v>IBEWOUT</v>
          </cell>
          <cell r="F540" t="str">
            <v>125</v>
          </cell>
          <cell r="G540" t="str">
            <v>13</v>
          </cell>
          <cell r="H540">
            <v>0</v>
          </cell>
        </row>
        <row r="541">
          <cell r="B541">
            <v>4972</v>
          </cell>
          <cell r="C541" t="str">
            <v>Hayman; Cody A</v>
          </cell>
          <cell r="D541" t="str">
            <v>1C</v>
          </cell>
          <cell r="E541" t="str">
            <v>IBEWOUT</v>
          </cell>
          <cell r="F541" t="str">
            <v>1319</v>
          </cell>
          <cell r="G541" t="str">
            <v>17</v>
          </cell>
          <cell r="H541">
            <v>0</v>
          </cell>
        </row>
        <row r="542">
          <cell r="B542">
            <v>4973</v>
          </cell>
          <cell r="C542" t="str">
            <v>Harroun; Steven C</v>
          </cell>
          <cell r="D542" t="str">
            <v>1C</v>
          </cell>
          <cell r="E542" t="str">
            <v>IBEWOUT</v>
          </cell>
          <cell r="F542" t="str">
            <v>611</v>
          </cell>
          <cell r="G542" t="str">
            <v>13</v>
          </cell>
          <cell r="H542">
            <v>0</v>
          </cell>
        </row>
        <row r="543">
          <cell r="B543">
            <v>4974</v>
          </cell>
          <cell r="C543" t="str">
            <v>Hartley; Walter M</v>
          </cell>
          <cell r="D543" t="str">
            <v>1C</v>
          </cell>
          <cell r="E543" t="str">
            <v>IBEWOUT</v>
          </cell>
          <cell r="F543" t="str">
            <v>1245</v>
          </cell>
          <cell r="G543" t="str">
            <v>7</v>
          </cell>
          <cell r="H543">
            <v>0</v>
          </cell>
        </row>
        <row r="544">
          <cell r="B544">
            <v>4979</v>
          </cell>
          <cell r="C544" t="str">
            <v>Hathcock; Steven Heath</v>
          </cell>
          <cell r="D544" t="str">
            <v>1C</v>
          </cell>
          <cell r="E544" t="str">
            <v>IBEWOUT</v>
          </cell>
          <cell r="F544" t="str">
            <v>769</v>
          </cell>
          <cell r="G544" t="str">
            <v>7</v>
          </cell>
          <cell r="H544">
            <v>0</v>
          </cell>
        </row>
        <row r="545">
          <cell r="B545">
            <v>4981</v>
          </cell>
          <cell r="C545" t="str">
            <v>Hivner; Nicholas S</v>
          </cell>
          <cell r="D545" t="str">
            <v>1C</v>
          </cell>
          <cell r="E545" t="str">
            <v>IBEWOUT</v>
          </cell>
          <cell r="F545" t="str">
            <v>126</v>
          </cell>
          <cell r="G545" t="str">
            <v>15</v>
          </cell>
          <cell r="H545">
            <v>0</v>
          </cell>
        </row>
        <row r="546">
          <cell r="B546">
            <v>4983</v>
          </cell>
          <cell r="C546" t="str">
            <v>Harmon; Darren L</v>
          </cell>
          <cell r="D546" t="str">
            <v>1C</v>
          </cell>
          <cell r="E546" t="str">
            <v>IBEWOUT</v>
          </cell>
          <cell r="F546" t="str">
            <v>396</v>
          </cell>
          <cell r="G546" t="str">
            <v>7</v>
          </cell>
          <cell r="H546">
            <v>0</v>
          </cell>
        </row>
        <row r="547">
          <cell r="B547">
            <v>4989</v>
          </cell>
          <cell r="C547" t="str">
            <v>Hankins; Clifford Lee</v>
          </cell>
          <cell r="D547" t="str">
            <v>1C</v>
          </cell>
          <cell r="E547" t="str">
            <v>IBEWOUT</v>
          </cell>
          <cell r="F547" t="str">
            <v>769</v>
          </cell>
          <cell r="G547" t="str">
            <v>8</v>
          </cell>
          <cell r="H547">
            <v>0</v>
          </cell>
        </row>
        <row r="548">
          <cell r="B548">
            <v>4993</v>
          </cell>
          <cell r="C548" t="str">
            <v>Harkins; Michael J</v>
          </cell>
          <cell r="D548" t="str">
            <v>1C</v>
          </cell>
          <cell r="E548" t="str">
            <v>IBEWOUT</v>
          </cell>
          <cell r="F548" t="str">
            <v>1319</v>
          </cell>
          <cell r="G548" t="str">
            <v>16</v>
          </cell>
          <cell r="H548">
            <v>0</v>
          </cell>
        </row>
        <row r="549">
          <cell r="B549">
            <v>4995</v>
          </cell>
          <cell r="C549" t="str">
            <v>Hinch; Anthony T.</v>
          </cell>
          <cell r="D549" t="str">
            <v>1C</v>
          </cell>
          <cell r="E549" t="str">
            <v>IBEWOUT</v>
          </cell>
          <cell r="F549" t="str">
            <v>1245</v>
          </cell>
          <cell r="G549" t="str">
            <v>8</v>
          </cell>
          <cell r="H549">
            <v>0</v>
          </cell>
        </row>
        <row r="550">
          <cell r="B550">
            <v>4998</v>
          </cell>
          <cell r="C550" t="str">
            <v>Geiser; Robert A</v>
          </cell>
          <cell r="D550" t="str">
            <v>1C</v>
          </cell>
          <cell r="E550" t="str">
            <v>IBEWOUT</v>
          </cell>
          <cell r="F550" t="str">
            <v>602R</v>
          </cell>
          <cell r="G550" t="str">
            <v>8</v>
          </cell>
          <cell r="H550">
            <v>0</v>
          </cell>
        </row>
        <row r="551">
          <cell r="B551">
            <v>4999</v>
          </cell>
          <cell r="C551" t="str">
            <v>Geyer; Tyler W</v>
          </cell>
          <cell r="D551" t="str">
            <v>1</v>
          </cell>
          <cell r="E551" t="str">
            <v>IBEWOUT</v>
          </cell>
          <cell r="F551" t="str">
            <v>77</v>
          </cell>
          <cell r="G551" t="str">
            <v>8</v>
          </cell>
          <cell r="H551">
            <v>0</v>
          </cell>
        </row>
        <row r="552">
          <cell r="B552">
            <v>5011</v>
          </cell>
          <cell r="C552" t="str">
            <v>Harris; Guy A</v>
          </cell>
          <cell r="D552" t="str">
            <v>1C</v>
          </cell>
          <cell r="E552" t="str">
            <v>IBEWOUT</v>
          </cell>
          <cell r="F552" t="str">
            <v>47</v>
          </cell>
          <cell r="G552" t="str">
            <v>8</v>
          </cell>
          <cell r="H552">
            <v>0</v>
          </cell>
        </row>
        <row r="553">
          <cell r="B553">
            <v>5012</v>
          </cell>
          <cell r="C553" t="str">
            <v>Haagen; Adam E</v>
          </cell>
          <cell r="D553" t="str">
            <v>1C</v>
          </cell>
          <cell r="E553" t="str">
            <v>IBEWOUT</v>
          </cell>
          <cell r="F553" t="str">
            <v>77</v>
          </cell>
          <cell r="G553" t="str">
            <v>11</v>
          </cell>
          <cell r="H553">
            <v>0</v>
          </cell>
        </row>
        <row r="554">
          <cell r="B554">
            <v>5013</v>
          </cell>
          <cell r="C554" t="str">
            <v>Harrah; Robert Fred</v>
          </cell>
          <cell r="D554" t="str">
            <v>1C</v>
          </cell>
          <cell r="E554" t="str">
            <v/>
          </cell>
          <cell r="F554" t="str">
            <v/>
          </cell>
          <cell r="G554" t="str">
            <v/>
          </cell>
          <cell r="H554">
            <v>1</v>
          </cell>
        </row>
        <row r="555">
          <cell r="B555">
            <v>5016</v>
          </cell>
          <cell r="C555" t="str">
            <v>Harris; Jason B</v>
          </cell>
          <cell r="D555" t="str">
            <v>1C</v>
          </cell>
          <cell r="E555" t="str">
            <v>IBEWOUT</v>
          </cell>
          <cell r="F555" t="str">
            <v>126</v>
          </cell>
          <cell r="G555" t="str">
            <v>8</v>
          </cell>
          <cell r="H555">
            <v>0</v>
          </cell>
        </row>
        <row r="556">
          <cell r="B556">
            <v>5017</v>
          </cell>
          <cell r="C556" t="str">
            <v>Harrison; John Wesley</v>
          </cell>
          <cell r="D556" t="str">
            <v>1C</v>
          </cell>
          <cell r="E556" t="str">
            <v>IBEWOUT</v>
          </cell>
          <cell r="F556" t="str">
            <v>1245</v>
          </cell>
          <cell r="G556" t="str">
            <v>8</v>
          </cell>
          <cell r="H556">
            <v>0</v>
          </cell>
        </row>
        <row r="557">
          <cell r="B557">
            <v>5022</v>
          </cell>
          <cell r="C557" t="str">
            <v>Harris; Tyler J</v>
          </cell>
          <cell r="D557" t="str">
            <v>1</v>
          </cell>
          <cell r="E557" t="str">
            <v>IBEWOUT</v>
          </cell>
          <cell r="F557" t="str">
            <v>769</v>
          </cell>
          <cell r="G557" t="str">
            <v>7</v>
          </cell>
          <cell r="H557">
            <v>0</v>
          </cell>
        </row>
        <row r="558">
          <cell r="B558">
            <v>5040</v>
          </cell>
          <cell r="C558" t="str">
            <v>Hauff; James FL</v>
          </cell>
          <cell r="D558" t="str">
            <v>1C</v>
          </cell>
          <cell r="E558" t="str">
            <v>IBEWOUT</v>
          </cell>
          <cell r="F558" t="str">
            <v>77</v>
          </cell>
          <cell r="G558" t="str">
            <v>8</v>
          </cell>
          <cell r="H558">
            <v>0</v>
          </cell>
        </row>
        <row r="559">
          <cell r="B559">
            <v>5056</v>
          </cell>
          <cell r="C559" t="str">
            <v>Hatchett; Terry V</v>
          </cell>
          <cell r="D559" t="str">
            <v>1C</v>
          </cell>
          <cell r="E559" t="str">
            <v>IBEWOUT</v>
          </cell>
          <cell r="F559" t="str">
            <v>769</v>
          </cell>
          <cell r="G559" t="str">
            <v>8</v>
          </cell>
          <cell r="H559">
            <v>0</v>
          </cell>
        </row>
        <row r="560">
          <cell r="B560">
            <v>5067</v>
          </cell>
          <cell r="C560" t="str">
            <v>Heller; Erik C</v>
          </cell>
          <cell r="D560" t="str">
            <v>1C</v>
          </cell>
          <cell r="E560" t="str">
            <v>IBEWOUT</v>
          </cell>
          <cell r="F560" t="str">
            <v>47</v>
          </cell>
          <cell r="G560" t="str">
            <v>8</v>
          </cell>
          <cell r="H560">
            <v>0</v>
          </cell>
        </row>
        <row r="561">
          <cell r="B561">
            <v>5070</v>
          </cell>
          <cell r="C561" t="str">
            <v>Henderson; James R</v>
          </cell>
          <cell r="D561" t="str">
            <v>1</v>
          </cell>
          <cell r="E561" t="str">
            <v>IBEWOUT</v>
          </cell>
          <cell r="F561" t="str">
            <v>77</v>
          </cell>
          <cell r="G561" t="str">
            <v>7</v>
          </cell>
          <cell r="H561">
            <v>0</v>
          </cell>
        </row>
        <row r="562">
          <cell r="B562">
            <v>5071</v>
          </cell>
          <cell r="C562" t="str">
            <v>Henderson; Steven M.</v>
          </cell>
          <cell r="D562" t="str">
            <v>1C</v>
          </cell>
          <cell r="E562" t="str">
            <v>IBEWOUT</v>
          </cell>
          <cell r="F562" t="str">
            <v>1245</v>
          </cell>
          <cell r="G562" t="str">
            <v>8</v>
          </cell>
          <cell r="H562">
            <v>0</v>
          </cell>
        </row>
        <row r="563">
          <cell r="B563">
            <v>5073</v>
          </cell>
          <cell r="C563" t="str">
            <v>Henderson; Evann L</v>
          </cell>
          <cell r="D563" t="str">
            <v>1C</v>
          </cell>
          <cell r="E563" t="str">
            <v>IBEWOUT</v>
          </cell>
          <cell r="F563" t="str">
            <v>47</v>
          </cell>
          <cell r="G563" t="str">
            <v>8</v>
          </cell>
          <cell r="H563">
            <v>0</v>
          </cell>
        </row>
        <row r="564">
          <cell r="B564">
            <v>5076</v>
          </cell>
          <cell r="C564" t="str">
            <v>Henderson; Levi A</v>
          </cell>
          <cell r="D564" t="str">
            <v>1C</v>
          </cell>
          <cell r="E564" t="str">
            <v>IBEWOUT</v>
          </cell>
          <cell r="F564" t="str">
            <v>47</v>
          </cell>
          <cell r="G564" t="str">
            <v>8</v>
          </cell>
          <cell r="H564">
            <v>0</v>
          </cell>
        </row>
        <row r="565">
          <cell r="B565">
            <v>5089</v>
          </cell>
          <cell r="C565" t="str">
            <v>Haught; James E</v>
          </cell>
          <cell r="D565" t="str">
            <v>1C</v>
          </cell>
          <cell r="E565" t="str">
            <v>IBEWOUT</v>
          </cell>
          <cell r="F565" t="str">
            <v>611</v>
          </cell>
          <cell r="G565" t="str">
            <v>15</v>
          </cell>
          <cell r="H565">
            <v>0</v>
          </cell>
        </row>
        <row r="566">
          <cell r="B566">
            <v>5091</v>
          </cell>
          <cell r="C566" t="str">
            <v>Hendrickson; Scott D</v>
          </cell>
          <cell r="D566" t="str">
            <v>1C</v>
          </cell>
          <cell r="E566" t="str">
            <v>IBEWOUT</v>
          </cell>
          <cell r="F566" t="str">
            <v>77</v>
          </cell>
          <cell r="G566" t="str">
            <v>7</v>
          </cell>
          <cell r="H566">
            <v>0</v>
          </cell>
        </row>
        <row r="567">
          <cell r="B567">
            <v>5100</v>
          </cell>
          <cell r="C567" t="str">
            <v>Hegdahl; Andres J</v>
          </cell>
          <cell r="D567" t="str">
            <v>1C</v>
          </cell>
          <cell r="E567" t="str">
            <v>IBEWOUT</v>
          </cell>
          <cell r="F567" t="str">
            <v>125</v>
          </cell>
          <cell r="G567" t="str">
            <v>16</v>
          </cell>
          <cell r="H567">
            <v>0</v>
          </cell>
        </row>
        <row r="568">
          <cell r="B568">
            <v>5102</v>
          </cell>
          <cell r="C568" t="str">
            <v>Heil; Allen A.</v>
          </cell>
          <cell r="D568" t="str">
            <v>1C</v>
          </cell>
          <cell r="E568" t="str">
            <v>IBEWOUT</v>
          </cell>
          <cell r="F568" t="str">
            <v>1245</v>
          </cell>
          <cell r="G568" t="str">
            <v>8</v>
          </cell>
          <cell r="H568">
            <v>0</v>
          </cell>
        </row>
        <row r="569">
          <cell r="B569">
            <v>5105</v>
          </cell>
          <cell r="C569" t="str">
            <v>Healy; Justin M.</v>
          </cell>
          <cell r="D569" t="str">
            <v>1C</v>
          </cell>
          <cell r="E569" t="str">
            <v>IBEWOUT</v>
          </cell>
          <cell r="F569" t="str">
            <v>125</v>
          </cell>
          <cell r="G569" t="str">
            <v>8</v>
          </cell>
          <cell r="H569">
            <v>0</v>
          </cell>
        </row>
        <row r="570">
          <cell r="B570">
            <v>5106</v>
          </cell>
          <cell r="C570" t="str">
            <v>Hegr; Eric R</v>
          </cell>
          <cell r="D570" t="str">
            <v>1</v>
          </cell>
          <cell r="E570" t="str">
            <v>IBEWOUT</v>
          </cell>
          <cell r="F570" t="str">
            <v>1245</v>
          </cell>
          <cell r="G570" t="str">
            <v>12</v>
          </cell>
          <cell r="H570">
            <v>0</v>
          </cell>
        </row>
        <row r="571">
          <cell r="B571">
            <v>5107</v>
          </cell>
          <cell r="C571" t="str">
            <v>Hedburg; Arthur J</v>
          </cell>
          <cell r="D571" t="str">
            <v>1C</v>
          </cell>
          <cell r="E571" t="str">
            <v>IBEWOUT</v>
          </cell>
          <cell r="F571" t="str">
            <v>47</v>
          </cell>
          <cell r="G571" t="str">
            <v>8</v>
          </cell>
          <cell r="H571">
            <v>0</v>
          </cell>
        </row>
        <row r="572">
          <cell r="B572">
            <v>5115</v>
          </cell>
          <cell r="C572" t="str">
            <v>Heredia; Marco A</v>
          </cell>
          <cell r="D572" t="str">
            <v>1C</v>
          </cell>
          <cell r="E572" t="str">
            <v>IBEWOUT</v>
          </cell>
          <cell r="F572" t="str">
            <v>47</v>
          </cell>
          <cell r="G572" t="str">
            <v>17</v>
          </cell>
          <cell r="H572">
            <v>0</v>
          </cell>
        </row>
        <row r="573">
          <cell r="B573">
            <v>5116</v>
          </cell>
          <cell r="C573" t="str">
            <v>Heuer; Jordan P</v>
          </cell>
          <cell r="D573" t="str">
            <v>1C</v>
          </cell>
          <cell r="E573" t="str">
            <v>IBEWOUT</v>
          </cell>
          <cell r="F573" t="str">
            <v>126</v>
          </cell>
          <cell r="G573" t="str">
            <v>16</v>
          </cell>
          <cell r="H573">
            <v>0</v>
          </cell>
        </row>
        <row r="574">
          <cell r="B574">
            <v>5119</v>
          </cell>
          <cell r="C574" t="str">
            <v>Herron; Gregory W.</v>
          </cell>
          <cell r="D574" t="str">
            <v>1C</v>
          </cell>
          <cell r="E574" t="str">
            <v>IBEWOUT</v>
          </cell>
          <cell r="F574" t="str">
            <v>1319</v>
          </cell>
          <cell r="G574" t="str">
            <v>33</v>
          </cell>
          <cell r="H574">
            <v>0</v>
          </cell>
        </row>
        <row r="575">
          <cell r="B575">
            <v>5124</v>
          </cell>
          <cell r="C575" t="str">
            <v>Hernandez Orozco; David</v>
          </cell>
          <cell r="D575" t="str">
            <v>1</v>
          </cell>
          <cell r="E575" t="str">
            <v/>
          </cell>
          <cell r="F575" t="str">
            <v/>
          </cell>
          <cell r="G575" t="str">
            <v/>
          </cell>
          <cell r="H575">
            <v>0</v>
          </cell>
        </row>
        <row r="576">
          <cell r="B576">
            <v>5125</v>
          </cell>
          <cell r="C576" t="str">
            <v>Hernandez; Ramiro</v>
          </cell>
          <cell r="D576" t="str">
            <v>1C</v>
          </cell>
          <cell r="E576" t="str">
            <v/>
          </cell>
          <cell r="F576" t="str">
            <v/>
          </cell>
          <cell r="G576" t="str">
            <v/>
          </cell>
          <cell r="H576">
            <v>0</v>
          </cell>
        </row>
        <row r="577">
          <cell r="B577">
            <v>5127</v>
          </cell>
          <cell r="C577" t="str">
            <v>Hester; John Calvin</v>
          </cell>
          <cell r="D577" t="str">
            <v>1C</v>
          </cell>
          <cell r="E577" t="str">
            <v>IBEWOUT</v>
          </cell>
          <cell r="F577" t="str">
            <v>396</v>
          </cell>
          <cell r="G577" t="str">
            <v>8</v>
          </cell>
          <cell r="H577">
            <v>0</v>
          </cell>
        </row>
        <row r="578">
          <cell r="B578">
            <v>5128</v>
          </cell>
          <cell r="C578" t="str">
            <v>Hernandez; Ignacio L</v>
          </cell>
          <cell r="D578" t="str">
            <v>1</v>
          </cell>
          <cell r="E578" t="str">
            <v>IBEWOUT</v>
          </cell>
          <cell r="F578" t="str">
            <v>1245</v>
          </cell>
          <cell r="G578" t="str">
            <v>8</v>
          </cell>
          <cell r="H578">
            <v>0</v>
          </cell>
        </row>
        <row r="579">
          <cell r="B579">
            <v>5129</v>
          </cell>
          <cell r="C579" t="str">
            <v>Hickman; Ira Q</v>
          </cell>
          <cell r="D579" t="str">
            <v>1C</v>
          </cell>
          <cell r="E579" t="str">
            <v>IBEWOUT</v>
          </cell>
          <cell r="F579" t="str">
            <v>611</v>
          </cell>
          <cell r="G579" t="str">
            <v>8</v>
          </cell>
          <cell r="H579">
            <v>0</v>
          </cell>
        </row>
        <row r="580">
          <cell r="B580">
            <v>5131</v>
          </cell>
          <cell r="C580" t="str">
            <v>Hernandez; Alejandro</v>
          </cell>
          <cell r="D580" t="str">
            <v>1C</v>
          </cell>
          <cell r="E580" t="str">
            <v/>
          </cell>
          <cell r="F580" t="str">
            <v/>
          </cell>
          <cell r="G580" t="str">
            <v/>
          </cell>
          <cell r="H580">
            <v>1</v>
          </cell>
        </row>
        <row r="581">
          <cell r="B581">
            <v>5139</v>
          </cell>
          <cell r="C581" t="str">
            <v>Hidalgo; Cody B.</v>
          </cell>
          <cell r="D581" t="str">
            <v>1</v>
          </cell>
          <cell r="E581" t="str">
            <v>IBEWOUT</v>
          </cell>
          <cell r="F581" t="str">
            <v>611</v>
          </cell>
          <cell r="G581" t="str">
            <v>8</v>
          </cell>
          <cell r="H581">
            <v>0</v>
          </cell>
        </row>
        <row r="582">
          <cell r="B582">
            <v>5140</v>
          </cell>
          <cell r="C582" t="str">
            <v>Hidalgo; Francisco R.</v>
          </cell>
          <cell r="D582" t="str">
            <v>1C</v>
          </cell>
          <cell r="E582" t="str">
            <v>IBEWOUT</v>
          </cell>
          <cell r="F582" t="str">
            <v>47</v>
          </cell>
          <cell r="G582" t="str">
            <v>8</v>
          </cell>
          <cell r="H582">
            <v>0</v>
          </cell>
        </row>
        <row r="583">
          <cell r="B583">
            <v>5165</v>
          </cell>
          <cell r="C583" t="str">
            <v>Hippensteel; Thomas A</v>
          </cell>
          <cell r="D583" t="str">
            <v>1C</v>
          </cell>
          <cell r="E583" t="str">
            <v>IBEWOUT</v>
          </cell>
          <cell r="F583" t="str">
            <v>125</v>
          </cell>
          <cell r="G583" t="str">
            <v>8</v>
          </cell>
          <cell r="H583">
            <v>0</v>
          </cell>
        </row>
        <row r="584">
          <cell r="B584">
            <v>5166</v>
          </cell>
          <cell r="C584" t="str">
            <v>Hildebrand; Scott Alan</v>
          </cell>
          <cell r="D584" t="str">
            <v>1C</v>
          </cell>
          <cell r="E584" t="str">
            <v>IBEWOUT</v>
          </cell>
          <cell r="F584" t="str">
            <v>77</v>
          </cell>
          <cell r="G584" t="str">
            <v>7</v>
          </cell>
          <cell r="H584">
            <v>0</v>
          </cell>
        </row>
        <row r="585">
          <cell r="B585">
            <v>5168</v>
          </cell>
          <cell r="C585" t="str">
            <v>Hills; Jeremy S.</v>
          </cell>
          <cell r="D585" t="str">
            <v>1C</v>
          </cell>
          <cell r="E585" t="str">
            <v>IBEWOUT</v>
          </cell>
          <cell r="F585" t="str">
            <v>77</v>
          </cell>
          <cell r="G585" t="str">
            <v>8</v>
          </cell>
          <cell r="H585">
            <v>0</v>
          </cell>
        </row>
        <row r="586">
          <cell r="B586">
            <v>5175</v>
          </cell>
          <cell r="C586" t="str">
            <v>Hess; Jared A.</v>
          </cell>
          <cell r="D586" t="str">
            <v>1C</v>
          </cell>
          <cell r="E586" t="str">
            <v>IBEWOUT</v>
          </cell>
          <cell r="F586" t="str">
            <v>1245</v>
          </cell>
          <cell r="G586" t="str">
            <v>8</v>
          </cell>
          <cell r="H586">
            <v>0</v>
          </cell>
        </row>
        <row r="587">
          <cell r="B587">
            <v>5176</v>
          </cell>
          <cell r="C587" t="str">
            <v>Hicks; Andrew D</v>
          </cell>
          <cell r="D587" t="str">
            <v>1C</v>
          </cell>
          <cell r="E587" t="str">
            <v>IBEWOUT</v>
          </cell>
          <cell r="F587" t="str">
            <v>77</v>
          </cell>
          <cell r="G587" t="str">
            <v>8</v>
          </cell>
          <cell r="H587">
            <v>0</v>
          </cell>
        </row>
        <row r="588">
          <cell r="B588">
            <v>5179</v>
          </cell>
          <cell r="C588" t="str">
            <v>Hicks; Rush N</v>
          </cell>
          <cell r="D588" t="str">
            <v>1C</v>
          </cell>
          <cell r="E588" t="str">
            <v>IBEWOUT</v>
          </cell>
          <cell r="F588" t="str">
            <v>125</v>
          </cell>
          <cell r="G588" t="str">
            <v>16</v>
          </cell>
          <cell r="H588">
            <v>0</v>
          </cell>
        </row>
        <row r="589">
          <cell r="B589">
            <v>5181</v>
          </cell>
          <cell r="C589" t="str">
            <v>Hoy; Turner A</v>
          </cell>
          <cell r="D589" t="str">
            <v>1C</v>
          </cell>
          <cell r="E589" t="str">
            <v>IBEWOUT</v>
          </cell>
          <cell r="F589" t="str">
            <v>769</v>
          </cell>
          <cell r="G589" t="str">
            <v>8</v>
          </cell>
          <cell r="H589">
            <v>0</v>
          </cell>
        </row>
        <row r="590">
          <cell r="B590">
            <v>5182</v>
          </cell>
          <cell r="C590" t="str">
            <v>Hill; Joshua K</v>
          </cell>
          <cell r="D590" t="str">
            <v>1C</v>
          </cell>
          <cell r="E590" t="str">
            <v>IBEWOUT</v>
          </cell>
          <cell r="F590" t="str">
            <v>1245</v>
          </cell>
          <cell r="G590" t="str">
            <v>8</v>
          </cell>
          <cell r="H590">
            <v>0</v>
          </cell>
        </row>
        <row r="591">
          <cell r="B591">
            <v>5183</v>
          </cell>
          <cell r="C591" t="str">
            <v>Hill; Anthony D</v>
          </cell>
          <cell r="D591" t="str">
            <v>1C</v>
          </cell>
          <cell r="E591" t="str">
            <v>IBEWOUT</v>
          </cell>
          <cell r="F591" t="str">
            <v>1245</v>
          </cell>
          <cell r="G591" t="str">
            <v>8</v>
          </cell>
          <cell r="H591">
            <v>0</v>
          </cell>
        </row>
        <row r="592">
          <cell r="B592">
            <v>5186</v>
          </cell>
          <cell r="C592" t="str">
            <v>Hill; Jared M</v>
          </cell>
          <cell r="D592" t="str">
            <v>1C</v>
          </cell>
          <cell r="E592" t="str">
            <v>IBEWOUT</v>
          </cell>
          <cell r="F592" t="str">
            <v>104</v>
          </cell>
          <cell r="G592" t="str">
            <v>7</v>
          </cell>
          <cell r="H592">
            <v>0</v>
          </cell>
        </row>
        <row r="593">
          <cell r="B593">
            <v>5187</v>
          </cell>
          <cell r="C593" t="str">
            <v>Hill; Daniel A</v>
          </cell>
          <cell r="D593" t="str">
            <v>1</v>
          </cell>
          <cell r="E593" t="str">
            <v>IBEWOUT</v>
          </cell>
          <cell r="F593" t="str">
            <v>77</v>
          </cell>
          <cell r="G593" t="str">
            <v>8</v>
          </cell>
          <cell r="H593">
            <v>0</v>
          </cell>
        </row>
        <row r="594">
          <cell r="B594">
            <v>5194</v>
          </cell>
          <cell r="C594" t="str">
            <v>Hill; Clinton S</v>
          </cell>
          <cell r="D594" t="str">
            <v>1</v>
          </cell>
          <cell r="E594" t="str">
            <v>IBEWOUT</v>
          </cell>
          <cell r="F594" t="str">
            <v>1245</v>
          </cell>
          <cell r="G594" t="str">
            <v>7</v>
          </cell>
          <cell r="H594">
            <v>0</v>
          </cell>
        </row>
        <row r="595">
          <cell r="B595">
            <v>5301</v>
          </cell>
          <cell r="C595" t="str">
            <v>Hopkins; Joseph E</v>
          </cell>
          <cell r="D595" t="str">
            <v>1C</v>
          </cell>
          <cell r="E595" t="str">
            <v>IBEWOUT</v>
          </cell>
          <cell r="F595" t="str">
            <v>125</v>
          </cell>
          <cell r="G595" t="str">
            <v>8</v>
          </cell>
          <cell r="H595">
            <v>0</v>
          </cell>
        </row>
        <row r="596">
          <cell r="B596">
            <v>5319</v>
          </cell>
          <cell r="C596" t="str">
            <v>Holbrook; Jeremiah M</v>
          </cell>
          <cell r="D596" t="str">
            <v>1C</v>
          </cell>
          <cell r="E596" t="str">
            <v>IBEWOUT</v>
          </cell>
          <cell r="F596" t="str">
            <v>1245</v>
          </cell>
          <cell r="G596" t="str">
            <v>8</v>
          </cell>
          <cell r="H596">
            <v>0</v>
          </cell>
        </row>
        <row r="597">
          <cell r="B597">
            <v>5329</v>
          </cell>
          <cell r="C597" t="str">
            <v>Hodge; Tyler D</v>
          </cell>
          <cell r="D597" t="str">
            <v>1C</v>
          </cell>
          <cell r="E597" t="str">
            <v>IBEWOUT</v>
          </cell>
          <cell r="F597" t="str">
            <v>77</v>
          </cell>
          <cell r="G597" t="str">
            <v>17</v>
          </cell>
          <cell r="H597">
            <v>0</v>
          </cell>
        </row>
        <row r="598">
          <cell r="B598">
            <v>5331</v>
          </cell>
          <cell r="C598" t="str">
            <v>Hoefler; Trevor B</v>
          </cell>
          <cell r="D598" t="str">
            <v>1C</v>
          </cell>
          <cell r="E598" t="str">
            <v>IBEWOUT</v>
          </cell>
          <cell r="F598" t="str">
            <v>77</v>
          </cell>
          <cell r="G598" t="str">
            <v>10</v>
          </cell>
          <cell r="H598">
            <v>0</v>
          </cell>
        </row>
        <row r="599">
          <cell r="B599">
            <v>5332</v>
          </cell>
          <cell r="C599" t="str">
            <v>Hogue III; Johnny K</v>
          </cell>
          <cell r="D599" t="str">
            <v>1C</v>
          </cell>
          <cell r="E599" t="str">
            <v>IBEWOUT</v>
          </cell>
          <cell r="F599" t="str">
            <v>126</v>
          </cell>
          <cell r="G599" t="str">
            <v>15</v>
          </cell>
          <cell r="H599">
            <v>0</v>
          </cell>
        </row>
        <row r="600">
          <cell r="B600">
            <v>5337</v>
          </cell>
          <cell r="C600" t="str">
            <v>Hoffman; Ryan S</v>
          </cell>
          <cell r="D600" t="str">
            <v>1</v>
          </cell>
          <cell r="E600" t="str">
            <v>IBEWOUT</v>
          </cell>
          <cell r="F600" t="str">
            <v>47</v>
          </cell>
          <cell r="G600" t="str">
            <v>17</v>
          </cell>
          <cell r="H600">
            <v>0</v>
          </cell>
        </row>
        <row r="601">
          <cell r="B601">
            <v>5340</v>
          </cell>
          <cell r="C601" t="str">
            <v>Holt; Derek H</v>
          </cell>
          <cell r="D601" t="str">
            <v>1C</v>
          </cell>
          <cell r="E601" t="str">
            <v>IBEWOUT</v>
          </cell>
          <cell r="F601" t="str">
            <v>1245</v>
          </cell>
          <cell r="G601" t="str">
            <v>8</v>
          </cell>
          <cell r="H601">
            <v>0</v>
          </cell>
        </row>
        <row r="602">
          <cell r="B602">
            <v>5345</v>
          </cell>
          <cell r="C602" t="str">
            <v>Holland Jr; Terrell S</v>
          </cell>
          <cell r="D602" t="str">
            <v>1C</v>
          </cell>
          <cell r="E602" t="str">
            <v>IBEWOUT</v>
          </cell>
          <cell r="F602" t="str">
            <v>1245</v>
          </cell>
          <cell r="G602" t="str">
            <v>8</v>
          </cell>
          <cell r="H602">
            <v>0</v>
          </cell>
        </row>
        <row r="603">
          <cell r="B603">
            <v>5349</v>
          </cell>
          <cell r="C603" t="str">
            <v>Holland; Kyle J</v>
          </cell>
          <cell r="D603" t="str">
            <v>1</v>
          </cell>
          <cell r="E603" t="str">
            <v>IBEWOUT</v>
          </cell>
          <cell r="F603" t="str">
            <v>77</v>
          </cell>
          <cell r="G603" t="str">
            <v>8</v>
          </cell>
          <cell r="H603">
            <v>0</v>
          </cell>
        </row>
        <row r="604">
          <cell r="B604">
            <v>5357</v>
          </cell>
          <cell r="C604" t="str">
            <v>Honorato; Armando</v>
          </cell>
          <cell r="D604" t="str">
            <v>1C</v>
          </cell>
          <cell r="E604" t="str">
            <v>IBEWOUT</v>
          </cell>
          <cell r="F604" t="str">
            <v>47</v>
          </cell>
          <cell r="G604" t="str">
            <v>17</v>
          </cell>
          <cell r="H604">
            <v>0</v>
          </cell>
        </row>
        <row r="605">
          <cell r="B605">
            <v>5372</v>
          </cell>
          <cell r="C605" t="str">
            <v>Hook; Alan P</v>
          </cell>
          <cell r="D605" t="str">
            <v>1C</v>
          </cell>
          <cell r="E605" t="str">
            <v>IBEWOUT</v>
          </cell>
          <cell r="F605" t="str">
            <v>1245</v>
          </cell>
          <cell r="G605" t="str">
            <v>15</v>
          </cell>
          <cell r="H605">
            <v>0</v>
          </cell>
        </row>
        <row r="606">
          <cell r="B606">
            <v>5380</v>
          </cell>
          <cell r="C606" t="str">
            <v>Horlacher; Jared Lee</v>
          </cell>
          <cell r="D606" t="str">
            <v>1C</v>
          </cell>
          <cell r="E606" t="str">
            <v>IBEWOUT</v>
          </cell>
          <cell r="F606" t="str">
            <v>77</v>
          </cell>
          <cell r="G606" t="str">
            <v>8</v>
          </cell>
          <cell r="H606">
            <v>0</v>
          </cell>
        </row>
        <row r="607">
          <cell r="B607">
            <v>5401</v>
          </cell>
          <cell r="C607" t="str">
            <v>Horton; Johnny L</v>
          </cell>
          <cell r="D607" t="str">
            <v>1C</v>
          </cell>
          <cell r="E607" t="str">
            <v>IBEWOUT</v>
          </cell>
          <cell r="F607" t="str">
            <v>47</v>
          </cell>
          <cell r="G607" t="str">
            <v>17</v>
          </cell>
          <cell r="H607">
            <v>0</v>
          </cell>
        </row>
        <row r="608">
          <cell r="B608">
            <v>5445</v>
          </cell>
          <cell r="C608" t="str">
            <v>Horn III; Ellis I</v>
          </cell>
          <cell r="D608" t="str">
            <v>1</v>
          </cell>
          <cell r="E608" t="str">
            <v>IBEWOUT</v>
          </cell>
          <cell r="F608" t="str">
            <v>769</v>
          </cell>
          <cell r="G608" t="str">
            <v>10</v>
          </cell>
          <cell r="H608">
            <v>0</v>
          </cell>
        </row>
        <row r="609">
          <cell r="B609">
            <v>5446</v>
          </cell>
          <cell r="C609" t="str">
            <v>Hornbeck; Dennis Andrew</v>
          </cell>
          <cell r="D609" t="str">
            <v>1C</v>
          </cell>
          <cell r="E609" t="str">
            <v>IBEWOUT</v>
          </cell>
          <cell r="F609" t="str">
            <v>1245</v>
          </cell>
          <cell r="G609" t="str">
            <v>7</v>
          </cell>
          <cell r="H609">
            <v>0</v>
          </cell>
        </row>
        <row r="610">
          <cell r="B610">
            <v>5449</v>
          </cell>
          <cell r="C610" t="str">
            <v>Hostetler; Travis L</v>
          </cell>
          <cell r="D610" t="str">
            <v>1C</v>
          </cell>
          <cell r="E610" t="str">
            <v>IBEWOUT</v>
          </cell>
          <cell r="F610" t="str">
            <v>126</v>
          </cell>
          <cell r="G610" t="str">
            <v>33</v>
          </cell>
          <cell r="H610">
            <v>0</v>
          </cell>
        </row>
        <row r="611">
          <cell r="B611">
            <v>5456</v>
          </cell>
          <cell r="C611" t="str">
            <v>Houser; Jacob J</v>
          </cell>
          <cell r="D611" t="str">
            <v>1</v>
          </cell>
          <cell r="E611" t="str">
            <v/>
          </cell>
          <cell r="F611" t="str">
            <v/>
          </cell>
          <cell r="G611" t="str">
            <v/>
          </cell>
          <cell r="H611">
            <v>0</v>
          </cell>
        </row>
        <row r="612">
          <cell r="B612">
            <v>5458</v>
          </cell>
          <cell r="C612" t="str">
            <v>House; Christopher M</v>
          </cell>
          <cell r="D612" t="str">
            <v>1C</v>
          </cell>
          <cell r="E612" t="str">
            <v>IBEWOUT</v>
          </cell>
          <cell r="F612" t="str">
            <v>1245</v>
          </cell>
          <cell r="G612" t="str">
            <v>8</v>
          </cell>
          <cell r="H612">
            <v>0</v>
          </cell>
        </row>
        <row r="613">
          <cell r="B613">
            <v>5571</v>
          </cell>
          <cell r="C613" t="str">
            <v>Howard; Edward D</v>
          </cell>
          <cell r="D613" t="str">
            <v>1C</v>
          </cell>
          <cell r="E613" t="str">
            <v>IBEWOUT</v>
          </cell>
          <cell r="F613" t="str">
            <v>126</v>
          </cell>
          <cell r="G613" t="str">
            <v>8</v>
          </cell>
          <cell r="H613">
            <v>0</v>
          </cell>
        </row>
        <row r="614">
          <cell r="B614">
            <v>5574</v>
          </cell>
          <cell r="C614" t="str">
            <v>Howard; Eli P</v>
          </cell>
          <cell r="D614" t="str">
            <v>1</v>
          </cell>
          <cell r="E614" t="str">
            <v/>
          </cell>
          <cell r="F614" t="str">
            <v/>
          </cell>
          <cell r="G614" t="str">
            <v/>
          </cell>
          <cell r="H614">
            <v>0</v>
          </cell>
        </row>
        <row r="615">
          <cell r="B615">
            <v>5580</v>
          </cell>
          <cell r="C615" t="str">
            <v>Howell Jr.; Thomas W.</v>
          </cell>
          <cell r="D615" t="str">
            <v>1</v>
          </cell>
          <cell r="E615" t="str">
            <v>IBEWOUT</v>
          </cell>
          <cell r="F615" t="str">
            <v>769</v>
          </cell>
          <cell r="G615" t="str">
            <v>1</v>
          </cell>
          <cell r="H615">
            <v>0</v>
          </cell>
        </row>
        <row r="616">
          <cell r="B616">
            <v>5620</v>
          </cell>
          <cell r="C616" t="str">
            <v>Hubbard; Jason C.</v>
          </cell>
          <cell r="D616" t="str">
            <v>1C</v>
          </cell>
          <cell r="E616" t="str">
            <v>IBEWOUT</v>
          </cell>
          <cell r="F616" t="str">
            <v>1245</v>
          </cell>
          <cell r="G616" t="str">
            <v>8</v>
          </cell>
          <cell r="H616">
            <v>0</v>
          </cell>
        </row>
        <row r="617">
          <cell r="B617">
            <v>5621</v>
          </cell>
          <cell r="C617" t="str">
            <v>Hubbard; Marcus W</v>
          </cell>
          <cell r="D617" t="str">
            <v>1C</v>
          </cell>
          <cell r="E617" t="str">
            <v>IBEWOUT</v>
          </cell>
          <cell r="F617" t="str">
            <v>47</v>
          </cell>
          <cell r="G617" t="str">
            <v>17</v>
          </cell>
          <cell r="H617">
            <v>0</v>
          </cell>
        </row>
        <row r="618">
          <cell r="B618">
            <v>5625</v>
          </cell>
          <cell r="C618" t="str">
            <v>Hunt; Terry L.</v>
          </cell>
          <cell r="D618" t="str">
            <v>1C</v>
          </cell>
          <cell r="E618" t="str">
            <v>IBEWOUT</v>
          </cell>
          <cell r="F618" t="str">
            <v>47</v>
          </cell>
          <cell r="G618" t="str">
            <v>8</v>
          </cell>
          <cell r="H618">
            <v>0</v>
          </cell>
        </row>
        <row r="619">
          <cell r="B619">
            <v>5630</v>
          </cell>
          <cell r="C619" t="str">
            <v>Huravitch; Duane L.</v>
          </cell>
          <cell r="D619" t="str">
            <v>1C</v>
          </cell>
          <cell r="E619" t="str">
            <v>IBEWOUT</v>
          </cell>
          <cell r="F619" t="str">
            <v>47</v>
          </cell>
          <cell r="G619" t="str">
            <v>8</v>
          </cell>
          <cell r="H619">
            <v>0</v>
          </cell>
        </row>
        <row r="620">
          <cell r="B620">
            <v>5631</v>
          </cell>
          <cell r="C620" t="str">
            <v>Hurst; Christopher T</v>
          </cell>
          <cell r="D620" t="str">
            <v>1C</v>
          </cell>
          <cell r="E620" t="str">
            <v>IBEWOUT</v>
          </cell>
          <cell r="F620" t="str">
            <v>125</v>
          </cell>
          <cell r="G620" t="str">
            <v>9</v>
          </cell>
          <cell r="H620">
            <v>0</v>
          </cell>
        </row>
        <row r="621">
          <cell r="B621">
            <v>5643</v>
          </cell>
          <cell r="C621" t="str">
            <v>Humlick; Adam J</v>
          </cell>
          <cell r="D621" t="str">
            <v>1C</v>
          </cell>
          <cell r="E621" t="str">
            <v>IBEWOUT</v>
          </cell>
          <cell r="F621" t="str">
            <v>1245</v>
          </cell>
          <cell r="G621" t="str">
            <v>16</v>
          </cell>
          <cell r="H621">
            <v>0</v>
          </cell>
        </row>
        <row r="622">
          <cell r="B622">
            <v>5644</v>
          </cell>
          <cell r="C622" t="str">
            <v>Huck; Anthony</v>
          </cell>
          <cell r="D622" t="str">
            <v>1C</v>
          </cell>
          <cell r="E622" t="str">
            <v>IBEWOUT</v>
          </cell>
          <cell r="F622" t="str">
            <v>1245</v>
          </cell>
          <cell r="G622" t="str">
            <v>8</v>
          </cell>
          <cell r="H622">
            <v>0</v>
          </cell>
        </row>
        <row r="623">
          <cell r="B623">
            <v>5647</v>
          </cell>
          <cell r="C623" t="str">
            <v>Hubbard; Bryce Keaton</v>
          </cell>
          <cell r="D623" t="str">
            <v>1C</v>
          </cell>
          <cell r="E623" t="str">
            <v>IBEWOUT</v>
          </cell>
          <cell r="F623" t="str">
            <v>769</v>
          </cell>
          <cell r="G623" t="str">
            <v>8</v>
          </cell>
          <cell r="H623">
            <v>0</v>
          </cell>
        </row>
        <row r="624">
          <cell r="B624">
            <v>5655</v>
          </cell>
          <cell r="C624" t="str">
            <v>Hughes; Christopher John</v>
          </cell>
          <cell r="D624" t="str">
            <v>1</v>
          </cell>
          <cell r="E624" t="str">
            <v>IBEWOUT</v>
          </cell>
          <cell r="F624" t="str">
            <v>77</v>
          </cell>
          <cell r="G624" t="str">
            <v>1</v>
          </cell>
          <cell r="H624">
            <v>0</v>
          </cell>
        </row>
        <row r="625">
          <cell r="B625">
            <v>5667</v>
          </cell>
          <cell r="C625" t="str">
            <v>Hudson; Terry Wayne</v>
          </cell>
          <cell r="D625" t="str">
            <v>1C</v>
          </cell>
          <cell r="E625" t="str">
            <v>IBEWOUT</v>
          </cell>
          <cell r="F625" t="str">
            <v>125</v>
          </cell>
          <cell r="G625" t="str">
            <v>16</v>
          </cell>
          <cell r="H625">
            <v>0</v>
          </cell>
        </row>
        <row r="626">
          <cell r="B626">
            <v>5668</v>
          </cell>
          <cell r="C626" t="str">
            <v>Huling; James Everett</v>
          </cell>
          <cell r="D626" t="str">
            <v>1C</v>
          </cell>
          <cell r="E626" t="str">
            <v>IBEWOUT</v>
          </cell>
          <cell r="F626" t="str">
            <v>77</v>
          </cell>
          <cell r="G626" t="str">
            <v>8</v>
          </cell>
          <cell r="H626">
            <v>0</v>
          </cell>
        </row>
        <row r="627">
          <cell r="B627">
            <v>5669</v>
          </cell>
          <cell r="C627" t="str">
            <v>Collette; Hannah E</v>
          </cell>
          <cell r="D627" t="str">
            <v>1</v>
          </cell>
          <cell r="E627" t="str">
            <v/>
          </cell>
          <cell r="F627" t="str">
            <v/>
          </cell>
          <cell r="G627" t="str">
            <v/>
          </cell>
          <cell r="H627">
            <v>0</v>
          </cell>
        </row>
        <row r="628">
          <cell r="B628">
            <v>5670</v>
          </cell>
          <cell r="C628" t="str">
            <v>Collette; Joseph D</v>
          </cell>
          <cell r="D628" t="str">
            <v>1</v>
          </cell>
          <cell r="E628" t="str">
            <v>IBEWOUT</v>
          </cell>
          <cell r="F628" t="str">
            <v>47</v>
          </cell>
          <cell r="G628" t="str">
            <v>8</v>
          </cell>
          <cell r="H628">
            <v>0</v>
          </cell>
        </row>
        <row r="629">
          <cell r="B629">
            <v>5673</v>
          </cell>
          <cell r="C629" t="str">
            <v>Hutson; David J</v>
          </cell>
          <cell r="D629" t="str">
            <v>1C</v>
          </cell>
          <cell r="E629" t="str">
            <v>IBEWOUT</v>
          </cell>
          <cell r="F629" t="str">
            <v>77</v>
          </cell>
          <cell r="G629" t="str">
            <v>8</v>
          </cell>
          <cell r="H629">
            <v>0</v>
          </cell>
        </row>
        <row r="630">
          <cell r="B630">
            <v>5674</v>
          </cell>
          <cell r="C630" t="str">
            <v>Hutter; Peter E</v>
          </cell>
          <cell r="D630" t="str">
            <v>1</v>
          </cell>
          <cell r="E630" t="str">
            <v>IBEWOUT</v>
          </cell>
          <cell r="F630" t="str">
            <v>77</v>
          </cell>
          <cell r="G630" t="str">
            <v>8</v>
          </cell>
          <cell r="H630">
            <v>0</v>
          </cell>
        </row>
        <row r="631">
          <cell r="B631">
            <v>5677</v>
          </cell>
          <cell r="C631" t="str">
            <v>Hutchens; Joseph Scott</v>
          </cell>
          <cell r="D631" t="str">
            <v>1</v>
          </cell>
          <cell r="E631" t="str">
            <v/>
          </cell>
          <cell r="F631" t="str">
            <v/>
          </cell>
          <cell r="G631" t="str">
            <v/>
          </cell>
          <cell r="H631">
            <v>0</v>
          </cell>
        </row>
        <row r="632">
          <cell r="B632">
            <v>5680</v>
          </cell>
          <cell r="C632" t="str">
            <v>Hughes; Ryan W</v>
          </cell>
          <cell r="D632" t="str">
            <v>1C</v>
          </cell>
          <cell r="E632" t="str">
            <v>IBEWOUT</v>
          </cell>
          <cell r="F632" t="str">
            <v>1245</v>
          </cell>
          <cell r="G632" t="str">
            <v>8</v>
          </cell>
          <cell r="H632">
            <v>0</v>
          </cell>
        </row>
        <row r="633">
          <cell r="B633">
            <v>5688</v>
          </cell>
          <cell r="C633" t="str">
            <v>Iloilo; Adam M</v>
          </cell>
          <cell r="D633" t="str">
            <v>1C</v>
          </cell>
          <cell r="E633" t="str">
            <v>IBEWOUT</v>
          </cell>
          <cell r="F633" t="str">
            <v>1245</v>
          </cell>
          <cell r="G633" t="str">
            <v>12</v>
          </cell>
          <cell r="H633">
            <v>0</v>
          </cell>
        </row>
        <row r="634">
          <cell r="B634">
            <v>5689</v>
          </cell>
          <cell r="C634" t="str">
            <v>Iannone; Emil P</v>
          </cell>
          <cell r="D634" t="str">
            <v>1C</v>
          </cell>
          <cell r="E634" t="str">
            <v>IBEWOUT</v>
          </cell>
          <cell r="F634" t="str">
            <v>1049</v>
          </cell>
          <cell r="G634" t="str">
            <v>15</v>
          </cell>
          <cell r="H634">
            <v>0</v>
          </cell>
        </row>
        <row r="635">
          <cell r="B635">
            <v>5706</v>
          </cell>
          <cell r="C635" t="str">
            <v>Impastato; Clark D</v>
          </cell>
          <cell r="D635" t="str">
            <v>1</v>
          </cell>
          <cell r="E635" t="str">
            <v/>
          </cell>
          <cell r="F635" t="str">
            <v/>
          </cell>
          <cell r="G635" t="str">
            <v/>
          </cell>
          <cell r="H635">
            <v>1</v>
          </cell>
        </row>
        <row r="636">
          <cell r="B636">
            <v>5710</v>
          </cell>
          <cell r="C636" t="str">
            <v>Irzyk; Austin J</v>
          </cell>
          <cell r="D636" t="str">
            <v>1C</v>
          </cell>
          <cell r="E636" t="str">
            <v>IBEWOUT</v>
          </cell>
          <cell r="F636" t="str">
            <v>1245</v>
          </cell>
          <cell r="G636" t="str">
            <v>8</v>
          </cell>
          <cell r="H636">
            <v>0</v>
          </cell>
        </row>
        <row r="637">
          <cell r="B637">
            <v>5712</v>
          </cell>
          <cell r="C637" t="str">
            <v>Istanbouly; Edmond</v>
          </cell>
          <cell r="D637" t="str">
            <v>1C</v>
          </cell>
          <cell r="E637" t="str">
            <v>IBEWOUT</v>
          </cell>
          <cell r="F637" t="str">
            <v>47</v>
          </cell>
          <cell r="G637" t="str">
            <v>60</v>
          </cell>
          <cell r="H637">
            <v>0</v>
          </cell>
        </row>
        <row r="638">
          <cell r="B638">
            <v>5714</v>
          </cell>
          <cell r="C638" t="str">
            <v>Isley; Brennan M</v>
          </cell>
          <cell r="D638" t="str">
            <v>1C</v>
          </cell>
          <cell r="E638" t="str">
            <v>IBEWOUT</v>
          </cell>
          <cell r="F638" t="str">
            <v>77</v>
          </cell>
          <cell r="G638" t="str">
            <v>8</v>
          </cell>
          <cell r="H638">
            <v>0</v>
          </cell>
        </row>
        <row r="639">
          <cell r="B639">
            <v>5721</v>
          </cell>
          <cell r="C639" t="str">
            <v>Ingram; Ryan M</v>
          </cell>
          <cell r="D639" t="str">
            <v>1C</v>
          </cell>
          <cell r="E639" t="str">
            <v>IBEWOUT</v>
          </cell>
          <cell r="F639" t="str">
            <v>1245</v>
          </cell>
          <cell r="G639" t="str">
            <v>8</v>
          </cell>
          <cell r="H639">
            <v>0</v>
          </cell>
        </row>
        <row r="640">
          <cell r="B640">
            <v>5722</v>
          </cell>
          <cell r="C640" t="str">
            <v>Inskeep; Alexander K</v>
          </cell>
          <cell r="D640" t="str">
            <v>1C</v>
          </cell>
          <cell r="E640" t="str">
            <v>IBEWOUT</v>
          </cell>
          <cell r="F640" t="str">
            <v>1245</v>
          </cell>
          <cell r="G640" t="str">
            <v>17</v>
          </cell>
          <cell r="H640">
            <v>0</v>
          </cell>
        </row>
        <row r="641">
          <cell r="B641">
            <v>5724</v>
          </cell>
          <cell r="C641" t="str">
            <v>Jenkins; Terry R</v>
          </cell>
          <cell r="D641" t="str">
            <v>1C</v>
          </cell>
          <cell r="E641" t="str">
            <v>IBEWOUT</v>
          </cell>
          <cell r="F641" t="str">
            <v>47</v>
          </cell>
          <cell r="G641" t="str">
            <v>16</v>
          </cell>
          <cell r="H641">
            <v>0</v>
          </cell>
        </row>
        <row r="642">
          <cell r="B642">
            <v>5725</v>
          </cell>
          <cell r="C642" t="str">
            <v>Jenkins; Chase B</v>
          </cell>
          <cell r="D642" t="str">
            <v>1C</v>
          </cell>
          <cell r="E642" t="str">
            <v>IBEWOUT</v>
          </cell>
          <cell r="F642" t="str">
            <v>1245</v>
          </cell>
          <cell r="G642" t="str">
            <v>11</v>
          </cell>
          <cell r="H642">
            <v>0</v>
          </cell>
        </row>
        <row r="643">
          <cell r="B643">
            <v>5726</v>
          </cell>
          <cell r="C643" t="str">
            <v>Jenkins; Daytri</v>
          </cell>
          <cell r="D643" t="str">
            <v>1C</v>
          </cell>
          <cell r="E643" t="str">
            <v>IBEWOUT</v>
          </cell>
          <cell r="F643" t="str">
            <v>47</v>
          </cell>
          <cell r="G643" t="str">
            <v>8</v>
          </cell>
          <cell r="H643">
            <v>0</v>
          </cell>
        </row>
        <row r="644">
          <cell r="B644">
            <v>5727</v>
          </cell>
          <cell r="C644" t="str">
            <v>Jansen; Jon A.</v>
          </cell>
          <cell r="D644" t="str">
            <v>1C</v>
          </cell>
          <cell r="E644" t="str">
            <v>IBEWOUT</v>
          </cell>
          <cell r="F644" t="str">
            <v>47</v>
          </cell>
          <cell r="G644" t="str">
            <v>8</v>
          </cell>
          <cell r="H644">
            <v>0</v>
          </cell>
        </row>
        <row r="645">
          <cell r="B645">
            <v>5732</v>
          </cell>
          <cell r="C645" t="str">
            <v>Jante; Kevin D</v>
          </cell>
          <cell r="D645" t="str">
            <v>1C</v>
          </cell>
          <cell r="E645" t="str">
            <v>IBEWOUT</v>
          </cell>
          <cell r="F645" t="str">
            <v>160</v>
          </cell>
          <cell r="G645" t="str">
            <v>8</v>
          </cell>
          <cell r="H645">
            <v>0</v>
          </cell>
        </row>
        <row r="646">
          <cell r="B646">
            <v>5735</v>
          </cell>
          <cell r="C646" t="str">
            <v>James; Joseph Ryan</v>
          </cell>
          <cell r="D646" t="str">
            <v>1C</v>
          </cell>
          <cell r="E646" t="str">
            <v>IBEWOUT</v>
          </cell>
          <cell r="F646" t="str">
            <v>769</v>
          </cell>
          <cell r="G646" t="str">
            <v>16</v>
          </cell>
          <cell r="H646">
            <v>0</v>
          </cell>
        </row>
        <row r="647">
          <cell r="B647">
            <v>5740</v>
          </cell>
          <cell r="C647" t="str">
            <v>Jackson; Cody Wayne</v>
          </cell>
          <cell r="D647" t="str">
            <v>1</v>
          </cell>
          <cell r="E647" t="str">
            <v>IBEWOUT</v>
          </cell>
          <cell r="F647" t="str">
            <v>47</v>
          </cell>
          <cell r="G647" t="str">
            <v>1</v>
          </cell>
          <cell r="H647">
            <v>0</v>
          </cell>
        </row>
        <row r="648">
          <cell r="B648">
            <v>5742</v>
          </cell>
          <cell r="C648" t="str">
            <v>Jackson; Joseph W</v>
          </cell>
          <cell r="D648" t="str">
            <v>1C</v>
          </cell>
          <cell r="E648" t="str">
            <v>IBEWOUT</v>
          </cell>
          <cell r="F648" t="str">
            <v>1245</v>
          </cell>
          <cell r="G648" t="str">
            <v>8</v>
          </cell>
          <cell r="H648">
            <v>0</v>
          </cell>
        </row>
        <row r="649">
          <cell r="B649">
            <v>5743</v>
          </cell>
          <cell r="C649" t="str">
            <v>Jameson; Thomas A.</v>
          </cell>
          <cell r="D649" t="str">
            <v>1</v>
          </cell>
          <cell r="E649" t="str">
            <v>IBEWOUT</v>
          </cell>
          <cell r="F649" t="str">
            <v>611</v>
          </cell>
          <cell r="G649" t="str">
            <v>7</v>
          </cell>
          <cell r="H649">
            <v>0</v>
          </cell>
        </row>
        <row r="650">
          <cell r="B650">
            <v>5747</v>
          </cell>
          <cell r="C650" t="str">
            <v>Jardine; Kaleb</v>
          </cell>
          <cell r="D650" t="str">
            <v>1C</v>
          </cell>
          <cell r="E650" t="str">
            <v>IBEWOUT</v>
          </cell>
          <cell r="F650" t="str">
            <v>1186</v>
          </cell>
          <cell r="G650" t="str">
            <v>17</v>
          </cell>
          <cell r="H650">
            <v>0</v>
          </cell>
        </row>
        <row r="651">
          <cell r="B651">
            <v>5753</v>
          </cell>
          <cell r="C651" t="str">
            <v>James; Jesse S</v>
          </cell>
          <cell r="D651" t="str">
            <v>1</v>
          </cell>
          <cell r="E651" t="str">
            <v>IBEWOUT</v>
          </cell>
          <cell r="F651" t="str">
            <v>47</v>
          </cell>
          <cell r="G651" t="str">
            <v>8</v>
          </cell>
          <cell r="H651">
            <v>0</v>
          </cell>
        </row>
        <row r="652">
          <cell r="B652">
            <v>5754</v>
          </cell>
          <cell r="C652" t="str">
            <v>Jackson; Blake E</v>
          </cell>
          <cell r="D652" t="str">
            <v>1</v>
          </cell>
          <cell r="E652" t="str">
            <v>IBEWOUT</v>
          </cell>
          <cell r="F652" t="str">
            <v>70</v>
          </cell>
          <cell r="G652" t="str">
            <v>8</v>
          </cell>
          <cell r="H652">
            <v>0</v>
          </cell>
        </row>
        <row r="653">
          <cell r="B653">
            <v>5755</v>
          </cell>
          <cell r="C653" t="str">
            <v>Jedrzejewski; Benjamin</v>
          </cell>
          <cell r="D653" t="str">
            <v>1C</v>
          </cell>
          <cell r="E653" t="str">
            <v/>
          </cell>
          <cell r="F653" t="str">
            <v/>
          </cell>
          <cell r="G653" t="str">
            <v/>
          </cell>
          <cell r="H653">
            <v>0</v>
          </cell>
        </row>
        <row r="654">
          <cell r="B654">
            <v>5757</v>
          </cell>
          <cell r="C654" t="str">
            <v>Jamison; Joshua L</v>
          </cell>
          <cell r="D654" t="str">
            <v>1</v>
          </cell>
          <cell r="E654" t="str">
            <v>IBEWOUT</v>
          </cell>
          <cell r="F654" t="str">
            <v>47</v>
          </cell>
          <cell r="G654" t="str">
            <v>8</v>
          </cell>
          <cell r="H654">
            <v>0</v>
          </cell>
        </row>
        <row r="655">
          <cell r="B655">
            <v>5770</v>
          </cell>
          <cell r="C655" t="str">
            <v>Jewell; Michael W.</v>
          </cell>
          <cell r="D655" t="str">
            <v>1C</v>
          </cell>
          <cell r="E655" t="str">
            <v>IBEWOUT</v>
          </cell>
          <cell r="F655" t="str">
            <v>1245</v>
          </cell>
          <cell r="G655" t="str">
            <v>60</v>
          </cell>
          <cell r="H655">
            <v>0</v>
          </cell>
        </row>
        <row r="656">
          <cell r="B656">
            <v>5772</v>
          </cell>
          <cell r="C656" t="str">
            <v>Jennings; Colton Z</v>
          </cell>
          <cell r="D656" t="str">
            <v>1C</v>
          </cell>
          <cell r="E656" t="str">
            <v/>
          </cell>
          <cell r="F656" t="str">
            <v/>
          </cell>
          <cell r="G656" t="str">
            <v/>
          </cell>
          <cell r="H656">
            <v>0</v>
          </cell>
        </row>
        <row r="657">
          <cell r="B657">
            <v>5773</v>
          </cell>
          <cell r="C657" t="str">
            <v>Jernigan; Raymond C</v>
          </cell>
          <cell r="D657" t="str">
            <v>1C</v>
          </cell>
          <cell r="E657" t="str">
            <v/>
          </cell>
          <cell r="F657" t="str">
            <v/>
          </cell>
          <cell r="G657" t="str">
            <v/>
          </cell>
          <cell r="H657">
            <v>0</v>
          </cell>
        </row>
        <row r="658">
          <cell r="B658">
            <v>5775</v>
          </cell>
          <cell r="C658" t="str">
            <v>Jinks;  Joseph D</v>
          </cell>
          <cell r="D658" t="str">
            <v>1</v>
          </cell>
          <cell r="E658" t="str">
            <v>IBEWOUT</v>
          </cell>
          <cell r="F658" t="str">
            <v>769</v>
          </cell>
          <cell r="G658" t="str">
            <v>16</v>
          </cell>
          <cell r="H658">
            <v>0</v>
          </cell>
        </row>
        <row r="659">
          <cell r="B659">
            <v>5776</v>
          </cell>
          <cell r="C659" t="str">
            <v>Jensen; Derek E</v>
          </cell>
          <cell r="D659" t="str">
            <v>1</v>
          </cell>
          <cell r="E659" t="str">
            <v/>
          </cell>
          <cell r="F659" t="str">
            <v/>
          </cell>
          <cell r="G659" t="str">
            <v/>
          </cell>
          <cell r="H659">
            <v>1</v>
          </cell>
        </row>
        <row r="660">
          <cell r="B660">
            <v>5813</v>
          </cell>
          <cell r="C660" t="str">
            <v>Johnson; Jay M</v>
          </cell>
          <cell r="D660" t="str">
            <v>1C</v>
          </cell>
          <cell r="E660" t="str">
            <v>IBEWOUT</v>
          </cell>
          <cell r="F660" t="str">
            <v>77</v>
          </cell>
          <cell r="G660" t="str">
            <v>17</v>
          </cell>
          <cell r="H660">
            <v>0</v>
          </cell>
        </row>
        <row r="661">
          <cell r="B661">
            <v>5814</v>
          </cell>
          <cell r="C661" t="str">
            <v>Johnson; Caleb T</v>
          </cell>
          <cell r="D661" t="str">
            <v>1C</v>
          </cell>
          <cell r="E661" t="str">
            <v>IBEWOUT</v>
          </cell>
          <cell r="F661" t="str">
            <v>47</v>
          </cell>
          <cell r="G661" t="str">
            <v>17</v>
          </cell>
          <cell r="H661">
            <v>0</v>
          </cell>
        </row>
        <row r="662">
          <cell r="B662">
            <v>5815</v>
          </cell>
          <cell r="C662" t="str">
            <v>Johnson; Robert V</v>
          </cell>
          <cell r="D662" t="str">
            <v>1C</v>
          </cell>
          <cell r="E662" t="str">
            <v>IBEWOUT</v>
          </cell>
          <cell r="F662" t="str">
            <v>769</v>
          </cell>
          <cell r="G662" t="str">
            <v>11</v>
          </cell>
          <cell r="H662">
            <v>0</v>
          </cell>
        </row>
        <row r="663">
          <cell r="B663">
            <v>5817</v>
          </cell>
          <cell r="C663" t="str">
            <v>Johnson; Jacob S</v>
          </cell>
          <cell r="D663" t="str">
            <v>1</v>
          </cell>
          <cell r="E663" t="str">
            <v>IBEWOUT</v>
          </cell>
          <cell r="F663" t="str">
            <v>47</v>
          </cell>
          <cell r="G663" t="str">
            <v>8</v>
          </cell>
          <cell r="H663">
            <v>0</v>
          </cell>
        </row>
        <row r="664">
          <cell r="B664">
            <v>5818</v>
          </cell>
          <cell r="C664" t="str">
            <v>Jones; Theodore Nicklas</v>
          </cell>
          <cell r="D664" t="str">
            <v>1C</v>
          </cell>
          <cell r="E664" t="str">
            <v>IBEWOUT</v>
          </cell>
          <cell r="F664" t="str">
            <v>611</v>
          </cell>
          <cell r="G664" t="str">
            <v>8</v>
          </cell>
          <cell r="H664">
            <v>0</v>
          </cell>
        </row>
        <row r="665">
          <cell r="B665">
            <v>5822</v>
          </cell>
          <cell r="C665" t="str">
            <v>Johnson; Brian Edmund</v>
          </cell>
          <cell r="D665" t="str">
            <v>1</v>
          </cell>
          <cell r="E665" t="str">
            <v>IBEWOUT</v>
          </cell>
          <cell r="F665" t="str">
            <v>1245</v>
          </cell>
          <cell r="G665" t="str">
            <v>7</v>
          </cell>
          <cell r="H665">
            <v>0</v>
          </cell>
        </row>
        <row r="666">
          <cell r="B666">
            <v>5823</v>
          </cell>
          <cell r="C666" t="str">
            <v>Johnson; Cameron R</v>
          </cell>
          <cell r="D666" t="str">
            <v>1C</v>
          </cell>
          <cell r="E666" t="str">
            <v>IBEWOUT</v>
          </cell>
          <cell r="F666" t="str">
            <v>602R</v>
          </cell>
          <cell r="G666" t="str">
            <v>8</v>
          </cell>
          <cell r="H666">
            <v>0</v>
          </cell>
        </row>
        <row r="667">
          <cell r="B667">
            <v>5825</v>
          </cell>
          <cell r="C667" t="str">
            <v>Johnson; Dean R</v>
          </cell>
          <cell r="D667" t="str">
            <v>1C</v>
          </cell>
          <cell r="E667" t="str">
            <v>IBEWOUT</v>
          </cell>
          <cell r="F667" t="str">
            <v>47</v>
          </cell>
          <cell r="G667" t="str">
            <v>7</v>
          </cell>
          <cell r="H667">
            <v>0</v>
          </cell>
        </row>
        <row r="668">
          <cell r="B668">
            <v>5826</v>
          </cell>
          <cell r="C668" t="str">
            <v>Johnson; Brett A.</v>
          </cell>
          <cell r="D668" t="str">
            <v>1C</v>
          </cell>
          <cell r="E668" t="str">
            <v>IBEWOUT</v>
          </cell>
          <cell r="F668" t="str">
            <v>125</v>
          </cell>
          <cell r="G668" t="str">
            <v>8</v>
          </cell>
          <cell r="H668">
            <v>0</v>
          </cell>
        </row>
        <row r="669">
          <cell r="B669">
            <v>5827</v>
          </cell>
          <cell r="C669" t="str">
            <v>Johnson; Devon L</v>
          </cell>
          <cell r="D669" t="str">
            <v>1</v>
          </cell>
          <cell r="E669" t="str">
            <v/>
          </cell>
          <cell r="F669" t="str">
            <v/>
          </cell>
          <cell r="G669" t="str">
            <v/>
          </cell>
          <cell r="H669">
            <v>1</v>
          </cell>
        </row>
        <row r="670">
          <cell r="B670">
            <v>5833</v>
          </cell>
          <cell r="C670" t="str">
            <v>Johnson; Jon Wayne</v>
          </cell>
          <cell r="D670" t="str">
            <v>1C</v>
          </cell>
          <cell r="E670" t="str">
            <v>IBEWOUT</v>
          </cell>
          <cell r="F670" t="str">
            <v>47</v>
          </cell>
          <cell r="G670" t="str">
            <v>1</v>
          </cell>
          <cell r="H670">
            <v>1</v>
          </cell>
        </row>
        <row r="671">
          <cell r="B671">
            <v>5834</v>
          </cell>
          <cell r="C671" t="str">
            <v>Johnson; Justin R</v>
          </cell>
          <cell r="D671" t="str">
            <v>1C</v>
          </cell>
          <cell r="E671" t="str">
            <v>IBEWOUT</v>
          </cell>
          <cell r="F671" t="str">
            <v>47</v>
          </cell>
          <cell r="G671" t="str">
            <v>8</v>
          </cell>
          <cell r="H671">
            <v>0</v>
          </cell>
        </row>
        <row r="672">
          <cell r="B672">
            <v>5835</v>
          </cell>
          <cell r="C672" t="str">
            <v>Johnson; Joseph A</v>
          </cell>
          <cell r="D672" t="str">
            <v>1C</v>
          </cell>
          <cell r="E672" t="str">
            <v>IBEWOUT</v>
          </cell>
          <cell r="F672" t="str">
            <v>47</v>
          </cell>
          <cell r="G672" t="str">
            <v>7</v>
          </cell>
          <cell r="H672">
            <v>0</v>
          </cell>
        </row>
        <row r="673">
          <cell r="B673">
            <v>5840</v>
          </cell>
          <cell r="C673" t="str">
            <v>Johnson; Thomas D.</v>
          </cell>
          <cell r="D673" t="str">
            <v>1C</v>
          </cell>
          <cell r="E673" t="str">
            <v>IBEWOUT</v>
          </cell>
          <cell r="F673" t="str">
            <v>47</v>
          </cell>
          <cell r="G673" t="str">
            <v>8</v>
          </cell>
          <cell r="H673">
            <v>0</v>
          </cell>
        </row>
        <row r="674">
          <cell r="B674">
            <v>5843</v>
          </cell>
          <cell r="C674" t="str">
            <v>Jimenez; Dean R</v>
          </cell>
          <cell r="D674" t="str">
            <v>1C</v>
          </cell>
          <cell r="E674" t="str">
            <v>IBEWOUT</v>
          </cell>
          <cell r="F674" t="str">
            <v>769</v>
          </cell>
          <cell r="G674" t="str">
            <v>17</v>
          </cell>
          <cell r="H674">
            <v>0</v>
          </cell>
        </row>
        <row r="675">
          <cell r="B675">
            <v>5844</v>
          </cell>
          <cell r="C675" t="str">
            <v>Johnson; Cliff Daniel</v>
          </cell>
          <cell r="D675" t="str">
            <v>1C</v>
          </cell>
          <cell r="E675" t="str">
            <v>IBEWOUT</v>
          </cell>
          <cell r="F675" t="str">
            <v>77</v>
          </cell>
          <cell r="G675" t="str">
            <v>7</v>
          </cell>
          <cell r="H675">
            <v>0</v>
          </cell>
        </row>
        <row r="676">
          <cell r="B676">
            <v>5846</v>
          </cell>
          <cell r="C676" t="str">
            <v>Jauregui; Jaime</v>
          </cell>
          <cell r="D676" t="str">
            <v>1</v>
          </cell>
          <cell r="E676" t="str">
            <v/>
          </cell>
          <cell r="F676" t="str">
            <v/>
          </cell>
          <cell r="G676" t="str">
            <v/>
          </cell>
          <cell r="H676">
            <v>1</v>
          </cell>
        </row>
        <row r="677">
          <cell r="B677">
            <v>5847</v>
          </cell>
          <cell r="C677" t="str">
            <v>Jones; Hunter D</v>
          </cell>
          <cell r="D677" t="str">
            <v>1</v>
          </cell>
          <cell r="E677" t="str">
            <v>IBEWOUT</v>
          </cell>
          <cell r="F677" t="str">
            <v>47</v>
          </cell>
          <cell r="G677" t="str">
            <v>8</v>
          </cell>
          <cell r="H677">
            <v>0</v>
          </cell>
        </row>
        <row r="678">
          <cell r="B678">
            <v>5850</v>
          </cell>
          <cell r="C678" t="str">
            <v>Jones; Michael M</v>
          </cell>
          <cell r="D678" t="str">
            <v>1C</v>
          </cell>
          <cell r="E678" t="str">
            <v>IBEWOUT</v>
          </cell>
          <cell r="F678" t="str">
            <v>1245</v>
          </cell>
          <cell r="G678" t="str">
            <v>12</v>
          </cell>
          <cell r="H678">
            <v>0</v>
          </cell>
        </row>
        <row r="679">
          <cell r="B679">
            <v>5856</v>
          </cell>
          <cell r="C679" t="str">
            <v>Jones; Jered P</v>
          </cell>
          <cell r="D679" t="str">
            <v>1C</v>
          </cell>
          <cell r="E679" t="str">
            <v/>
          </cell>
          <cell r="F679" t="str">
            <v/>
          </cell>
          <cell r="G679" t="str">
            <v/>
          </cell>
          <cell r="H679">
            <v>1</v>
          </cell>
        </row>
        <row r="680">
          <cell r="B680">
            <v>5862</v>
          </cell>
          <cell r="C680" t="str">
            <v>Johnson; Taylor S.</v>
          </cell>
          <cell r="D680" t="str">
            <v>1C</v>
          </cell>
          <cell r="E680" t="str">
            <v>IBEWOUT</v>
          </cell>
          <cell r="F680" t="str">
            <v>77</v>
          </cell>
          <cell r="G680" t="str">
            <v>17</v>
          </cell>
          <cell r="H680">
            <v>0</v>
          </cell>
        </row>
        <row r="681">
          <cell r="B681">
            <v>5863</v>
          </cell>
          <cell r="C681" t="str">
            <v>Jimenez; Salvador</v>
          </cell>
          <cell r="D681" t="str">
            <v>1C</v>
          </cell>
          <cell r="E681" t="str">
            <v>IBEWOUT</v>
          </cell>
          <cell r="F681" t="str">
            <v>769</v>
          </cell>
          <cell r="G681" t="str">
            <v>13</v>
          </cell>
          <cell r="H681">
            <v>0</v>
          </cell>
        </row>
        <row r="682">
          <cell r="B682">
            <v>5864</v>
          </cell>
          <cell r="C682" t="str">
            <v>Johnson; Nicholas J</v>
          </cell>
          <cell r="D682" t="str">
            <v>1C</v>
          </cell>
          <cell r="E682" t="str">
            <v>IBEWOUT</v>
          </cell>
          <cell r="F682" t="str">
            <v>77</v>
          </cell>
          <cell r="G682" t="str">
            <v>8</v>
          </cell>
          <cell r="H682">
            <v>0</v>
          </cell>
        </row>
        <row r="683">
          <cell r="B683">
            <v>5865</v>
          </cell>
          <cell r="C683" t="str">
            <v>Johnson; Edward J</v>
          </cell>
          <cell r="D683" t="str">
            <v>1C</v>
          </cell>
          <cell r="E683" t="str">
            <v>IBEWOUT</v>
          </cell>
          <cell r="F683" t="str">
            <v>769</v>
          </cell>
          <cell r="G683" t="str">
            <v>16</v>
          </cell>
          <cell r="H683">
            <v>0</v>
          </cell>
        </row>
        <row r="684">
          <cell r="B684">
            <v>5866</v>
          </cell>
          <cell r="C684" t="str">
            <v>Johnson; Earl</v>
          </cell>
          <cell r="D684" t="str">
            <v>1C</v>
          </cell>
          <cell r="E684" t="str">
            <v>IBEWOUT</v>
          </cell>
          <cell r="F684" t="str">
            <v>769</v>
          </cell>
          <cell r="G684" t="str">
            <v>8</v>
          </cell>
          <cell r="H684">
            <v>0</v>
          </cell>
        </row>
        <row r="685">
          <cell r="B685">
            <v>5868</v>
          </cell>
          <cell r="C685" t="str">
            <v>Johnson; Hunter A</v>
          </cell>
          <cell r="D685" t="str">
            <v>1C</v>
          </cell>
          <cell r="E685" t="str">
            <v/>
          </cell>
          <cell r="F685" t="str">
            <v/>
          </cell>
          <cell r="G685" t="str">
            <v/>
          </cell>
          <cell r="H685">
            <v>0</v>
          </cell>
        </row>
        <row r="686">
          <cell r="B686">
            <v>5870</v>
          </cell>
          <cell r="C686" t="str">
            <v>Johnson; Heath E.</v>
          </cell>
          <cell r="D686" t="str">
            <v>1C</v>
          </cell>
          <cell r="E686" t="str">
            <v>IBEWOUT</v>
          </cell>
          <cell r="F686" t="str">
            <v>769</v>
          </cell>
          <cell r="G686" t="str">
            <v>12</v>
          </cell>
          <cell r="H686">
            <v>0</v>
          </cell>
        </row>
        <row r="687">
          <cell r="B687">
            <v>5876</v>
          </cell>
          <cell r="C687" t="str">
            <v>Johnston; Bryan T.</v>
          </cell>
          <cell r="D687" t="str">
            <v>1C</v>
          </cell>
          <cell r="E687" t="str">
            <v>IBEWOUT</v>
          </cell>
          <cell r="F687" t="str">
            <v>602R</v>
          </cell>
          <cell r="G687" t="str">
            <v>8</v>
          </cell>
          <cell r="H687">
            <v>0</v>
          </cell>
        </row>
        <row r="688">
          <cell r="B688">
            <v>5878</v>
          </cell>
          <cell r="C688" t="str">
            <v>Johnson; Tyler</v>
          </cell>
          <cell r="D688" t="str">
            <v>1</v>
          </cell>
          <cell r="E688" t="str">
            <v>IBEWOUT</v>
          </cell>
          <cell r="F688" t="str">
            <v>77</v>
          </cell>
          <cell r="G688" t="str">
            <v>16</v>
          </cell>
          <cell r="H688">
            <v>0</v>
          </cell>
        </row>
        <row r="689">
          <cell r="B689">
            <v>5905</v>
          </cell>
          <cell r="C689" t="str">
            <v>Jones; Kenneth A.</v>
          </cell>
          <cell r="D689" t="str">
            <v>1C</v>
          </cell>
          <cell r="E689" t="str">
            <v/>
          </cell>
          <cell r="F689" t="str">
            <v/>
          </cell>
          <cell r="G689" t="str">
            <v/>
          </cell>
          <cell r="H689">
            <v>1</v>
          </cell>
        </row>
        <row r="690">
          <cell r="B690">
            <v>5910</v>
          </cell>
          <cell r="C690" t="str">
            <v>Jones; James</v>
          </cell>
          <cell r="D690" t="str">
            <v>1C</v>
          </cell>
          <cell r="E690" t="str">
            <v>IBEWOUT</v>
          </cell>
          <cell r="F690" t="str">
            <v>396</v>
          </cell>
          <cell r="G690" t="str">
            <v>21</v>
          </cell>
          <cell r="H690">
            <v>0</v>
          </cell>
        </row>
        <row r="691">
          <cell r="B691">
            <v>5920</v>
          </cell>
          <cell r="C691" t="str">
            <v>Justice; Kaleb K.</v>
          </cell>
          <cell r="D691" t="str">
            <v>1C</v>
          </cell>
          <cell r="E691" t="str">
            <v>IBEWOUT</v>
          </cell>
          <cell r="F691" t="str">
            <v>1245</v>
          </cell>
          <cell r="G691" t="str">
            <v>8</v>
          </cell>
          <cell r="H691">
            <v>0</v>
          </cell>
        </row>
        <row r="692">
          <cell r="B692">
            <v>5921</v>
          </cell>
          <cell r="C692" t="str">
            <v>Johnson; Carpenter L</v>
          </cell>
          <cell r="D692" t="str">
            <v>1C</v>
          </cell>
          <cell r="E692" t="str">
            <v>IBEWOUT</v>
          </cell>
          <cell r="F692" t="str">
            <v>1245</v>
          </cell>
          <cell r="G692" t="str">
            <v>17</v>
          </cell>
          <cell r="H692">
            <v>0</v>
          </cell>
        </row>
        <row r="693">
          <cell r="B693">
            <v>5924</v>
          </cell>
          <cell r="C693" t="str">
            <v>Jonte; Kleet K</v>
          </cell>
          <cell r="D693" t="str">
            <v>1C</v>
          </cell>
          <cell r="E693" t="str">
            <v>IBEWOUT</v>
          </cell>
          <cell r="F693" t="str">
            <v>1245</v>
          </cell>
          <cell r="G693" t="str">
            <v>8</v>
          </cell>
          <cell r="H693">
            <v>0</v>
          </cell>
        </row>
        <row r="694">
          <cell r="B694">
            <v>5925</v>
          </cell>
          <cell r="C694" t="str">
            <v>Joy; Shane S</v>
          </cell>
          <cell r="D694" t="str">
            <v>1C</v>
          </cell>
          <cell r="E694" t="str">
            <v>IBEWOUT</v>
          </cell>
          <cell r="F694" t="str">
            <v>125</v>
          </cell>
          <cell r="G694" t="str">
            <v>17</v>
          </cell>
          <cell r="H694">
            <v>0</v>
          </cell>
        </row>
        <row r="695">
          <cell r="B695">
            <v>5928</v>
          </cell>
          <cell r="C695" t="str">
            <v>Jones; Acil B.</v>
          </cell>
          <cell r="D695" t="str">
            <v>1C</v>
          </cell>
          <cell r="E695" t="str">
            <v>IBEWOUT</v>
          </cell>
          <cell r="F695" t="str">
            <v>769</v>
          </cell>
          <cell r="G695" t="str">
            <v>8</v>
          </cell>
          <cell r="H695">
            <v>0</v>
          </cell>
        </row>
        <row r="696">
          <cell r="B696">
            <v>5929</v>
          </cell>
          <cell r="C696" t="str">
            <v>Judd; Brian R.</v>
          </cell>
          <cell r="D696" t="str">
            <v>1C</v>
          </cell>
          <cell r="E696" t="str">
            <v>IBEWOUT</v>
          </cell>
          <cell r="F696" t="str">
            <v>1245</v>
          </cell>
          <cell r="G696" t="str">
            <v>8</v>
          </cell>
          <cell r="H696">
            <v>0</v>
          </cell>
        </row>
        <row r="697">
          <cell r="B697">
            <v>5930</v>
          </cell>
          <cell r="C697" t="str">
            <v>Joshi; Ajay B</v>
          </cell>
          <cell r="D697" t="str">
            <v>1</v>
          </cell>
          <cell r="E697" t="str">
            <v/>
          </cell>
          <cell r="F697" t="str">
            <v/>
          </cell>
          <cell r="G697" t="str">
            <v/>
          </cell>
          <cell r="H697">
            <v>0</v>
          </cell>
        </row>
        <row r="698">
          <cell r="B698">
            <v>5931</v>
          </cell>
          <cell r="C698" t="str">
            <v>Juarez; Carlos G.</v>
          </cell>
          <cell r="D698" t="str">
            <v>1C</v>
          </cell>
          <cell r="E698" t="str">
            <v>IBEWOUT</v>
          </cell>
          <cell r="F698" t="str">
            <v>1245</v>
          </cell>
          <cell r="G698" t="str">
            <v>17</v>
          </cell>
          <cell r="H698">
            <v>0</v>
          </cell>
        </row>
        <row r="699">
          <cell r="B699">
            <v>5932</v>
          </cell>
          <cell r="C699" t="str">
            <v>Juarez Duran; Angelo De</v>
          </cell>
          <cell r="D699" t="str">
            <v>1</v>
          </cell>
          <cell r="E699" t="str">
            <v/>
          </cell>
          <cell r="F699" t="str">
            <v/>
          </cell>
          <cell r="G699" t="str">
            <v/>
          </cell>
          <cell r="H699">
            <v>0</v>
          </cell>
        </row>
        <row r="700">
          <cell r="B700">
            <v>5934</v>
          </cell>
          <cell r="C700" t="str">
            <v>Juenke; David P</v>
          </cell>
          <cell r="D700" t="str">
            <v>1C</v>
          </cell>
          <cell r="E700" t="str">
            <v>IBEWOUT</v>
          </cell>
          <cell r="F700" t="str">
            <v>1245</v>
          </cell>
          <cell r="G700" t="str">
            <v>8</v>
          </cell>
          <cell r="H700">
            <v>0</v>
          </cell>
        </row>
        <row r="701">
          <cell r="B701">
            <v>5935</v>
          </cell>
          <cell r="C701" t="str">
            <v>Jordan; Nicholas J</v>
          </cell>
          <cell r="D701" t="str">
            <v>1C</v>
          </cell>
          <cell r="E701" t="str">
            <v>IBEWOUT</v>
          </cell>
          <cell r="F701" t="str">
            <v>77</v>
          </cell>
          <cell r="G701" t="str">
            <v>8</v>
          </cell>
          <cell r="H701">
            <v>0</v>
          </cell>
        </row>
        <row r="702">
          <cell r="B702">
            <v>5937</v>
          </cell>
          <cell r="C702" t="str">
            <v>Justice; Luke</v>
          </cell>
          <cell r="D702" t="str">
            <v>1C</v>
          </cell>
          <cell r="E702" t="str">
            <v>IBEWOUT</v>
          </cell>
          <cell r="F702" t="str">
            <v>1245</v>
          </cell>
          <cell r="G702" t="str">
            <v>8</v>
          </cell>
          <cell r="H702">
            <v>0</v>
          </cell>
        </row>
        <row r="703">
          <cell r="B703">
            <v>5938</v>
          </cell>
          <cell r="C703" t="str">
            <v>Justus; Daniel J</v>
          </cell>
          <cell r="D703" t="str">
            <v>1C</v>
          </cell>
          <cell r="E703" t="str">
            <v>IBEWOUT</v>
          </cell>
          <cell r="F703" t="str">
            <v>1245</v>
          </cell>
          <cell r="G703" t="str">
            <v>8</v>
          </cell>
          <cell r="H703">
            <v>0</v>
          </cell>
        </row>
        <row r="704">
          <cell r="B704">
            <v>5942</v>
          </cell>
          <cell r="C704" t="str">
            <v>Johnson; Adam L.</v>
          </cell>
          <cell r="D704" t="str">
            <v>1C</v>
          </cell>
          <cell r="E704" t="str">
            <v>IBEWOUT</v>
          </cell>
          <cell r="F704" t="str">
            <v>1245</v>
          </cell>
          <cell r="G704" t="str">
            <v>8</v>
          </cell>
          <cell r="H704">
            <v>0</v>
          </cell>
        </row>
        <row r="705">
          <cell r="B705">
            <v>5943</v>
          </cell>
          <cell r="C705" t="str">
            <v>Johnston; Bryan A</v>
          </cell>
          <cell r="D705" t="str">
            <v>1C</v>
          </cell>
          <cell r="E705" t="str">
            <v>IBEWOUT</v>
          </cell>
          <cell r="F705" t="str">
            <v>602R</v>
          </cell>
          <cell r="G705" t="str">
            <v>16</v>
          </cell>
          <cell r="H705">
            <v>0</v>
          </cell>
        </row>
        <row r="706">
          <cell r="B706">
            <v>5945</v>
          </cell>
          <cell r="C706" t="str">
            <v>Johnson; Aaron R.</v>
          </cell>
          <cell r="D706" t="str">
            <v>1C</v>
          </cell>
          <cell r="E706" t="str">
            <v>IBEWOUT</v>
          </cell>
          <cell r="F706" t="str">
            <v>611</v>
          </cell>
          <cell r="G706" t="str">
            <v>8</v>
          </cell>
          <cell r="H706">
            <v>0</v>
          </cell>
        </row>
        <row r="707">
          <cell r="B707">
            <v>5948</v>
          </cell>
          <cell r="C707" t="str">
            <v>Kaestner; Cole R</v>
          </cell>
          <cell r="D707" t="str">
            <v>1</v>
          </cell>
          <cell r="E707" t="str">
            <v>IBEWOUT</v>
          </cell>
          <cell r="F707" t="str">
            <v>77</v>
          </cell>
          <cell r="G707" t="str">
            <v>8</v>
          </cell>
          <cell r="H707">
            <v>0</v>
          </cell>
        </row>
        <row r="708">
          <cell r="B708">
            <v>5951</v>
          </cell>
          <cell r="C708" t="str">
            <v>Kent; Adam J.</v>
          </cell>
          <cell r="D708" t="str">
            <v>1C</v>
          </cell>
          <cell r="E708" t="str">
            <v>IBEWOUT</v>
          </cell>
          <cell r="F708" t="str">
            <v>125</v>
          </cell>
          <cell r="G708" t="str">
            <v>8</v>
          </cell>
          <cell r="H708">
            <v>0</v>
          </cell>
        </row>
        <row r="709">
          <cell r="B709">
            <v>5954</v>
          </cell>
          <cell r="C709" t="str">
            <v>Kash; Korey C.</v>
          </cell>
          <cell r="D709" t="str">
            <v>1C</v>
          </cell>
          <cell r="E709" t="str">
            <v>IBEWOUT</v>
          </cell>
          <cell r="F709" t="str">
            <v>769</v>
          </cell>
          <cell r="G709" t="str">
            <v>20</v>
          </cell>
          <cell r="H709">
            <v>0</v>
          </cell>
        </row>
        <row r="710">
          <cell r="B710">
            <v>5955</v>
          </cell>
          <cell r="C710" t="str">
            <v>Katzer; Brandon P</v>
          </cell>
          <cell r="D710" t="str">
            <v>1C</v>
          </cell>
          <cell r="E710" t="str">
            <v>IBEWOUT</v>
          </cell>
          <cell r="F710" t="str">
            <v>77</v>
          </cell>
          <cell r="G710" t="str">
            <v>8</v>
          </cell>
          <cell r="H710">
            <v>0</v>
          </cell>
        </row>
        <row r="711">
          <cell r="B711">
            <v>5957</v>
          </cell>
          <cell r="C711" t="str">
            <v>Kane; Rick A</v>
          </cell>
          <cell r="D711" t="str">
            <v>1C</v>
          </cell>
          <cell r="E711" t="str">
            <v>IBEWOUT</v>
          </cell>
          <cell r="F711" t="str">
            <v>1245</v>
          </cell>
          <cell r="G711" t="str">
            <v>8</v>
          </cell>
          <cell r="H711">
            <v>0</v>
          </cell>
        </row>
        <row r="712">
          <cell r="B712">
            <v>5958</v>
          </cell>
          <cell r="C712" t="str">
            <v>Kamrar; William D</v>
          </cell>
          <cell r="D712" t="str">
            <v>1C</v>
          </cell>
          <cell r="E712" t="str">
            <v>IBEWOUT</v>
          </cell>
          <cell r="F712" t="str">
            <v>769</v>
          </cell>
          <cell r="G712" t="str">
            <v>7</v>
          </cell>
          <cell r="H712">
            <v>0</v>
          </cell>
        </row>
        <row r="713">
          <cell r="B713">
            <v>5959</v>
          </cell>
          <cell r="C713" t="str">
            <v>Kautzman; Eugene Joseph</v>
          </cell>
          <cell r="D713" t="str">
            <v>1C</v>
          </cell>
          <cell r="E713" t="str">
            <v/>
          </cell>
          <cell r="F713" t="str">
            <v/>
          </cell>
          <cell r="G713" t="str">
            <v/>
          </cell>
          <cell r="H713">
            <v>0</v>
          </cell>
        </row>
        <row r="714">
          <cell r="B714">
            <v>5960</v>
          </cell>
          <cell r="C714" t="str">
            <v>Kaufer; Chester</v>
          </cell>
          <cell r="D714" t="str">
            <v>1C</v>
          </cell>
          <cell r="E714" t="str">
            <v>IBEWOUT</v>
          </cell>
          <cell r="F714" t="str">
            <v>1319</v>
          </cell>
          <cell r="G714" t="str">
            <v>7S</v>
          </cell>
          <cell r="H714">
            <v>0</v>
          </cell>
        </row>
        <row r="715">
          <cell r="B715">
            <v>5963</v>
          </cell>
          <cell r="C715" t="str">
            <v>Kendall; Benjamin C</v>
          </cell>
          <cell r="D715" t="str">
            <v>1C</v>
          </cell>
          <cell r="E715" t="str">
            <v>IBEWOUT</v>
          </cell>
          <cell r="F715" t="str">
            <v>769</v>
          </cell>
          <cell r="G715" t="str">
            <v>8</v>
          </cell>
          <cell r="H715">
            <v>0</v>
          </cell>
        </row>
        <row r="716">
          <cell r="B716">
            <v>5965</v>
          </cell>
          <cell r="C716" t="str">
            <v>Keene; Brandon J</v>
          </cell>
          <cell r="D716" t="str">
            <v>1C</v>
          </cell>
          <cell r="E716" t="str">
            <v>IBEWOUT</v>
          </cell>
          <cell r="F716" t="str">
            <v>77</v>
          </cell>
          <cell r="G716" t="str">
            <v>8</v>
          </cell>
          <cell r="H716">
            <v>0</v>
          </cell>
        </row>
        <row r="717">
          <cell r="B717">
            <v>5967</v>
          </cell>
          <cell r="C717" t="str">
            <v>Kegley; Michael J</v>
          </cell>
          <cell r="D717" t="str">
            <v>1C</v>
          </cell>
          <cell r="E717" t="str">
            <v>IBEWOUT</v>
          </cell>
          <cell r="F717" t="str">
            <v>1245</v>
          </cell>
          <cell r="G717" t="str">
            <v>8</v>
          </cell>
          <cell r="H717">
            <v>0</v>
          </cell>
        </row>
        <row r="718">
          <cell r="B718">
            <v>5969</v>
          </cell>
          <cell r="C718" t="str">
            <v>Kelley; Weldon W</v>
          </cell>
          <cell r="D718" t="str">
            <v>1C</v>
          </cell>
          <cell r="E718" t="str">
            <v>IBEWOUT</v>
          </cell>
          <cell r="F718" t="str">
            <v>1245</v>
          </cell>
          <cell r="G718" t="str">
            <v>16</v>
          </cell>
          <cell r="H718">
            <v>0</v>
          </cell>
        </row>
        <row r="719">
          <cell r="B719">
            <v>5972</v>
          </cell>
          <cell r="C719" t="str">
            <v>Kair; Shane M</v>
          </cell>
          <cell r="D719" t="str">
            <v>1C</v>
          </cell>
          <cell r="E719" t="str">
            <v>IBEWOUT</v>
          </cell>
          <cell r="F719" t="str">
            <v>47</v>
          </cell>
          <cell r="G719" t="str">
            <v>8</v>
          </cell>
          <cell r="H719">
            <v>0</v>
          </cell>
        </row>
        <row r="720">
          <cell r="B720">
            <v>5974</v>
          </cell>
          <cell r="C720" t="str">
            <v>Kerber; Christopher R.</v>
          </cell>
          <cell r="D720" t="str">
            <v>1</v>
          </cell>
          <cell r="E720" t="str">
            <v>IBEWOUT</v>
          </cell>
          <cell r="F720" t="str">
            <v>769</v>
          </cell>
          <cell r="G720" t="str">
            <v>1</v>
          </cell>
          <cell r="H720">
            <v>1</v>
          </cell>
        </row>
        <row r="721">
          <cell r="B721">
            <v>5985</v>
          </cell>
          <cell r="C721" t="str">
            <v>Johnston; Jake E</v>
          </cell>
          <cell r="D721" t="str">
            <v>1</v>
          </cell>
          <cell r="E721" t="str">
            <v>IBEWOUT</v>
          </cell>
          <cell r="F721" t="str">
            <v>1245</v>
          </cell>
          <cell r="G721" t="str">
            <v>7</v>
          </cell>
          <cell r="H721">
            <v>0</v>
          </cell>
        </row>
        <row r="722">
          <cell r="B722">
            <v>5996</v>
          </cell>
          <cell r="C722" t="str">
            <v>Keune; Trevor M.</v>
          </cell>
          <cell r="D722" t="str">
            <v>1C</v>
          </cell>
          <cell r="E722" t="str">
            <v>IBEWOUT</v>
          </cell>
          <cell r="F722" t="str">
            <v>47</v>
          </cell>
          <cell r="G722" t="str">
            <v>8</v>
          </cell>
          <cell r="H722">
            <v>0</v>
          </cell>
        </row>
        <row r="723">
          <cell r="B723">
            <v>5998</v>
          </cell>
          <cell r="C723" t="str">
            <v>Kagarise ll; Jack N</v>
          </cell>
          <cell r="D723" t="str">
            <v>1</v>
          </cell>
          <cell r="E723" t="str">
            <v>IBEWOUT</v>
          </cell>
          <cell r="F723" t="str">
            <v>47</v>
          </cell>
          <cell r="G723" t="str">
            <v>7</v>
          </cell>
          <cell r="H723">
            <v>0</v>
          </cell>
        </row>
        <row r="724">
          <cell r="B724">
            <v>6001</v>
          </cell>
          <cell r="C724" t="str">
            <v>Kelly; Justin J</v>
          </cell>
          <cell r="D724" t="str">
            <v>1C</v>
          </cell>
          <cell r="E724" t="str">
            <v>IBEWOUT</v>
          </cell>
          <cell r="F724" t="str">
            <v>1245</v>
          </cell>
          <cell r="G724" t="str">
            <v>8</v>
          </cell>
          <cell r="H724">
            <v>0</v>
          </cell>
        </row>
        <row r="725">
          <cell r="B725">
            <v>6002</v>
          </cell>
          <cell r="C725" t="str">
            <v>Kemper; Zachary T</v>
          </cell>
          <cell r="D725" t="str">
            <v>1C</v>
          </cell>
          <cell r="E725" t="str">
            <v>IBEWOUT</v>
          </cell>
          <cell r="F725" t="str">
            <v>1245</v>
          </cell>
          <cell r="G725" t="str">
            <v>8</v>
          </cell>
          <cell r="H725">
            <v>0</v>
          </cell>
        </row>
        <row r="726">
          <cell r="B726">
            <v>6003</v>
          </cell>
          <cell r="C726" t="str">
            <v>Kelly; Raymond D.</v>
          </cell>
          <cell r="D726" t="str">
            <v>1</v>
          </cell>
          <cell r="E726" t="str">
            <v>IBEWOUT</v>
          </cell>
          <cell r="F726" t="str">
            <v>47</v>
          </cell>
          <cell r="G726" t="str">
            <v>7</v>
          </cell>
          <cell r="H726">
            <v>0</v>
          </cell>
        </row>
        <row r="727">
          <cell r="B727">
            <v>6005</v>
          </cell>
          <cell r="C727" t="str">
            <v>Kelly; Ezra N</v>
          </cell>
          <cell r="D727" t="str">
            <v>1C</v>
          </cell>
          <cell r="E727" t="str">
            <v>IBEWOUT</v>
          </cell>
          <cell r="F727" t="str">
            <v>47</v>
          </cell>
          <cell r="G727" t="str">
            <v>16</v>
          </cell>
          <cell r="H727">
            <v>0</v>
          </cell>
        </row>
        <row r="728">
          <cell r="B728">
            <v>6006</v>
          </cell>
          <cell r="C728" t="str">
            <v>Kelly; Shaun Michael</v>
          </cell>
          <cell r="D728" t="str">
            <v>1</v>
          </cell>
          <cell r="E728" t="str">
            <v>IBEWOUT</v>
          </cell>
          <cell r="F728" t="str">
            <v>47</v>
          </cell>
          <cell r="G728" t="str">
            <v>8</v>
          </cell>
          <cell r="H728">
            <v>0</v>
          </cell>
        </row>
        <row r="729">
          <cell r="B729">
            <v>6090</v>
          </cell>
          <cell r="C729" t="str">
            <v>King; Kyle M.</v>
          </cell>
          <cell r="D729" t="str">
            <v>1C</v>
          </cell>
          <cell r="E729" t="str">
            <v>IBEWOUT</v>
          </cell>
          <cell r="F729" t="str">
            <v>1319</v>
          </cell>
          <cell r="G729" t="str">
            <v>11</v>
          </cell>
          <cell r="H729">
            <v>0</v>
          </cell>
        </row>
        <row r="730">
          <cell r="B730">
            <v>6100</v>
          </cell>
          <cell r="C730" t="str">
            <v>Kintz; Kyle W</v>
          </cell>
          <cell r="D730" t="str">
            <v>1</v>
          </cell>
          <cell r="E730" t="str">
            <v/>
          </cell>
          <cell r="F730" t="str">
            <v/>
          </cell>
          <cell r="G730" t="str">
            <v/>
          </cell>
          <cell r="H730">
            <v>1</v>
          </cell>
        </row>
        <row r="731">
          <cell r="B731">
            <v>6101</v>
          </cell>
          <cell r="C731" t="str">
            <v>Kemp; Michael B.</v>
          </cell>
          <cell r="D731" t="str">
            <v>1C</v>
          </cell>
          <cell r="E731" t="str">
            <v>IBEWOUT</v>
          </cell>
          <cell r="F731" t="str">
            <v>47</v>
          </cell>
          <cell r="G731" t="str">
            <v>8</v>
          </cell>
          <cell r="H731">
            <v>0</v>
          </cell>
        </row>
        <row r="732">
          <cell r="B732">
            <v>6105</v>
          </cell>
          <cell r="C732" t="str">
            <v>Kilby; Kyle G</v>
          </cell>
          <cell r="D732" t="str">
            <v>1</v>
          </cell>
          <cell r="E732" t="str">
            <v/>
          </cell>
          <cell r="F732" t="str">
            <v/>
          </cell>
          <cell r="G732" t="str">
            <v/>
          </cell>
          <cell r="H732">
            <v>1</v>
          </cell>
        </row>
        <row r="733">
          <cell r="B733">
            <v>6108</v>
          </cell>
          <cell r="C733" t="str">
            <v>Kelsch; Nathan B.</v>
          </cell>
          <cell r="D733" t="str">
            <v>1C</v>
          </cell>
          <cell r="E733" t="str">
            <v>IBEWOUT</v>
          </cell>
          <cell r="F733" t="str">
            <v>47</v>
          </cell>
          <cell r="G733" t="str">
            <v>70</v>
          </cell>
          <cell r="H733">
            <v>0</v>
          </cell>
        </row>
        <row r="734">
          <cell r="B734">
            <v>6110</v>
          </cell>
          <cell r="C734" t="str">
            <v>King; Carl D</v>
          </cell>
          <cell r="D734" t="str">
            <v>1C</v>
          </cell>
          <cell r="E734" t="str">
            <v>IBEWOUT</v>
          </cell>
          <cell r="F734" t="str">
            <v>1319</v>
          </cell>
          <cell r="G734" t="str">
            <v>1</v>
          </cell>
          <cell r="H734">
            <v>0</v>
          </cell>
        </row>
        <row r="735">
          <cell r="B735">
            <v>6112</v>
          </cell>
          <cell r="C735" t="str">
            <v>Kirk; Robert E</v>
          </cell>
          <cell r="D735" t="str">
            <v>1C</v>
          </cell>
          <cell r="E735" t="str">
            <v>IBEWOUT</v>
          </cell>
          <cell r="F735" t="str">
            <v>1245</v>
          </cell>
          <cell r="G735" t="str">
            <v>8</v>
          </cell>
          <cell r="H735">
            <v>0</v>
          </cell>
        </row>
        <row r="736">
          <cell r="B736">
            <v>6114</v>
          </cell>
          <cell r="C736" t="str">
            <v>King; Gale L</v>
          </cell>
          <cell r="D736" t="str">
            <v>1C</v>
          </cell>
          <cell r="E736" t="str">
            <v>IBEWOUT</v>
          </cell>
          <cell r="F736" t="str">
            <v>602R</v>
          </cell>
          <cell r="G736" t="str">
            <v>33</v>
          </cell>
          <cell r="H736">
            <v>0</v>
          </cell>
        </row>
        <row r="737">
          <cell r="B737">
            <v>6117</v>
          </cell>
          <cell r="C737" t="str">
            <v>Kimmel; Daryl M.</v>
          </cell>
          <cell r="D737" t="str">
            <v>1C</v>
          </cell>
          <cell r="E737" t="str">
            <v>IBEWOUT</v>
          </cell>
          <cell r="F737" t="str">
            <v>77</v>
          </cell>
          <cell r="G737" t="str">
            <v>8</v>
          </cell>
          <cell r="H737">
            <v>0</v>
          </cell>
        </row>
        <row r="738">
          <cell r="B738">
            <v>6118</v>
          </cell>
          <cell r="C738" t="str">
            <v>Kimberly; Michael D</v>
          </cell>
          <cell r="D738" t="str">
            <v>1C</v>
          </cell>
          <cell r="E738" t="str">
            <v/>
          </cell>
          <cell r="F738" t="str">
            <v/>
          </cell>
          <cell r="G738" t="str">
            <v/>
          </cell>
          <cell r="H738">
            <v>0</v>
          </cell>
        </row>
        <row r="739">
          <cell r="B739">
            <v>6119</v>
          </cell>
          <cell r="C739" t="str">
            <v>Kiourkas; Cody G</v>
          </cell>
          <cell r="D739" t="str">
            <v>1C</v>
          </cell>
          <cell r="E739" t="str">
            <v>IBEWOUT</v>
          </cell>
          <cell r="F739" t="str">
            <v>1245</v>
          </cell>
          <cell r="G739" t="str">
            <v>15</v>
          </cell>
          <cell r="H739">
            <v>0</v>
          </cell>
        </row>
        <row r="740">
          <cell r="B740">
            <v>6121</v>
          </cell>
          <cell r="C740" t="str">
            <v>Kirkpatrick; Gary L</v>
          </cell>
          <cell r="D740" t="str">
            <v>1C</v>
          </cell>
          <cell r="E740" t="str">
            <v>IBEWOUT</v>
          </cell>
          <cell r="F740" t="str">
            <v>47</v>
          </cell>
          <cell r="G740" t="str">
            <v>8</v>
          </cell>
          <cell r="H740">
            <v>0</v>
          </cell>
        </row>
        <row r="741">
          <cell r="B741">
            <v>6122</v>
          </cell>
          <cell r="C741" t="str">
            <v>Kemmsies; Kenneth C</v>
          </cell>
          <cell r="D741" t="str">
            <v>1</v>
          </cell>
          <cell r="E741" t="str">
            <v>IBEWOUT</v>
          </cell>
          <cell r="F741" t="str">
            <v>47</v>
          </cell>
          <cell r="G741" t="str">
            <v>16</v>
          </cell>
          <cell r="H741">
            <v>0</v>
          </cell>
        </row>
        <row r="742">
          <cell r="B742">
            <v>6125</v>
          </cell>
          <cell r="C742" t="str">
            <v>King; Tyler S</v>
          </cell>
          <cell r="D742" t="str">
            <v>1</v>
          </cell>
          <cell r="E742" t="str">
            <v>IBEWOUT</v>
          </cell>
          <cell r="F742" t="str">
            <v>47</v>
          </cell>
          <cell r="G742" t="str">
            <v>7</v>
          </cell>
          <cell r="H742">
            <v>0</v>
          </cell>
        </row>
        <row r="743">
          <cell r="B743">
            <v>6129</v>
          </cell>
          <cell r="C743" t="str">
            <v>King; Mathew Edward</v>
          </cell>
          <cell r="D743" t="str">
            <v>1C</v>
          </cell>
          <cell r="E743" t="str">
            <v>IBEWOUT</v>
          </cell>
          <cell r="F743" t="str">
            <v>1245</v>
          </cell>
          <cell r="G743" t="str">
            <v>11</v>
          </cell>
          <cell r="H743">
            <v>0</v>
          </cell>
        </row>
        <row r="744">
          <cell r="B744">
            <v>6132</v>
          </cell>
          <cell r="C744" t="str">
            <v>Kingdon; Colton R</v>
          </cell>
          <cell r="D744" t="str">
            <v>1C</v>
          </cell>
          <cell r="E744" t="str">
            <v>IBEWOUT</v>
          </cell>
          <cell r="F744" t="str">
            <v>1245</v>
          </cell>
          <cell r="G744" t="str">
            <v>11</v>
          </cell>
          <cell r="H744">
            <v>0</v>
          </cell>
        </row>
        <row r="745">
          <cell r="B745">
            <v>6133</v>
          </cell>
          <cell r="C745" t="str">
            <v>Klein; Roger C</v>
          </cell>
          <cell r="D745" t="str">
            <v>1</v>
          </cell>
          <cell r="E745" t="str">
            <v>IBEWOUT</v>
          </cell>
          <cell r="F745" t="str">
            <v>1245</v>
          </cell>
          <cell r="G745" t="str">
            <v>8</v>
          </cell>
          <cell r="H745">
            <v>0</v>
          </cell>
        </row>
        <row r="746">
          <cell r="B746">
            <v>6151</v>
          </cell>
          <cell r="C746" t="str">
            <v>Knapp; Carl William</v>
          </cell>
          <cell r="D746" t="str">
            <v>1</v>
          </cell>
          <cell r="E746" t="str">
            <v>IBEWOUT</v>
          </cell>
          <cell r="F746" t="str">
            <v>1245</v>
          </cell>
          <cell r="G746" t="str">
            <v>16</v>
          </cell>
          <cell r="H746">
            <v>0</v>
          </cell>
        </row>
        <row r="747">
          <cell r="B747">
            <v>6152</v>
          </cell>
          <cell r="C747" t="str">
            <v>Knifong; Joseph A</v>
          </cell>
          <cell r="D747" t="str">
            <v>1C</v>
          </cell>
          <cell r="E747" t="str">
            <v>IBEWOUT</v>
          </cell>
          <cell r="F747" t="str">
            <v>77</v>
          </cell>
          <cell r="G747" t="str">
            <v>8</v>
          </cell>
          <cell r="H747">
            <v>0</v>
          </cell>
        </row>
        <row r="748">
          <cell r="B748">
            <v>6155</v>
          </cell>
          <cell r="C748" t="str">
            <v>Knoll; Thomas E</v>
          </cell>
          <cell r="D748" t="str">
            <v>1C</v>
          </cell>
          <cell r="E748" t="str">
            <v>IBEWOUT</v>
          </cell>
          <cell r="F748" t="str">
            <v>77</v>
          </cell>
          <cell r="G748" t="str">
            <v>8</v>
          </cell>
          <cell r="H748">
            <v>0</v>
          </cell>
        </row>
        <row r="749">
          <cell r="B749">
            <v>6159</v>
          </cell>
          <cell r="C749" t="str">
            <v>Kohtz; Kyle G</v>
          </cell>
          <cell r="D749" t="str">
            <v>1C</v>
          </cell>
          <cell r="E749" t="str">
            <v>IBEWOUT</v>
          </cell>
          <cell r="F749" t="str">
            <v>47</v>
          </cell>
          <cell r="G749" t="str">
            <v>8</v>
          </cell>
          <cell r="H749">
            <v>0</v>
          </cell>
        </row>
        <row r="750">
          <cell r="B750">
            <v>6165</v>
          </cell>
          <cell r="C750" t="str">
            <v>Kolvek; Michael A</v>
          </cell>
          <cell r="D750" t="str">
            <v>1C</v>
          </cell>
          <cell r="E750" t="str">
            <v>IBEWOUT</v>
          </cell>
          <cell r="F750" t="str">
            <v>126</v>
          </cell>
          <cell r="G750" t="str">
            <v>8</v>
          </cell>
          <cell r="H750">
            <v>0</v>
          </cell>
        </row>
        <row r="751">
          <cell r="B751">
            <v>6170</v>
          </cell>
          <cell r="C751" t="str">
            <v>Koehn; Jacob A</v>
          </cell>
          <cell r="D751" t="str">
            <v>1C</v>
          </cell>
          <cell r="E751" t="str">
            <v>IBEWOUT</v>
          </cell>
          <cell r="F751" t="str">
            <v>47</v>
          </cell>
          <cell r="G751" t="str">
            <v>8</v>
          </cell>
          <cell r="H751">
            <v>0</v>
          </cell>
        </row>
        <row r="752">
          <cell r="B752">
            <v>6186</v>
          </cell>
          <cell r="C752" t="str">
            <v>Kuch; Daniel Christopher</v>
          </cell>
          <cell r="D752" t="str">
            <v>1</v>
          </cell>
          <cell r="E752" t="str">
            <v>IBEWOUT</v>
          </cell>
          <cell r="F752" t="str">
            <v>47</v>
          </cell>
          <cell r="G752" t="str">
            <v>8</v>
          </cell>
          <cell r="H752">
            <v>0</v>
          </cell>
        </row>
        <row r="753">
          <cell r="B753">
            <v>6192</v>
          </cell>
          <cell r="C753" t="str">
            <v>Kramer; David W</v>
          </cell>
          <cell r="D753" t="str">
            <v>1C</v>
          </cell>
          <cell r="E753" t="str">
            <v>IBEWOUT</v>
          </cell>
          <cell r="F753" t="str">
            <v>1245</v>
          </cell>
          <cell r="G753" t="str">
            <v>8</v>
          </cell>
          <cell r="H753">
            <v>0</v>
          </cell>
        </row>
        <row r="754">
          <cell r="B754">
            <v>6194</v>
          </cell>
          <cell r="C754" t="str">
            <v>Kruger; Matthew J</v>
          </cell>
          <cell r="D754" t="str">
            <v>1C</v>
          </cell>
          <cell r="E754" t="str">
            <v>IBEWOUT</v>
          </cell>
          <cell r="F754" t="str">
            <v>160</v>
          </cell>
          <cell r="G754" t="str">
            <v>8</v>
          </cell>
          <cell r="H754">
            <v>0</v>
          </cell>
        </row>
        <row r="755">
          <cell r="B755">
            <v>6196</v>
          </cell>
          <cell r="C755" t="str">
            <v>Kokel; Joel R</v>
          </cell>
          <cell r="D755" t="str">
            <v>1C</v>
          </cell>
          <cell r="E755" t="str">
            <v/>
          </cell>
          <cell r="F755" t="str">
            <v/>
          </cell>
          <cell r="G755" t="str">
            <v/>
          </cell>
          <cell r="H755">
            <v>0</v>
          </cell>
        </row>
        <row r="756">
          <cell r="B756">
            <v>6200</v>
          </cell>
          <cell r="C756" t="str">
            <v>Kumi; Richard A</v>
          </cell>
          <cell r="D756" t="str">
            <v>1C</v>
          </cell>
          <cell r="E756" t="str">
            <v>IBEWOUT</v>
          </cell>
          <cell r="F756" t="str">
            <v>1245</v>
          </cell>
          <cell r="G756" t="str">
            <v>8</v>
          </cell>
          <cell r="H756">
            <v>0</v>
          </cell>
        </row>
        <row r="757">
          <cell r="B757">
            <v>6202</v>
          </cell>
          <cell r="C757" t="str">
            <v>Kokrine; Sage D</v>
          </cell>
          <cell r="D757" t="str">
            <v>1C</v>
          </cell>
          <cell r="E757" t="str">
            <v>IBEWOUT</v>
          </cell>
          <cell r="F757" t="str">
            <v>125</v>
          </cell>
          <cell r="G757" t="str">
            <v>8</v>
          </cell>
          <cell r="H757">
            <v>0</v>
          </cell>
        </row>
        <row r="758">
          <cell r="B758">
            <v>6203</v>
          </cell>
          <cell r="C758" t="str">
            <v>Konchar; Nicholas A.</v>
          </cell>
          <cell r="D758" t="str">
            <v>1C</v>
          </cell>
          <cell r="E758" t="str">
            <v>IBEWOUT</v>
          </cell>
          <cell r="F758" t="str">
            <v>1245</v>
          </cell>
          <cell r="G758" t="str">
            <v>8</v>
          </cell>
          <cell r="H758">
            <v>0</v>
          </cell>
        </row>
        <row r="759">
          <cell r="B759">
            <v>6205</v>
          </cell>
          <cell r="C759" t="str">
            <v>Korpi; Matthew A.</v>
          </cell>
          <cell r="D759" t="str">
            <v>1C</v>
          </cell>
          <cell r="E759" t="str">
            <v>IBEWOUT</v>
          </cell>
          <cell r="F759" t="str">
            <v>1245</v>
          </cell>
          <cell r="G759" t="str">
            <v>8</v>
          </cell>
          <cell r="H759">
            <v>0</v>
          </cell>
        </row>
        <row r="760">
          <cell r="B760">
            <v>6206</v>
          </cell>
          <cell r="C760" t="str">
            <v>Konopaski; Kevin</v>
          </cell>
          <cell r="D760" t="str">
            <v>1C</v>
          </cell>
          <cell r="E760" t="str">
            <v>IBEWOUT</v>
          </cell>
          <cell r="F760" t="str">
            <v>77</v>
          </cell>
          <cell r="G760" t="str">
            <v>9</v>
          </cell>
          <cell r="H760">
            <v>0</v>
          </cell>
        </row>
        <row r="761">
          <cell r="B761">
            <v>6207</v>
          </cell>
          <cell r="C761" t="str">
            <v>Kraft; Jerry L.</v>
          </cell>
          <cell r="D761" t="str">
            <v>1C</v>
          </cell>
          <cell r="E761" t="str">
            <v/>
          </cell>
          <cell r="F761" t="str">
            <v/>
          </cell>
          <cell r="G761" t="str">
            <v/>
          </cell>
          <cell r="H761">
            <v>0</v>
          </cell>
        </row>
        <row r="762">
          <cell r="B762">
            <v>6209</v>
          </cell>
          <cell r="C762" t="str">
            <v>Krassa; Keith W.</v>
          </cell>
          <cell r="D762" t="str">
            <v>1</v>
          </cell>
          <cell r="E762" t="str">
            <v>IBEWOUT</v>
          </cell>
          <cell r="F762" t="str">
            <v>769</v>
          </cell>
          <cell r="G762" t="str">
            <v>16</v>
          </cell>
          <cell r="H762">
            <v>0</v>
          </cell>
        </row>
        <row r="763">
          <cell r="B763">
            <v>6210</v>
          </cell>
          <cell r="C763" t="str">
            <v>Kranzusch; Ray F</v>
          </cell>
          <cell r="D763" t="str">
            <v>1</v>
          </cell>
          <cell r="E763" t="str">
            <v>IBEWOUT</v>
          </cell>
          <cell r="F763" t="str">
            <v>1245</v>
          </cell>
          <cell r="G763" t="str">
            <v>8</v>
          </cell>
          <cell r="H763">
            <v>0</v>
          </cell>
        </row>
        <row r="764">
          <cell r="B764">
            <v>6211</v>
          </cell>
          <cell r="C764" t="str">
            <v>Konkright; Kyle E</v>
          </cell>
          <cell r="D764" t="str">
            <v>1C</v>
          </cell>
          <cell r="E764" t="str">
            <v>IBEWOUT</v>
          </cell>
          <cell r="F764" t="str">
            <v>77</v>
          </cell>
          <cell r="G764" t="str">
            <v>8</v>
          </cell>
          <cell r="H764">
            <v>0</v>
          </cell>
        </row>
        <row r="765">
          <cell r="B765">
            <v>6213</v>
          </cell>
          <cell r="C765" t="str">
            <v>Klinger; Timothy J.</v>
          </cell>
          <cell r="D765" t="str">
            <v>1C</v>
          </cell>
          <cell r="E765" t="str">
            <v>IBEWOUT</v>
          </cell>
          <cell r="F765" t="str">
            <v>396</v>
          </cell>
          <cell r="G765" t="str">
            <v>18</v>
          </cell>
          <cell r="H765">
            <v>0</v>
          </cell>
        </row>
        <row r="766">
          <cell r="B766">
            <v>6214</v>
          </cell>
          <cell r="C766" t="str">
            <v>Kingsbury; Andrew J.</v>
          </cell>
          <cell r="D766" t="str">
            <v>1C</v>
          </cell>
          <cell r="E766" t="str">
            <v>IBEWOUT</v>
          </cell>
          <cell r="F766" t="str">
            <v>1319</v>
          </cell>
          <cell r="G766" t="str">
            <v>8</v>
          </cell>
          <cell r="H766">
            <v>0</v>
          </cell>
        </row>
        <row r="767">
          <cell r="B767">
            <v>6215</v>
          </cell>
          <cell r="C767" t="str">
            <v>Kwake; Stanley J.</v>
          </cell>
          <cell r="D767" t="str">
            <v>1C</v>
          </cell>
          <cell r="E767" t="str">
            <v/>
          </cell>
          <cell r="F767" t="str">
            <v/>
          </cell>
          <cell r="G767" t="str">
            <v/>
          </cell>
          <cell r="H767">
            <v>0</v>
          </cell>
        </row>
        <row r="768">
          <cell r="B768">
            <v>6217</v>
          </cell>
          <cell r="C768" t="str">
            <v>Kravchenko; Illya</v>
          </cell>
          <cell r="D768" t="str">
            <v>1C</v>
          </cell>
          <cell r="E768" t="str">
            <v>IBEWOUT</v>
          </cell>
          <cell r="F768" t="str">
            <v>77</v>
          </cell>
          <cell r="G768" t="str">
            <v>13</v>
          </cell>
          <cell r="H768">
            <v>0</v>
          </cell>
        </row>
        <row r="769">
          <cell r="B769">
            <v>6218</v>
          </cell>
          <cell r="C769" t="str">
            <v>Koretz; Samuel J</v>
          </cell>
          <cell r="D769" t="str">
            <v>1C</v>
          </cell>
          <cell r="E769" t="str">
            <v>IBEWOUT</v>
          </cell>
          <cell r="F769" t="str">
            <v>396</v>
          </cell>
          <cell r="G769" t="str">
            <v>33</v>
          </cell>
          <cell r="H769">
            <v>0</v>
          </cell>
        </row>
        <row r="770">
          <cell r="B770">
            <v>6219</v>
          </cell>
          <cell r="C770" t="str">
            <v>Kwiatkowski; Patrick J</v>
          </cell>
          <cell r="D770" t="str">
            <v>1C</v>
          </cell>
          <cell r="E770" t="str">
            <v>IBEWOUT</v>
          </cell>
          <cell r="F770" t="str">
            <v>1319</v>
          </cell>
          <cell r="G770" t="str">
            <v>20</v>
          </cell>
          <cell r="H770">
            <v>0</v>
          </cell>
        </row>
        <row r="771">
          <cell r="B771">
            <v>6220</v>
          </cell>
          <cell r="C771" t="str">
            <v>Koutnik; Ryan L.</v>
          </cell>
          <cell r="D771" t="str">
            <v>1C</v>
          </cell>
          <cell r="E771" t="str">
            <v>IBEWOUT</v>
          </cell>
          <cell r="F771" t="str">
            <v>125</v>
          </cell>
          <cell r="G771" t="str">
            <v>8</v>
          </cell>
          <cell r="H771">
            <v>0</v>
          </cell>
        </row>
        <row r="772">
          <cell r="B772">
            <v>6221</v>
          </cell>
          <cell r="C772" t="str">
            <v>Kwaad; Kyle R</v>
          </cell>
          <cell r="D772" t="str">
            <v>1C</v>
          </cell>
          <cell r="E772" t="str">
            <v>IBEWOUT</v>
          </cell>
          <cell r="F772" t="str">
            <v>769</v>
          </cell>
          <cell r="G772" t="str">
            <v>13</v>
          </cell>
          <cell r="H772">
            <v>0</v>
          </cell>
        </row>
        <row r="773">
          <cell r="B773">
            <v>6222</v>
          </cell>
          <cell r="C773" t="str">
            <v>Kimball; Frank H.</v>
          </cell>
          <cell r="D773" t="str">
            <v>1C</v>
          </cell>
          <cell r="E773" t="str">
            <v>IBEWOUT</v>
          </cell>
          <cell r="F773" t="str">
            <v>396</v>
          </cell>
          <cell r="G773" t="str">
            <v>21</v>
          </cell>
          <cell r="H773">
            <v>0</v>
          </cell>
        </row>
        <row r="774">
          <cell r="B774">
            <v>6224</v>
          </cell>
          <cell r="C774" t="str">
            <v>Kress; Paul M</v>
          </cell>
          <cell r="D774" t="str">
            <v>1C</v>
          </cell>
          <cell r="E774" t="str">
            <v>IBEWOUT</v>
          </cell>
          <cell r="F774" t="str">
            <v>611</v>
          </cell>
          <cell r="G774" t="str">
            <v>20</v>
          </cell>
          <cell r="H774">
            <v>0</v>
          </cell>
        </row>
        <row r="775">
          <cell r="B775">
            <v>6225</v>
          </cell>
          <cell r="C775" t="str">
            <v>Kuniski; Roger L</v>
          </cell>
          <cell r="D775" t="str">
            <v>1C</v>
          </cell>
          <cell r="E775" t="str">
            <v>IBEWOUT</v>
          </cell>
          <cell r="F775" t="str">
            <v>1245</v>
          </cell>
          <cell r="G775" t="str">
            <v>8</v>
          </cell>
          <cell r="H775">
            <v>0</v>
          </cell>
        </row>
        <row r="776">
          <cell r="B776">
            <v>6227</v>
          </cell>
          <cell r="C776" t="str">
            <v>Kovacs; Zolton I</v>
          </cell>
          <cell r="D776" t="str">
            <v>1C</v>
          </cell>
          <cell r="E776" t="str">
            <v>IBEWOUT</v>
          </cell>
          <cell r="F776" t="str">
            <v>47</v>
          </cell>
          <cell r="G776" t="str">
            <v>17</v>
          </cell>
          <cell r="H776">
            <v>0</v>
          </cell>
        </row>
        <row r="777">
          <cell r="B777">
            <v>6230</v>
          </cell>
          <cell r="C777" t="str">
            <v>Kingsbury; Craig W</v>
          </cell>
          <cell r="D777" t="str">
            <v>1</v>
          </cell>
          <cell r="E777" t="str">
            <v>IBEWOUT</v>
          </cell>
          <cell r="F777" t="str">
            <v>77</v>
          </cell>
          <cell r="G777" t="str">
            <v>11</v>
          </cell>
          <cell r="H777">
            <v>0</v>
          </cell>
        </row>
        <row r="778">
          <cell r="B778">
            <v>6232</v>
          </cell>
          <cell r="C778" t="str">
            <v>Koleszar; Dakota R</v>
          </cell>
          <cell r="D778" t="str">
            <v>1</v>
          </cell>
          <cell r="E778" t="str">
            <v>IBEWOUT</v>
          </cell>
          <cell r="F778" t="str">
            <v>70</v>
          </cell>
          <cell r="G778" t="str">
            <v>17</v>
          </cell>
          <cell r="H778">
            <v>0</v>
          </cell>
        </row>
        <row r="779">
          <cell r="B779">
            <v>6235</v>
          </cell>
          <cell r="C779" t="str">
            <v>Lachcik; Shaun M</v>
          </cell>
          <cell r="D779" t="str">
            <v>1C</v>
          </cell>
          <cell r="E779" t="str">
            <v>IBEWOUT</v>
          </cell>
          <cell r="F779" t="str">
            <v>769</v>
          </cell>
          <cell r="G779" t="str">
            <v>8</v>
          </cell>
          <cell r="H779">
            <v>0</v>
          </cell>
        </row>
        <row r="780">
          <cell r="B780">
            <v>6236</v>
          </cell>
          <cell r="C780" t="str">
            <v>Lay Jr; Richard D</v>
          </cell>
          <cell r="D780" t="str">
            <v>1C</v>
          </cell>
          <cell r="E780" t="str">
            <v>IBEWIN</v>
          </cell>
          <cell r="F780" t="str">
            <v>280</v>
          </cell>
          <cell r="G780" t="str">
            <v>61</v>
          </cell>
          <cell r="H780">
            <v>0</v>
          </cell>
        </row>
        <row r="781">
          <cell r="B781">
            <v>6238</v>
          </cell>
          <cell r="C781" t="str">
            <v>La Fuente; Timothy</v>
          </cell>
          <cell r="D781" t="str">
            <v>1C</v>
          </cell>
          <cell r="E781" t="str">
            <v>IBEWOUT</v>
          </cell>
          <cell r="F781" t="str">
            <v>1245</v>
          </cell>
          <cell r="G781" t="str">
            <v>8</v>
          </cell>
          <cell r="H781">
            <v>0</v>
          </cell>
        </row>
        <row r="782">
          <cell r="B782">
            <v>6239</v>
          </cell>
          <cell r="C782" t="str">
            <v>Lacy; Russell J.</v>
          </cell>
          <cell r="D782" t="str">
            <v>1</v>
          </cell>
          <cell r="E782" t="str">
            <v>IBEWOUT</v>
          </cell>
          <cell r="F782" t="str">
            <v>611</v>
          </cell>
          <cell r="G782" t="str">
            <v>1</v>
          </cell>
          <cell r="H782">
            <v>0</v>
          </cell>
        </row>
        <row r="783">
          <cell r="B783">
            <v>6240</v>
          </cell>
          <cell r="C783" t="str">
            <v>Lazaron; Kyle M</v>
          </cell>
          <cell r="D783" t="str">
            <v>1C</v>
          </cell>
          <cell r="E783" t="str">
            <v>IBEWOUT</v>
          </cell>
          <cell r="F783" t="str">
            <v>104</v>
          </cell>
          <cell r="G783" t="str">
            <v>8</v>
          </cell>
          <cell r="H783">
            <v>0</v>
          </cell>
        </row>
        <row r="784">
          <cell r="B784">
            <v>6241</v>
          </cell>
          <cell r="C784" t="str">
            <v>Ladd; Gordon R.</v>
          </cell>
          <cell r="D784" t="str">
            <v>1</v>
          </cell>
          <cell r="E784" t="str">
            <v/>
          </cell>
          <cell r="F784" t="str">
            <v/>
          </cell>
          <cell r="G784" t="str">
            <v/>
          </cell>
          <cell r="H784">
            <v>0</v>
          </cell>
        </row>
        <row r="785">
          <cell r="B785">
            <v>6257</v>
          </cell>
          <cell r="C785" t="str">
            <v>Landers; Jacie A</v>
          </cell>
          <cell r="D785" t="str">
            <v>1C</v>
          </cell>
          <cell r="E785" t="str">
            <v/>
          </cell>
          <cell r="F785" t="str">
            <v/>
          </cell>
          <cell r="G785" t="str">
            <v/>
          </cell>
          <cell r="H785">
            <v>0</v>
          </cell>
        </row>
        <row r="786">
          <cell r="B786">
            <v>6270</v>
          </cell>
          <cell r="C786" t="str">
            <v>Landon; Lance A</v>
          </cell>
          <cell r="D786" t="str">
            <v>1C</v>
          </cell>
          <cell r="E786" t="str">
            <v>IBEWOUT</v>
          </cell>
          <cell r="F786" t="str">
            <v>1245</v>
          </cell>
          <cell r="G786" t="str">
            <v>8</v>
          </cell>
          <cell r="H786">
            <v>0</v>
          </cell>
        </row>
        <row r="787">
          <cell r="B787">
            <v>6273</v>
          </cell>
          <cell r="C787" t="str">
            <v>Langston Jr.; James Keith</v>
          </cell>
          <cell r="D787" t="str">
            <v>1</v>
          </cell>
          <cell r="E787" t="str">
            <v>IBEWOUT</v>
          </cell>
          <cell r="F787" t="str">
            <v>769</v>
          </cell>
          <cell r="G787" t="str">
            <v>21</v>
          </cell>
          <cell r="H787">
            <v>0</v>
          </cell>
        </row>
        <row r="788">
          <cell r="B788">
            <v>6274</v>
          </cell>
          <cell r="C788" t="str">
            <v>Lange; Anthony R.</v>
          </cell>
          <cell r="D788" t="str">
            <v>1C</v>
          </cell>
          <cell r="E788" t="str">
            <v>IBEWOUT</v>
          </cell>
          <cell r="F788" t="str">
            <v>160</v>
          </cell>
          <cell r="G788" t="str">
            <v>8</v>
          </cell>
          <cell r="H788">
            <v>0</v>
          </cell>
        </row>
        <row r="789">
          <cell r="B789">
            <v>6280</v>
          </cell>
          <cell r="C789" t="str">
            <v>Lappe; Cory J</v>
          </cell>
          <cell r="D789" t="str">
            <v>1</v>
          </cell>
          <cell r="E789" t="str">
            <v>IBEWOUT</v>
          </cell>
          <cell r="F789" t="str">
            <v>47</v>
          </cell>
          <cell r="G789" t="str">
            <v>16</v>
          </cell>
          <cell r="H789">
            <v>0</v>
          </cell>
        </row>
        <row r="790">
          <cell r="B790">
            <v>6281</v>
          </cell>
          <cell r="C790" t="str">
            <v>Lamb; Robert C</v>
          </cell>
          <cell r="D790" t="str">
            <v>1C</v>
          </cell>
          <cell r="E790" t="str">
            <v>IBEWOUT</v>
          </cell>
          <cell r="F790" t="str">
            <v>1245</v>
          </cell>
          <cell r="G790" t="str">
            <v>8</v>
          </cell>
          <cell r="H790">
            <v>0</v>
          </cell>
        </row>
        <row r="791">
          <cell r="B791">
            <v>6284</v>
          </cell>
          <cell r="C791" t="str">
            <v>Lantau; Kenneth A.</v>
          </cell>
          <cell r="D791" t="str">
            <v>1C</v>
          </cell>
          <cell r="E791" t="str">
            <v>IBEWOUT</v>
          </cell>
          <cell r="F791" t="str">
            <v>77</v>
          </cell>
          <cell r="G791" t="str">
            <v>7</v>
          </cell>
          <cell r="H791">
            <v>0</v>
          </cell>
        </row>
        <row r="792">
          <cell r="B792">
            <v>6288</v>
          </cell>
          <cell r="C792" t="str">
            <v>LaMountain; Bernard W</v>
          </cell>
          <cell r="D792" t="str">
            <v>1</v>
          </cell>
          <cell r="E792" t="str">
            <v>IBEWOUT</v>
          </cell>
          <cell r="F792" t="str">
            <v>1245</v>
          </cell>
          <cell r="G792" t="str">
            <v>8</v>
          </cell>
          <cell r="H792">
            <v>0</v>
          </cell>
        </row>
        <row r="793">
          <cell r="B793">
            <v>6293</v>
          </cell>
          <cell r="C793" t="str">
            <v>Larios; Frank</v>
          </cell>
          <cell r="D793" t="str">
            <v>1</v>
          </cell>
          <cell r="E793" t="str">
            <v>IBEWOUT</v>
          </cell>
          <cell r="F793" t="str">
            <v>47</v>
          </cell>
          <cell r="G793" t="str">
            <v>17</v>
          </cell>
          <cell r="H793">
            <v>0</v>
          </cell>
        </row>
        <row r="794">
          <cell r="B794">
            <v>6294</v>
          </cell>
          <cell r="C794" t="str">
            <v>LaRock; Aaron M</v>
          </cell>
          <cell r="D794" t="str">
            <v>1C</v>
          </cell>
          <cell r="E794" t="str">
            <v>IBEWOUT</v>
          </cell>
          <cell r="F794" t="str">
            <v>1319</v>
          </cell>
          <cell r="G794" t="str">
            <v>8</v>
          </cell>
          <cell r="H794">
            <v>0</v>
          </cell>
        </row>
        <row r="795">
          <cell r="B795">
            <v>6295</v>
          </cell>
          <cell r="C795" t="str">
            <v>Larkin; William B.</v>
          </cell>
          <cell r="D795" t="str">
            <v>1</v>
          </cell>
          <cell r="E795" t="str">
            <v>IBEWOUT</v>
          </cell>
          <cell r="F795" t="str">
            <v>77</v>
          </cell>
          <cell r="G795" t="str">
            <v>7</v>
          </cell>
          <cell r="H795">
            <v>0</v>
          </cell>
        </row>
        <row r="796">
          <cell r="B796">
            <v>6296</v>
          </cell>
          <cell r="C796" t="str">
            <v>Larson; Blaze A</v>
          </cell>
          <cell r="D796" t="str">
            <v>1C</v>
          </cell>
          <cell r="E796" t="str">
            <v>IBEWOUT</v>
          </cell>
          <cell r="F796" t="str">
            <v>125</v>
          </cell>
          <cell r="G796" t="str">
            <v>12</v>
          </cell>
          <cell r="H796">
            <v>0</v>
          </cell>
        </row>
        <row r="797">
          <cell r="B797">
            <v>6297</v>
          </cell>
          <cell r="C797" t="str">
            <v>Larsen; Devin Brett</v>
          </cell>
          <cell r="D797" t="str">
            <v>1</v>
          </cell>
          <cell r="E797" t="str">
            <v>IBEWOUT</v>
          </cell>
          <cell r="F797" t="str">
            <v>1245</v>
          </cell>
          <cell r="G797" t="str">
            <v>7</v>
          </cell>
          <cell r="H797">
            <v>0</v>
          </cell>
        </row>
        <row r="798">
          <cell r="B798">
            <v>6298</v>
          </cell>
          <cell r="C798" t="str">
            <v>Larsen; Jason P.</v>
          </cell>
          <cell r="D798" t="str">
            <v>1C</v>
          </cell>
          <cell r="E798" t="str">
            <v>IBEWOUT</v>
          </cell>
          <cell r="F798" t="str">
            <v>77</v>
          </cell>
          <cell r="G798" t="str">
            <v>8</v>
          </cell>
          <cell r="H798">
            <v>0</v>
          </cell>
        </row>
        <row r="799">
          <cell r="B799">
            <v>6300</v>
          </cell>
          <cell r="C799" t="str">
            <v>McCaul-Larson; Tyler L</v>
          </cell>
          <cell r="D799" t="str">
            <v>1C</v>
          </cell>
          <cell r="E799" t="str">
            <v>IBEWOUT</v>
          </cell>
          <cell r="F799" t="str">
            <v>1245</v>
          </cell>
          <cell r="G799" t="str">
            <v>8</v>
          </cell>
          <cell r="H799">
            <v>0</v>
          </cell>
        </row>
        <row r="800">
          <cell r="B800">
            <v>6314</v>
          </cell>
          <cell r="C800" t="str">
            <v>Laskowsky; Mark A</v>
          </cell>
          <cell r="D800" t="str">
            <v>1C</v>
          </cell>
          <cell r="E800" t="str">
            <v>IBEWOUT</v>
          </cell>
          <cell r="F800" t="str">
            <v>126</v>
          </cell>
          <cell r="G800" t="str">
            <v>8</v>
          </cell>
          <cell r="H800">
            <v>0</v>
          </cell>
        </row>
        <row r="801">
          <cell r="B801">
            <v>6317</v>
          </cell>
          <cell r="C801" t="str">
            <v>Lauer; Mason S</v>
          </cell>
          <cell r="D801" t="str">
            <v>1</v>
          </cell>
          <cell r="E801" t="str">
            <v/>
          </cell>
          <cell r="F801" t="str">
            <v/>
          </cell>
          <cell r="G801" t="str">
            <v/>
          </cell>
          <cell r="H801">
            <v>0</v>
          </cell>
        </row>
        <row r="802">
          <cell r="B802">
            <v>6321</v>
          </cell>
          <cell r="C802" t="str">
            <v>Lavin; Jared M</v>
          </cell>
          <cell r="D802" t="str">
            <v>1</v>
          </cell>
          <cell r="E802" t="str">
            <v>IBEWOUT</v>
          </cell>
          <cell r="F802" t="str">
            <v>77</v>
          </cell>
          <cell r="G802" t="str">
            <v>9</v>
          </cell>
          <cell r="H802">
            <v>0</v>
          </cell>
        </row>
        <row r="803">
          <cell r="B803">
            <v>6322</v>
          </cell>
          <cell r="C803" t="str">
            <v>Lecompte; Patrick M</v>
          </cell>
          <cell r="D803" t="str">
            <v>1C</v>
          </cell>
          <cell r="E803" t="str">
            <v>IBEWOUT</v>
          </cell>
          <cell r="F803" t="str">
            <v>1245</v>
          </cell>
          <cell r="G803" t="str">
            <v>8</v>
          </cell>
          <cell r="H803">
            <v>0</v>
          </cell>
        </row>
        <row r="804">
          <cell r="B804">
            <v>6329</v>
          </cell>
          <cell r="C804" t="str">
            <v>Lee; Laurence Cooper</v>
          </cell>
          <cell r="D804" t="str">
            <v>1C</v>
          </cell>
          <cell r="E804" t="str">
            <v>IBEWOUT</v>
          </cell>
          <cell r="F804" t="str">
            <v>77</v>
          </cell>
          <cell r="G804" t="str">
            <v>8</v>
          </cell>
          <cell r="H804">
            <v>0</v>
          </cell>
        </row>
        <row r="805">
          <cell r="B805">
            <v>6340</v>
          </cell>
          <cell r="C805" t="str">
            <v>Lee Soon; Dallas O.</v>
          </cell>
          <cell r="D805" t="str">
            <v>1</v>
          </cell>
          <cell r="E805" t="str">
            <v>IBEWOUT</v>
          </cell>
          <cell r="F805" t="str">
            <v>1245</v>
          </cell>
          <cell r="G805" t="str">
            <v>8</v>
          </cell>
          <cell r="H805">
            <v>0</v>
          </cell>
        </row>
        <row r="806">
          <cell r="B806">
            <v>6341</v>
          </cell>
          <cell r="C806" t="str">
            <v>Lee; David</v>
          </cell>
          <cell r="D806" t="str">
            <v>1C</v>
          </cell>
          <cell r="E806" t="str">
            <v>IBEWOUT</v>
          </cell>
          <cell r="F806" t="str">
            <v>1245</v>
          </cell>
          <cell r="G806" t="str">
            <v>60</v>
          </cell>
          <cell r="H806">
            <v>0</v>
          </cell>
        </row>
        <row r="807">
          <cell r="B807">
            <v>6474</v>
          </cell>
          <cell r="C807" t="str">
            <v>LeCaire; Nicholas V.</v>
          </cell>
          <cell r="D807" t="str">
            <v>1</v>
          </cell>
          <cell r="E807" t="str">
            <v>IBEWOUT</v>
          </cell>
          <cell r="F807" t="str">
            <v>1245</v>
          </cell>
          <cell r="G807" t="str">
            <v>7</v>
          </cell>
          <cell r="H807">
            <v>0</v>
          </cell>
        </row>
        <row r="808">
          <cell r="B808">
            <v>6476</v>
          </cell>
          <cell r="C808" t="str">
            <v>Leon Ramirez; Jose</v>
          </cell>
          <cell r="D808" t="str">
            <v>1C</v>
          </cell>
          <cell r="E808" t="str">
            <v>IBEWOUT</v>
          </cell>
          <cell r="F808" t="str">
            <v>47</v>
          </cell>
          <cell r="G808" t="str">
            <v>7</v>
          </cell>
          <cell r="H808">
            <v>0</v>
          </cell>
        </row>
        <row r="809">
          <cell r="B809">
            <v>6479</v>
          </cell>
          <cell r="C809" t="str">
            <v>Leiv; Kendell Jonathan</v>
          </cell>
          <cell r="D809" t="str">
            <v>1C</v>
          </cell>
          <cell r="E809" t="str">
            <v/>
          </cell>
          <cell r="F809" t="str">
            <v/>
          </cell>
          <cell r="G809" t="str">
            <v/>
          </cell>
          <cell r="H809">
            <v>0</v>
          </cell>
        </row>
        <row r="810">
          <cell r="B810">
            <v>6480</v>
          </cell>
          <cell r="C810" t="str">
            <v>Leanos; Daniel G</v>
          </cell>
          <cell r="D810" t="str">
            <v>1C</v>
          </cell>
          <cell r="E810" t="str">
            <v>IBEWOUT</v>
          </cell>
          <cell r="F810" t="str">
            <v>47</v>
          </cell>
          <cell r="G810" t="str">
            <v>17</v>
          </cell>
          <cell r="H810">
            <v>0</v>
          </cell>
        </row>
        <row r="811">
          <cell r="B811">
            <v>6482</v>
          </cell>
          <cell r="C811" t="str">
            <v>Ledoux; Walter W</v>
          </cell>
          <cell r="D811" t="str">
            <v>1C</v>
          </cell>
          <cell r="E811" t="str">
            <v>IBEWOUT</v>
          </cell>
          <cell r="F811" t="str">
            <v>1245</v>
          </cell>
          <cell r="G811" t="str">
            <v>8</v>
          </cell>
          <cell r="H811">
            <v>0</v>
          </cell>
        </row>
        <row r="812">
          <cell r="B812">
            <v>6485</v>
          </cell>
          <cell r="C812" t="str">
            <v>Lege; Kevin J</v>
          </cell>
          <cell r="D812" t="str">
            <v>1C</v>
          </cell>
          <cell r="E812" t="str">
            <v>IBEWOUT</v>
          </cell>
          <cell r="F812" t="str">
            <v>1245</v>
          </cell>
          <cell r="G812" t="str">
            <v>8</v>
          </cell>
          <cell r="H812">
            <v>0</v>
          </cell>
        </row>
        <row r="813">
          <cell r="B813">
            <v>6487</v>
          </cell>
          <cell r="C813" t="str">
            <v>Lemus; Edward</v>
          </cell>
          <cell r="D813" t="str">
            <v>1C</v>
          </cell>
          <cell r="E813" t="str">
            <v>IBEWOUT</v>
          </cell>
          <cell r="F813" t="str">
            <v>47</v>
          </cell>
          <cell r="G813" t="str">
            <v>17</v>
          </cell>
          <cell r="H813">
            <v>0</v>
          </cell>
        </row>
        <row r="814">
          <cell r="B814">
            <v>6497</v>
          </cell>
          <cell r="C814" t="str">
            <v>Leineke; Theodore A.</v>
          </cell>
          <cell r="D814" t="str">
            <v>1</v>
          </cell>
          <cell r="E814" t="str">
            <v/>
          </cell>
          <cell r="F814" t="str">
            <v/>
          </cell>
          <cell r="G814" t="str">
            <v/>
          </cell>
          <cell r="H814">
            <v>0</v>
          </cell>
        </row>
        <row r="815">
          <cell r="B815">
            <v>6498</v>
          </cell>
          <cell r="C815" t="str">
            <v>Lenardo; Bradley J</v>
          </cell>
          <cell r="D815" t="str">
            <v>1C</v>
          </cell>
          <cell r="E815" t="str">
            <v>IBEWOUT</v>
          </cell>
          <cell r="F815" t="str">
            <v>1245</v>
          </cell>
          <cell r="G815" t="str">
            <v>8</v>
          </cell>
          <cell r="H815">
            <v>0</v>
          </cell>
        </row>
        <row r="816">
          <cell r="B816">
            <v>6499</v>
          </cell>
          <cell r="C816" t="str">
            <v>Lenoir Jr.; Leo M.</v>
          </cell>
          <cell r="D816" t="str">
            <v>1</v>
          </cell>
          <cell r="E816" t="str">
            <v>IBEWOUT</v>
          </cell>
          <cell r="F816" t="str">
            <v>47</v>
          </cell>
          <cell r="G816" t="str">
            <v>7</v>
          </cell>
          <cell r="H816">
            <v>0</v>
          </cell>
        </row>
        <row r="817">
          <cell r="B817">
            <v>6520</v>
          </cell>
          <cell r="C817" t="str">
            <v>Leuthner; Paul A</v>
          </cell>
          <cell r="D817" t="str">
            <v>1C</v>
          </cell>
          <cell r="E817" t="str">
            <v>IBEWOUT</v>
          </cell>
          <cell r="F817" t="str">
            <v>1319</v>
          </cell>
          <cell r="G817" t="str">
            <v>7</v>
          </cell>
          <cell r="H817">
            <v>0</v>
          </cell>
        </row>
        <row r="818">
          <cell r="B818">
            <v>6539</v>
          </cell>
          <cell r="C818" t="str">
            <v>Lewis; Slone E.</v>
          </cell>
          <cell r="D818" t="str">
            <v>1C</v>
          </cell>
          <cell r="E818" t="str">
            <v>IBEWOUT</v>
          </cell>
          <cell r="F818" t="str">
            <v>77</v>
          </cell>
          <cell r="G818" t="str">
            <v>12</v>
          </cell>
          <cell r="H818">
            <v>0</v>
          </cell>
        </row>
        <row r="819">
          <cell r="B819">
            <v>6541</v>
          </cell>
          <cell r="C819" t="str">
            <v>Lewis; Jacob L.</v>
          </cell>
          <cell r="D819" t="str">
            <v>1C</v>
          </cell>
          <cell r="E819" t="str">
            <v>IBEWOUT</v>
          </cell>
          <cell r="F819" t="str">
            <v>1245</v>
          </cell>
          <cell r="G819" t="str">
            <v>70T</v>
          </cell>
          <cell r="H819">
            <v>0</v>
          </cell>
        </row>
        <row r="820">
          <cell r="B820">
            <v>6542</v>
          </cell>
          <cell r="C820" t="str">
            <v>Ligon; Sean Michael</v>
          </cell>
          <cell r="D820" t="str">
            <v>1</v>
          </cell>
          <cell r="E820" t="str">
            <v>IBEWOUT</v>
          </cell>
          <cell r="F820" t="str">
            <v>769</v>
          </cell>
          <cell r="G820" t="str">
            <v>14</v>
          </cell>
          <cell r="H820">
            <v>0</v>
          </cell>
        </row>
        <row r="821">
          <cell r="B821">
            <v>6559</v>
          </cell>
          <cell r="C821" t="str">
            <v>Liles; Jack V</v>
          </cell>
          <cell r="D821" t="str">
            <v>1C</v>
          </cell>
          <cell r="E821" t="str">
            <v/>
          </cell>
          <cell r="F821" t="str">
            <v/>
          </cell>
          <cell r="G821" t="str">
            <v/>
          </cell>
          <cell r="H821">
            <v>0</v>
          </cell>
        </row>
        <row r="822">
          <cell r="B822">
            <v>6560</v>
          </cell>
          <cell r="C822" t="str">
            <v>Lightfoot; Gregory W</v>
          </cell>
          <cell r="D822" t="str">
            <v>1C</v>
          </cell>
          <cell r="E822" t="str">
            <v>IBEWOUT</v>
          </cell>
          <cell r="F822" t="str">
            <v>77</v>
          </cell>
          <cell r="G822" t="str">
            <v>8</v>
          </cell>
          <cell r="H822">
            <v>0</v>
          </cell>
        </row>
        <row r="823">
          <cell r="B823">
            <v>6564</v>
          </cell>
          <cell r="C823" t="str">
            <v>Lieurance; Joshua T</v>
          </cell>
          <cell r="D823" t="str">
            <v>1C</v>
          </cell>
          <cell r="E823" t="str">
            <v/>
          </cell>
          <cell r="F823" t="str">
            <v/>
          </cell>
          <cell r="G823" t="str">
            <v/>
          </cell>
          <cell r="H823">
            <v>0</v>
          </cell>
        </row>
        <row r="824">
          <cell r="B824">
            <v>6576</v>
          </cell>
          <cell r="C824" t="str">
            <v>Lindsay; Cassidy L.</v>
          </cell>
          <cell r="D824" t="str">
            <v>1C</v>
          </cell>
          <cell r="E824" t="str">
            <v>IBEWOUT</v>
          </cell>
          <cell r="F824" t="str">
            <v>1245</v>
          </cell>
          <cell r="G824" t="str">
            <v>16</v>
          </cell>
          <cell r="H824">
            <v>0</v>
          </cell>
        </row>
        <row r="825">
          <cell r="B825">
            <v>6579</v>
          </cell>
          <cell r="C825" t="str">
            <v>Little; Jerry S</v>
          </cell>
          <cell r="D825" t="str">
            <v>1C</v>
          </cell>
          <cell r="E825" t="str">
            <v>IBEWOUT</v>
          </cell>
          <cell r="F825" t="str">
            <v>1245</v>
          </cell>
          <cell r="G825" t="str">
            <v>8</v>
          </cell>
          <cell r="H825">
            <v>0</v>
          </cell>
        </row>
        <row r="826">
          <cell r="B826">
            <v>6582</v>
          </cell>
          <cell r="C826" t="str">
            <v>Little; Richard K</v>
          </cell>
          <cell r="D826" t="str">
            <v>1C</v>
          </cell>
          <cell r="E826" t="str">
            <v>IBEWOUT</v>
          </cell>
          <cell r="F826" t="str">
            <v>47</v>
          </cell>
          <cell r="G826" t="str">
            <v>59</v>
          </cell>
          <cell r="H826">
            <v>0</v>
          </cell>
        </row>
        <row r="827">
          <cell r="B827">
            <v>6584</v>
          </cell>
          <cell r="C827" t="str">
            <v>Livingston; Christian D.</v>
          </cell>
          <cell r="D827" t="str">
            <v>1C</v>
          </cell>
          <cell r="E827" t="str">
            <v>IBEWOUT</v>
          </cell>
          <cell r="F827" t="str">
            <v>47</v>
          </cell>
          <cell r="G827" t="str">
            <v>17</v>
          </cell>
          <cell r="H827">
            <v>0</v>
          </cell>
        </row>
        <row r="828">
          <cell r="B828">
            <v>6585</v>
          </cell>
          <cell r="C828" t="str">
            <v>Lindley; Jeffrey S</v>
          </cell>
          <cell r="D828" t="str">
            <v>1C</v>
          </cell>
          <cell r="E828" t="str">
            <v>IBEWOUT</v>
          </cell>
          <cell r="F828" t="str">
            <v>47</v>
          </cell>
          <cell r="G828" t="str">
            <v>16</v>
          </cell>
          <cell r="H828">
            <v>0</v>
          </cell>
        </row>
        <row r="829">
          <cell r="B829">
            <v>6586</v>
          </cell>
          <cell r="C829" t="str">
            <v>Livengood; Justin N.</v>
          </cell>
          <cell r="D829" t="str">
            <v>1C</v>
          </cell>
          <cell r="E829" t="str">
            <v>IBEWOUT</v>
          </cell>
          <cell r="F829" t="str">
            <v>47</v>
          </cell>
          <cell r="G829" t="str">
            <v>60</v>
          </cell>
          <cell r="H829">
            <v>0</v>
          </cell>
        </row>
        <row r="830">
          <cell r="B830">
            <v>6597</v>
          </cell>
          <cell r="C830" t="str">
            <v>LLamas; Oscar J.</v>
          </cell>
          <cell r="D830" t="str">
            <v>1C</v>
          </cell>
          <cell r="E830" t="str">
            <v>IBEWOUT</v>
          </cell>
          <cell r="F830" t="str">
            <v>47</v>
          </cell>
          <cell r="G830" t="str">
            <v>8</v>
          </cell>
          <cell r="H830">
            <v>0</v>
          </cell>
        </row>
        <row r="831">
          <cell r="B831">
            <v>6605</v>
          </cell>
          <cell r="C831" t="str">
            <v>Llorca; John D</v>
          </cell>
          <cell r="D831" t="str">
            <v>1C</v>
          </cell>
          <cell r="E831" t="str">
            <v>IBEWOUT</v>
          </cell>
          <cell r="F831" t="str">
            <v>47</v>
          </cell>
          <cell r="G831" t="str">
            <v>8</v>
          </cell>
          <cell r="H831">
            <v>0</v>
          </cell>
        </row>
        <row r="832">
          <cell r="B832">
            <v>6609</v>
          </cell>
          <cell r="C832" t="str">
            <v>Lloyd; Mikel B</v>
          </cell>
          <cell r="D832" t="str">
            <v>1</v>
          </cell>
          <cell r="E832" t="str">
            <v>IBEWOUT</v>
          </cell>
          <cell r="F832" t="str">
            <v>1245</v>
          </cell>
          <cell r="G832" t="str">
            <v>15</v>
          </cell>
          <cell r="H832">
            <v>0</v>
          </cell>
        </row>
        <row r="833">
          <cell r="B833">
            <v>6611</v>
          </cell>
          <cell r="C833" t="str">
            <v>Lock; Shane R</v>
          </cell>
          <cell r="D833" t="str">
            <v>1C</v>
          </cell>
          <cell r="E833" t="str">
            <v>IBEWOUT</v>
          </cell>
          <cell r="F833" t="str">
            <v>1245</v>
          </cell>
          <cell r="G833" t="str">
            <v>7</v>
          </cell>
          <cell r="H833">
            <v>0</v>
          </cell>
        </row>
        <row r="834">
          <cell r="B834">
            <v>6613</v>
          </cell>
          <cell r="C834" t="str">
            <v>Lougee; Thomas G</v>
          </cell>
          <cell r="D834" t="str">
            <v>1C</v>
          </cell>
          <cell r="E834" t="str">
            <v>IBEWOUT</v>
          </cell>
          <cell r="F834" t="str">
            <v>1245</v>
          </cell>
          <cell r="G834" t="str">
            <v>8</v>
          </cell>
          <cell r="H834">
            <v>0</v>
          </cell>
        </row>
        <row r="835">
          <cell r="B835">
            <v>6614</v>
          </cell>
          <cell r="C835" t="str">
            <v>Loera; Francisco</v>
          </cell>
          <cell r="D835" t="str">
            <v>1C</v>
          </cell>
          <cell r="E835" t="str">
            <v>IBEWOUT</v>
          </cell>
          <cell r="F835" t="str">
            <v>1245</v>
          </cell>
          <cell r="G835" t="str">
            <v>60</v>
          </cell>
          <cell r="H835">
            <v>0</v>
          </cell>
        </row>
        <row r="836">
          <cell r="B836">
            <v>6617</v>
          </cell>
          <cell r="C836" t="str">
            <v>Lohman; James C</v>
          </cell>
          <cell r="D836" t="str">
            <v>1</v>
          </cell>
          <cell r="E836" t="str">
            <v>IBEWOUT</v>
          </cell>
          <cell r="F836" t="str">
            <v>70</v>
          </cell>
          <cell r="G836" t="str">
            <v>18</v>
          </cell>
          <cell r="H836">
            <v>0</v>
          </cell>
        </row>
        <row r="837">
          <cell r="B837">
            <v>6661</v>
          </cell>
          <cell r="C837" t="str">
            <v>Long; Scott A.</v>
          </cell>
          <cell r="D837" t="str">
            <v>1C</v>
          </cell>
          <cell r="E837" t="str">
            <v>IBEWOUT</v>
          </cell>
          <cell r="F837" t="str">
            <v>1245</v>
          </cell>
          <cell r="G837" t="str">
            <v>17</v>
          </cell>
          <cell r="H837">
            <v>0</v>
          </cell>
        </row>
        <row r="838">
          <cell r="B838">
            <v>6663</v>
          </cell>
          <cell r="C838" t="str">
            <v>Long; William K</v>
          </cell>
          <cell r="D838" t="str">
            <v>1C</v>
          </cell>
          <cell r="E838" t="str">
            <v>IBEWOUT</v>
          </cell>
          <cell r="F838" t="str">
            <v>47</v>
          </cell>
          <cell r="G838" t="str">
            <v>16</v>
          </cell>
          <cell r="H838">
            <v>0</v>
          </cell>
        </row>
        <row r="839">
          <cell r="B839">
            <v>6665</v>
          </cell>
          <cell r="C839" t="str">
            <v>Long; Gerald</v>
          </cell>
          <cell r="D839" t="str">
            <v>1C</v>
          </cell>
          <cell r="E839" t="str">
            <v>IBEWOUT</v>
          </cell>
          <cell r="F839" t="str">
            <v>611</v>
          </cell>
          <cell r="G839" t="str">
            <v>7</v>
          </cell>
          <cell r="H839">
            <v>0</v>
          </cell>
        </row>
        <row r="840">
          <cell r="B840">
            <v>6672</v>
          </cell>
          <cell r="C840" t="str">
            <v>Lopez; Hector M</v>
          </cell>
          <cell r="D840" t="str">
            <v>1C</v>
          </cell>
          <cell r="E840" t="str">
            <v>IBEWOUT</v>
          </cell>
          <cell r="F840" t="str">
            <v>1245</v>
          </cell>
          <cell r="G840" t="str">
            <v>13</v>
          </cell>
          <cell r="H840">
            <v>0</v>
          </cell>
        </row>
        <row r="841">
          <cell r="B841">
            <v>6674</v>
          </cell>
          <cell r="C841" t="str">
            <v>Longtin; Eric S</v>
          </cell>
          <cell r="D841" t="str">
            <v>1C</v>
          </cell>
          <cell r="E841" t="str">
            <v>IBEWOUT</v>
          </cell>
          <cell r="F841" t="str">
            <v>126</v>
          </cell>
          <cell r="G841" t="str">
            <v>8</v>
          </cell>
          <cell r="H841">
            <v>0</v>
          </cell>
        </row>
        <row r="842">
          <cell r="B842">
            <v>6675</v>
          </cell>
          <cell r="C842" t="str">
            <v>Longtin; Eric Z</v>
          </cell>
          <cell r="D842" t="str">
            <v>1C</v>
          </cell>
          <cell r="E842" t="str">
            <v>IBEWOUT</v>
          </cell>
          <cell r="F842" t="str">
            <v>126</v>
          </cell>
          <cell r="G842" t="str">
            <v>18</v>
          </cell>
          <cell r="H842">
            <v>0</v>
          </cell>
        </row>
        <row r="843">
          <cell r="B843">
            <v>6678</v>
          </cell>
          <cell r="C843" t="str">
            <v>Lopez; Joseph Kelly</v>
          </cell>
          <cell r="D843" t="str">
            <v>1C</v>
          </cell>
          <cell r="E843" t="str">
            <v>IBEWOUT</v>
          </cell>
          <cell r="F843" t="str">
            <v>769</v>
          </cell>
          <cell r="G843" t="str">
            <v>8</v>
          </cell>
          <cell r="H843">
            <v>0</v>
          </cell>
        </row>
        <row r="844">
          <cell r="B844">
            <v>6679</v>
          </cell>
          <cell r="C844" t="str">
            <v>Loomis; Jerald A</v>
          </cell>
          <cell r="D844" t="str">
            <v>1C</v>
          </cell>
          <cell r="E844" t="str">
            <v>IBEWOUT</v>
          </cell>
          <cell r="F844" t="str">
            <v>77</v>
          </cell>
          <cell r="G844" t="str">
            <v>8</v>
          </cell>
          <cell r="H844">
            <v>0</v>
          </cell>
        </row>
        <row r="845">
          <cell r="B845">
            <v>6702</v>
          </cell>
          <cell r="C845" t="str">
            <v>Love; David A</v>
          </cell>
          <cell r="D845" t="str">
            <v>1C</v>
          </cell>
          <cell r="E845" t="str">
            <v>IBEWOUT</v>
          </cell>
          <cell r="F845" t="str">
            <v>47</v>
          </cell>
          <cell r="G845" t="str">
            <v>8</v>
          </cell>
          <cell r="H845">
            <v>0</v>
          </cell>
        </row>
        <row r="846">
          <cell r="B846">
            <v>6703</v>
          </cell>
          <cell r="C846" t="str">
            <v>Lovelady; Brian B</v>
          </cell>
          <cell r="D846" t="str">
            <v>1C</v>
          </cell>
          <cell r="E846" t="str">
            <v>IBEWOUT</v>
          </cell>
          <cell r="F846" t="str">
            <v>1245</v>
          </cell>
          <cell r="G846" t="str">
            <v>60</v>
          </cell>
          <cell r="H846">
            <v>0</v>
          </cell>
        </row>
        <row r="847">
          <cell r="B847">
            <v>6706</v>
          </cell>
          <cell r="C847" t="str">
            <v>Loucks; Tammi Louise</v>
          </cell>
          <cell r="D847" t="str">
            <v>1C</v>
          </cell>
          <cell r="E847" t="str">
            <v/>
          </cell>
          <cell r="F847" t="str">
            <v/>
          </cell>
          <cell r="G847" t="str">
            <v/>
          </cell>
          <cell r="H847">
            <v>0</v>
          </cell>
        </row>
        <row r="848">
          <cell r="B848">
            <v>6711</v>
          </cell>
          <cell r="C848" t="str">
            <v>Lowerison; William David</v>
          </cell>
          <cell r="D848" t="str">
            <v>1</v>
          </cell>
          <cell r="E848" t="str">
            <v/>
          </cell>
          <cell r="F848" t="str">
            <v/>
          </cell>
          <cell r="G848" t="str">
            <v/>
          </cell>
          <cell r="H848">
            <v>0</v>
          </cell>
        </row>
        <row r="849">
          <cell r="B849">
            <v>6712</v>
          </cell>
          <cell r="C849" t="str">
            <v>Lucero; Dominic L</v>
          </cell>
          <cell r="D849" t="str">
            <v>1C</v>
          </cell>
          <cell r="E849" t="str">
            <v>IBEWOUT</v>
          </cell>
          <cell r="F849" t="str">
            <v>611</v>
          </cell>
          <cell r="G849" t="str">
            <v>12</v>
          </cell>
          <cell r="H849">
            <v>0</v>
          </cell>
        </row>
        <row r="850">
          <cell r="B850">
            <v>6725</v>
          </cell>
          <cell r="C850" t="str">
            <v>Loucks; Robert L.</v>
          </cell>
          <cell r="D850" t="str">
            <v>1C</v>
          </cell>
          <cell r="E850" t="str">
            <v/>
          </cell>
          <cell r="F850" t="str">
            <v/>
          </cell>
          <cell r="G850" t="str">
            <v/>
          </cell>
          <cell r="H850">
            <v>0</v>
          </cell>
        </row>
        <row r="851">
          <cell r="B851">
            <v>6729</v>
          </cell>
          <cell r="C851" t="str">
            <v>Lowen; Elijah S</v>
          </cell>
          <cell r="D851" t="str">
            <v>1C</v>
          </cell>
          <cell r="E851" t="str">
            <v>IBEWOUT</v>
          </cell>
          <cell r="F851" t="str">
            <v>160</v>
          </cell>
          <cell r="G851" t="str">
            <v>17</v>
          </cell>
          <cell r="H851">
            <v>0</v>
          </cell>
        </row>
        <row r="852">
          <cell r="B852">
            <v>6730</v>
          </cell>
          <cell r="C852" t="str">
            <v>Loya; James S.</v>
          </cell>
          <cell r="D852" t="str">
            <v>1C</v>
          </cell>
          <cell r="E852" t="str">
            <v>IBEWOUT</v>
          </cell>
          <cell r="F852" t="str">
            <v>47</v>
          </cell>
          <cell r="G852" t="str">
            <v>8</v>
          </cell>
          <cell r="H852">
            <v>0</v>
          </cell>
        </row>
        <row r="853">
          <cell r="B853">
            <v>6737</v>
          </cell>
          <cell r="C853" t="str">
            <v>Luna; Matthew P</v>
          </cell>
          <cell r="D853" t="str">
            <v>1</v>
          </cell>
          <cell r="E853" t="str">
            <v>IBEWOUT</v>
          </cell>
          <cell r="F853" t="str">
            <v>47</v>
          </cell>
          <cell r="G853" t="str">
            <v>8</v>
          </cell>
          <cell r="H853">
            <v>0</v>
          </cell>
        </row>
        <row r="854">
          <cell r="B854">
            <v>6745</v>
          </cell>
          <cell r="C854" t="str">
            <v>Lynch; Andrew J.</v>
          </cell>
          <cell r="D854" t="str">
            <v>1C</v>
          </cell>
          <cell r="E854" t="str">
            <v>IBEWOUT</v>
          </cell>
          <cell r="F854" t="str">
            <v>77</v>
          </cell>
          <cell r="G854" t="str">
            <v>8</v>
          </cell>
          <cell r="H854">
            <v>0</v>
          </cell>
        </row>
        <row r="855">
          <cell r="B855">
            <v>6755</v>
          </cell>
          <cell r="C855" t="str">
            <v>Lulay; Brent D</v>
          </cell>
          <cell r="D855" t="str">
            <v>1C</v>
          </cell>
          <cell r="E855" t="str">
            <v>IBEWOUT</v>
          </cell>
          <cell r="F855" t="str">
            <v>125</v>
          </cell>
          <cell r="G855" t="str">
            <v>8</v>
          </cell>
          <cell r="H855">
            <v>0</v>
          </cell>
        </row>
        <row r="856">
          <cell r="B856">
            <v>6915</v>
          </cell>
          <cell r="C856" t="str">
            <v>MacDonald; Lance GK</v>
          </cell>
          <cell r="D856" t="str">
            <v>1C</v>
          </cell>
          <cell r="E856" t="str">
            <v>IBEWOUT</v>
          </cell>
          <cell r="F856" t="str">
            <v>1245</v>
          </cell>
          <cell r="G856" t="str">
            <v>8</v>
          </cell>
          <cell r="H856">
            <v>0</v>
          </cell>
        </row>
        <row r="857">
          <cell r="B857">
            <v>6918</v>
          </cell>
          <cell r="C857" t="str">
            <v>MacKenzie; Amber</v>
          </cell>
          <cell r="D857" t="str">
            <v>1</v>
          </cell>
          <cell r="E857" t="str">
            <v/>
          </cell>
          <cell r="F857" t="str">
            <v/>
          </cell>
          <cell r="G857" t="str">
            <v/>
          </cell>
          <cell r="H857">
            <v>1</v>
          </cell>
        </row>
        <row r="858">
          <cell r="B858">
            <v>6919</v>
          </cell>
          <cell r="C858" t="str">
            <v>MacKenzie; Matt E.</v>
          </cell>
          <cell r="D858" t="str">
            <v>1</v>
          </cell>
          <cell r="E858" t="str">
            <v>IBEWOUT</v>
          </cell>
          <cell r="F858" t="str">
            <v>1245</v>
          </cell>
          <cell r="G858" t="str">
            <v>1</v>
          </cell>
          <cell r="H858">
            <v>1</v>
          </cell>
        </row>
        <row r="859">
          <cell r="B859">
            <v>6921</v>
          </cell>
          <cell r="C859" t="str">
            <v>Mackeprang; Jake R</v>
          </cell>
          <cell r="D859" t="str">
            <v>1C</v>
          </cell>
          <cell r="E859" t="str">
            <v>IBEWOUT</v>
          </cell>
          <cell r="F859" t="str">
            <v>160</v>
          </cell>
          <cell r="G859" t="str">
            <v>8</v>
          </cell>
          <cell r="H859">
            <v>0</v>
          </cell>
        </row>
        <row r="860">
          <cell r="B860">
            <v>6926</v>
          </cell>
          <cell r="C860" t="str">
            <v>MacMillan; Kandus WS</v>
          </cell>
          <cell r="D860" t="str">
            <v>1C</v>
          </cell>
          <cell r="E860" t="str">
            <v>IBEWOUT</v>
          </cell>
          <cell r="F860" t="str">
            <v>1245</v>
          </cell>
          <cell r="G860" t="str">
            <v>8</v>
          </cell>
          <cell r="H860">
            <v>0</v>
          </cell>
        </row>
        <row r="861">
          <cell r="B861">
            <v>6928</v>
          </cell>
          <cell r="C861" t="str">
            <v>Madden; Thomas P</v>
          </cell>
          <cell r="D861" t="str">
            <v>1C</v>
          </cell>
          <cell r="E861" t="str">
            <v>IBEWOUT</v>
          </cell>
          <cell r="F861" t="str">
            <v>1245</v>
          </cell>
          <cell r="G861" t="str">
            <v>8</v>
          </cell>
          <cell r="H861">
            <v>0</v>
          </cell>
        </row>
        <row r="862">
          <cell r="B862">
            <v>6930</v>
          </cell>
          <cell r="C862" t="str">
            <v>Maes; Daniel T.</v>
          </cell>
          <cell r="D862" t="str">
            <v>1C</v>
          </cell>
          <cell r="E862" t="str">
            <v>IBEWOUT</v>
          </cell>
          <cell r="F862" t="str">
            <v>611</v>
          </cell>
          <cell r="G862" t="str">
            <v>14</v>
          </cell>
          <cell r="H862">
            <v>0</v>
          </cell>
        </row>
        <row r="863">
          <cell r="B863">
            <v>6931</v>
          </cell>
          <cell r="C863" t="str">
            <v>Madison; Nathaniel T</v>
          </cell>
          <cell r="D863" t="str">
            <v>1</v>
          </cell>
          <cell r="E863" t="str">
            <v>IBEWOUT</v>
          </cell>
          <cell r="F863" t="str">
            <v>47</v>
          </cell>
          <cell r="G863" t="str">
            <v>7</v>
          </cell>
          <cell r="H863">
            <v>0</v>
          </cell>
        </row>
        <row r="864">
          <cell r="B864">
            <v>6948</v>
          </cell>
          <cell r="C864" t="str">
            <v>Maier; Bailey M</v>
          </cell>
          <cell r="D864" t="str">
            <v>1C</v>
          </cell>
          <cell r="E864" t="str">
            <v/>
          </cell>
          <cell r="F864" t="str">
            <v/>
          </cell>
          <cell r="G864" t="str">
            <v/>
          </cell>
          <cell r="H864">
            <v>0</v>
          </cell>
        </row>
        <row r="865">
          <cell r="B865">
            <v>6981</v>
          </cell>
          <cell r="C865" t="str">
            <v>Malik; Zeeshan M</v>
          </cell>
          <cell r="D865" t="str">
            <v>1C</v>
          </cell>
          <cell r="E865" t="str">
            <v>IBEWOUT</v>
          </cell>
          <cell r="F865" t="str">
            <v>611</v>
          </cell>
          <cell r="G865" t="str">
            <v>16</v>
          </cell>
          <cell r="H865">
            <v>0</v>
          </cell>
        </row>
        <row r="866">
          <cell r="B866">
            <v>6982</v>
          </cell>
          <cell r="C866" t="str">
            <v>Mallory; Loren C</v>
          </cell>
          <cell r="D866" t="str">
            <v>1</v>
          </cell>
          <cell r="E866" t="str">
            <v>IBEWOUT</v>
          </cell>
          <cell r="F866" t="str">
            <v>1245</v>
          </cell>
          <cell r="G866" t="str">
            <v>16</v>
          </cell>
          <cell r="H866">
            <v>0</v>
          </cell>
        </row>
        <row r="867">
          <cell r="B867">
            <v>6983</v>
          </cell>
          <cell r="C867" t="str">
            <v>Mallory; Nick V.</v>
          </cell>
          <cell r="D867" t="str">
            <v>1C</v>
          </cell>
          <cell r="E867" t="str">
            <v>IBEWOUT</v>
          </cell>
          <cell r="F867" t="str">
            <v>769</v>
          </cell>
          <cell r="G867" t="str">
            <v>7</v>
          </cell>
          <cell r="H867">
            <v>0</v>
          </cell>
        </row>
        <row r="868">
          <cell r="B868">
            <v>6984</v>
          </cell>
          <cell r="C868" t="str">
            <v>Malloy; John M.</v>
          </cell>
          <cell r="D868" t="str">
            <v>1C</v>
          </cell>
          <cell r="E868" t="str">
            <v>IBEWOUT</v>
          </cell>
          <cell r="F868" t="str">
            <v>1049</v>
          </cell>
          <cell r="G868" t="str">
            <v>8</v>
          </cell>
          <cell r="H868">
            <v>0</v>
          </cell>
        </row>
        <row r="869">
          <cell r="B869">
            <v>6985</v>
          </cell>
          <cell r="C869" t="str">
            <v>Maloney; Thane C.</v>
          </cell>
          <cell r="D869" t="str">
            <v>1C</v>
          </cell>
          <cell r="E869" t="str">
            <v>IBEWOUT</v>
          </cell>
          <cell r="F869" t="str">
            <v>1245</v>
          </cell>
          <cell r="G869" t="str">
            <v>16</v>
          </cell>
          <cell r="H869">
            <v>0</v>
          </cell>
        </row>
        <row r="870">
          <cell r="B870">
            <v>6986</v>
          </cell>
          <cell r="C870" t="str">
            <v>Mann; Justin M</v>
          </cell>
          <cell r="D870" t="str">
            <v>1C</v>
          </cell>
          <cell r="E870" t="str">
            <v>IBEWOUT</v>
          </cell>
          <cell r="F870" t="str">
            <v>160</v>
          </cell>
          <cell r="G870" t="str">
            <v>8</v>
          </cell>
          <cell r="H870">
            <v>0</v>
          </cell>
        </row>
        <row r="871">
          <cell r="B871">
            <v>6987</v>
          </cell>
          <cell r="C871" t="str">
            <v>Manos; Michael J</v>
          </cell>
          <cell r="D871" t="str">
            <v>1</v>
          </cell>
          <cell r="E871" t="str">
            <v>IBEWOUT</v>
          </cell>
          <cell r="F871" t="str">
            <v>769</v>
          </cell>
          <cell r="G871" t="str">
            <v>10</v>
          </cell>
          <cell r="H871">
            <v>0</v>
          </cell>
        </row>
        <row r="872">
          <cell r="B872">
            <v>6994</v>
          </cell>
          <cell r="C872" t="str">
            <v>Mantei; Kody J</v>
          </cell>
          <cell r="D872" t="str">
            <v>1C</v>
          </cell>
          <cell r="E872" t="str">
            <v>IBEWOUT</v>
          </cell>
          <cell r="F872" t="str">
            <v>126</v>
          </cell>
          <cell r="G872" t="str">
            <v>33</v>
          </cell>
          <cell r="H872">
            <v>0</v>
          </cell>
        </row>
        <row r="873">
          <cell r="B873">
            <v>6998</v>
          </cell>
          <cell r="C873" t="str">
            <v>Mardis; Johnathan D</v>
          </cell>
          <cell r="D873" t="str">
            <v>1</v>
          </cell>
          <cell r="E873" t="str">
            <v/>
          </cell>
          <cell r="F873" t="str">
            <v/>
          </cell>
          <cell r="G873" t="str">
            <v/>
          </cell>
          <cell r="H873">
            <v>0</v>
          </cell>
        </row>
        <row r="874">
          <cell r="B874">
            <v>7000</v>
          </cell>
          <cell r="C874" t="str">
            <v>March; Patrick D</v>
          </cell>
          <cell r="D874" t="str">
            <v>1C</v>
          </cell>
          <cell r="E874" t="str">
            <v>IBEWOUT</v>
          </cell>
          <cell r="F874" t="str">
            <v>1245</v>
          </cell>
          <cell r="G874" t="str">
            <v>8</v>
          </cell>
          <cell r="H874">
            <v>0</v>
          </cell>
        </row>
        <row r="875">
          <cell r="B875">
            <v>7008</v>
          </cell>
          <cell r="C875" t="str">
            <v>Marley; Kyle C</v>
          </cell>
          <cell r="D875" t="str">
            <v>1C</v>
          </cell>
          <cell r="E875" t="str">
            <v>IBEWOUT</v>
          </cell>
          <cell r="F875" t="str">
            <v>611</v>
          </cell>
          <cell r="G875" t="str">
            <v>15</v>
          </cell>
          <cell r="H875">
            <v>0</v>
          </cell>
        </row>
        <row r="876">
          <cell r="B876">
            <v>7009</v>
          </cell>
          <cell r="C876" t="str">
            <v>Martinez; Hector R.</v>
          </cell>
          <cell r="D876" t="str">
            <v>1C</v>
          </cell>
          <cell r="E876" t="str">
            <v>IBEWOUT</v>
          </cell>
          <cell r="F876" t="str">
            <v>47</v>
          </cell>
          <cell r="G876" t="str">
            <v>60</v>
          </cell>
          <cell r="H876">
            <v>0</v>
          </cell>
        </row>
        <row r="877">
          <cell r="B877">
            <v>7010</v>
          </cell>
          <cell r="C877" t="str">
            <v>Marquis; Phillip E</v>
          </cell>
          <cell r="D877" t="str">
            <v>1C</v>
          </cell>
          <cell r="E877" t="str">
            <v>IBEWOUT</v>
          </cell>
          <cell r="F877" t="str">
            <v>611</v>
          </cell>
          <cell r="G877" t="str">
            <v>8</v>
          </cell>
          <cell r="H877">
            <v>0</v>
          </cell>
        </row>
        <row r="878">
          <cell r="B878">
            <v>7012</v>
          </cell>
          <cell r="C878" t="str">
            <v>Martinez; Gilberto J</v>
          </cell>
          <cell r="D878" t="str">
            <v>1</v>
          </cell>
          <cell r="E878" t="str">
            <v>IBEWOUT</v>
          </cell>
          <cell r="F878" t="str">
            <v>611</v>
          </cell>
          <cell r="G878" t="str">
            <v>8</v>
          </cell>
          <cell r="H878">
            <v>0</v>
          </cell>
        </row>
        <row r="879">
          <cell r="B879">
            <v>7016</v>
          </cell>
          <cell r="C879" t="str">
            <v>Martin; Jason K.</v>
          </cell>
          <cell r="D879" t="str">
            <v>1C</v>
          </cell>
          <cell r="E879" t="str">
            <v>IBEWOUT</v>
          </cell>
          <cell r="F879" t="str">
            <v>1245</v>
          </cell>
          <cell r="G879" t="str">
            <v>8</v>
          </cell>
          <cell r="H879">
            <v>0</v>
          </cell>
        </row>
        <row r="880">
          <cell r="B880">
            <v>7017</v>
          </cell>
          <cell r="C880" t="str">
            <v>Martinez; Ruben Michael</v>
          </cell>
          <cell r="D880" t="str">
            <v>1C</v>
          </cell>
          <cell r="E880" t="str">
            <v/>
          </cell>
          <cell r="F880" t="str">
            <v/>
          </cell>
          <cell r="G880" t="str">
            <v/>
          </cell>
          <cell r="H880">
            <v>1</v>
          </cell>
        </row>
        <row r="881">
          <cell r="B881">
            <v>7019</v>
          </cell>
          <cell r="C881" t="str">
            <v>Martinez-Verela; Gerardo</v>
          </cell>
          <cell r="D881" t="str">
            <v>1C</v>
          </cell>
          <cell r="E881" t="str">
            <v>IBEWOUT</v>
          </cell>
          <cell r="F881" t="str">
            <v>1245</v>
          </cell>
          <cell r="G881" t="str">
            <v>13</v>
          </cell>
          <cell r="H881">
            <v>0</v>
          </cell>
        </row>
        <row r="882">
          <cell r="B882">
            <v>7021</v>
          </cell>
          <cell r="C882" t="str">
            <v>Marquez; Vincent A</v>
          </cell>
          <cell r="D882" t="str">
            <v>1C</v>
          </cell>
          <cell r="E882" t="str">
            <v>IBEWOUT</v>
          </cell>
          <cell r="F882" t="str">
            <v>611</v>
          </cell>
          <cell r="G882" t="str">
            <v>18</v>
          </cell>
          <cell r="H882">
            <v>0</v>
          </cell>
        </row>
        <row r="883">
          <cell r="B883">
            <v>7023</v>
          </cell>
          <cell r="C883" t="str">
            <v>Marvin; Kelly J</v>
          </cell>
          <cell r="D883" t="str">
            <v>1C</v>
          </cell>
          <cell r="E883" t="str">
            <v>IBEWOUT</v>
          </cell>
          <cell r="F883" t="str">
            <v>1245</v>
          </cell>
          <cell r="G883" t="str">
            <v>7</v>
          </cell>
          <cell r="H883">
            <v>0</v>
          </cell>
        </row>
        <row r="884">
          <cell r="B884">
            <v>7024</v>
          </cell>
          <cell r="C884" t="str">
            <v>Massiatte; Joseph B</v>
          </cell>
          <cell r="D884" t="str">
            <v>1C</v>
          </cell>
          <cell r="E884" t="str">
            <v>IBEWOUT</v>
          </cell>
          <cell r="F884" t="str">
            <v>769</v>
          </cell>
          <cell r="G884" t="str">
            <v>8</v>
          </cell>
          <cell r="H884">
            <v>0</v>
          </cell>
        </row>
        <row r="885">
          <cell r="B885">
            <v>7026</v>
          </cell>
          <cell r="C885" t="str">
            <v>Massei; Anthony Joseph</v>
          </cell>
          <cell r="D885" t="str">
            <v>1C</v>
          </cell>
          <cell r="E885" t="str">
            <v/>
          </cell>
          <cell r="F885" t="str">
            <v/>
          </cell>
          <cell r="G885" t="str">
            <v/>
          </cell>
          <cell r="H885">
            <v>1</v>
          </cell>
        </row>
        <row r="886">
          <cell r="B886">
            <v>7027</v>
          </cell>
          <cell r="C886" t="str">
            <v>Marquez; Jorge</v>
          </cell>
          <cell r="D886" t="str">
            <v>1C</v>
          </cell>
          <cell r="E886" t="str">
            <v>IBEWOUT</v>
          </cell>
          <cell r="F886" t="str">
            <v>47</v>
          </cell>
          <cell r="G886" t="str">
            <v>15</v>
          </cell>
          <cell r="H886">
            <v>0</v>
          </cell>
        </row>
        <row r="887">
          <cell r="B887">
            <v>7031</v>
          </cell>
          <cell r="C887" t="str">
            <v>Martinez; Richard D.</v>
          </cell>
          <cell r="D887" t="str">
            <v>1C</v>
          </cell>
          <cell r="E887" t="str">
            <v>IBEWOUT</v>
          </cell>
          <cell r="F887" t="str">
            <v>611</v>
          </cell>
          <cell r="G887" t="str">
            <v>8</v>
          </cell>
          <cell r="H887">
            <v>0</v>
          </cell>
        </row>
        <row r="888">
          <cell r="B888">
            <v>7033</v>
          </cell>
          <cell r="C888" t="str">
            <v>Marunde; Adam R</v>
          </cell>
          <cell r="D888" t="str">
            <v>1</v>
          </cell>
          <cell r="E888" t="str">
            <v>IBEWOUT</v>
          </cell>
          <cell r="F888" t="str">
            <v>1245</v>
          </cell>
          <cell r="G888" t="str">
            <v>8</v>
          </cell>
          <cell r="H888">
            <v>0</v>
          </cell>
        </row>
        <row r="889">
          <cell r="B889">
            <v>7034</v>
          </cell>
          <cell r="C889" t="str">
            <v>Martinez; Adam L</v>
          </cell>
          <cell r="D889" t="str">
            <v>1</v>
          </cell>
          <cell r="E889" t="str">
            <v>IBEWOUT</v>
          </cell>
          <cell r="F889" t="str">
            <v>611</v>
          </cell>
          <cell r="G889" t="str">
            <v>10</v>
          </cell>
          <cell r="H889">
            <v>0</v>
          </cell>
        </row>
        <row r="890">
          <cell r="B890">
            <v>7042</v>
          </cell>
          <cell r="C890" t="str">
            <v>Marshall III; Robert R</v>
          </cell>
          <cell r="D890" t="str">
            <v>1C</v>
          </cell>
          <cell r="E890" t="str">
            <v>IBEWOUT</v>
          </cell>
          <cell r="F890" t="str">
            <v>1245</v>
          </cell>
          <cell r="G890" t="str">
            <v>8</v>
          </cell>
          <cell r="H890">
            <v>0</v>
          </cell>
        </row>
        <row r="891">
          <cell r="B891">
            <v>7063</v>
          </cell>
          <cell r="C891" t="str">
            <v>Mata; Adam N.</v>
          </cell>
          <cell r="D891" t="str">
            <v>1</v>
          </cell>
          <cell r="E891" t="str">
            <v>IBEWOUT</v>
          </cell>
          <cell r="F891" t="str">
            <v>70</v>
          </cell>
          <cell r="G891" t="str">
            <v>16</v>
          </cell>
          <cell r="H891">
            <v>1</v>
          </cell>
        </row>
        <row r="892">
          <cell r="B892">
            <v>7074</v>
          </cell>
          <cell r="C892" t="str">
            <v>Mayer; Donald Patrick</v>
          </cell>
          <cell r="D892" t="str">
            <v>1C</v>
          </cell>
          <cell r="E892" t="str">
            <v>IBEWOUT</v>
          </cell>
          <cell r="F892" t="str">
            <v>769</v>
          </cell>
          <cell r="G892" t="str">
            <v>8</v>
          </cell>
          <cell r="H892">
            <v>0</v>
          </cell>
        </row>
        <row r="893">
          <cell r="B893">
            <v>7081</v>
          </cell>
          <cell r="C893" t="str">
            <v>Martin; Ryan P</v>
          </cell>
          <cell r="D893" t="str">
            <v>1</v>
          </cell>
          <cell r="E893" t="str">
            <v>IBEWOUT</v>
          </cell>
          <cell r="F893" t="str">
            <v>47</v>
          </cell>
          <cell r="G893" t="str">
            <v>16</v>
          </cell>
          <cell r="H893">
            <v>0</v>
          </cell>
        </row>
        <row r="894">
          <cell r="B894">
            <v>7082</v>
          </cell>
          <cell r="C894" t="str">
            <v>Maryboy; Leo Harvey</v>
          </cell>
          <cell r="D894" t="str">
            <v>1C</v>
          </cell>
          <cell r="E894" t="str">
            <v>IBEWOUT</v>
          </cell>
          <cell r="F894" t="str">
            <v>47</v>
          </cell>
          <cell r="G894" t="str">
            <v>8</v>
          </cell>
          <cell r="H894">
            <v>0</v>
          </cell>
        </row>
        <row r="895">
          <cell r="B895">
            <v>7084</v>
          </cell>
          <cell r="C895" t="str">
            <v>Mathias; Shawn Bryan</v>
          </cell>
          <cell r="D895" t="str">
            <v>1C</v>
          </cell>
          <cell r="E895" t="str">
            <v>IBEWOUT</v>
          </cell>
          <cell r="F895" t="str">
            <v>77</v>
          </cell>
          <cell r="G895" t="str">
            <v>8</v>
          </cell>
          <cell r="H895">
            <v>0</v>
          </cell>
        </row>
        <row r="896">
          <cell r="B896">
            <v>7086</v>
          </cell>
          <cell r="C896" t="str">
            <v>Martinez; Edward</v>
          </cell>
          <cell r="D896" t="str">
            <v>1C</v>
          </cell>
          <cell r="E896" t="str">
            <v>IBEWOUT</v>
          </cell>
          <cell r="F896" t="str">
            <v>1245</v>
          </cell>
          <cell r="G896" t="str">
            <v>18</v>
          </cell>
          <cell r="H896">
            <v>0</v>
          </cell>
        </row>
        <row r="897">
          <cell r="B897">
            <v>7087</v>
          </cell>
          <cell r="C897" t="str">
            <v>Marsh; Jeffrey A</v>
          </cell>
          <cell r="D897" t="str">
            <v>1C</v>
          </cell>
          <cell r="E897" t="str">
            <v>IBEWOUT</v>
          </cell>
          <cell r="F897" t="str">
            <v>160</v>
          </cell>
          <cell r="G897" t="str">
            <v>8</v>
          </cell>
          <cell r="H897">
            <v>0</v>
          </cell>
        </row>
        <row r="898">
          <cell r="B898">
            <v>7088</v>
          </cell>
          <cell r="C898" t="str">
            <v>Dean; Marvin</v>
          </cell>
          <cell r="D898" t="str">
            <v>1C</v>
          </cell>
          <cell r="E898" t="str">
            <v>IBEWOUT</v>
          </cell>
          <cell r="F898" t="str">
            <v>47</v>
          </cell>
          <cell r="G898" t="str">
            <v>8</v>
          </cell>
          <cell r="H898">
            <v>0</v>
          </cell>
        </row>
        <row r="899">
          <cell r="B899">
            <v>7090</v>
          </cell>
          <cell r="C899" t="str">
            <v>Martinez; Eddie</v>
          </cell>
          <cell r="D899" t="str">
            <v>1C</v>
          </cell>
          <cell r="E899" t="str">
            <v>IBEWOUT</v>
          </cell>
          <cell r="F899" t="str">
            <v>47</v>
          </cell>
          <cell r="G899" t="str">
            <v>17</v>
          </cell>
          <cell r="H899">
            <v>0</v>
          </cell>
        </row>
        <row r="900">
          <cell r="B900">
            <v>7091</v>
          </cell>
          <cell r="C900" t="str">
            <v>Mawhinney; Matthew Perin</v>
          </cell>
          <cell r="D900" t="str">
            <v>1C</v>
          </cell>
          <cell r="E900" t="str">
            <v>IBEWOUT</v>
          </cell>
          <cell r="F900" t="str">
            <v>769</v>
          </cell>
          <cell r="G900" t="str">
            <v>8</v>
          </cell>
          <cell r="H900">
            <v>0</v>
          </cell>
        </row>
        <row r="901">
          <cell r="B901">
            <v>7097</v>
          </cell>
          <cell r="C901" t="str">
            <v>Martin; Patrick W</v>
          </cell>
          <cell r="D901" t="str">
            <v>1C</v>
          </cell>
          <cell r="E901" t="str">
            <v>IBEWOUT</v>
          </cell>
          <cell r="F901" t="str">
            <v>1245</v>
          </cell>
          <cell r="G901" t="str">
            <v>14</v>
          </cell>
          <cell r="H901">
            <v>0</v>
          </cell>
        </row>
        <row r="902">
          <cell r="B902">
            <v>7098</v>
          </cell>
          <cell r="C902" t="str">
            <v>Mazza; Bryan P</v>
          </cell>
          <cell r="D902" t="str">
            <v>1C</v>
          </cell>
          <cell r="E902" t="str">
            <v>IBEWOUT</v>
          </cell>
          <cell r="F902" t="str">
            <v>1245</v>
          </cell>
          <cell r="G902" t="str">
            <v>8</v>
          </cell>
          <cell r="H902">
            <v>0</v>
          </cell>
        </row>
        <row r="903">
          <cell r="B903">
            <v>7099</v>
          </cell>
          <cell r="C903" t="str">
            <v>Martin; Lucas D</v>
          </cell>
          <cell r="D903" t="str">
            <v>1C</v>
          </cell>
          <cell r="E903" t="str">
            <v>IBEWOUT</v>
          </cell>
          <cell r="F903" t="str">
            <v>47</v>
          </cell>
          <cell r="G903" t="str">
            <v>8</v>
          </cell>
          <cell r="H903">
            <v>0</v>
          </cell>
        </row>
        <row r="904">
          <cell r="B904">
            <v>7256</v>
          </cell>
          <cell r="C904" t="str">
            <v>McBride; Joshua L.</v>
          </cell>
          <cell r="D904" t="str">
            <v>1</v>
          </cell>
          <cell r="E904" t="str">
            <v/>
          </cell>
          <cell r="F904" t="str">
            <v/>
          </cell>
          <cell r="G904" t="str">
            <v/>
          </cell>
          <cell r="H904">
            <v>1</v>
          </cell>
        </row>
        <row r="905">
          <cell r="B905">
            <v>7257</v>
          </cell>
          <cell r="C905" t="str">
            <v>McBride; Michael J.</v>
          </cell>
          <cell r="D905" t="str">
            <v>1</v>
          </cell>
          <cell r="E905" t="str">
            <v>IBEWOUT</v>
          </cell>
          <cell r="F905" t="str">
            <v>77</v>
          </cell>
          <cell r="G905" t="str">
            <v>7</v>
          </cell>
          <cell r="H905">
            <v>0</v>
          </cell>
        </row>
        <row r="906">
          <cell r="B906">
            <v>7269</v>
          </cell>
          <cell r="C906" t="str">
            <v>McClaflin; Barrett M</v>
          </cell>
          <cell r="D906" t="str">
            <v>1C</v>
          </cell>
          <cell r="E906" t="str">
            <v>IBEWOUT</v>
          </cell>
          <cell r="F906" t="str">
            <v>1245</v>
          </cell>
          <cell r="G906" t="str">
            <v>8</v>
          </cell>
          <cell r="H906">
            <v>0</v>
          </cell>
        </row>
        <row r="907">
          <cell r="B907">
            <v>7270</v>
          </cell>
          <cell r="C907" t="str">
            <v>McCarver; Shawn M.</v>
          </cell>
          <cell r="D907" t="str">
            <v>1C</v>
          </cell>
          <cell r="E907" t="str">
            <v>IBEWOUT</v>
          </cell>
          <cell r="F907" t="str">
            <v>611</v>
          </cell>
          <cell r="G907" t="str">
            <v>8</v>
          </cell>
          <cell r="H907">
            <v>0</v>
          </cell>
        </row>
        <row r="908">
          <cell r="B908">
            <v>7273</v>
          </cell>
          <cell r="C908" t="str">
            <v>McCarty; Christopher M</v>
          </cell>
          <cell r="D908" t="str">
            <v>1C</v>
          </cell>
          <cell r="E908" t="str">
            <v/>
          </cell>
          <cell r="F908" t="str">
            <v/>
          </cell>
          <cell r="G908" t="str">
            <v/>
          </cell>
          <cell r="H908">
            <v>1</v>
          </cell>
        </row>
        <row r="909">
          <cell r="B909">
            <v>7278</v>
          </cell>
          <cell r="C909" t="str">
            <v>McCool; Trent W</v>
          </cell>
          <cell r="D909" t="str">
            <v>1C</v>
          </cell>
          <cell r="E909" t="str">
            <v>IBEWOUT</v>
          </cell>
          <cell r="F909" t="str">
            <v>769</v>
          </cell>
          <cell r="G909" t="str">
            <v>8</v>
          </cell>
          <cell r="H909">
            <v>0</v>
          </cell>
        </row>
        <row r="910">
          <cell r="B910">
            <v>7284</v>
          </cell>
          <cell r="C910" t="str">
            <v>McCall; Daveion M</v>
          </cell>
          <cell r="D910" t="str">
            <v>1C</v>
          </cell>
          <cell r="E910" t="str">
            <v>IBEWOUT</v>
          </cell>
          <cell r="F910" t="str">
            <v>47</v>
          </cell>
          <cell r="G910" t="str">
            <v>14</v>
          </cell>
          <cell r="H910">
            <v>0</v>
          </cell>
        </row>
        <row r="911">
          <cell r="B911">
            <v>7292</v>
          </cell>
          <cell r="C911" t="str">
            <v>McClellan; John Clark</v>
          </cell>
          <cell r="D911" t="str">
            <v>1C</v>
          </cell>
          <cell r="E911" t="str">
            <v/>
          </cell>
          <cell r="F911" t="str">
            <v/>
          </cell>
          <cell r="G911" t="str">
            <v/>
          </cell>
          <cell r="H911">
            <v>1</v>
          </cell>
        </row>
        <row r="912">
          <cell r="B912">
            <v>7294</v>
          </cell>
          <cell r="C912" t="str">
            <v>McCloskey; Robert J</v>
          </cell>
          <cell r="D912" t="str">
            <v>1C</v>
          </cell>
          <cell r="E912" t="str">
            <v/>
          </cell>
          <cell r="F912" t="str">
            <v/>
          </cell>
          <cell r="G912" t="str">
            <v/>
          </cell>
          <cell r="H912">
            <v>0</v>
          </cell>
        </row>
        <row r="913">
          <cell r="B913">
            <v>7297</v>
          </cell>
          <cell r="C913" t="str">
            <v>McCormick; Tyler J</v>
          </cell>
          <cell r="D913" t="str">
            <v>1</v>
          </cell>
          <cell r="E913" t="str">
            <v>IBEWOUT</v>
          </cell>
          <cell r="F913" t="str">
            <v>769</v>
          </cell>
          <cell r="G913" t="str">
            <v>8</v>
          </cell>
          <cell r="H913">
            <v>0</v>
          </cell>
        </row>
        <row r="914">
          <cell r="B914">
            <v>7324</v>
          </cell>
          <cell r="C914" t="str">
            <v>McElwain; Devin S</v>
          </cell>
          <cell r="D914" t="str">
            <v>1C</v>
          </cell>
          <cell r="E914" t="str">
            <v>IBEWOUT</v>
          </cell>
          <cell r="F914" t="str">
            <v>47</v>
          </cell>
          <cell r="G914" t="str">
            <v>16</v>
          </cell>
          <cell r="H914">
            <v>0</v>
          </cell>
        </row>
        <row r="915">
          <cell r="B915">
            <v>7346</v>
          </cell>
          <cell r="C915" t="str">
            <v>McKee; James J.</v>
          </cell>
          <cell r="D915" t="str">
            <v>1C</v>
          </cell>
          <cell r="E915" t="str">
            <v>IBEWOUT</v>
          </cell>
          <cell r="F915" t="str">
            <v>47</v>
          </cell>
          <cell r="G915" t="str">
            <v>7</v>
          </cell>
          <cell r="H915">
            <v>0</v>
          </cell>
        </row>
        <row r="916">
          <cell r="B916">
            <v>7347</v>
          </cell>
          <cell r="C916" t="str">
            <v>McKernan; Shane C</v>
          </cell>
          <cell r="D916" t="str">
            <v>1C</v>
          </cell>
          <cell r="E916" t="str">
            <v>IBEWOUT</v>
          </cell>
          <cell r="F916" t="str">
            <v>1319</v>
          </cell>
          <cell r="G916" t="str">
            <v>13</v>
          </cell>
          <cell r="H916">
            <v>0</v>
          </cell>
        </row>
        <row r="917">
          <cell r="B917">
            <v>7348</v>
          </cell>
          <cell r="C917" t="str">
            <v>McKenna; Thomas</v>
          </cell>
          <cell r="D917" t="str">
            <v>1C</v>
          </cell>
          <cell r="E917" t="str">
            <v>IBEWIN</v>
          </cell>
          <cell r="F917" t="str">
            <v>280</v>
          </cell>
          <cell r="G917" t="str">
            <v>62</v>
          </cell>
          <cell r="H917">
            <v>0</v>
          </cell>
        </row>
        <row r="918">
          <cell r="B918">
            <v>7349</v>
          </cell>
          <cell r="C918" t="str">
            <v>McKenna; James E</v>
          </cell>
          <cell r="D918" t="str">
            <v>1C</v>
          </cell>
          <cell r="E918" t="str">
            <v>IBEWOUT</v>
          </cell>
          <cell r="F918" t="str">
            <v>1245</v>
          </cell>
          <cell r="G918" t="str">
            <v>17</v>
          </cell>
          <cell r="H918">
            <v>0</v>
          </cell>
        </row>
        <row r="919">
          <cell r="B919">
            <v>7351</v>
          </cell>
          <cell r="C919" t="str">
            <v>McIlwain; Stanley</v>
          </cell>
          <cell r="D919" t="str">
            <v>1C</v>
          </cell>
          <cell r="E919" t="str">
            <v>IBEWOUT</v>
          </cell>
          <cell r="F919" t="str">
            <v>769</v>
          </cell>
          <cell r="G919" t="str">
            <v>8</v>
          </cell>
          <cell r="H919">
            <v>0</v>
          </cell>
        </row>
        <row r="920">
          <cell r="B920">
            <v>7360</v>
          </cell>
          <cell r="C920" t="str">
            <v>McGinnis; Michael J.</v>
          </cell>
          <cell r="D920" t="str">
            <v>1</v>
          </cell>
          <cell r="E920" t="str">
            <v/>
          </cell>
          <cell r="F920" t="str">
            <v/>
          </cell>
          <cell r="G920" t="str">
            <v/>
          </cell>
          <cell r="H920">
            <v>1</v>
          </cell>
        </row>
        <row r="921">
          <cell r="B921">
            <v>7361</v>
          </cell>
          <cell r="C921" t="str">
            <v>McHuen; Richard C</v>
          </cell>
          <cell r="D921" t="str">
            <v>1C</v>
          </cell>
          <cell r="E921" t="str">
            <v>IBEWOUT</v>
          </cell>
          <cell r="F921" t="str">
            <v>1245</v>
          </cell>
          <cell r="G921" t="str">
            <v>8</v>
          </cell>
          <cell r="H921">
            <v>0</v>
          </cell>
        </row>
        <row r="922">
          <cell r="B922">
            <v>7362</v>
          </cell>
          <cell r="C922" t="str">
            <v>McGinnis; Terry Scott</v>
          </cell>
          <cell r="D922" t="str">
            <v>1C</v>
          </cell>
          <cell r="E922" t="str">
            <v>IBEWOUT</v>
          </cell>
          <cell r="F922" t="str">
            <v>769</v>
          </cell>
          <cell r="G922" t="str">
            <v>20</v>
          </cell>
          <cell r="H922">
            <v>0</v>
          </cell>
        </row>
        <row r="923">
          <cell r="B923">
            <v>7364</v>
          </cell>
          <cell r="C923" t="str">
            <v>McIntire; Robert Joe</v>
          </cell>
          <cell r="D923" t="str">
            <v>1</v>
          </cell>
          <cell r="E923" t="str">
            <v>IBEWOUT</v>
          </cell>
          <cell r="F923" t="str">
            <v>47</v>
          </cell>
          <cell r="G923" t="str">
            <v>1</v>
          </cell>
          <cell r="H923">
            <v>1</v>
          </cell>
        </row>
        <row r="924">
          <cell r="B924">
            <v>7367</v>
          </cell>
          <cell r="C924" t="str">
            <v>McInnes; Charles B</v>
          </cell>
          <cell r="D924" t="str">
            <v>1</v>
          </cell>
          <cell r="E924" t="str">
            <v/>
          </cell>
          <cell r="F924" t="str">
            <v/>
          </cell>
          <cell r="G924" t="str">
            <v/>
          </cell>
          <cell r="H924">
            <v>0</v>
          </cell>
        </row>
        <row r="925">
          <cell r="B925">
            <v>7385</v>
          </cell>
          <cell r="C925" t="str">
            <v>McNally; Sean T</v>
          </cell>
          <cell r="D925" t="str">
            <v>1C</v>
          </cell>
          <cell r="E925" t="str">
            <v>IBEWOUT</v>
          </cell>
          <cell r="F925" t="str">
            <v>47</v>
          </cell>
          <cell r="G925" t="str">
            <v>8</v>
          </cell>
          <cell r="H925">
            <v>0</v>
          </cell>
        </row>
        <row r="926">
          <cell r="B926">
            <v>7388</v>
          </cell>
          <cell r="C926" t="str">
            <v>McNiven; Kirk F</v>
          </cell>
          <cell r="D926" t="str">
            <v>1C</v>
          </cell>
          <cell r="E926" t="str">
            <v>IBEWOUT</v>
          </cell>
          <cell r="F926" t="str">
            <v>1245</v>
          </cell>
          <cell r="G926" t="str">
            <v>8</v>
          </cell>
          <cell r="H926">
            <v>0</v>
          </cell>
        </row>
        <row r="927">
          <cell r="B927">
            <v>7390</v>
          </cell>
          <cell r="C927" t="str">
            <v>McManus; Jessie E</v>
          </cell>
          <cell r="D927" t="str">
            <v>1C</v>
          </cell>
          <cell r="E927" t="str">
            <v>IBEWOUT</v>
          </cell>
          <cell r="F927" t="str">
            <v>1245</v>
          </cell>
          <cell r="G927" t="str">
            <v>9</v>
          </cell>
          <cell r="H927">
            <v>0</v>
          </cell>
        </row>
        <row r="928">
          <cell r="B928">
            <v>7391</v>
          </cell>
          <cell r="C928" t="str">
            <v>McPhail; Matthew P</v>
          </cell>
          <cell r="D928" t="str">
            <v>1C</v>
          </cell>
          <cell r="E928" t="str">
            <v>IBEWOUT</v>
          </cell>
          <cell r="F928" t="str">
            <v>1245</v>
          </cell>
          <cell r="G928" t="str">
            <v>8</v>
          </cell>
          <cell r="H928">
            <v>0</v>
          </cell>
        </row>
        <row r="929">
          <cell r="B929">
            <v>7392</v>
          </cell>
          <cell r="C929" t="str">
            <v>McKinley; Don R</v>
          </cell>
          <cell r="D929" t="str">
            <v>1</v>
          </cell>
          <cell r="E929" t="str">
            <v>IBEWOUT</v>
          </cell>
          <cell r="F929" t="str">
            <v>47</v>
          </cell>
          <cell r="G929" t="str">
            <v>7</v>
          </cell>
          <cell r="H929">
            <v>0</v>
          </cell>
        </row>
        <row r="930">
          <cell r="B930">
            <v>7393</v>
          </cell>
          <cell r="C930" t="str">
            <v>McKinnon; Colter Allen</v>
          </cell>
          <cell r="D930" t="str">
            <v>1</v>
          </cell>
          <cell r="E930" t="str">
            <v>IBEWOUT</v>
          </cell>
          <cell r="F930" t="str">
            <v>77</v>
          </cell>
          <cell r="G930" t="str">
            <v>12</v>
          </cell>
          <cell r="H930">
            <v>0</v>
          </cell>
        </row>
        <row r="931">
          <cell r="B931">
            <v>7394</v>
          </cell>
          <cell r="C931" t="str">
            <v>McPherson; Martin L</v>
          </cell>
          <cell r="D931" t="str">
            <v>1C</v>
          </cell>
          <cell r="E931" t="str">
            <v/>
          </cell>
          <cell r="F931" t="str">
            <v/>
          </cell>
          <cell r="G931" t="str">
            <v/>
          </cell>
          <cell r="H931">
            <v>0</v>
          </cell>
        </row>
        <row r="932">
          <cell r="B932">
            <v>7399</v>
          </cell>
          <cell r="C932" t="str">
            <v>McMorrow; Christopher R.</v>
          </cell>
          <cell r="D932" t="str">
            <v>1</v>
          </cell>
          <cell r="E932" t="str">
            <v>IBEWOUT</v>
          </cell>
          <cell r="F932" t="str">
            <v>77</v>
          </cell>
          <cell r="G932" t="str">
            <v>9</v>
          </cell>
          <cell r="H932">
            <v>0</v>
          </cell>
        </row>
        <row r="933">
          <cell r="B933">
            <v>7450</v>
          </cell>
          <cell r="C933" t="str">
            <v>McWhorter II; Gary R</v>
          </cell>
          <cell r="D933" t="str">
            <v>1C</v>
          </cell>
          <cell r="E933" t="str">
            <v>IBEWOUT</v>
          </cell>
          <cell r="F933" t="str">
            <v>769</v>
          </cell>
          <cell r="G933" t="str">
            <v>8</v>
          </cell>
          <cell r="H933">
            <v>0</v>
          </cell>
        </row>
        <row r="934">
          <cell r="B934">
            <v>7475</v>
          </cell>
          <cell r="C934" t="str">
            <v>Medina; Juan M</v>
          </cell>
          <cell r="D934" t="str">
            <v>1</v>
          </cell>
          <cell r="E934" t="str">
            <v/>
          </cell>
          <cell r="F934" t="str">
            <v/>
          </cell>
          <cell r="G934" t="str">
            <v/>
          </cell>
          <cell r="H934">
            <v>0</v>
          </cell>
        </row>
        <row r="935">
          <cell r="B935">
            <v>7477</v>
          </cell>
          <cell r="C935" t="str">
            <v>Medrano; Uriel A</v>
          </cell>
          <cell r="D935" t="str">
            <v>1C</v>
          </cell>
          <cell r="E935" t="str">
            <v>IBEWOUT</v>
          </cell>
          <cell r="F935" t="str">
            <v>77</v>
          </cell>
          <cell r="G935" t="str">
            <v>8</v>
          </cell>
          <cell r="H935">
            <v>0</v>
          </cell>
        </row>
        <row r="936">
          <cell r="B936">
            <v>7481</v>
          </cell>
          <cell r="C936" t="str">
            <v>Meeks; Terry N</v>
          </cell>
          <cell r="D936" t="str">
            <v>1C</v>
          </cell>
          <cell r="E936" t="str">
            <v>IBEWOUT</v>
          </cell>
          <cell r="F936" t="str">
            <v>602R</v>
          </cell>
          <cell r="G936" t="str">
            <v>8</v>
          </cell>
          <cell r="H936">
            <v>0</v>
          </cell>
        </row>
        <row r="937">
          <cell r="B937">
            <v>7488</v>
          </cell>
          <cell r="C937" t="str">
            <v>Merritt; Bryan Thomas</v>
          </cell>
          <cell r="D937" t="str">
            <v>1C</v>
          </cell>
          <cell r="E937" t="str">
            <v>IBEWOUT</v>
          </cell>
          <cell r="F937" t="str">
            <v>769</v>
          </cell>
          <cell r="G937" t="str">
            <v>22</v>
          </cell>
          <cell r="H937">
            <v>0</v>
          </cell>
        </row>
        <row r="938">
          <cell r="B938">
            <v>7489</v>
          </cell>
          <cell r="C938" t="str">
            <v>Melanson; Peter E</v>
          </cell>
          <cell r="D938" t="str">
            <v>1C</v>
          </cell>
          <cell r="E938" t="str">
            <v>IBEWOUT</v>
          </cell>
          <cell r="F938" t="str">
            <v>1049</v>
          </cell>
          <cell r="G938" t="str">
            <v>7</v>
          </cell>
          <cell r="H938">
            <v>0</v>
          </cell>
        </row>
        <row r="939">
          <cell r="B939">
            <v>7490</v>
          </cell>
          <cell r="C939" t="str">
            <v>Meyer; Kristopher A</v>
          </cell>
          <cell r="D939" t="str">
            <v>1C</v>
          </cell>
          <cell r="E939" t="str">
            <v>IBEWOUT</v>
          </cell>
          <cell r="F939" t="str">
            <v>611</v>
          </cell>
          <cell r="G939" t="str">
            <v>18</v>
          </cell>
          <cell r="H939">
            <v>0</v>
          </cell>
        </row>
        <row r="940">
          <cell r="B940">
            <v>7492</v>
          </cell>
          <cell r="C940" t="str">
            <v>Mejia; Armando T</v>
          </cell>
          <cell r="D940" t="str">
            <v>1C</v>
          </cell>
          <cell r="E940" t="str">
            <v>IBEWOUT</v>
          </cell>
          <cell r="F940" t="str">
            <v>47</v>
          </cell>
          <cell r="G940" t="str">
            <v>17</v>
          </cell>
          <cell r="H940">
            <v>0</v>
          </cell>
        </row>
        <row r="941">
          <cell r="B941">
            <v>7497</v>
          </cell>
          <cell r="C941" t="str">
            <v>Mendez; Richard M</v>
          </cell>
          <cell r="D941" t="str">
            <v>1C</v>
          </cell>
          <cell r="E941" t="str">
            <v>IBEWOUT</v>
          </cell>
          <cell r="F941" t="str">
            <v>611</v>
          </cell>
          <cell r="G941" t="str">
            <v>14</v>
          </cell>
          <cell r="H941">
            <v>0</v>
          </cell>
        </row>
        <row r="942">
          <cell r="B942">
            <v>7498</v>
          </cell>
          <cell r="C942" t="str">
            <v>Mendoza; Felipe A</v>
          </cell>
          <cell r="D942" t="str">
            <v>1C</v>
          </cell>
          <cell r="E942" t="str">
            <v>IBEWOUT</v>
          </cell>
          <cell r="F942" t="str">
            <v>1245</v>
          </cell>
          <cell r="G942" t="str">
            <v>7</v>
          </cell>
          <cell r="H942">
            <v>0</v>
          </cell>
        </row>
        <row r="943">
          <cell r="B943">
            <v>7508</v>
          </cell>
          <cell r="C943" t="str">
            <v>Meek; Robert F.</v>
          </cell>
          <cell r="D943" t="str">
            <v>1</v>
          </cell>
          <cell r="E943" t="str">
            <v/>
          </cell>
          <cell r="F943" t="str">
            <v/>
          </cell>
          <cell r="G943" t="str">
            <v/>
          </cell>
          <cell r="H943">
            <v>1</v>
          </cell>
        </row>
        <row r="944">
          <cell r="B944">
            <v>7509</v>
          </cell>
          <cell r="C944" t="str">
            <v>Merlino; Philip M</v>
          </cell>
          <cell r="D944" t="str">
            <v>1C</v>
          </cell>
          <cell r="E944" t="str">
            <v>IBEWOUT</v>
          </cell>
          <cell r="F944" t="str">
            <v>47</v>
          </cell>
          <cell r="G944" t="str">
            <v>8</v>
          </cell>
          <cell r="H944">
            <v>0</v>
          </cell>
        </row>
        <row r="945">
          <cell r="B945">
            <v>7511</v>
          </cell>
          <cell r="C945" t="str">
            <v>Rojas Merino; Reynier</v>
          </cell>
          <cell r="D945" t="str">
            <v>1C</v>
          </cell>
          <cell r="E945" t="str">
            <v>IBEWOUT</v>
          </cell>
          <cell r="F945" t="str">
            <v>1245</v>
          </cell>
          <cell r="G945" t="str">
            <v>8</v>
          </cell>
          <cell r="H945">
            <v>0</v>
          </cell>
        </row>
        <row r="946">
          <cell r="B946">
            <v>7530</v>
          </cell>
          <cell r="C946" t="str">
            <v>Mendoza; Christopher G</v>
          </cell>
          <cell r="D946" t="str">
            <v>1C</v>
          </cell>
          <cell r="E946" t="str">
            <v>IBEWOUT</v>
          </cell>
          <cell r="F946" t="str">
            <v>769</v>
          </cell>
          <cell r="G946" t="str">
            <v>9</v>
          </cell>
          <cell r="H946">
            <v>0</v>
          </cell>
        </row>
        <row r="947">
          <cell r="B947">
            <v>7536</v>
          </cell>
          <cell r="C947" t="str">
            <v>Myklejord; Vance D</v>
          </cell>
          <cell r="D947" t="str">
            <v>1C</v>
          </cell>
          <cell r="E947" t="str">
            <v>IBEWOUT</v>
          </cell>
          <cell r="F947" t="str">
            <v>160</v>
          </cell>
          <cell r="G947" t="str">
            <v>22</v>
          </cell>
          <cell r="H947">
            <v>0</v>
          </cell>
        </row>
        <row r="948">
          <cell r="B948">
            <v>7537</v>
          </cell>
          <cell r="C948" t="str">
            <v>Mickelsen; Matthew R</v>
          </cell>
          <cell r="D948" t="str">
            <v>1C</v>
          </cell>
          <cell r="E948" t="str">
            <v>IBEWOUT</v>
          </cell>
          <cell r="F948" t="str">
            <v>1245</v>
          </cell>
          <cell r="G948" t="str">
            <v>14</v>
          </cell>
          <cell r="H948">
            <v>0</v>
          </cell>
        </row>
        <row r="949">
          <cell r="B949">
            <v>7539</v>
          </cell>
          <cell r="C949" t="str">
            <v>Mendoza; Mathew B</v>
          </cell>
          <cell r="D949" t="str">
            <v>1</v>
          </cell>
          <cell r="E949" t="str">
            <v>IBEWOUT</v>
          </cell>
          <cell r="F949" t="str">
            <v>47</v>
          </cell>
          <cell r="G949" t="str">
            <v>17</v>
          </cell>
          <cell r="H949">
            <v>0</v>
          </cell>
        </row>
        <row r="950">
          <cell r="B950">
            <v>7549</v>
          </cell>
          <cell r="C950" t="str">
            <v>Miller; Dustin W</v>
          </cell>
          <cell r="D950" t="str">
            <v>1C</v>
          </cell>
          <cell r="E950" t="str">
            <v>IBEWOUT</v>
          </cell>
          <cell r="F950" t="str">
            <v>769</v>
          </cell>
          <cell r="G950" t="str">
            <v>22</v>
          </cell>
          <cell r="H950">
            <v>0</v>
          </cell>
        </row>
        <row r="951">
          <cell r="B951">
            <v>7551</v>
          </cell>
          <cell r="C951" t="str">
            <v>Miller; Jeremiah David</v>
          </cell>
          <cell r="D951" t="str">
            <v>1C</v>
          </cell>
          <cell r="E951" t="str">
            <v>IBEWOUT</v>
          </cell>
          <cell r="F951" t="str">
            <v>1245</v>
          </cell>
          <cell r="G951" t="str">
            <v>8</v>
          </cell>
          <cell r="H951">
            <v>0</v>
          </cell>
        </row>
        <row r="952">
          <cell r="B952">
            <v>7552</v>
          </cell>
          <cell r="C952" t="str">
            <v>Miller; Casey S</v>
          </cell>
          <cell r="D952" t="str">
            <v>1</v>
          </cell>
          <cell r="E952" t="str">
            <v/>
          </cell>
          <cell r="F952" t="str">
            <v/>
          </cell>
          <cell r="G952" t="str">
            <v/>
          </cell>
          <cell r="H952">
            <v>0</v>
          </cell>
        </row>
        <row r="953">
          <cell r="B953">
            <v>7564</v>
          </cell>
          <cell r="C953" t="str">
            <v>Mitcham; Kenneth Christopher</v>
          </cell>
          <cell r="D953" t="str">
            <v>1</v>
          </cell>
          <cell r="E953" t="str">
            <v>IBEWOUT</v>
          </cell>
          <cell r="F953" t="str">
            <v>769</v>
          </cell>
          <cell r="G953" t="str">
            <v>7</v>
          </cell>
          <cell r="H953">
            <v>0</v>
          </cell>
        </row>
        <row r="954">
          <cell r="B954">
            <v>7568</v>
          </cell>
          <cell r="C954" t="str">
            <v>Miller; Justin</v>
          </cell>
          <cell r="D954" t="str">
            <v>1C</v>
          </cell>
          <cell r="E954" t="str">
            <v>IBEWOUT</v>
          </cell>
          <cell r="F954" t="str">
            <v>769</v>
          </cell>
          <cell r="G954" t="str">
            <v>8</v>
          </cell>
          <cell r="H954">
            <v>0</v>
          </cell>
        </row>
        <row r="955">
          <cell r="B955">
            <v>7573</v>
          </cell>
          <cell r="C955" t="str">
            <v>Mirick; Quinn J</v>
          </cell>
          <cell r="D955" t="str">
            <v>1C</v>
          </cell>
          <cell r="E955" t="str">
            <v>IBEWOUT</v>
          </cell>
          <cell r="F955" t="str">
            <v>125</v>
          </cell>
          <cell r="G955" t="str">
            <v>13</v>
          </cell>
          <cell r="H955">
            <v>0</v>
          </cell>
        </row>
        <row r="956">
          <cell r="B956">
            <v>7579</v>
          </cell>
          <cell r="C956" t="str">
            <v>Mijal; Maxwell L</v>
          </cell>
          <cell r="D956" t="str">
            <v>1C</v>
          </cell>
          <cell r="E956" t="str">
            <v>IBEWOUT</v>
          </cell>
          <cell r="F956" t="str">
            <v>1319</v>
          </cell>
          <cell r="G956" t="str">
            <v>12</v>
          </cell>
          <cell r="H956">
            <v>0</v>
          </cell>
        </row>
        <row r="957">
          <cell r="B957">
            <v>7583</v>
          </cell>
          <cell r="C957" t="str">
            <v>Minor; Laurence Tipton</v>
          </cell>
          <cell r="D957" t="str">
            <v>1C</v>
          </cell>
          <cell r="E957" t="str">
            <v>IBEWOUT</v>
          </cell>
          <cell r="F957" t="str">
            <v>769</v>
          </cell>
          <cell r="G957" t="str">
            <v>20</v>
          </cell>
          <cell r="H957">
            <v>0</v>
          </cell>
        </row>
        <row r="958">
          <cell r="B958">
            <v>7588</v>
          </cell>
          <cell r="C958" t="str">
            <v>Miller; Ronald I</v>
          </cell>
          <cell r="D958" t="str">
            <v>1C</v>
          </cell>
          <cell r="E958" t="str">
            <v>IBEWOUT</v>
          </cell>
          <cell r="F958" t="str">
            <v>126</v>
          </cell>
          <cell r="G958" t="str">
            <v>16</v>
          </cell>
          <cell r="H958">
            <v>0</v>
          </cell>
        </row>
        <row r="959">
          <cell r="B959">
            <v>7590</v>
          </cell>
          <cell r="C959" t="str">
            <v>Mills; Daniel K</v>
          </cell>
          <cell r="D959" t="str">
            <v>1C</v>
          </cell>
          <cell r="E959" t="str">
            <v>IBEWOUT</v>
          </cell>
          <cell r="F959" t="str">
            <v>1245</v>
          </cell>
          <cell r="G959" t="str">
            <v>8</v>
          </cell>
          <cell r="H959">
            <v>0</v>
          </cell>
        </row>
        <row r="960">
          <cell r="B960">
            <v>7593</v>
          </cell>
          <cell r="C960" t="str">
            <v>Mkrtchyan; Joseph J</v>
          </cell>
          <cell r="D960" t="str">
            <v>1C</v>
          </cell>
          <cell r="E960" t="str">
            <v>IBEWOUT</v>
          </cell>
          <cell r="F960" t="str">
            <v>1245</v>
          </cell>
          <cell r="G960" t="str">
            <v>12</v>
          </cell>
          <cell r="H960">
            <v>0</v>
          </cell>
        </row>
        <row r="961">
          <cell r="B961">
            <v>7678</v>
          </cell>
          <cell r="C961" t="str">
            <v>Mogensen; Royce M</v>
          </cell>
          <cell r="D961" t="str">
            <v>1C</v>
          </cell>
          <cell r="E961" t="str">
            <v>IBEWOUT</v>
          </cell>
          <cell r="F961" t="str">
            <v>47</v>
          </cell>
          <cell r="G961" t="str">
            <v>8</v>
          </cell>
          <cell r="H961">
            <v>0</v>
          </cell>
        </row>
        <row r="962">
          <cell r="B962">
            <v>7679</v>
          </cell>
          <cell r="C962" t="str">
            <v>Mohr; Shawn L</v>
          </cell>
          <cell r="D962" t="str">
            <v>1C</v>
          </cell>
          <cell r="E962" t="str">
            <v>IBEWOUT</v>
          </cell>
          <cell r="F962" t="str">
            <v>1245</v>
          </cell>
          <cell r="G962" t="str">
            <v>12</v>
          </cell>
          <cell r="H962">
            <v>0</v>
          </cell>
        </row>
        <row r="963">
          <cell r="B963">
            <v>7680</v>
          </cell>
          <cell r="C963" t="str">
            <v>Mohamed; Jamil F.</v>
          </cell>
          <cell r="D963" t="str">
            <v>1C</v>
          </cell>
          <cell r="E963" t="str">
            <v>IBEWOUT</v>
          </cell>
          <cell r="F963" t="str">
            <v>1245</v>
          </cell>
          <cell r="G963" t="str">
            <v>60</v>
          </cell>
          <cell r="H963">
            <v>0</v>
          </cell>
        </row>
        <row r="964">
          <cell r="B964">
            <v>7685</v>
          </cell>
          <cell r="C964" t="str">
            <v>Molina; Manuel B</v>
          </cell>
          <cell r="D964" t="str">
            <v>1C</v>
          </cell>
          <cell r="E964" t="str">
            <v>IBEWOUT</v>
          </cell>
          <cell r="F964" t="str">
            <v>47</v>
          </cell>
          <cell r="G964" t="str">
            <v>16</v>
          </cell>
          <cell r="H964">
            <v>0</v>
          </cell>
        </row>
        <row r="965">
          <cell r="B965">
            <v>7697</v>
          </cell>
          <cell r="C965" t="str">
            <v>Montanelli; Ryan D</v>
          </cell>
          <cell r="D965" t="str">
            <v>1C</v>
          </cell>
          <cell r="E965" t="str">
            <v>IBEWOUT</v>
          </cell>
          <cell r="F965" t="str">
            <v>602R</v>
          </cell>
          <cell r="G965" t="str">
            <v>14T</v>
          </cell>
          <cell r="H965">
            <v>0</v>
          </cell>
        </row>
        <row r="966">
          <cell r="B966">
            <v>7699</v>
          </cell>
          <cell r="C966" t="str">
            <v>Monti; Kevin E.</v>
          </cell>
          <cell r="D966" t="str">
            <v>1C</v>
          </cell>
          <cell r="E966" t="str">
            <v>IBEWOUT</v>
          </cell>
          <cell r="F966" t="str">
            <v>47</v>
          </cell>
          <cell r="G966" t="str">
            <v>8</v>
          </cell>
          <cell r="H966">
            <v>0</v>
          </cell>
        </row>
        <row r="967">
          <cell r="B967">
            <v>7700</v>
          </cell>
          <cell r="C967" t="str">
            <v>Montgomery; Tenny</v>
          </cell>
          <cell r="D967" t="str">
            <v>1C</v>
          </cell>
          <cell r="E967" t="str">
            <v/>
          </cell>
          <cell r="F967" t="str">
            <v/>
          </cell>
          <cell r="G967" t="str">
            <v/>
          </cell>
          <cell r="H967">
            <v>0</v>
          </cell>
        </row>
        <row r="968">
          <cell r="B968">
            <v>7734</v>
          </cell>
          <cell r="C968" t="str">
            <v>Moody; Collin J</v>
          </cell>
          <cell r="D968" t="str">
            <v>1</v>
          </cell>
          <cell r="E968" t="str">
            <v>IBEWOUT</v>
          </cell>
          <cell r="F968" t="str">
            <v>77</v>
          </cell>
          <cell r="G968" t="str">
            <v>8</v>
          </cell>
          <cell r="H968">
            <v>0</v>
          </cell>
        </row>
        <row r="969">
          <cell r="B969">
            <v>7738</v>
          </cell>
          <cell r="C969" t="str">
            <v>Moody; Bryan Edward</v>
          </cell>
          <cell r="D969" t="str">
            <v>1</v>
          </cell>
          <cell r="E969" t="str">
            <v>IBEWOUT</v>
          </cell>
          <cell r="F969" t="str">
            <v>77</v>
          </cell>
          <cell r="G969" t="str">
            <v>1</v>
          </cell>
          <cell r="H969">
            <v>1</v>
          </cell>
        </row>
        <row r="970">
          <cell r="B970">
            <v>7740</v>
          </cell>
          <cell r="C970" t="str">
            <v>Moore; Elmer L.</v>
          </cell>
          <cell r="D970" t="str">
            <v>1C</v>
          </cell>
          <cell r="E970" t="str">
            <v>IBEWOUT</v>
          </cell>
          <cell r="F970" t="str">
            <v>47</v>
          </cell>
          <cell r="G970" t="str">
            <v>8</v>
          </cell>
          <cell r="H970">
            <v>0</v>
          </cell>
        </row>
        <row r="971">
          <cell r="B971">
            <v>7741</v>
          </cell>
          <cell r="C971" t="str">
            <v>Moore; George E</v>
          </cell>
          <cell r="D971" t="str">
            <v>1C</v>
          </cell>
          <cell r="E971" t="str">
            <v>IBEWOUT</v>
          </cell>
          <cell r="F971" t="str">
            <v>1245</v>
          </cell>
          <cell r="G971" t="str">
            <v>14</v>
          </cell>
          <cell r="H971">
            <v>0</v>
          </cell>
        </row>
        <row r="972">
          <cell r="B972">
            <v>7753</v>
          </cell>
          <cell r="C972" t="str">
            <v>Moore; John Edward</v>
          </cell>
          <cell r="D972" t="str">
            <v>1C</v>
          </cell>
          <cell r="E972" t="str">
            <v>IBEWOUT</v>
          </cell>
          <cell r="F972" t="str">
            <v>77</v>
          </cell>
          <cell r="G972" t="str">
            <v>16</v>
          </cell>
          <cell r="H972">
            <v>0</v>
          </cell>
        </row>
        <row r="973">
          <cell r="B973">
            <v>7754</v>
          </cell>
          <cell r="C973" t="str">
            <v>Moore; Corey S</v>
          </cell>
          <cell r="D973" t="str">
            <v>1C</v>
          </cell>
          <cell r="E973" t="str">
            <v/>
          </cell>
          <cell r="F973" t="str">
            <v/>
          </cell>
          <cell r="G973" t="str">
            <v/>
          </cell>
          <cell r="H973">
            <v>1</v>
          </cell>
        </row>
        <row r="974">
          <cell r="B974">
            <v>7757</v>
          </cell>
          <cell r="C974" t="str">
            <v>Moore; Stephen W.</v>
          </cell>
          <cell r="D974" t="str">
            <v>1C</v>
          </cell>
          <cell r="E974" t="str">
            <v>IBEWOUT</v>
          </cell>
          <cell r="F974" t="str">
            <v>1245</v>
          </cell>
          <cell r="G974" t="str">
            <v>8</v>
          </cell>
          <cell r="H974">
            <v>0</v>
          </cell>
        </row>
        <row r="975">
          <cell r="B975">
            <v>7758</v>
          </cell>
          <cell r="C975" t="str">
            <v>Moore; Randall C</v>
          </cell>
          <cell r="D975" t="str">
            <v>1</v>
          </cell>
          <cell r="E975" t="str">
            <v/>
          </cell>
          <cell r="F975" t="str">
            <v/>
          </cell>
          <cell r="G975" t="str">
            <v/>
          </cell>
          <cell r="H975">
            <v>0</v>
          </cell>
        </row>
        <row r="976">
          <cell r="B976">
            <v>7759</v>
          </cell>
          <cell r="C976" t="str">
            <v>Moore; Timothy B</v>
          </cell>
          <cell r="D976" t="str">
            <v>1C</v>
          </cell>
          <cell r="E976" t="str">
            <v>IBEWOUT</v>
          </cell>
          <cell r="F976" t="str">
            <v>126</v>
          </cell>
          <cell r="G976" t="str">
            <v>33</v>
          </cell>
          <cell r="H976">
            <v>0</v>
          </cell>
        </row>
        <row r="977">
          <cell r="B977">
            <v>7760</v>
          </cell>
          <cell r="C977" t="str">
            <v>Moore Jr; Wesley</v>
          </cell>
          <cell r="D977" t="str">
            <v>1C</v>
          </cell>
          <cell r="E977" t="str">
            <v>IBEWOUT</v>
          </cell>
          <cell r="F977" t="str">
            <v>396</v>
          </cell>
          <cell r="G977" t="str">
            <v>21</v>
          </cell>
          <cell r="H977">
            <v>0</v>
          </cell>
        </row>
        <row r="978">
          <cell r="B978">
            <v>7800</v>
          </cell>
          <cell r="C978" t="str">
            <v>Morales; Ariel</v>
          </cell>
          <cell r="D978" t="str">
            <v>1C</v>
          </cell>
          <cell r="E978" t="str">
            <v>IBEWOUT</v>
          </cell>
          <cell r="F978" t="str">
            <v>47</v>
          </cell>
          <cell r="G978" t="str">
            <v>17</v>
          </cell>
          <cell r="H978">
            <v>0</v>
          </cell>
        </row>
        <row r="979">
          <cell r="B979">
            <v>7804</v>
          </cell>
          <cell r="C979" t="str">
            <v>Moran; Jon B</v>
          </cell>
          <cell r="D979" t="str">
            <v>1C</v>
          </cell>
          <cell r="E979" t="str">
            <v>IBEWOUT</v>
          </cell>
          <cell r="F979" t="str">
            <v>602R</v>
          </cell>
          <cell r="G979" t="str">
            <v>15T</v>
          </cell>
          <cell r="H979">
            <v>0</v>
          </cell>
        </row>
        <row r="980">
          <cell r="B980">
            <v>7806</v>
          </cell>
          <cell r="C980" t="str">
            <v>Moranda; Justin S</v>
          </cell>
          <cell r="D980" t="str">
            <v>1C</v>
          </cell>
          <cell r="E980" t="str">
            <v>IBEWOUT</v>
          </cell>
          <cell r="F980" t="str">
            <v>1245</v>
          </cell>
          <cell r="G980" t="str">
            <v>9</v>
          </cell>
          <cell r="H980">
            <v>0</v>
          </cell>
        </row>
        <row r="981">
          <cell r="B981">
            <v>7815</v>
          </cell>
          <cell r="C981" t="str">
            <v>Moreno; Carlos</v>
          </cell>
          <cell r="D981" t="str">
            <v>1C</v>
          </cell>
          <cell r="E981" t="str">
            <v>IBEWOUT</v>
          </cell>
          <cell r="F981" t="str">
            <v>47</v>
          </cell>
          <cell r="G981" t="str">
            <v>8</v>
          </cell>
          <cell r="H981">
            <v>0</v>
          </cell>
        </row>
        <row r="982">
          <cell r="B982">
            <v>7817</v>
          </cell>
          <cell r="C982" t="str">
            <v>Moreno; Solomon I</v>
          </cell>
          <cell r="D982" t="str">
            <v>1C</v>
          </cell>
          <cell r="E982" t="str">
            <v>IBEWOUT</v>
          </cell>
          <cell r="F982" t="str">
            <v>47</v>
          </cell>
          <cell r="G982" t="str">
            <v>17</v>
          </cell>
          <cell r="H982">
            <v>0</v>
          </cell>
        </row>
        <row r="983">
          <cell r="B983">
            <v>7819</v>
          </cell>
          <cell r="C983" t="str">
            <v>Morey; Tod W</v>
          </cell>
          <cell r="D983" t="str">
            <v>1</v>
          </cell>
          <cell r="E983" t="str">
            <v/>
          </cell>
          <cell r="F983" t="str">
            <v/>
          </cell>
          <cell r="G983" t="str">
            <v/>
          </cell>
          <cell r="H983">
            <v>0</v>
          </cell>
        </row>
        <row r="984">
          <cell r="B984">
            <v>7821</v>
          </cell>
          <cell r="C984" t="str">
            <v>Morgan; Thomas J</v>
          </cell>
          <cell r="D984" t="str">
            <v>1C</v>
          </cell>
          <cell r="E984" t="str">
            <v>IBEWOUT</v>
          </cell>
          <cell r="F984" t="str">
            <v>1319</v>
          </cell>
          <cell r="G984" t="str">
            <v>13</v>
          </cell>
          <cell r="H984">
            <v>0</v>
          </cell>
        </row>
        <row r="985">
          <cell r="B985">
            <v>7823</v>
          </cell>
          <cell r="C985" t="str">
            <v>Morgan; Blaine D</v>
          </cell>
          <cell r="D985" t="str">
            <v>1C</v>
          </cell>
          <cell r="E985" t="str">
            <v>IBEWOUT</v>
          </cell>
          <cell r="F985" t="str">
            <v>47</v>
          </cell>
          <cell r="G985" t="str">
            <v>8</v>
          </cell>
          <cell r="H985">
            <v>0</v>
          </cell>
        </row>
        <row r="986">
          <cell r="B986">
            <v>7841</v>
          </cell>
          <cell r="C986" t="str">
            <v>Morrow; Joshua K.</v>
          </cell>
          <cell r="D986" t="str">
            <v>1C</v>
          </cell>
          <cell r="E986" t="str">
            <v/>
          </cell>
          <cell r="F986" t="str">
            <v/>
          </cell>
          <cell r="G986" t="str">
            <v/>
          </cell>
          <cell r="H986">
            <v>0</v>
          </cell>
        </row>
        <row r="987">
          <cell r="B987">
            <v>7842</v>
          </cell>
          <cell r="C987" t="str">
            <v>Morton Jr.; Jeff P.</v>
          </cell>
          <cell r="D987" t="str">
            <v>1C</v>
          </cell>
          <cell r="E987" t="str">
            <v>IBEWOUT</v>
          </cell>
          <cell r="F987" t="str">
            <v>47</v>
          </cell>
          <cell r="G987" t="str">
            <v>8</v>
          </cell>
          <cell r="H987">
            <v>0</v>
          </cell>
        </row>
        <row r="988">
          <cell r="B988">
            <v>7843</v>
          </cell>
          <cell r="C988" t="str">
            <v>Morton; Zac R</v>
          </cell>
          <cell r="D988" t="str">
            <v>1C</v>
          </cell>
          <cell r="E988" t="str">
            <v>IBEWOUT</v>
          </cell>
          <cell r="F988" t="str">
            <v>769</v>
          </cell>
          <cell r="G988" t="str">
            <v>8</v>
          </cell>
          <cell r="H988">
            <v>0</v>
          </cell>
        </row>
        <row r="989">
          <cell r="B989">
            <v>7844</v>
          </cell>
          <cell r="C989" t="str">
            <v>Morton; Jess T.</v>
          </cell>
          <cell r="D989" t="str">
            <v>1C</v>
          </cell>
          <cell r="E989" t="str">
            <v>IBEWOUT</v>
          </cell>
          <cell r="F989" t="str">
            <v>47</v>
          </cell>
          <cell r="G989" t="str">
            <v>8</v>
          </cell>
          <cell r="H989">
            <v>0</v>
          </cell>
        </row>
        <row r="990">
          <cell r="B990">
            <v>7845</v>
          </cell>
          <cell r="C990" t="str">
            <v>Moser; Ted T</v>
          </cell>
          <cell r="D990" t="str">
            <v>1C</v>
          </cell>
          <cell r="E990" t="str">
            <v>IBEWOUT</v>
          </cell>
          <cell r="F990" t="str">
            <v>77</v>
          </cell>
          <cell r="G990" t="str">
            <v>8</v>
          </cell>
          <cell r="H990">
            <v>0</v>
          </cell>
        </row>
        <row r="991">
          <cell r="B991">
            <v>7850</v>
          </cell>
          <cell r="C991" t="str">
            <v>Morris; Nicholas L</v>
          </cell>
          <cell r="D991" t="str">
            <v>1C</v>
          </cell>
          <cell r="E991" t="str">
            <v>IBEWOUT</v>
          </cell>
          <cell r="F991" t="str">
            <v>77</v>
          </cell>
          <cell r="G991" t="str">
            <v>8</v>
          </cell>
          <cell r="H991">
            <v>0</v>
          </cell>
        </row>
        <row r="992">
          <cell r="B992">
            <v>7851</v>
          </cell>
          <cell r="C992" t="str">
            <v>Morris; Kurt A.</v>
          </cell>
          <cell r="D992" t="str">
            <v>1C</v>
          </cell>
          <cell r="E992" t="str">
            <v>IBEWOUT</v>
          </cell>
          <cell r="F992" t="str">
            <v>1319</v>
          </cell>
          <cell r="G992" t="str">
            <v>13</v>
          </cell>
          <cell r="H992">
            <v>0</v>
          </cell>
        </row>
        <row r="993">
          <cell r="B993">
            <v>7852</v>
          </cell>
          <cell r="C993" t="str">
            <v>Morrison; Brian A</v>
          </cell>
          <cell r="D993" t="str">
            <v>1</v>
          </cell>
          <cell r="E993" t="str">
            <v/>
          </cell>
          <cell r="F993" t="str">
            <v/>
          </cell>
          <cell r="G993" t="str">
            <v/>
          </cell>
          <cell r="H993">
            <v>1</v>
          </cell>
        </row>
        <row r="994">
          <cell r="B994">
            <v>7867</v>
          </cell>
          <cell r="C994" t="str">
            <v>Moua; Bee</v>
          </cell>
          <cell r="D994" t="str">
            <v>1C</v>
          </cell>
          <cell r="E994" t="str">
            <v>IBEWOUT</v>
          </cell>
          <cell r="F994" t="str">
            <v>1245</v>
          </cell>
          <cell r="G994" t="str">
            <v>60</v>
          </cell>
          <cell r="H994">
            <v>0</v>
          </cell>
        </row>
        <row r="995">
          <cell r="B995">
            <v>7884</v>
          </cell>
          <cell r="C995" t="str">
            <v>Moyle; Bradley D</v>
          </cell>
          <cell r="D995" t="str">
            <v>1</v>
          </cell>
          <cell r="E995" t="str">
            <v>IBEWOUT</v>
          </cell>
          <cell r="F995" t="str">
            <v>769</v>
          </cell>
          <cell r="G995" t="str">
            <v>14</v>
          </cell>
          <cell r="H995">
            <v>0</v>
          </cell>
        </row>
        <row r="996">
          <cell r="B996">
            <v>7910</v>
          </cell>
          <cell r="C996" t="str">
            <v>Murphy; James B</v>
          </cell>
          <cell r="D996" t="str">
            <v>1C</v>
          </cell>
          <cell r="E996" t="str">
            <v>IBEWOUT</v>
          </cell>
          <cell r="F996" t="str">
            <v>1245</v>
          </cell>
          <cell r="G996" t="str">
            <v>10</v>
          </cell>
          <cell r="H996">
            <v>0</v>
          </cell>
        </row>
        <row r="997">
          <cell r="B997">
            <v>7916</v>
          </cell>
          <cell r="C997" t="str">
            <v>Muse; Brian P</v>
          </cell>
          <cell r="D997" t="str">
            <v>1C</v>
          </cell>
          <cell r="E997" t="str">
            <v>IBEWOUT</v>
          </cell>
          <cell r="F997" t="str">
            <v>104</v>
          </cell>
          <cell r="G997" t="str">
            <v>8</v>
          </cell>
          <cell r="H997">
            <v>0</v>
          </cell>
        </row>
        <row r="998">
          <cell r="B998">
            <v>7917</v>
          </cell>
          <cell r="C998" t="str">
            <v>Murphy; Taylor M</v>
          </cell>
          <cell r="D998" t="str">
            <v>1</v>
          </cell>
          <cell r="E998" t="str">
            <v/>
          </cell>
          <cell r="F998" t="str">
            <v/>
          </cell>
          <cell r="G998" t="str">
            <v/>
          </cell>
          <cell r="H998">
            <v>1</v>
          </cell>
        </row>
        <row r="999">
          <cell r="B999">
            <v>7919</v>
          </cell>
          <cell r="C999" t="str">
            <v>Musgrove; Roy E</v>
          </cell>
          <cell r="D999" t="str">
            <v>1C</v>
          </cell>
          <cell r="E999" t="str">
            <v>IBEWOUT</v>
          </cell>
          <cell r="F999" t="str">
            <v>396</v>
          </cell>
          <cell r="G999" t="str">
            <v>8</v>
          </cell>
          <cell r="H999">
            <v>0</v>
          </cell>
        </row>
        <row r="1000">
          <cell r="B1000">
            <v>7920</v>
          </cell>
          <cell r="C1000" t="str">
            <v>Murray; Byron Todd</v>
          </cell>
          <cell r="D1000" t="str">
            <v>1</v>
          </cell>
          <cell r="E1000" t="str">
            <v>IBEWOUT</v>
          </cell>
          <cell r="F1000" t="str">
            <v>47</v>
          </cell>
          <cell r="G1000" t="str">
            <v>16</v>
          </cell>
          <cell r="H1000">
            <v>0</v>
          </cell>
        </row>
        <row r="1001">
          <cell r="B1001">
            <v>7921</v>
          </cell>
          <cell r="C1001" t="str">
            <v>Murrell; Jimmie L</v>
          </cell>
          <cell r="D1001" t="str">
            <v>1C</v>
          </cell>
          <cell r="E1001" t="str">
            <v>IBEWOUT</v>
          </cell>
          <cell r="F1001" t="str">
            <v>1245</v>
          </cell>
          <cell r="G1001" t="str">
            <v>8</v>
          </cell>
          <cell r="H1001">
            <v>0</v>
          </cell>
        </row>
        <row r="1002">
          <cell r="B1002">
            <v>7931</v>
          </cell>
          <cell r="C1002" t="str">
            <v>Myers; Bradley T</v>
          </cell>
          <cell r="D1002" t="str">
            <v>1C</v>
          </cell>
          <cell r="E1002" t="str">
            <v>IBEWOUT</v>
          </cell>
          <cell r="F1002" t="str">
            <v>1245</v>
          </cell>
          <cell r="G1002" t="str">
            <v>8</v>
          </cell>
          <cell r="H1002">
            <v>0</v>
          </cell>
        </row>
        <row r="1003">
          <cell r="B1003">
            <v>7932</v>
          </cell>
          <cell r="C1003" t="str">
            <v>Myers; Craig L</v>
          </cell>
          <cell r="D1003" t="str">
            <v>1C</v>
          </cell>
          <cell r="E1003" t="str">
            <v>IBEWOUT</v>
          </cell>
          <cell r="F1003" t="str">
            <v>160</v>
          </cell>
          <cell r="G1003" t="str">
            <v>8</v>
          </cell>
          <cell r="H1003">
            <v>0</v>
          </cell>
        </row>
        <row r="1004">
          <cell r="B1004">
            <v>7935</v>
          </cell>
          <cell r="C1004" t="str">
            <v>Nail; Brandon C</v>
          </cell>
          <cell r="D1004" t="str">
            <v>1C</v>
          </cell>
          <cell r="E1004" t="str">
            <v>IBEWOUT</v>
          </cell>
          <cell r="F1004" t="str">
            <v>1245</v>
          </cell>
          <cell r="G1004" t="str">
            <v>17</v>
          </cell>
          <cell r="H1004">
            <v>0</v>
          </cell>
        </row>
        <row r="1005">
          <cell r="B1005">
            <v>7961</v>
          </cell>
          <cell r="C1005" t="str">
            <v>Nadzom; Bradley A.</v>
          </cell>
          <cell r="D1005" t="str">
            <v>1C</v>
          </cell>
          <cell r="E1005" t="str">
            <v>IBEWOUT</v>
          </cell>
          <cell r="F1005" t="str">
            <v>1319</v>
          </cell>
          <cell r="G1005" t="str">
            <v>8</v>
          </cell>
          <cell r="H1005">
            <v>0</v>
          </cell>
        </row>
        <row r="1006">
          <cell r="B1006">
            <v>8008</v>
          </cell>
          <cell r="C1006" t="str">
            <v>Natrop; Ronald J</v>
          </cell>
          <cell r="D1006" t="str">
            <v>1</v>
          </cell>
          <cell r="E1006" t="str">
            <v/>
          </cell>
          <cell r="F1006" t="str">
            <v/>
          </cell>
          <cell r="G1006" t="str">
            <v/>
          </cell>
          <cell r="H1006">
            <v>0</v>
          </cell>
        </row>
        <row r="1007">
          <cell r="B1007">
            <v>8024</v>
          </cell>
          <cell r="C1007" t="str">
            <v>Naylor; Joel L</v>
          </cell>
          <cell r="D1007" t="str">
            <v>1C</v>
          </cell>
          <cell r="E1007" t="str">
            <v/>
          </cell>
          <cell r="F1007" t="str">
            <v/>
          </cell>
          <cell r="G1007" t="str">
            <v/>
          </cell>
          <cell r="H1007">
            <v>1</v>
          </cell>
        </row>
        <row r="1008">
          <cell r="B1008">
            <v>8025</v>
          </cell>
          <cell r="C1008" t="str">
            <v>Navarro; Daniel</v>
          </cell>
          <cell r="D1008" t="str">
            <v>1C</v>
          </cell>
          <cell r="E1008" t="str">
            <v>IBEWOUT</v>
          </cell>
          <cell r="F1008" t="str">
            <v>47</v>
          </cell>
          <cell r="G1008" t="str">
            <v>17</v>
          </cell>
          <cell r="H1008">
            <v>0</v>
          </cell>
        </row>
        <row r="1009">
          <cell r="B1009">
            <v>8026</v>
          </cell>
          <cell r="C1009" t="str">
            <v>Naylor; Joseph D</v>
          </cell>
          <cell r="D1009" t="str">
            <v>1C</v>
          </cell>
          <cell r="E1009" t="str">
            <v>IBEWOUT</v>
          </cell>
          <cell r="F1009" t="str">
            <v>1319</v>
          </cell>
          <cell r="G1009" t="str">
            <v>8</v>
          </cell>
          <cell r="H1009">
            <v>0</v>
          </cell>
        </row>
        <row r="1010">
          <cell r="B1010">
            <v>8027</v>
          </cell>
          <cell r="C1010" t="str">
            <v>Navarro; Michael D</v>
          </cell>
          <cell r="D1010" t="str">
            <v>1</v>
          </cell>
          <cell r="E1010" t="str">
            <v>IBEWOUT</v>
          </cell>
          <cell r="F1010" t="str">
            <v>47</v>
          </cell>
          <cell r="G1010" t="str">
            <v>16</v>
          </cell>
          <cell r="H1010">
            <v>0</v>
          </cell>
        </row>
        <row r="1011">
          <cell r="B1011">
            <v>8040</v>
          </cell>
          <cell r="C1011" t="str">
            <v>Nearhood; William J</v>
          </cell>
          <cell r="D1011" t="str">
            <v>1C</v>
          </cell>
          <cell r="E1011" t="str">
            <v>IBEWOUT</v>
          </cell>
          <cell r="F1011" t="str">
            <v>126</v>
          </cell>
          <cell r="G1011" t="str">
            <v>8</v>
          </cell>
          <cell r="H1011">
            <v>0</v>
          </cell>
        </row>
        <row r="1012">
          <cell r="B1012">
            <v>8041</v>
          </cell>
          <cell r="C1012" t="str">
            <v>Nease; Jeffrey B.</v>
          </cell>
          <cell r="D1012" t="str">
            <v>1C</v>
          </cell>
          <cell r="E1012" t="str">
            <v/>
          </cell>
          <cell r="F1012" t="str">
            <v/>
          </cell>
          <cell r="G1012" t="str">
            <v/>
          </cell>
          <cell r="H1012">
            <v>1</v>
          </cell>
        </row>
        <row r="1013">
          <cell r="B1013">
            <v>8043</v>
          </cell>
          <cell r="C1013" t="str">
            <v>Neace; Shane D</v>
          </cell>
          <cell r="D1013" t="str">
            <v>1C</v>
          </cell>
          <cell r="E1013" t="str">
            <v>IBEWOUT</v>
          </cell>
          <cell r="F1013" t="str">
            <v>1245</v>
          </cell>
          <cell r="G1013" t="str">
            <v>8</v>
          </cell>
          <cell r="H1013">
            <v>0</v>
          </cell>
        </row>
        <row r="1014">
          <cell r="B1014">
            <v>8046</v>
          </cell>
          <cell r="C1014" t="str">
            <v>Nelson; Daniel E</v>
          </cell>
          <cell r="D1014" t="str">
            <v>1C</v>
          </cell>
          <cell r="E1014" t="str">
            <v>IBEWOUT</v>
          </cell>
          <cell r="F1014" t="str">
            <v>1245</v>
          </cell>
          <cell r="G1014" t="str">
            <v>12</v>
          </cell>
          <cell r="H1014">
            <v>0</v>
          </cell>
        </row>
        <row r="1015">
          <cell r="B1015">
            <v>8047</v>
          </cell>
          <cell r="C1015" t="str">
            <v>Nelson Jr; Donald C</v>
          </cell>
          <cell r="D1015" t="str">
            <v>1C</v>
          </cell>
          <cell r="E1015" t="str">
            <v>IBEWOUT</v>
          </cell>
          <cell r="F1015" t="str">
            <v>77</v>
          </cell>
          <cell r="G1015" t="str">
            <v>15</v>
          </cell>
          <cell r="H1015">
            <v>0</v>
          </cell>
        </row>
        <row r="1016">
          <cell r="B1016">
            <v>8048</v>
          </cell>
          <cell r="C1016" t="str">
            <v>Nelson; Travis E</v>
          </cell>
          <cell r="D1016" t="str">
            <v>1C</v>
          </cell>
          <cell r="E1016" t="str">
            <v>IBEWOUT</v>
          </cell>
          <cell r="F1016" t="str">
            <v>47</v>
          </cell>
          <cell r="G1016" t="str">
            <v>8</v>
          </cell>
          <cell r="H1016">
            <v>0</v>
          </cell>
        </row>
        <row r="1017">
          <cell r="B1017">
            <v>8070</v>
          </cell>
          <cell r="C1017" t="str">
            <v>Nichols; Jesse J.</v>
          </cell>
          <cell r="D1017" t="str">
            <v>1C</v>
          </cell>
          <cell r="E1017" t="str">
            <v>IBEWOUT</v>
          </cell>
          <cell r="F1017" t="str">
            <v>47</v>
          </cell>
          <cell r="G1017" t="str">
            <v>60</v>
          </cell>
          <cell r="H1017">
            <v>0</v>
          </cell>
        </row>
        <row r="1018">
          <cell r="B1018">
            <v>8072</v>
          </cell>
          <cell r="C1018" t="str">
            <v>Neuman; Dennis D</v>
          </cell>
          <cell r="D1018" t="str">
            <v>1C</v>
          </cell>
          <cell r="E1018" t="str">
            <v>IBEWOUT</v>
          </cell>
          <cell r="F1018" t="str">
            <v>160</v>
          </cell>
          <cell r="G1018" t="str">
            <v>8</v>
          </cell>
          <cell r="H1018">
            <v>0</v>
          </cell>
        </row>
        <row r="1019">
          <cell r="B1019">
            <v>8073</v>
          </cell>
          <cell r="C1019" t="str">
            <v>Newberry; Dominick F</v>
          </cell>
          <cell r="D1019" t="str">
            <v>1C</v>
          </cell>
          <cell r="E1019" t="str">
            <v>IBEWOUT</v>
          </cell>
          <cell r="F1019" t="str">
            <v>1319</v>
          </cell>
          <cell r="G1019" t="str">
            <v>18</v>
          </cell>
          <cell r="H1019">
            <v>0</v>
          </cell>
        </row>
        <row r="1020">
          <cell r="B1020">
            <v>8077</v>
          </cell>
          <cell r="C1020" t="str">
            <v>Neuberger; Shane M</v>
          </cell>
          <cell r="D1020" t="str">
            <v>1C</v>
          </cell>
          <cell r="E1020" t="str">
            <v>IBEWOUT</v>
          </cell>
          <cell r="F1020" t="str">
            <v>160</v>
          </cell>
          <cell r="G1020" t="str">
            <v>22</v>
          </cell>
          <cell r="H1020">
            <v>0</v>
          </cell>
        </row>
        <row r="1021">
          <cell r="B1021">
            <v>8080</v>
          </cell>
          <cell r="C1021" t="str">
            <v>Nemesio; Jorge L.</v>
          </cell>
          <cell r="D1021" t="str">
            <v>1C</v>
          </cell>
          <cell r="E1021" t="str">
            <v>IBEWOUT</v>
          </cell>
          <cell r="F1021" t="str">
            <v>1245</v>
          </cell>
          <cell r="G1021" t="str">
            <v>70</v>
          </cell>
          <cell r="H1021">
            <v>0</v>
          </cell>
        </row>
        <row r="1022">
          <cell r="B1022">
            <v>8082</v>
          </cell>
          <cell r="C1022" t="str">
            <v>Nicoloff; Philip J</v>
          </cell>
          <cell r="D1022" t="str">
            <v>1C</v>
          </cell>
          <cell r="E1022" t="str">
            <v>IBEWOUT</v>
          </cell>
          <cell r="F1022" t="str">
            <v>769</v>
          </cell>
          <cell r="G1022" t="str">
            <v>35</v>
          </cell>
          <cell r="H1022">
            <v>0</v>
          </cell>
        </row>
        <row r="1023">
          <cell r="B1023">
            <v>8091</v>
          </cell>
          <cell r="C1023" t="str">
            <v>Nimmo; Scott Michael</v>
          </cell>
          <cell r="D1023" t="str">
            <v>1C</v>
          </cell>
          <cell r="E1023" t="str">
            <v>IBEWOUT</v>
          </cell>
          <cell r="F1023" t="str">
            <v>769</v>
          </cell>
          <cell r="G1023" t="str">
            <v>10</v>
          </cell>
          <cell r="H1023">
            <v>0</v>
          </cell>
        </row>
        <row r="1024">
          <cell r="B1024">
            <v>8096</v>
          </cell>
          <cell r="C1024" t="str">
            <v>Nickolei; Christopher R</v>
          </cell>
          <cell r="D1024" t="str">
            <v>1C</v>
          </cell>
          <cell r="E1024" t="str">
            <v>IBEWOUT</v>
          </cell>
          <cell r="F1024" t="str">
            <v>47</v>
          </cell>
          <cell r="G1024" t="str">
            <v>17</v>
          </cell>
          <cell r="H1024">
            <v>0</v>
          </cell>
        </row>
        <row r="1025">
          <cell r="B1025">
            <v>8097</v>
          </cell>
          <cell r="C1025" t="str">
            <v>Nickerson; Rodney W</v>
          </cell>
          <cell r="D1025" t="str">
            <v>1C</v>
          </cell>
          <cell r="E1025" t="str">
            <v>IBEWOUT</v>
          </cell>
          <cell r="F1025" t="str">
            <v>1245</v>
          </cell>
          <cell r="G1025" t="str">
            <v>17</v>
          </cell>
          <cell r="H1025">
            <v>0</v>
          </cell>
        </row>
        <row r="1026">
          <cell r="B1026">
            <v>8137</v>
          </cell>
          <cell r="C1026" t="str">
            <v>Noel; Bryce Dylan</v>
          </cell>
          <cell r="D1026" t="str">
            <v>1C</v>
          </cell>
          <cell r="E1026" t="str">
            <v>IBEWOUT</v>
          </cell>
          <cell r="F1026" t="str">
            <v>1245</v>
          </cell>
          <cell r="G1026" t="str">
            <v>8</v>
          </cell>
          <cell r="H1026">
            <v>0</v>
          </cell>
        </row>
        <row r="1027">
          <cell r="B1027">
            <v>8138</v>
          </cell>
          <cell r="C1027" t="str">
            <v>Noel; Tyler D.</v>
          </cell>
          <cell r="D1027" t="str">
            <v>1C</v>
          </cell>
          <cell r="E1027" t="str">
            <v>IBEWOUT</v>
          </cell>
          <cell r="F1027" t="str">
            <v>1245</v>
          </cell>
          <cell r="G1027" t="str">
            <v>17</v>
          </cell>
          <cell r="H1027">
            <v>0</v>
          </cell>
        </row>
        <row r="1028">
          <cell r="B1028">
            <v>8142</v>
          </cell>
          <cell r="C1028" t="str">
            <v>Novins; Steve</v>
          </cell>
          <cell r="D1028" t="str">
            <v>1C</v>
          </cell>
          <cell r="E1028" t="str">
            <v>IBEWOUT</v>
          </cell>
          <cell r="F1028" t="str">
            <v>1245</v>
          </cell>
          <cell r="G1028" t="str">
            <v>16</v>
          </cell>
          <cell r="H1028">
            <v>0</v>
          </cell>
        </row>
        <row r="1029">
          <cell r="B1029">
            <v>8143</v>
          </cell>
          <cell r="C1029" t="str">
            <v>Novak; Triston J.</v>
          </cell>
          <cell r="D1029" t="str">
            <v>1C</v>
          </cell>
          <cell r="E1029" t="str">
            <v>IBEWOUT</v>
          </cell>
          <cell r="F1029" t="str">
            <v>77</v>
          </cell>
          <cell r="G1029" t="str">
            <v>10</v>
          </cell>
          <cell r="H1029">
            <v>0</v>
          </cell>
        </row>
        <row r="1030">
          <cell r="B1030">
            <v>8154</v>
          </cell>
          <cell r="C1030" t="str">
            <v>Norsworthy; Jonathan R.</v>
          </cell>
          <cell r="D1030" t="str">
            <v>1C</v>
          </cell>
          <cell r="E1030" t="str">
            <v>IBEWOUT</v>
          </cell>
          <cell r="F1030" t="str">
            <v>602R</v>
          </cell>
          <cell r="G1030" t="str">
            <v>8</v>
          </cell>
          <cell r="H1030">
            <v>0</v>
          </cell>
        </row>
        <row r="1031">
          <cell r="B1031">
            <v>8155</v>
          </cell>
          <cell r="C1031" t="str">
            <v>Norcutt; Devin W</v>
          </cell>
          <cell r="D1031" t="str">
            <v>1C</v>
          </cell>
          <cell r="E1031" t="str">
            <v>IBEWOUT</v>
          </cell>
          <cell r="F1031" t="str">
            <v>1245</v>
          </cell>
          <cell r="G1031" t="str">
            <v>8</v>
          </cell>
          <cell r="H1031">
            <v>0</v>
          </cell>
        </row>
        <row r="1032">
          <cell r="B1032">
            <v>8157</v>
          </cell>
          <cell r="C1032" t="str">
            <v>Norton; Joseph T</v>
          </cell>
          <cell r="D1032" t="str">
            <v>1</v>
          </cell>
          <cell r="E1032" t="str">
            <v>IBEWOUT</v>
          </cell>
          <cell r="F1032" t="str">
            <v>769</v>
          </cell>
          <cell r="G1032" t="str">
            <v>8</v>
          </cell>
          <cell r="H1032">
            <v>0</v>
          </cell>
        </row>
        <row r="1033">
          <cell r="B1033">
            <v>8165</v>
          </cell>
          <cell r="C1033" t="str">
            <v>Nunez; Hector</v>
          </cell>
          <cell r="D1033" t="str">
            <v>1C</v>
          </cell>
          <cell r="E1033" t="str">
            <v>IBEWOUT</v>
          </cell>
          <cell r="F1033" t="str">
            <v>47</v>
          </cell>
          <cell r="G1033" t="str">
            <v>17</v>
          </cell>
          <cell r="H1033">
            <v>0</v>
          </cell>
        </row>
        <row r="1034">
          <cell r="B1034">
            <v>8171</v>
          </cell>
          <cell r="C1034" t="str">
            <v>Obregon; Matthew D</v>
          </cell>
          <cell r="D1034" t="str">
            <v>1C</v>
          </cell>
          <cell r="E1034" t="str">
            <v/>
          </cell>
          <cell r="F1034" t="str">
            <v/>
          </cell>
          <cell r="G1034" t="str">
            <v/>
          </cell>
          <cell r="H1034">
            <v>0</v>
          </cell>
        </row>
        <row r="1035">
          <cell r="B1035">
            <v>8172</v>
          </cell>
          <cell r="C1035" t="str">
            <v>Ochoa; Edward</v>
          </cell>
          <cell r="D1035" t="str">
            <v>1C</v>
          </cell>
          <cell r="E1035" t="str">
            <v>IBEWOUT</v>
          </cell>
          <cell r="F1035" t="str">
            <v>47</v>
          </cell>
          <cell r="G1035" t="str">
            <v>60</v>
          </cell>
          <cell r="H1035">
            <v>0</v>
          </cell>
        </row>
        <row r="1036">
          <cell r="B1036">
            <v>8176</v>
          </cell>
          <cell r="C1036" t="str">
            <v>O'Brien; Timothy J.</v>
          </cell>
          <cell r="D1036" t="str">
            <v>1C</v>
          </cell>
          <cell r="E1036" t="str">
            <v>IBEWOUT</v>
          </cell>
          <cell r="F1036" t="str">
            <v>77</v>
          </cell>
          <cell r="G1036" t="str">
            <v>10</v>
          </cell>
          <cell r="H1036">
            <v>0</v>
          </cell>
        </row>
        <row r="1037">
          <cell r="B1037">
            <v>8177</v>
          </cell>
          <cell r="C1037" t="str">
            <v>O'Brien; Brandon Scott</v>
          </cell>
          <cell r="D1037" t="str">
            <v>1C</v>
          </cell>
          <cell r="E1037" t="str">
            <v>IBEWOUT</v>
          </cell>
          <cell r="F1037" t="str">
            <v>1245</v>
          </cell>
          <cell r="G1037" t="str">
            <v>7</v>
          </cell>
          <cell r="H1037">
            <v>0</v>
          </cell>
        </row>
        <row r="1038">
          <cell r="B1038">
            <v>8178</v>
          </cell>
          <cell r="C1038" t="str">
            <v>Ocegueda; Fernando R</v>
          </cell>
          <cell r="D1038" t="str">
            <v>1C</v>
          </cell>
          <cell r="E1038" t="str">
            <v>IBEWOUT</v>
          </cell>
          <cell r="F1038" t="str">
            <v>47</v>
          </cell>
          <cell r="G1038" t="str">
            <v>8</v>
          </cell>
          <cell r="H1038">
            <v>0</v>
          </cell>
        </row>
        <row r="1039">
          <cell r="B1039">
            <v>8180</v>
          </cell>
          <cell r="C1039" t="str">
            <v>O'Connor; Travis L</v>
          </cell>
          <cell r="D1039" t="str">
            <v>1C</v>
          </cell>
          <cell r="E1039" t="str">
            <v>IBEWOUT</v>
          </cell>
          <cell r="F1039" t="str">
            <v>1245</v>
          </cell>
          <cell r="G1039" t="str">
            <v>14</v>
          </cell>
          <cell r="H1039">
            <v>0</v>
          </cell>
        </row>
        <row r="1040">
          <cell r="B1040">
            <v>8181</v>
          </cell>
          <cell r="C1040" t="str">
            <v>O'Hogan; Kevin S</v>
          </cell>
          <cell r="D1040" t="str">
            <v>1C</v>
          </cell>
          <cell r="E1040" t="str">
            <v/>
          </cell>
          <cell r="F1040" t="str">
            <v/>
          </cell>
          <cell r="G1040" t="str">
            <v/>
          </cell>
          <cell r="H1040">
            <v>0</v>
          </cell>
        </row>
        <row r="1041">
          <cell r="B1041">
            <v>8182</v>
          </cell>
          <cell r="C1041" t="str">
            <v>O'Hara; Ryan M</v>
          </cell>
          <cell r="D1041" t="str">
            <v>1</v>
          </cell>
          <cell r="E1041" t="str">
            <v>IBEWOUT</v>
          </cell>
          <cell r="F1041" t="str">
            <v>611</v>
          </cell>
          <cell r="G1041" t="str">
            <v>15</v>
          </cell>
          <cell r="H1041">
            <v>0</v>
          </cell>
        </row>
        <row r="1042">
          <cell r="B1042">
            <v>8185</v>
          </cell>
          <cell r="C1042" t="str">
            <v>Ogden; Craig T</v>
          </cell>
          <cell r="D1042" t="str">
            <v>1C</v>
          </cell>
          <cell r="E1042" t="str">
            <v>IBEWOUT</v>
          </cell>
          <cell r="F1042" t="str">
            <v>1245</v>
          </cell>
          <cell r="G1042" t="str">
            <v>11</v>
          </cell>
          <cell r="H1042">
            <v>0</v>
          </cell>
        </row>
        <row r="1043">
          <cell r="B1043">
            <v>8191</v>
          </cell>
          <cell r="C1043" t="str">
            <v>Ochoa; Domingo</v>
          </cell>
          <cell r="D1043" t="str">
            <v>1C</v>
          </cell>
          <cell r="E1043" t="str">
            <v/>
          </cell>
          <cell r="F1043" t="str">
            <v/>
          </cell>
          <cell r="G1043" t="str">
            <v/>
          </cell>
          <cell r="H1043">
            <v>1</v>
          </cell>
        </row>
        <row r="1044">
          <cell r="B1044">
            <v>8194</v>
          </cell>
          <cell r="C1044" t="str">
            <v>Ochoa; Luis</v>
          </cell>
          <cell r="D1044" t="str">
            <v>1C</v>
          </cell>
          <cell r="E1044" t="str">
            <v>IBEWOUT</v>
          </cell>
          <cell r="F1044" t="str">
            <v>1245</v>
          </cell>
          <cell r="G1044" t="str">
            <v>15</v>
          </cell>
          <cell r="H1044">
            <v>0</v>
          </cell>
        </row>
        <row r="1045">
          <cell r="B1045">
            <v>8196</v>
          </cell>
          <cell r="C1045" t="str">
            <v>Ochoa; Johnny Jacob</v>
          </cell>
          <cell r="D1045" t="str">
            <v>1C</v>
          </cell>
          <cell r="E1045" t="str">
            <v/>
          </cell>
          <cell r="F1045" t="str">
            <v/>
          </cell>
          <cell r="G1045" t="str">
            <v/>
          </cell>
          <cell r="H1045">
            <v>1</v>
          </cell>
        </row>
        <row r="1046">
          <cell r="B1046">
            <v>8201</v>
          </cell>
          <cell r="C1046" t="str">
            <v>Olson; Todd</v>
          </cell>
          <cell r="D1046" t="str">
            <v>1C</v>
          </cell>
          <cell r="E1046" t="str">
            <v>IBEWOUT</v>
          </cell>
          <cell r="F1046" t="str">
            <v>1049</v>
          </cell>
          <cell r="G1046" t="str">
            <v>8</v>
          </cell>
          <cell r="H1046">
            <v>0</v>
          </cell>
        </row>
        <row r="1047">
          <cell r="B1047">
            <v>8203</v>
          </cell>
          <cell r="C1047" t="str">
            <v>Olson; William F.</v>
          </cell>
          <cell r="D1047" t="str">
            <v>1</v>
          </cell>
          <cell r="E1047" t="str">
            <v/>
          </cell>
          <cell r="F1047" t="str">
            <v/>
          </cell>
          <cell r="G1047" t="str">
            <v/>
          </cell>
          <cell r="H1047">
            <v>0</v>
          </cell>
        </row>
        <row r="1048">
          <cell r="B1048">
            <v>8204</v>
          </cell>
          <cell r="C1048" t="str">
            <v>Oosthof; Ryan R.</v>
          </cell>
          <cell r="D1048" t="str">
            <v>1C</v>
          </cell>
          <cell r="E1048" t="str">
            <v>IBEWOUT</v>
          </cell>
          <cell r="F1048" t="str">
            <v>125</v>
          </cell>
          <cell r="G1048" t="str">
            <v>8</v>
          </cell>
          <cell r="H1048">
            <v>0</v>
          </cell>
        </row>
        <row r="1049">
          <cell r="B1049">
            <v>8207</v>
          </cell>
          <cell r="C1049" t="str">
            <v>O'Neill; Nicholas</v>
          </cell>
          <cell r="D1049" t="str">
            <v>1C</v>
          </cell>
          <cell r="E1049" t="str">
            <v>IBEWOUT</v>
          </cell>
          <cell r="F1049" t="str">
            <v>47</v>
          </cell>
          <cell r="G1049" t="str">
            <v>8</v>
          </cell>
          <cell r="H1049">
            <v>0</v>
          </cell>
        </row>
        <row r="1050">
          <cell r="B1050">
            <v>8208</v>
          </cell>
          <cell r="C1050" t="str">
            <v>Oliphant; Paul D</v>
          </cell>
          <cell r="D1050" t="str">
            <v>1C</v>
          </cell>
          <cell r="E1050" t="str">
            <v>IBEWOUT</v>
          </cell>
          <cell r="F1050" t="str">
            <v>602R</v>
          </cell>
          <cell r="G1050" t="str">
            <v>8</v>
          </cell>
          <cell r="H1050">
            <v>0</v>
          </cell>
        </row>
        <row r="1051">
          <cell r="B1051">
            <v>8211</v>
          </cell>
          <cell r="C1051" t="str">
            <v>Olberding; Jim F</v>
          </cell>
          <cell r="D1051" t="str">
            <v>1C</v>
          </cell>
          <cell r="E1051" t="str">
            <v>IBEWOUT</v>
          </cell>
          <cell r="F1051" t="str">
            <v>47</v>
          </cell>
          <cell r="G1051" t="str">
            <v>8</v>
          </cell>
          <cell r="H1051">
            <v>0</v>
          </cell>
        </row>
        <row r="1052">
          <cell r="B1052">
            <v>8219</v>
          </cell>
          <cell r="C1052" t="str">
            <v>Ortega; Lamar S</v>
          </cell>
          <cell r="D1052" t="str">
            <v>1C</v>
          </cell>
          <cell r="E1052" t="str">
            <v>IBEWOUT</v>
          </cell>
          <cell r="F1052" t="str">
            <v>47</v>
          </cell>
          <cell r="G1052" t="str">
            <v>8</v>
          </cell>
          <cell r="H1052">
            <v>0</v>
          </cell>
        </row>
        <row r="1053">
          <cell r="B1053">
            <v>8231</v>
          </cell>
          <cell r="C1053" t="str">
            <v>Ostrander; Matthew Z.</v>
          </cell>
          <cell r="D1053" t="str">
            <v>1</v>
          </cell>
          <cell r="E1053" t="str">
            <v/>
          </cell>
          <cell r="F1053" t="str">
            <v/>
          </cell>
          <cell r="G1053" t="str">
            <v/>
          </cell>
          <cell r="H1053">
            <v>0</v>
          </cell>
        </row>
        <row r="1054">
          <cell r="B1054">
            <v>8237</v>
          </cell>
          <cell r="C1054" t="str">
            <v>Overly; Bradley Williams</v>
          </cell>
          <cell r="D1054" t="str">
            <v>1C</v>
          </cell>
          <cell r="E1054" t="str">
            <v>IBEWOUT</v>
          </cell>
          <cell r="F1054" t="str">
            <v>396</v>
          </cell>
          <cell r="G1054" t="str">
            <v>21</v>
          </cell>
          <cell r="H1054">
            <v>0</v>
          </cell>
        </row>
        <row r="1055">
          <cell r="B1055">
            <v>8240</v>
          </cell>
          <cell r="C1055" t="str">
            <v>Ornelas; Chrystin N</v>
          </cell>
          <cell r="D1055" t="str">
            <v>1C</v>
          </cell>
          <cell r="E1055" t="str">
            <v>IBEWOUT</v>
          </cell>
          <cell r="F1055" t="str">
            <v>47</v>
          </cell>
          <cell r="G1055" t="str">
            <v>17</v>
          </cell>
          <cell r="H1055">
            <v>0</v>
          </cell>
        </row>
        <row r="1056">
          <cell r="B1056">
            <v>8242</v>
          </cell>
          <cell r="C1056" t="str">
            <v>Oswald II; Douglas D</v>
          </cell>
          <cell r="D1056" t="str">
            <v>1</v>
          </cell>
          <cell r="E1056" t="str">
            <v>IBEWOUT</v>
          </cell>
          <cell r="F1056" t="str">
            <v>1245</v>
          </cell>
          <cell r="G1056" t="str">
            <v>16</v>
          </cell>
          <cell r="H1056">
            <v>0</v>
          </cell>
        </row>
        <row r="1057">
          <cell r="B1057">
            <v>8243</v>
          </cell>
          <cell r="C1057" t="str">
            <v>Olson; Zachery J.</v>
          </cell>
          <cell r="D1057" t="str">
            <v>1C</v>
          </cell>
          <cell r="E1057" t="str">
            <v>IBEWOUT</v>
          </cell>
          <cell r="F1057" t="str">
            <v>47</v>
          </cell>
          <cell r="G1057" t="str">
            <v>8</v>
          </cell>
          <cell r="H1057">
            <v>0</v>
          </cell>
        </row>
        <row r="1058">
          <cell r="B1058">
            <v>8247</v>
          </cell>
          <cell r="C1058" t="str">
            <v>Origer; Caleb J</v>
          </cell>
          <cell r="D1058" t="str">
            <v>1C</v>
          </cell>
          <cell r="E1058" t="str">
            <v>IBEWOUT</v>
          </cell>
          <cell r="F1058" t="str">
            <v>47</v>
          </cell>
          <cell r="G1058" t="str">
            <v>8</v>
          </cell>
          <cell r="H1058">
            <v>0</v>
          </cell>
        </row>
        <row r="1059">
          <cell r="B1059">
            <v>8249</v>
          </cell>
          <cell r="C1059" t="str">
            <v>Ortega; Nick F.</v>
          </cell>
          <cell r="D1059" t="str">
            <v>1C</v>
          </cell>
          <cell r="E1059" t="str">
            <v>IBEWOUT</v>
          </cell>
          <cell r="F1059" t="str">
            <v>47</v>
          </cell>
          <cell r="G1059" t="str">
            <v>8</v>
          </cell>
          <cell r="H1059">
            <v>0</v>
          </cell>
        </row>
        <row r="1060">
          <cell r="B1060">
            <v>8250</v>
          </cell>
          <cell r="C1060" t="str">
            <v>Ortiz; John R.</v>
          </cell>
          <cell r="D1060" t="str">
            <v>1C</v>
          </cell>
          <cell r="E1060" t="str">
            <v>IBEWOUT</v>
          </cell>
          <cell r="F1060" t="str">
            <v>1245</v>
          </cell>
          <cell r="G1060" t="str">
            <v>17</v>
          </cell>
          <cell r="H1060">
            <v>0</v>
          </cell>
        </row>
        <row r="1061">
          <cell r="B1061">
            <v>8255</v>
          </cell>
          <cell r="C1061" t="str">
            <v>Ortiz; Rocky</v>
          </cell>
          <cell r="D1061" t="str">
            <v>1C</v>
          </cell>
          <cell r="E1061" t="str">
            <v>IBEWOUT</v>
          </cell>
          <cell r="F1061" t="str">
            <v>1245</v>
          </cell>
          <cell r="G1061" t="str">
            <v>70</v>
          </cell>
          <cell r="H1061">
            <v>0</v>
          </cell>
        </row>
        <row r="1062">
          <cell r="B1062">
            <v>8258</v>
          </cell>
          <cell r="C1062" t="str">
            <v>Olmos-Ramos; Antonio D</v>
          </cell>
          <cell r="D1062" t="str">
            <v>1</v>
          </cell>
          <cell r="E1062" t="str">
            <v/>
          </cell>
          <cell r="F1062" t="str">
            <v/>
          </cell>
          <cell r="G1062" t="str">
            <v/>
          </cell>
          <cell r="H1062">
            <v>0</v>
          </cell>
        </row>
        <row r="1063">
          <cell r="B1063">
            <v>8260</v>
          </cell>
          <cell r="C1063" t="str">
            <v>Pacheco; Erick</v>
          </cell>
          <cell r="D1063" t="str">
            <v>1C</v>
          </cell>
          <cell r="E1063" t="str">
            <v>IBEWOUT</v>
          </cell>
          <cell r="F1063" t="str">
            <v>47</v>
          </cell>
          <cell r="G1063" t="str">
            <v>8</v>
          </cell>
          <cell r="H1063">
            <v>0</v>
          </cell>
        </row>
        <row r="1064">
          <cell r="B1064">
            <v>8265</v>
          </cell>
          <cell r="C1064" t="str">
            <v>Paddock; Gary L</v>
          </cell>
          <cell r="D1064" t="str">
            <v>1C</v>
          </cell>
          <cell r="E1064" t="str">
            <v>IBEWOUT</v>
          </cell>
          <cell r="F1064" t="str">
            <v>1319</v>
          </cell>
          <cell r="G1064" t="str">
            <v>18</v>
          </cell>
          <cell r="H1064">
            <v>0</v>
          </cell>
        </row>
        <row r="1065">
          <cell r="B1065">
            <v>8276</v>
          </cell>
          <cell r="C1065" t="str">
            <v>Padilla; Nicholas B.</v>
          </cell>
          <cell r="D1065" t="str">
            <v>1C</v>
          </cell>
          <cell r="E1065" t="str">
            <v>IBEWOUT</v>
          </cell>
          <cell r="F1065" t="str">
            <v>1245</v>
          </cell>
          <cell r="G1065" t="str">
            <v>8</v>
          </cell>
          <cell r="H1065">
            <v>0</v>
          </cell>
        </row>
        <row r="1066">
          <cell r="B1066">
            <v>8280</v>
          </cell>
          <cell r="C1066" t="str">
            <v>Seekell; Robert R</v>
          </cell>
          <cell r="D1066" t="str">
            <v>1C</v>
          </cell>
          <cell r="E1066" t="str">
            <v>IBEWOUT</v>
          </cell>
          <cell r="F1066" t="str">
            <v>1245</v>
          </cell>
          <cell r="G1066" t="str">
            <v>8</v>
          </cell>
          <cell r="H1066">
            <v>0</v>
          </cell>
        </row>
        <row r="1067">
          <cell r="B1067">
            <v>8281</v>
          </cell>
          <cell r="C1067" t="str">
            <v>Paola; Jonathan M.</v>
          </cell>
          <cell r="D1067" t="str">
            <v>1C</v>
          </cell>
          <cell r="E1067" t="str">
            <v>IBEWOUT</v>
          </cell>
          <cell r="F1067" t="str">
            <v>47</v>
          </cell>
          <cell r="G1067" t="str">
            <v>60</v>
          </cell>
          <cell r="H1067">
            <v>0</v>
          </cell>
        </row>
        <row r="1068">
          <cell r="B1068">
            <v>8283</v>
          </cell>
          <cell r="C1068" t="str">
            <v>Pawlak; Jacob T</v>
          </cell>
          <cell r="D1068" t="str">
            <v>1</v>
          </cell>
          <cell r="E1068" t="str">
            <v>IBEWOUT</v>
          </cell>
          <cell r="F1068" t="str">
            <v>769</v>
          </cell>
          <cell r="G1068" t="str">
            <v>12</v>
          </cell>
          <cell r="H1068">
            <v>0</v>
          </cell>
        </row>
        <row r="1069">
          <cell r="B1069">
            <v>8284</v>
          </cell>
          <cell r="C1069" t="str">
            <v>Pandolfi Jr.; James L</v>
          </cell>
          <cell r="D1069" t="str">
            <v>1C</v>
          </cell>
          <cell r="E1069" t="str">
            <v>IBEWOUT</v>
          </cell>
          <cell r="F1069" t="str">
            <v>160</v>
          </cell>
          <cell r="G1069" t="str">
            <v>8</v>
          </cell>
          <cell r="H1069">
            <v>0</v>
          </cell>
        </row>
        <row r="1070">
          <cell r="B1070">
            <v>8286</v>
          </cell>
          <cell r="C1070" t="str">
            <v>Papendick; Dale R</v>
          </cell>
          <cell r="D1070" t="str">
            <v>1</v>
          </cell>
          <cell r="E1070" t="str">
            <v/>
          </cell>
          <cell r="F1070" t="str">
            <v/>
          </cell>
          <cell r="G1070" t="str">
            <v/>
          </cell>
          <cell r="H1070">
            <v>0</v>
          </cell>
        </row>
        <row r="1071">
          <cell r="B1071">
            <v>8292</v>
          </cell>
          <cell r="C1071" t="str">
            <v>Park Campbell; Kyle C.</v>
          </cell>
          <cell r="D1071" t="str">
            <v>1</v>
          </cell>
          <cell r="E1071" t="str">
            <v/>
          </cell>
          <cell r="F1071" t="str">
            <v/>
          </cell>
          <cell r="G1071" t="str">
            <v/>
          </cell>
          <cell r="H1071">
            <v>0</v>
          </cell>
        </row>
        <row r="1072">
          <cell r="B1072">
            <v>8293</v>
          </cell>
          <cell r="C1072" t="str">
            <v>Parlett; Chad T</v>
          </cell>
          <cell r="D1072" t="str">
            <v>1</v>
          </cell>
          <cell r="E1072" t="str">
            <v>IBEWOUT</v>
          </cell>
          <cell r="F1072" t="str">
            <v>47</v>
          </cell>
          <cell r="G1072" t="str">
            <v>33</v>
          </cell>
          <cell r="H1072">
            <v>0</v>
          </cell>
        </row>
        <row r="1073">
          <cell r="B1073">
            <v>8300</v>
          </cell>
          <cell r="C1073" t="str">
            <v>Parker; Cody B</v>
          </cell>
          <cell r="D1073" t="str">
            <v>1C</v>
          </cell>
          <cell r="E1073" t="str">
            <v>IBEWOUT</v>
          </cell>
          <cell r="F1073" t="str">
            <v>1245</v>
          </cell>
          <cell r="G1073" t="str">
            <v>8</v>
          </cell>
          <cell r="H1073">
            <v>0</v>
          </cell>
        </row>
        <row r="1074">
          <cell r="B1074">
            <v>8301</v>
          </cell>
          <cell r="C1074" t="str">
            <v>Parmenter; George N.</v>
          </cell>
          <cell r="D1074" t="str">
            <v>1C</v>
          </cell>
          <cell r="E1074" t="str">
            <v>IBEWOUT</v>
          </cell>
          <cell r="F1074" t="str">
            <v>1245</v>
          </cell>
          <cell r="G1074" t="str">
            <v>7</v>
          </cell>
          <cell r="H1074">
            <v>0</v>
          </cell>
        </row>
        <row r="1075">
          <cell r="B1075">
            <v>8302</v>
          </cell>
          <cell r="C1075" t="str">
            <v>Parrish; Brandy M</v>
          </cell>
          <cell r="D1075" t="str">
            <v>1</v>
          </cell>
          <cell r="E1075" t="str">
            <v/>
          </cell>
          <cell r="F1075" t="str">
            <v/>
          </cell>
          <cell r="G1075" t="str">
            <v/>
          </cell>
          <cell r="H1075">
            <v>1</v>
          </cell>
        </row>
        <row r="1076">
          <cell r="B1076">
            <v>8303</v>
          </cell>
          <cell r="C1076" t="str">
            <v>Parten; Michael A</v>
          </cell>
          <cell r="D1076" t="str">
            <v>1C</v>
          </cell>
          <cell r="E1076" t="str">
            <v>IBEWOUT</v>
          </cell>
          <cell r="F1076" t="str">
            <v>125</v>
          </cell>
          <cell r="G1076" t="str">
            <v>8</v>
          </cell>
          <cell r="H1076">
            <v>0</v>
          </cell>
        </row>
        <row r="1077">
          <cell r="B1077">
            <v>8304</v>
          </cell>
          <cell r="C1077" t="str">
            <v>Parrisher; Colin K</v>
          </cell>
          <cell r="D1077" t="str">
            <v>1C</v>
          </cell>
          <cell r="E1077" t="str">
            <v>IBEWOUT</v>
          </cell>
          <cell r="F1077" t="str">
            <v>126</v>
          </cell>
          <cell r="G1077" t="str">
            <v>7</v>
          </cell>
          <cell r="H1077">
            <v>0</v>
          </cell>
        </row>
        <row r="1078">
          <cell r="B1078">
            <v>8317</v>
          </cell>
          <cell r="C1078" t="str">
            <v>Palacios Jr; Agustin Caudillo</v>
          </cell>
          <cell r="D1078" t="str">
            <v>1</v>
          </cell>
          <cell r="E1078" t="str">
            <v/>
          </cell>
          <cell r="F1078" t="str">
            <v/>
          </cell>
          <cell r="G1078" t="str">
            <v/>
          </cell>
          <cell r="H1078">
            <v>1</v>
          </cell>
        </row>
        <row r="1079">
          <cell r="B1079">
            <v>8320</v>
          </cell>
          <cell r="C1079" t="str">
            <v>Patchell; Oren J</v>
          </cell>
          <cell r="D1079" t="str">
            <v>1</v>
          </cell>
          <cell r="E1079" t="str">
            <v>IBEWOUT</v>
          </cell>
          <cell r="F1079" t="str">
            <v>769</v>
          </cell>
          <cell r="G1079" t="str">
            <v>8</v>
          </cell>
          <cell r="H1079">
            <v>0</v>
          </cell>
        </row>
        <row r="1080">
          <cell r="B1080">
            <v>8321</v>
          </cell>
          <cell r="C1080" t="str">
            <v>Paterno; Anthony L</v>
          </cell>
          <cell r="D1080" t="str">
            <v>1</v>
          </cell>
          <cell r="E1080" t="str">
            <v>IBEWOUT</v>
          </cell>
          <cell r="F1080" t="str">
            <v>77</v>
          </cell>
          <cell r="G1080" t="str">
            <v>7</v>
          </cell>
          <cell r="H1080">
            <v>0</v>
          </cell>
        </row>
        <row r="1081">
          <cell r="B1081">
            <v>8325</v>
          </cell>
          <cell r="C1081" t="str">
            <v>Palacios; Alberto C</v>
          </cell>
          <cell r="D1081" t="str">
            <v>1</v>
          </cell>
          <cell r="E1081" t="str">
            <v/>
          </cell>
          <cell r="F1081" t="str">
            <v/>
          </cell>
          <cell r="G1081" t="str">
            <v/>
          </cell>
          <cell r="H1081">
            <v>0</v>
          </cell>
        </row>
        <row r="1082">
          <cell r="B1082">
            <v>8328</v>
          </cell>
          <cell r="C1082" t="str">
            <v>Pauley; Ryan H.</v>
          </cell>
          <cell r="D1082" t="str">
            <v>1C</v>
          </cell>
          <cell r="E1082" t="str">
            <v>IBEWOUT</v>
          </cell>
          <cell r="F1082" t="str">
            <v>77</v>
          </cell>
          <cell r="G1082" t="str">
            <v>8</v>
          </cell>
          <cell r="H1082">
            <v>0</v>
          </cell>
        </row>
        <row r="1083">
          <cell r="B1083">
            <v>8329</v>
          </cell>
          <cell r="C1083" t="str">
            <v>Palacios; Levi S</v>
          </cell>
          <cell r="D1083" t="str">
            <v>1C</v>
          </cell>
          <cell r="E1083" t="str">
            <v>IBEWOUT</v>
          </cell>
          <cell r="F1083" t="str">
            <v>1245</v>
          </cell>
          <cell r="G1083" t="str">
            <v>9</v>
          </cell>
          <cell r="H1083">
            <v>0</v>
          </cell>
        </row>
        <row r="1084">
          <cell r="B1084">
            <v>8330</v>
          </cell>
          <cell r="C1084" t="str">
            <v>Paull; Chadwick R</v>
          </cell>
          <cell r="D1084" t="str">
            <v>1C</v>
          </cell>
          <cell r="E1084" t="str">
            <v>IBEWOUT</v>
          </cell>
          <cell r="F1084" t="str">
            <v>47</v>
          </cell>
          <cell r="G1084" t="str">
            <v>8</v>
          </cell>
          <cell r="H1084">
            <v>0</v>
          </cell>
        </row>
        <row r="1085">
          <cell r="B1085">
            <v>8332</v>
          </cell>
          <cell r="C1085" t="str">
            <v>Payne; Marlin C</v>
          </cell>
          <cell r="D1085" t="str">
            <v>1</v>
          </cell>
          <cell r="E1085" t="str">
            <v>IBEWOUT</v>
          </cell>
          <cell r="F1085" t="str">
            <v>125</v>
          </cell>
          <cell r="G1085" t="str">
            <v>33</v>
          </cell>
          <cell r="H1085">
            <v>0</v>
          </cell>
        </row>
        <row r="1086">
          <cell r="B1086">
            <v>8334</v>
          </cell>
          <cell r="C1086" t="str">
            <v>Paez; David A</v>
          </cell>
          <cell r="D1086" t="str">
            <v>1C</v>
          </cell>
          <cell r="E1086" t="str">
            <v>IBEWOUT</v>
          </cell>
          <cell r="F1086" t="str">
            <v>47</v>
          </cell>
          <cell r="G1086" t="str">
            <v>13</v>
          </cell>
          <cell r="H1086">
            <v>0</v>
          </cell>
        </row>
        <row r="1087">
          <cell r="B1087">
            <v>8335</v>
          </cell>
          <cell r="C1087" t="str">
            <v>Paz; Arturo</v>
          </cell>
          <cell r="D1087" t="str">
            <v>1C</v>
          </cell>
          <cell r="E1087" t="str">
            <v>IBEWOUT</v>
          </cell>
          <cell r="F1087" t="str">
            <v>47</v>
          </cell>
          <cell r="G1087" t="str">
            <v>17</v>
          </cell>
          <cell r="H1087">
            <v>0</v>
          </cell>
        </row>
        <row r="1088">
          <cell r="B1088">
            <v>8336</v>
          </cell>
          <cell r="C1088" t="str">
            <v>Palacios; Alberto A</v>
          </cell>
          <cell r="D1088" t="str">
            <v>1C</v>
          </cell>
          <cell r="E1088" t="str">
            <v>IBEWOUT</v>
          </cell>
          <cell r="F1088" t="str">
            <v>47</v>
          </cell>
          <cell r="G1088" t="str">
            <v>17</v>
          </cell>
          <cell r="H1088">
            <v>0</v>
          </cell>
        </row>
        <row r="1089">
          <cell r="B1089">
            <v>8340</v>
          </cell>
          <cell r="C1089" t="str">
            <v>Paulsen; Michael B.</v>
          </cell>
          <cell r="D1089" t="str">
            <v>1C</v>
          </cell>
          <cell r="E1089" t="str">
            <v>IBEWOUT</v>
          </cell>
          <cell r="F1089" t="str">
            <v>1245</v>
          </cell>
          <cell r="G1089" t="str">
            <v>8</v>
          </cell>
          <cell r="H1089">
            <v>0</v>
          </cell>
        </row>
        <row r="1090">
          <cell r="B1090">
            <v>8341</v>
          </cell>
          <cell r="C1090" t="str">
            <v>Pavon; Marcus T</v>
          </cell>
          <cell r="D1090" t="str">
            <v>1C</v>
          </cell>
          <cell r="E1090" t="str">
            <v>IBEWOUT</v>
          </cell>
          <cell r="F1090" t="str">
            <v>1245</v>
          </cell>
          <cell r="G1090" t="str">
            <v>8</v>
          </cell>
          <cell r="H1090">
            <v>0</v>
          </cell>
        </row>
        <row r="1091">
          <cell r="B1091">
            <v>8342</v>
          </cell>
          <cell r="C1091" t="str">
            <v>Pavao; Jordan J</v>
          </cell>
          <cell r="D1091" t="str">
            <v>1C</v>
          </cell>
          <cell r="E1091" t="str">
            <v>IBEWOUT</v>
          </cell>
          <cell r="F1091" t="str">
            <v>104</v>
          </cell>
          <cell r="G1091" t="str">
            <v>15</v>
          </cell>
          <cell r="H1091">
            <v>0</v>
          </cell>
        </row>
        <row r="1092">
          <cell r="B1092">
            <v>8343</v>
          </cell>
          <cell r="C1092" t="str">
            <v>Pedersen; Daniel D</v>
          </cell>
          <cell r="D1092" t="str">
            <v>1C</v>
          </cell>
          <cell r="E1092" t="str">
            <v>IBEWOUT</v>
          </cell>
          <cell r="F1092" t="str">
            <v>1245</v>
          </cell>
          <cell r="G1092" t="str">
            <v>17</v>
          </cell>
          <cell r="H1092">
            <v>0</v>
          </cell>
        </row>
        <row r="1093">
          <cell r="B1093">
            <v>8345</v>
          </cell>
          <cell r="C1093" t="str">
            <v>Peachy; Joseph F</v>
          </cell>
          <cell r="D1093" t="str">
            <v>1C</v>
          </cell>
          <cell r="E1093" t="str">
            <v>IBEWOUT</v>
          </cell>
          <cell r="F1093" t="str">
            <v>47</v>
          </cell>
          <cell r="G1093" t="str">
            <v>8</v>
          </cell>
          <cell r="H1093">
            <v>0</v>
          </cell>
        </row>
        <row r="1094">
          <cell r="B1094">
            <v>8377</v>
          </cell>
          <cell r="C1094" t="str">
            <v>Pearson; Charles J</v>
          </cell>
          <cell r="D1094" t="str">
            <v>1C</v>
          </cell>
          <cell r="E1094" t="str">
            <v>IBEWOUT</v>
          </cell>
          <cell r="F1094" t="str">
            <v>1245</v>
          </cell>
          <cell r="G1094" t="str">
            <v>8</v>
          </cell>
          <cell r="H1094">
            <v>0</v>
          </cell>
        </row>
        <row r="1095">
          <cell r="B1095">
            <v>8385</v>
          </cell>
          <cell r="C1095" t="str">
            <v>Piedra; Raul</v>
          </cell>
          <cell r="D1095" t="str">
            <v>1</v>
          </cell>
          <cell r="E1095" t="str">
            <v>IBEWOUT</v>
          </cell>
          <cell r="F1095" t="str">
            <v>1245</v>
          </cell>
          <cell r="G1095" t="str">
            <v>8</v>
          </cell>
          <cell r="H1095">
            <v>0</v>
          </cell>
        </row>
        <row r="1096">
          <cell r="B1096">
            <v>8395</v>
          </cell>
          <cell r="C1096" t="str">
            <v>Perez; Ruben Michel</v>
          </cell>
          <cell r="D1096" t="str">
            <v>1C</v>
          </cell>
          <cell r="E1096" t="str">
            <v>IBEWOUT</v>
          </cell>
          <cell r="F1096" t="str">
            <v>47</v>
          </cell>
          <cell r="G1096" t="str">
            <v>17</v>
          </cell>
          <cell r="H1096">
            <v>0</v>
          </cell>
        </row>
        <row r="1097">
          <cell r="B1097">
            <v>8398</v>
          </cell>
          <cell r="C1097" t="str">
            <v>Pendarvis; Jason L.</v>
          </cell>
          <cell r="D1097" t="str">
            <v>1C</v>
          </cell>
          <cell r="E1097" t="str">
            <v>IBEWOUT</v>
          </cell>
          <cell r="F1097" t="str">
            <v>125</v>
          </cell>
          <cell r="G1097" t="str">
            <v>17</v>
          </cell>
          <cell r="H1097">
            <v>0</v>
          </cell>
        </row>
        <row r="1098">
          <cell r="B1098">
            <v>8399</v>
          </cell>
          <cell r="C1098" t="str">
            <v>Pedersen; Vikter James</v>
          </cell>
          <cell r="D1098" t="str">
            <v>1C</v>
          </cell>
          <cell r="E1098" t="str">
            <v>IBEWOUT</v>
          </cell>
          <cell r="F1098" t="str">
            <v>77</v>
          </cell>
          <cell r="G1098" t="str">
            <v>8</v>
          </cell>
          <cell r="H1098">
            <v>0</v>
          </cell>
        </row>
        <row r="1099">
          <cell r="B1099">
            <v>8403</v>
          </cell>
          <cell r="C1099" t="str">
            <v>Perez; Gabriel D</v>
          </cell>
          <cell r="D1099" t="str">
            <v>1</v>
          </cell>
          <cell r="E1099" t="str">
            <v/>
          </cell>
          <cell r="F1099" t="str">
            <v/>
          </cell>
          <cell r="G1099" t="str">
            <v/>
          </cell>
          <cell r="H1099">
            <v>0</v>
          </cell>
        </row>
        <row r="1100">
          <cell r="B1100">
            <v>8405</v>
          </cell>
          <cell r="C1100" t="str">
            <v>Perzel; Donna</v>
          </cell>
          <cell r="D1100" t="str">
            <v>1C</v>
          </cell>
          <cell r="E1100" t="str">
            <v/>
          </cell>
          <cell r="F1100" t="str">
            <v/>
          </cell>
          <cell r="G1100" t="str">
            <v/>
          </cell>
          <cell r="H1100">
            <v>0</v>
          </cell>
        </row>
        <row r="1101">
          <cell r="B1101">
            <v>8408</v>
          </cell>
          <cell r="C1101" t="str">
            <v>Perez; Trinidad N</v>
          </cell>
          <cell r="D1101" t="str">
            <v>1</v>
          </cell>
          <cell r="E1101" t="str">
            <v>IBEWOUT</v>
          </cell>
          <cell r="F1101" t="str">
            <v>47</v>
          </cell>
          <cell r="G1101" t="str">
            <v>12</v>
          </cell>
          <cell r="H1101">
            <v>0</v>
          </cell>
        </row>
        <row r="1102">
          <cell r="B1102">
            <v>8427</v>
          </cell>
          <cell r="C1102" t="str">
            <v>Peterson; Alexander M</v>
          </cell>
          <cell r="D1102" t="str">
            <v>1</v>
          </cell>
          <cell r="E1102" t="str">
            <v>IBEWOUT</v>
          </cell>
          <cell r="F1102" t="str">
            <v>1245</v>
          </cell>
          <cell r="G1102" t="str">
            <v>8</v>
          </cell>
          <cell r="H1102">
            <v>0</v>
          </cell>
        </row>
        <row r="1103">
          <cell r="B1103">
            <v>8430</v>
          </cell>
          <cell r="C1103" t="str">
            <v>Pelley; Robert M</v>
          </cell>
          <cell r="D1103" t="str">
            <v>1C</v>
          </cell>
          <cell r="E1103" t="str">
            <v>IBEWOUT</v>
          </cell>
          <cell r="F1103" t="str">
            <v>47</v>
          </cell>
          <cell r="G1103" t="str">
            <v>16</v>
          </cell>
          <cell r="H1103">
            <v>0</v>
          </cell>
        </row>
        <row r="1104">
          <cell r="B1104">
            <v>8434</v>
          </cell>
          <cell r="C1104" t="str">
            <v>Peterson; Paul B</v>
          </cell>
          <cell r="D1104" t="str">
            <v>1</v>
          </cell>
          <cell r="E1104" t="str">
            <v>IBEWOUT</v>
          </cell>
          <cell r="F1104" t="str">
            <v>1245</v>
          </cell>
          <cell r="G1104" t="str">
            <v>7</v>
          </cell>
          <cell r="H1104">
            <v>0</v>
          </cell>
        </row>
        <row r="1105">
          <cell r="B1105">
            <v>8439</v>
          </cell>
          <cell r="C1105" t="str">
            <v>Peterson; Edwin W</v>
          </cell>
          <cell r="D1105" t="str">
            <v>1C</v>
          </cell>
          <cell r="E1105" t="str">
            <v>IBEWOUT</v>
          </cell>
          <cell r="F1105" t="str">
            <v>1245</v>
          </cell>
          <cell r="G1105" t="str">
            <v>8</v>
          </cell>
          <cell r="H1105">
            <v>0</v>
          </cell>
        </row>
        <row r="1106">
          <cell r="B1106">
            <v>8440</v>
          </cell>
          <cell r="C1106" t="str">
            <v>Pelster; Damian S</v>
          </cell>
          <cell r="D1106" t="str">
            <v>1C</v>
          </cell>
          <cell r="E1106" t="str">
            <v>IBEWOUT</v>
          </cell>
          <cell r="F1106" t="str">
            <v>1245</v>
          </cell>
          <cell r="G1106" t="str">
            <v>8</v>
          </cell>
          <cell r="H1106">
            <v>0</v>
          </cell>
        </row>
        <row r="1107">
          <cell r="B1107">
            <v>8441</v>
          </cell>
          <cell r="C1107" t="str">
            <v>Petrarca Jr; Jay M</v>
          </cell>
          <cell r="D1107" t="str">
            <v>1</v>
          </cell>
          <cell r="E1107" t="str">
            <v/>
          </cell>
          <cell r="F1107" t="str">
            <v/>
          </cell>
          <cell r="G1107" t="str">
            <v/>
          </cell>
          <cell r="H1107">
            <v>0</v>
          </cell>
        </row>
        <row r="1108">
          <cell r="B1108">
            <v>8442</v>
          </cell>
          <cell r="C1108" t="str">
            <v>Persche; Mark Russell</v>
          </cell>
          <cell r="D1108" t="str">
            <v>1C</v>
          </cell>
          <cell r="E1108" t="str">
            <v>IBEWOUT</v>
          </cell>
          <cell r="F1108" t="str">
            <v>1245</v>
          </cell>
          <cell r="G1108" t="str">
            <v>8</v>
          </cell>
          <cell r="H1108">
            <v>0</v>
          </cell>
        </row>
        <row r="1109">
          <cell r="B1109">
            <v>8445</v>
          </cell>
          <cell r="C1109" t="str">
            <v>Pelayo; Ruben</v>
          </cell>
          <cell r="D1109" t="str">
            <v>1C</v>
          </cell>
          <cell r="E1109" t="str">
            <v>IBEWOUT</v>
          </cell>
          <cell r="F1109" t="str">
            <v>1245</v>
          </cell>
          <cell r="G1109" t="str">
            <v>15</v>
          </cell>
          <cell r="H1109">
            <v>0</v>
          </cell>
        </row>
        <row r="1110">
          <cell r="B1110">
            <v>8451</v>
          </cell>
          <cell r="C1110" t="str">
            <v>Phillips; Luther E.</v>
          </cell>
          <cell r="D1110" t="str">
            <v>1</v>
          </cell>
          <cell r="E1110" t="str">
            <v/>
          </cell>
          <cell r="F1110" t="str">
            <v/>
          </cell>
          <cell r="G1110" t="str">
            <v/>
          </cell>
          <cell r="H1110">
            <v>1</v>
          </cell>
        </row>
        <row r="1111">
          <cell r="B1111">
            <v>8452</v>
          </cell>
          <cell r="C1111" t="str">
            <v>Phillips; Blake R</v>
          </cell>
          <cell r="D1111" t="str">
            <v>1C</v>
          </cell>
          <cell r="E1111" t="str">
            <v>IBEWOUT</v>
          </cell>
          <cell r="F1111" t="str">
            <v>47</v>
          </cell>
          <cell r="G1111" t="str">
            <v>14</v>
          </cell>
          <cell r="H1111">
            <v>0</v>
          </cell>
        </row>
        <row r="1112">
          <cell r="B1112">
            <v>8453</v>
          </cell>
          <cell r="C1112" t="str">
            <v>Pierce; Andrew J.</v>
          </cell>
          <cell r="D1112" t="str">
            <v>1C</v>
          </cell>
          <cell r="E1112" t="str">
            <v>IBEWOUT</v>
          </cell>
          <cell r="F1112" t="str">
            <v>1245</v>
          </cell>
          <cell r="G1112" t="str">
            <v>8</v>
          </cell>
          <cell r="H1112">
            <v>0</v>
          </cell>
        </row>
        <row r="1113">
          <cell r="B1113">
            <v>8458</v>
          </cell>
          <cell r="C1113" t="str">
            <v>Phillips; John W</v>
          </cell>
          <cell r="D1113" t="str">
            <v>1C</v>
          </cell>
          <cell r="E1113" t="str">
            <v>IBEWOUT</v>
          </cell>
          <cell r="F1113" t="str">
            <v>1245</v>
          </cell>
          <cell r="G1113" t="str">
            <v>16</v>
          </cell>
          <cell r="H1113">
            <v>0</v>
          </cell>
        </row>
        <row r="1114">
          <cell r="B1114">
            <v>8461</v>
          </cell>
          <cell r="C1114" t="str">
            <v>Pfaff; Rory C</v>
          </cell>
          <cell r="D1114" t="str">
            <v>1C</v>
          </cell>
          <cell r="E1114" t="str">
            <v>IBEWOUT</v>
          </cell>
          <cell r="F1114" t="str">
            <v>47</v>
          </cell>
          <cell r="G1114" t="str">
            <v>16</v>
          </cell>
          <cell r="H1114">
            <v>0</v>
          </cell>
        </row>
        <row r="1115">
          <cell r="B1115">
            <v>8471</v>
          </cell>
          <cell r="C1115" t="str">
            <v>Pierson; Ian R</v>
          </cell>
          <cell r="D1115" t="str">
            <v>1C</v>
          </cell>
          <cell r="E1115" t="str">
            <v>IBEWOUT</v>
          </cell>
          <cell r="F1115" t="str">
            <v>160</v>
          </cell>
          <cell r="G1115" t="str">
            <v>8</v>
          </cell>
          <cell r="H1115">
            <v>0</v>
          </cell>
        </row>
        <row r="1116">
          <cell r="B1116">
            <v>8472</v>
          </cell>
          <cell r="C1116" t="str">
            <v>Pierson Jr.; Robert Dewey</v>
          </cell>
          <cell r="D1116" t="str">
            <v>1C</v>
          </cell>
          <cell r="E1116" t="str">
            <v/>
          </cell>
          <cell r="F1116" t="str">
            <v/>
          </cell>
          <cell r="G1116" t="str">
            <v/>
          </cell>
          <cell r="H1116">
            <v>0</v>
          </cell>
        </row>
        <row r="1117">
          <cell r="B1117">
            <v>8476</v>
          </cell>
          <cell r="C1117" t="str">
            <v>Pinios; Frank N.</v>
          </cell>
          <cell r="D1117" t="str">
            <v>1C</v>
          </cell>
          <cell r="E1117" t="str">
            <v>IBEWOUT</v>
          </cell>
          <cell r="F1117" t="str">
            <v>1245</v>
          </cell>
          <cell r="G1117" t="str">
            <v>7</v>
          </cell>
          <cell r="H1117">
            <v>0</v>
          </cell>
        </row>
        <row r="1118">
          <cell r="B1118">
            <v>8477</v>
          </cell>
          <cell r="C1118" t="str">
            <v>Piedra; Jose Manuel</v>
          </cell>
          <cell r="D1118" t="str">
            <v>1C</v>
          </cell>
          <cell r="E1118" t="str">
            <v>IBEWOUT</v>
          </cell>
          <cell r="F1118" t="str">
            <v>769</v>
          </cell>
          <cell r="G1118" t="str">
            <v>7</v>
          </cell>
          <cell r="H1118">
            <v>0</v>
          </cell>
        </row>
        <row r="1119">
          <cell r="B1119">
            <v>8479</v>
          </cell>
          <cell r="C1119" t="str">
            <v>Picazo; Benjamin</v>
          </cell>
          <cell r="D1119" t="str">
            <v>1C</v>
          </cell>
          <cell r="E1119" t="str">
            <v>IBEWOUT</v>
          </cell>
          <cell r="F1119" t="str">
            <v>1245</v>
          </cell>
          <cell r="G1119" t="str">
            <v>15</v>
          </cell>
          <cell r="H1119">
            <v>0</v>
          </cell>
        </row>
        <row r="1120">
          <cell r="B1120">
            <v>8481</v>
          </cell>
          <cell r="C1120" t="str">
            <v>Pitts; Andrew J</v>
          </cell>
          <cell r="D1120" t="str">
            <v>1C</v>
          </cell>
          <cell r="E1120" t="str">
            <v>IBEWOUT</v>
          </cell>
          <cell r="F1120" t="str">
            <v>1245</v>
          </cell>
          <cell r="G1120" t="str">
            <v>8</v>
          </cell>
          <cell r="H1120">
            <v>0</v>
          </cell>
        </row>
        <row r="1121">
          <cell r="B1121">
            <v>8483</v>
          </cell>
          <cell r="C1121" t="str">
            <v>Pineda; Adolfo Rudy</v>
          </cell>
          <cell r="D1121" t="str">
            <v>1C</v>
          </cell>
          <cell r="E1121" t="str">
            <v>IBEWOUT</v>
          </cell>
          <cell r="F1121" t="str">
            <v>396</v>
          </cell>
          <cell r="G1121" t="str">
            <v>18</v>
          </cell>
          <cell r="H1121">
            <v>0</v>
          </cell>
        </row>
        <row r="1122">
          <cell r="B1122">
            <v>8485</v>
          </cell>
          <cell r="C1122" t="str">
            <v>Pinedo; Daniel</v>
          </cell>
          <cell r="D1122" t="str">
            <v>1C</v>
          </cell>
          <cell r="E1122" t="str">
            <v>IBEWOUT</v>
          </cell>
          <cell r="F1122" t="str">
            <v>47</v>
          </cell>
          <cell r="G1122" t="str">
            <v>13</v>
          </cell>
          <cell r="H1122">
            <v>0</v>
          </cell>
        </row>
        <row r="1123">
          <cell r="B1123">
            <v>8487</v>
          </cell>
          <cell r="C1123" t="str">
            <v>Plant; Zachary</v>
          </cell>
          <cell r="D1123" t="str">
            <v>1C</v>
          </cell>
          <cell r="E1123" t="str">
            <v>IBEWOUT</v>
          </cell>
          <cell r="F1123" t="str">
            <v>611</v>
          </cell>
          <cell r="G1123" t="str">
            <v>17</v>
          </cell>
          <cell r="H1123">
            <v>0</v>
          </cell>
        </row>
        <row r="1124">
          <cell r="B1124">
            <v>8488</v>
          </cell>
          <cell r="C1124" t="str">
            <v>Pion; Nicholas A.</v>
          </cell>
          <cell r="D1124" t="str">
            <v>1</v>
          </cell>
          <cell r="E1124" t="str">
            <v>IBEWOUT</v>
          </cell>
          <cell r="F1124" t="str">
            <v>1245</v>
          </cell>
          <cell r="G1124" t="str">
            <v>8</v>
          </cell>
          <cell r="H1124">
            <v>0</v>
          </cell>
        </row>
        <row r="1125">
          <cell r="B1125">
            <v>8507</v>
          </cell>
          <cell r="C1125" t="str">
            <v>Pontine; Devon A</v>
          </cell>
          <cell r="D1125" t="str">
            <v>1C</v>
          </cell>
          <cell r="E1125" t="str">
            <v>IBEWOUT</v>
          </cell>
          <cell r="F1125" t="str">
            <v>602R</v>
          </cell>
          <cell r="G1125" t="str">
            <v>14T</v>
          </cell>
          <cell r="H1125">
            <v>0</v>
          </cell>
        </row>
        <row r="1126">
          <cell r="B1126">
            <v>8509</v>
          </cell>
          <cell r="C1126" t="str">
            <v>Porter; Wes Fraser</v>
          </cell>
          <cell r="D1126" t="str">
            <v>1C</v>
          </cell>
          <cell r="E1126" t="str">
            <v>IBEWOUT</v>
          </cell>
          <cell r="F1126" t="str">
            <v>47</v>
          </cell>
          <cell r="G1126" t="str">
            <v>17</v>
          </cell>
          <cell r="H1126">
            <v>0</v>
          </cell>
        </row>
        <row r="1127">
          <cell r="B1127">
            <v>8510</v>
          </cell>
          <cell r="C1127" t="str">
            <v>Porras; Jose R</v>
          </cell>
          <cell r="D1127" t="str">
            <v>1C</v>
          </cell>
          <cell r="E1127" t="str">
            <v>IBEWOUT</v>
          </cell>
          <cell r="F1127" t="str">
            <v>602R</v>
          </cell>
          <cell r="G1127" t="str">
            <v>13T</v>
          </cell>
          <cell r="H1127">
            <v>0</v>
          </cell>
        </row>
        <row r="1128">
          <cell r="B1128">
            <v>8511</v>
          </cell>
          <cell r="C1128" t="str">
            <v>Poland; Christopher James</v>
          </cell>
          <cell r="D1128" t="str">
            <v>1C</v>
          </cell>
          <cell r="E1128" t="str">
            <v>IBEWOUT</v>
          </cell>
          <cell r="F1128" t="str">
            <v>125</v>
          </cell>
          <cell r="G1128" t="str">
            <v>7</v>
          </cell>
          <cell r="H1128">
            <v>0</v>
          </cell>
        </row>
        <row r="1129">
          <cell r="B1129">
            <v>8515</v>
          </cell>
          <cell r="C1129" t="str">
            <v>Pock; Alvin J.</v>
          </cell>
          <cell r="D1129" t="str">
            <v>1C</v>
          </cell>
          <cell r="E1129" t="str">
            <v/>
          </cell>
          <cell r="F1129" t="str">
            <v/>
          </cell>
          <cell r="G1129" t="str">
            <v/>
          </cell>
          <cell r="H1129">
            <v>0</v>
          </cell>
        </row>
        <row r="1130">
          <cell r="B1130">
            <v>8518</v>
          </cell>
          <cell r="C1130" t="str">
            <v>Pino; Adam J</v>
          </cell>
          <cell r="D1130" t="str">
            <v>1C</v>
          </cell>
          <cell r="E1130" t="str">
            <v>IBEWOUT</v>
          </cell>
          <cell r="F1130" t="str">
            <v>77</v>
          </cell>
          <cell r="G1130" t="str">
            <v>8</v>
          </cell>
          <cell r="H1130">
            <v>0</v>
          </cell>
        </row>
        <row r="1131">
          <cell r="B1131">
            <v>8520</v>
          </cell>
          <cell r="C1131" t="str">
            <v>Posey; Walter</v>
          </cell>
          <cell r="D1131" t="str">
            <v>1</v>
          </cell>
          <cell r="E1131" t="str">
            <v/>
          </cell>
          <cell r="F1131" t="str">
            <v/>
          </cell>
          <cell r="G1131" t="str">
            <v/>
          </cell>
          <cell r="H1131">
            <v>0</v>
          </cell>
        </row>
        <row r="1132">
          <cell r="B1132">
            <v>8523</v>
          </cell>
          <cell r="C1132" t="str">
            <v>Prychodzko; Peter D</v>
          </cell>
          <cell r="D1132" t="str">
            <v>1</v>
          </cell>
          <cell r="E1132" t="str">
            <v/>
          </cell>
          <cell r="F1132" t="str">
            <v/>
          </cell>
          <cell r="G1132" t="str">
            <v/>
          </cell>
          <cell r="H1132">
            <v>1</v>
          </cell>
        </row>
        <row r="1133">
          <cell r="B1133">
            <v>8524</v>
          </cell>
          <cell r="C1133" t="str">
            <v>Potter; Howard Michael</v>
          </cell>
          <cell r="D1133" t="str">
            <v>1C</v>
          </cell>
          <cell r="E1133" t="str">
            <v>IBEWOUT</v>
          </cell>
          <cell r="F1133" t="str">
            <v>396</v>
          </cell>
          <cell r="G1133" t="str">
            <v>8</v>
          </cell>
          <cell r="H1133">
            <v>0</v>
          </cell>
        </row>
        <row r="1134">
          <cell r="B1134">
            <v>8525</v>
          </cell>
          <cell r="C1134" t="str">
            <v>Powers; Nicholas L</v>
          </cell>
          <cell r="D1134" t="str">
            <v>1C</v>
          </cell>
          <cell r="E1134" t="str">
            <v>IBEWOUT</v>
          </cell>
          <cell r="F1134" t="str">
            <v>125</v>
          </cell>
          <cell r="G1134" t="str">
            <v>15</v>
          </cell>
          <cell r="H1134">
            <v>0</v>
          </cell>
        </row>
        <row r="1135">
          <cell r="B1135">
            <v>8526</v>
          </cell>
          <cell r="C1135" t="str">
            <v>Perlick; Timothy C</v>
          </cell>
          <cell r="D1135" t="str">
            <v>1C</v>
          </cell>
          <cell r="E1135" t="str">
            <v>IBEWOUT</v>
          </cell>
          <cell r="F1135" t="str">
            <v>47</v>
          </cell>
          <cell r="G1135" t="str">
            <v>8</v>
          </cell>
          <cell r="H1135">
            <v>0</v>
          </cell>
        </row>
        <row r="1136">
          <cell r="B1136">
            <v>8527</v>
          </cell>
          <cell r="C1136" t="str">
            <v>Potter; Shawn M</v>
          </cell>
          <cell r="D1136" t="str">
            <v>1C</v>
          </cell>
          <cell r="E1136" t="str">
            <v>IBEWOUT</v>
          </cell>
          <cell r="F1136" t="str">
            <v>160</v>
          </cell>
          <cell r="G1136" t="str">
            <v>31</v>
          </cell>
          <cell r="H1136">
            <v>0</v>
          </cell>
        </row>
        <row r="1137">
          <cell r="B1137">
            <v>8529</v>
          </cell>
          <cell r="C1137" t="str">
            <v>Preciado; Joseph A</v>
          </cell>
          <cell r="D1137" t="str">
            <v>1C</v>
          </cell>
          <cell r="E1137" t="str">
            <v>IBEWOUT</v>
          </cell>
          <cell r="F1137" t="str">
            <v>47</v>
          </cell>
          <cell r="G1137" t="str">
            <v>8</v>
          </cell>
          <cell r="H1137">
            <v>0</v>
          </cell>
        </row>
        <row r="1138">
          <cell r="B1138">
            <v>8532</v>
          </cell>
          <cell r="C1138" t="str">
            <v>Prather; Robert D.</v>
          </cell>
          <cell r="D1138" t="str">
            <v>1C</v>
          </cell>
          <cell r="E1138" t="str">
            <v>IBEWOUT</v>
          </cell>
          <cell r="F1138" t="str">
            <v>396</v>
          </cell>
          <cell r="G1138" t="str">
            <v>21</v>
          </cell>
          <cell r="H1138">
            <v>0</v>
          </cell>
        </row>
        <row r="1139">
          <cell r="B1139">
            <v>8534</v>
          </cell>
          <cell r="C1139" t="str">
            <v>Potts; Noah M</v>
          </cell>
          <cell r="D1139" t="str">
            <v>1C</v>
          </cell>
          <cell r="E1139" t="str">
            <v>IBEWOUT</v>
          </cell>
          <cell r="F1139" t="str">
            <v>1245</v>
          </cell>
          <cell r="G1139" t="str">
            <v>15</v>
          </cell>
          <cell r="H1139">
            <v>0</v>
          </cell>
        </row>
        <row r="1140">
          <cell r="B1140">
            <v>8551</v>
          </cell>
          <cell r="C1140" t="str">
            <v>Reyes; Gerardo</v>
          </cell>
          <cell r="D1140" t="str">
            <v>1C</v>
          </cell>
          <cell r="E1140" t="str">
            <v>IBEWOUT</v>
          </cell>
          <cell r="F1140" t="str">
            <v>47</v>
          </cell>
          <cell r="G1140" t="str">
            <v>60</v>
          </cell>
          <cell r="H1140">
            <v>0</v>
          </cell>
        </row>
        <row r="1141">
          <cell r="B1141">
            <v>8559</v>
          </cell>
          <cell r="C1141" t="str">
            <v>Ibarra; Diego</v>
          </cell>
          <cell r="D1141" t="str">
            <v>1</v>
          </cell>
          <cell r="E1141" t="str">
            <v/>
          </cell>
          <cell r="F1141" t="str">
            <v/>
          </cell>
          <cell r="G1141" t="str">
            <v/>
          </cell>
          <cell r="H1141">
            <v>1</v>
          </cell>
        </row>
        <row r="1142">
          <cell r="B1142">
            <v>8564</v>
          </cell>
          <cell r="C1142" t="str">
            <v>Reyes; Joe M</v>
          </cell>
          <cell r="D1142" t="str">
            <v>1</v>
          </cell>
          <cell r="E1142" t="str">
            <v>IBEWOUT</v>
          </cell>
          <cell r="F1142" t="str">
            <v>47</v>
          </cell>
          <cell r="G1142" t="str">
            <v>7</v>
          </cell>
          <cell r="H1142">
            <v>0</v>
          </cell>
        </row>
        <row r="1143">
          <cell r="B1143">
            <v>8600</v>
          </cell>
          <cell r="C1143" t="str">
            <v>Preuitt; Jason P.</v>
          </cell>
          <cell r="D1143" t="str">
            <v>1</v>
          </cell>
          <cell r="E1143" t="str">
            <v/>
          </cell>
          <cell r="F1143" t="str">
            <v/>
          </cell>
          <cell r="G1143" t="str">
            <v/>
          </cell>
          <cell r="H1143">
            <v>1</v>
          </cell>
        </row>
        <row r="1144">
          <cell r="B1144">
            <v>8602</v>
          </cell>
          <cell r="C1144" t="str">
            <v>Prewitt; Aaron M</v>
          </cell>
          <cell r="D1144" t="str">
            <v>1C</v>
          </cell>
          <cell r="E1144" t="str">
            <v>IBEWOUT</v>
          </cell>
          <cell r="F1144" t="str">
            <v>1049</v>
          </cell>
          <cell r="G1144" t="str">
            <v>8</v>
          </cell>
          <cell r="H1144">
            <v>0</v>
          </cell>
        </row>
        <row r="1145">
          <cell r="B1145">
            <v>8604</v>
          </cell>
          <cell r="C1145" t="str">
            <v>Price; Conner M</v>
          </cell>
          <cell r="D1145" t="str">
            <v>1C</v>
          </cell>
          <cell r="E1145" t="str">
            <v>IBEWOUT</v>
          </cell>
          <cell r="F1145" t="str">
            <v>1245</v>
          </cell>
          <cell r="G1145" t="str">
            <v>8</v>
          </cell>
          <cell r="H1145">
            <v>0</v>
          </cell>
        </row>
        <row r="1146">
          <cell r="B1146">
            <v>8605</v>
          </cell>
          <cell r="C1146" t="str">
            <v>Price; Hunter S</v>
          </cell>
          <cell r="D1146" t="str">
            <v>1C</v>
          </cell>
          <cell r="E1146" t="str">
            <v>IBEWOUT</v>
          </cell>
          <cell r="F1146" t="str">
            <v>1245</v>
          </cell>
          <cell r="G1146" t="str">
            <v>14</v>
          </cell>
          <cell r="H1146">
            <v>0</v>
          </cell>
        </row>
        <row r="1147">
          <cell r="B1147">
            <v>8613</v>
          </cell>
          <cell r="C1147" t="str">
            <v>Prochoren; Neal A</v>
          </cell>
          <cell r="D1147" t="str">
            <v>1C</v>
          </cell>
          <cell r="E1147" t="str">
            <v>IBEWOUT</v>
          </cell>
          <cell r="F1147" t="str">
            <v>47</v>
          </cell>
          <cell r="G1147" t="str">
            <v>17</v>
          </cell>
          <cell r="H1147">
            <v>0</v>
          </cell>
        </row>
        <row r="1148">
          <cell r="B1148">
            <v>8614</v>
          </cell>
          <cell r="C1148" t="str">
            <v>Pritchard; Andrew S</v>
          </cell>
          <cell r="D1148" t="str">
            <v>1</v>
          </cell>
          <cell r="E1148" t="str">
            <v>IBEWOUT</v>
          </cell>
          <cell r="F1148" t="str">
            <v>47</v>
          </cell>
          <cell r="G1148" t="str">
            <v>8</v>
          </cell>
          <cell r="H1148">
            <v>0</v>
          </cell>
        </row>
        <row r="1149">
          <cell r="B1149">
            <v>8616</v>
          </cell>
          <cell r="C1149" t="str">
            <v>Proctor; Casey D</v>
          </cell>
          <cell r="D1149" t="str">
            <v>1</v>
          </cell>
          <cell r="E1149" t="str">
            <v/>
          </cell>
          <cell r="F1149" t="str">
            <v/>
          </cell>
          <cell r="G1149" t="str">
            <v/>
          </cell>
          <cell r="H1149">
            <v>0</v>
          </cell>
        </row>
        <row r="1150">
          <cell r="B1150">
            <v>8662</v>
          </cell>
          <cell r="C1150" t="str">
            <v>Pulido; Arturo R</v>
          </cell>
          <cell r="D1150" t="str">
            <v>1</v>
          </cell>
          <cell r="E1150" t="str">
            <v>IBEWOUT</v>
          </cell>
          <cell r="F1150" t="str">
            <v>1245</v>
          </cell>
          <cell r="G1150" t="str">
            <v>12</v>
          </cell>
          <cell r="H1150">
            <v>0</v>
          </cell>
        </row>
        <row r="1151">
          <cell r="B1151">
            <v>8668</v>
          </cell>
          <cell r="C1151" t="str">
            <v>Pyeatt; Jordan M</v>
          </cell>
          <cell r="D1151" t="str">
            <v>1</v>
          </cell>
          <cell r="E1151" t="str">
            <v>IBEWOUT</v>
          </cell>
          <cell r="F1151" t="str">
            <v>77</v>
          </cell>
          <cell r="G1151" t="str">
            <v>16</v>
          </cell>
          <cell r="H1151">
            <v>0</v>
          </cell>
        </row>
        <row r="1152">
          <cell r="B1152">
            <v>8671</v>
          </cell>
          <cell r="C1152" t="str">
            <v>Queen; Joseph D</v>
          </cell>
          <cell r="D1152" t="str">
            <v>1C</v>
          </cell>
          <cell r="E1152" t="str">
            <v>IBEWOUT</v>
          </cell>
          <cell r="F1152" t="str">
            <v>1245</v>
          </cell>
          <cell r="G1152" t="str">
            <v>60</v>
          </cell>
          <cell r="H1152">
            <v>0</v>
          </cell>
        </row>
        <row r="1153">
          <cell r="B1153">
            <v>8684</v>
          </cell>
          <cell r="C1153" t="str">
            <v>Quillen; Justis J</v>
          </cell>
          <cell r="D1153" t="str">
            <v>1C</v>
          </cell>
          <cell r="E1153" t="str">
            <v>IBEWOUT</v>
          </cell>
          <cell r="F1153" t="str">
            <v>611</v>
          </cell>
          <cell r="G1153" t="str">
            <v>15</v>
          </cell>
          <cell r="H1153">
            <v>0</v>
          </cell>
        </row>
        <row r="1154">
          <cell r="B1154">
            <v>8685</v>
          </cell>
          <cell r="C1154" t="str">
            <v>Quigley; Patrick Allen</v>
          </cell>
          <cell r="D1154" t="str">
            <v>1</v>
          </cell>
          <cell r="E1154" t="str">
            <v>IBEWOUT</v>
          </cell>
          <cell r="F1154" t="str">
            <v>47</v>
          </cell>
          <cell r="G1154" t="str">
            <v>7</v>
          </cell>
          <cell r="H1154">
            <v>0</v>
          </cell>
        </row>
        <row r="1155">
          <cell r="B1155">
            <v>8686</v>
          </cell>
          <cell r="C1155" t="str">
            <v>Quinones; Leopoldo A</v>
          </cell>
          <cell r="D1155" t="str">
            <v>1C</v>
          </cell>
          <cell r="E1155" t="str">
            <v>IBEWOUT</v>
          </cell>
          <cell r="F1155" t="str">
            <v>1245</v>
          </cell>
          <cell r="G1155" t="str">
            <v>17</v>
          </cell>
          <cell r="H1155">
            <v>0</v>
          </cell>
        </row>
        <row r="1156">
          <cell r="B1156">
            <v>8687</v>
          </cell>
          <cell r="C1156" t="str">
            <v>Quick; Brett A.</v>
          </cell>
          <cell r="D1156" t="str">
            <v>1C</v>
          </cell>
          <cell r="E1156" t="str">
            <v>IBEWOUT</v>
          </cell>
          <cell r="F1156" t="str">
            <v>769</v>
          </cell>
          <cell r="G1156" t="str">
            <v>16</v>
          </cell>
          <cell r="H1156">
            <v>0</v>
          </cell>
        </row>
        <row r="1157">
          <cell r="B1157">
            <v>8688</v>
          </cell>
          <cell r="C1157" t="str">
            <v>Quinlan; Robert J.</v>
          </cell>
          <cell r="D1157" t="str">
            <v>1C</v>
          </cell>
          <cell r="E1157" t="str">
            <v>IBEWOUT</v>
          </cell>
          <cell r="F1157" t="str">
            <v>47</v>
          </cell>
          <cell r="G1157" t="str">
            <v>7</v>
          </cell>
          <cell r="H1157">
            <v>0</v>
          </cell>
        </row>
        <row r="1158">
          <cell r="B1158">
            <v>8690</v>
          </cell>
          <cell r="C1158" t="str">
            <v>Quinn; Benjamin D.</v>
          </cell>
          <cell r="D1158" t="str">
            <v>1C</v>
          </cell>
          <cell r="E1158" t="str">
            <v>IBEWIN</v>
          </cell>
          <cell r="F1158" t="str">
            <v>714</v>
          </cell>
          <cell r="G1158" t="str">
            <v>8I</v>
          </cell>
          <cell r="H1158">
            <v>0</v>
          </cell>
        </row>
        <row r="1159">
          <cell r="B1159">
            <v>8692</v>
          </cell>
          <cell r="C1159" t="str">
            <v>Quintana; Edward A</v>
          </cell>
          <cell r="D1159" t="str">
            <v>1C</v>
          </cell>
          <cell r="E1159" t="str">
            <v>IBEWOUT</v>
          </cell>
          <cell r="F1159" t="str">
            <v>769</v>
          </cell>
          <cell r="G1159" t="str">
            <v>8</v>
          </cell>
          <cell r="H1159">
            <v>0</v>
          </cell>
        </row>
        <row r="1160">
          <cell r="B1160">
            <v>8693</v>
          </cell>
          <cell r="C1160" t="str">
            <v>Quiroz; Arnulfo M</v>
          </cell>
          <cell r="D1160" t="str">
            <v>1</v>
          </cell>
          <cell r="E1160" t="str">
            <v>IBEWOUT</v>
          </cell>
          <cell r="F1160" t="str">
            <v>769</v>
          </cell>
          <cell r="G1160" t="str">
            <v>1</v>
          </cell>
          <cell r="H1160">
            <v>0</v>
          </cell>
        </row>
        <row r="1161">
          <cell r="B1161">
            <v>8695</v>
          </cell>
          <cell r="C1161" t="str">
            <v>Quirarte; Fidencio</v>
          </cell>
          <cell r="D1161" t="str">
            <v>1C</v>
          </cell>
          <cell r="E1161" t="str">
            <v>IBEWOUT</v>
          </cell>
          <cell r="F1161" t="str">
            <v>611</v>
          </cell>
          <cell r="G1161" t="str">
            <v>11</v>
          </cell>
          <cell r="H1161">
            <v>0</v>
          </cell>
        </row>
        <row r="1162">
          <cell r="B1162">
            <v>8700</v>
          </cell>
          <cell r="C1162" t="str">
            <v>Quist; Michael L</v>
          </cell>
          <cell r="D1162" t="str">
            <v>1</v>
          </cell>
          <cell r="E1162" t="str">
            <v/>
          </cell>
          <cell r="F1162" t="str">
            <v/>
          </cell>
          <cell r="G1162" t="str">
            <v/>
          </cell>
          <cell r="H1162">
            <v>1</v>
          </cell>
        </row>
        <row r="1163">
          <cell r="B1163">
            <v>8732</v>
          </cell>
          <cell r="C1163" t="str">
            <v>Rabon; Leland C.</v>
          </cell>
          <cell r="D1163" t="str">
            <v>1C</v>
          </cell>
          <cell r="E1163" t="str">
            <v>IBEWOUT</v>
          </cell>
          <cell r="F1163" t="str">
            <v>47</v>
          </cell>
          <cell r="G1163" t="str">
            <v>16</v>
          </cell>
          <cell r="H1163">
            <v>0</v>
          </cell>
        </row>
        <row r="1164">
          <cell r="B1164">
            <v>8735</v>
          </cell>
          <cell r="C1164" t="str">
            <v>Radant; Cody D</v>
          </cell>
          <cell r="D1164" t="str">
            <v>1C</v>
          </cell>
          <cell r="E1164" t="str">
            <v>IBEWOUT</v>
          </cell>
          <cell r="F1164" t="str">
            <v>125</v>
          </cell>
          <cell r="G1164" t="str">
            <v>8</v>
          </cell>
          <cell r="H1164">
            <v>0</v>
          </cell>
        </row>
        <row r="1165">
          <cell r="B1165">
            <v>8737</v>
          </cell>
          <cell r="C1165" t="str">
            <v>Racine; John Ford</v>
          </cell>
          <cell r="D1165" t="str">
            <v>1</v>
          </cell>
          <cell r="E1165" t="str">
            <v>IBEWOUT</v>
          </cell>
          <cell r="F1165" t="str">
            <v>47</v>
          </cell>
          <cell r="G1165" t="str">
            <v>8</v>
          </cell>
          <cell r="H1165">
            <v>0</v>
          </cell>
        </row>
        <row r="1166">
          <cell r="B1166">
            <v>8746</v>
          </cell>
          <cell r="C1166" t="str">
            <v>Raffety; Michael Shawn</v>
          </cell>
          <cell r="D1166" t="str">
            <v>1C</v>
          </cell>
          <cell r="E1166" t="str">
            <v>IBEWOUT</v>
          </cell>
          <cell r="F1166" t="str">
            <v>47</v>
          </cell>
          <cell r="G1166" t="str">
            <v>8</v>
          </cell>
          <cell r="H1166">
            <v>0</v>
          </cell>
        </row>
        <row r="1167">
          <cell r="B1167">
            <v>8756</v>
          </cell>
          <cell r="C1167" t="str">
            <v>Rains; Travis G.</v>
          </cell>
          <cell r="D1167" t="str">
            <v>1C</v>
          </cell>
          <cell r="E1167" t="str">
            <v>IBEWOUT</v>
          </cell>
          <cell r="F1167" t="str">
            <v>1245</v>
          </cell>
          <cell r="G1167" t="str">
            <v>8</v>
          </cell>
          <cell r="H1167">
            <v>0</v>
          </cell>
        </row>
        <row r="1168">
          <cell r="B1168">
            <v>8771</v>
          </cell>
          <cell r="C1168" t="str">
            <v>Ramer; Patrick K</v>
          </cell>
          <cell r="D1168" t="str">
            <v>1</v>
          </cell>
          <cell r="E1168" t="str">
            <v>IBEWOUT</v>
          </cell>
          <cell r="F1168" t="str">
            <v>1245</v>
          </cell>
          <cell r="G1168" t="str">
            <v>17</v>
          </cell>
          <cell r="H1168">
            <v>0</v>
          </cell>
        </row>
        <row r="1169">
          <cell r="B1169">
            <v>8772</v>
          </cell>
          <cell r="C1169" t="str">
            <v>Ramirez; Ernesto D.</v>
          </cell>
          <cell r="D1169" t="str">
            <v>1C</v>
          </cell>
          <cell r="E1169" t="str">
            <v>IBEWOUT</v>
          </cell>
          <cell r="F1169" t="str">
            <v>47</v>
          </cell>
          <cell r="G1169" t="str">
            <v>14</v>
          </cell>
          <cell r="H1169">
            <v>0</v>
          </cell>
        </row>
        <row r="1170">
          <cell r="B1170">
            <v>8773</v>
          </cell>
          <cell r="C1170" t="str">
            <v>Ramirez; Eric G</v>
          </cell>
          <cell r="D1170" t="str">
            <v>1C</v>
          </cell>
          <cell r="E1170" t="str">
            <v>IBEWOUT</v>
          </cell>
          <cell r="F1170" t="str">
            <v>47</v>
          </cell>
          <cell r="G1170" t="str">
            <v>13</v>
          </cell>
          <cell r="H1170">
            <v>0</v>
          </cell>
        </row>
        <row r="1171">
          <cell r="B1171">
            <v>8774</v>
          </cell>
          <cell r="C1171" t="str">
            <v>Ramirez; Joseph</v>
          </cell>
          <cell r="D1171" t="str">
            <v>1C</v>
          </cell>
          <cell r="E1171" t="str">
            <v>IBEWOUT</v>
          </cell>
          <cell r="F1171" t="str">
            <v>1245</v>
          </cell>
          <cell r="G1171" t="str">
            <v>17</v>
          </cell>
          <cell r="H1171">
            <v>0</v>
          </cell>
        </row>
        <row r="1172">
          <cell r="B1172">
            <v>8777</v>
          </cell>
          <cell r="C1172" t="str">
            <v>Ramirez-Gomez; Marco I</v>
          </cell>
          <cell r="D1172" t="str">
            <v>1C</v>
          </cell>
          <cell r="E1172" t="str">
            <v>IBEWOUT</v>
          </cell>
          <cell r="F1172" t="str">
            <v>1245</v>
          </cell>
          <cell r="G1172" t="str">
            <v>17</v>
          </cell>
          <cell r="H1172">
            <v>0</v>
          </cell>
        </row>
        <row r="1173">
          <cell r="B1173">
            <v>8779</v>
          </cell>
          <cell r="C1173" t="str">
            <v>Ramirez-Hernandez; Kevin A</v>
          </cell>
          <cell r="D1173" t="str">
            <v>1C</v>
          </cell>
          <cell r="E1173" t="str">
            <v/>
          </cell>
          <cell r="F1173" t="str">
            <v/>
          </cell>
          <cell r="G1173" t="str">
            <v/>
          </cell>
          <cell r="H1173">
            <v>0</v>
          </cell>
        </row>
        <row r="1174">
          <cell r="B1174">
            <v>8784</v>
          </cell>
          <cell r="C1174" t="str">
            <v>Raper; Michael G.</v>
          </cell>
          <cell r="D1174" t="str">
            <v>1</v>
          </cell>
          <cell r="E1174" t="str">
            <v>IBEWOUT</v>
          </cell>
          <cell r="F1174" t="str">
            <v>1245</v>
          </cell>
          <cell r="G1174" t="str">
            <v>7</v>
          </cell>
          <cell r="H1174">
            <v>0</v>
          </cell>
        </row>
        <row r="1175">
          <cell r="B1175">
            <v>8786</v>
          </cell>
          <cell r="C1175" t="str">
            <v>Ransom; William B.</v>
          </cell>
          <cell r="D1175" t="str">
            <v>1C</v>
          </cell>
          <cell r="E1175" t="str">
            <v>IBEWOUT</v>
          </cell>
          <cell r="F1175" t="str">
            <v>47</v>
          </cell>
          <cell r="G1175" t="str">
            <v>8</v>
          </cell>
          <cell r="H1175">
            <v>0</v>
          </cell>
        </row>
        <row r="1176">
          <cell r="B1176">
            <v>8787</v>
          </cell>
          <cell r="C1176" t="str">
            <v>Rapozo; Titus K</v>
          </cell>
          <cell r="D1176" t="str">
            <v>1C</v>
          </cell>
          <cell r="E1176" t="str">
            <v>IBEWOUT</v>
          </cell>
          <cell r="F1176" t="str">
            <v>104</v>
          </cell>
          <cell r="G1176" t="str">
            <v>7</v>
          </cell>
          <cell r="H1176">
            <v>0</v>
          </cell>
        </row>
        <row r="1177">
          <cell r="B1177">
            <v>8790</v>
          </cell>
          <cell r="C1177" t="str">
            <v>Ratti; Byron J</v>
          </cell>
          <cell r="D1177" t="str">
            <v>1C</v>
          </cell>
          <cell r="E1177" t="str">
            <v>IBEWOUT</v>
          </cell>
          <cell r="F1177" t="str">
            <v>47</v>
          </cell>
          <cell r="G1177" t="str">
            <v>17</v>
          </cell>
          <cell r="H1177">
            <v>0</v>
          </cell>
        </row>
        <row r="1178">
          <cell r="B1178">
            <v>8792</v>
          </cell>
          <cell r="C1178" t="str">
            <v>Rasmussen; Anita</v>
          </cell>
          <cell r="D1178" t="str">
            <v>1C</v>
          </cell>
          <cell r="E1178" t="str">
            <v>IBEWOUT</v>
          </cell>
          <cell r="F1178" t="str">
            <v>396</v>
          </cell>
          <cell r="G1178" t="str">
            <v>17</v>
          </cell>
          <cell r="H1178">
            <v>0</v>
          </cell>
        </row>
        <row r="1179">
          <cell r="B1179">
            <v>8797</v>
          </cell>
          <cell r="C1179" t="str">
            <v>Raunig; Fred L.</v>
          </cell>
          <cell r="D1179" t="str">
            <v>1</v>
          </cell>
          <cell r="E1179" t="str">
            <v/>
          </cell>
          <cell r="F1179" t="str">
            <v/>
          </cell>
          <cell r="G1179" t="str">
            <v/>
          </cell>
          <cell r="H1179">
            <v>0</v>
          </cell>
        </row>
        <row r="1180">
          <cell r="B1180">
            <v>8798</v>
          </cell>
          <cell r="C1180" t="str">
            <v>Raunig; Fred Michael</v>
          </cell>
          <cell r="D1180" t="str">
            <v>1</v>
          </cell>
          <cell r="E1180" t="str">
            <v>IBEWOUT</v>
          </cell>
          <cell r="F1180" t="str">
            <v>769</v>
          </cell>
          <cell r="G1180" t="str">
            <v>1</v>
          </cell>
          <cell r="H1180">
            <v>0</v>
          </cell>
        </row>
        <row r="1181">
          <cell r="B1181">
            <v>8799</v>
          </cell>
          <cell r="C1181" t="str">
            <v>Rau; Jared W</v>
          </cell>
          <cell r="D1181" t="str">
            <v>1</v>
          </cell>
          <cell r="E1181" t="str">
            <v>IBEWOUT</v>
          </cell>
          <cell r="F1181" t="str">
            <v>769</v>
          </cell>
          <cell r="G1181" t="str">
            <v>7</v>
          </cell>
          <cell r="H1181">
            <v>0</v>
          </cell>
        </row>
        <row r="1182">
          <cell r="B1182">
            <v>8811</v>
          </cell>
          <cell r="C1182" t="str">
            <v>Ridley IV; Nelson</v>
          </cell>
          <cell r="D1182" t="str">
            <v>1C</v>
          </cell>
          <cell r="E1182" t="str">
            <v>IBEWOUT</v>
          </cell>
          <cell r="F1182" t="str">
            <v>1245</v>
          </cell>
          <cell r="G1182" t="str">
            <v>8</v>
          </cell>
          <cell r="H1182">
            <v>0</v>
          </cell>
        </row>
        <row r="1183">
          <cell r="B1183">
            <v>8817</v>
          </cell>
          <cell r="C1183" t="str">
            <v>Reavis; Sam H</v>
          </cell>
          <cell r="D1183" t="str">
            <v>1C</v>
          </cell>
          <cell r="E1183" t="str">
            <v>IBEWOUT</v>
          </cell>
          <cell r="F1183" t="str">
            <v>1245</v>
          </cell>
          <cell r="G1183" t="str">
            <v>11</v>
          </cell>
          <cell r="H1183">
            <v>0</v>
          </cell>
        </row>
        <row r="1184">
          <cell r="B1184">
            <v>8822</v>
          </cell>
          <cell r="C1184" t="str">
            <v>Reidhead; Trek W</v>
          </cell>
          <cell r="D1184" t="str">
            <v>1</v>
          </cell>
          <cell r="E1184" t="str">
            <v>IBEWOUT</v>
          </cell>
          <cell r="F1184" t="str">
            <v>47</v>
          </cell>
          <cell r="G1184" t="str">
            <v>1</v>
          </cell>
          <cell r="H1184">
            <v>0</v>
          </cell>
        </row>
        <row r="1185">
          <cell r="B1185">
            <v>8829</v>
          </cell>
          <cell r="C1185" t="str">
            <v>Richmond; Cordell D</v>
          </cell>
          <cell r="D1185" t="str">
            <v>1C</v>
          </cell>
          <cell r="E1185" t="str">
            <v>IBEWOUT</v>
          </cell>
          <cell r="F1185" t="str">
            <v>602R</v>
          </cell>
          <cell r="G1185" t="str">
            <v>14T</v>
          </cell>
          <cell r="H1185">
            <v>0</v>
          </cell>
        </row>
        <row r="1186">
          <cell r="B1186">
            <v>8832</v>
          </cell>
          <cell r="C1186" t="str">
            <v>Renn; Shane T.</v>
          </cell>
          <cell r="D1186" t="str">
            <v>1C</v>
          </cell>
          <cell r="E1186" t="str">
            <v>IBEWOUT</v>
          </cell>
          <cell r="F1186" t="str">
            <v>1245</v>
          </cell>
          <cell r="G1186" t="str">
            <v>7</v>
          </cell>
          <cell r="H1186">
            <v>0</v>
          </cell>
        </row>
        <row r="1187">
          <cell r="B1187">
            <v>8833</v>
          </cell>
          <cell r="C1187" t="str">
            <v>Ressa; Joshua W.</v>
          </cell>
          <cell r="D1187" t="str">
            <v>1C</v>
          </cell>
          <cell r="E1187" t="str">
            <v>IBEWOUT</v>
          </cell>
          <cell r="F1187" t="str">
            <v>77</v>
          </cell>
          <cell r="G1187" t="str">
            <v>16</v>
          </cell>
          <cell r="H1187">
            <v>0</v>
          </cell>
        </row>
        <row r="1188">
          <cell r="B1188">
            <v>8836</v>
          </cell>
          <cell r="C1188" t="str">
            <v>Richmond; Shawn J.</v>
          </cell>
          <cell r="D1188" t="str">
            <v>1C</v>
          </cell>
          <cell r="E1188" t="str">
            <v>IBEWOUT</v>
          </cell>
          <cell r="F1188" t="str">
            <v>1245</v>
          </cell>
          <cell r="G1188" t="str">
            <v>8</v>
          </cell>
          <cell r="H1188">
            <v>0</v>
          </cell>
        </row>
        <row r="1189">
          <cell r="B1189">
            <v>8837</v>
          </cell>
          <cell r="C1189" t="str">
            <v>Ricker; Chad M</v>
          </cell>
          <cell r="D1189" t="str">
            <v>1C</v>
          </cell>
          <cell r="E1189" t="str">
            <v>IBEWOUT</v>
          </cell>
          <cell r="F1189" t="str">
            <v>47</v>
          </cell>
          <cell r="G1189" t="str">
            <v>8</v>
          </cell>
          <cell r="H1189">
            <v>0</v>
          </cell>
        </row>
        <row r="1190">
          <cell r="B1190">
            <v>8845</v>
          </cell>
          <cell r="C1190" t="str">
            <v>Renteria; Juan Carlos</v>
          </cell>
          <cell r="D1190" t="str">
            <v>1C</v>
          </cell>
          <cell r="E1190" t="str">
            <v>IBEWOUT</v>
          </cell>
          <cell r="F1190" t="str">
            <v>1245</v>
          </cell>
          <cell r="G1190" t="str">
            <v>12</v>
          </cell>
          <cell r="H1190">
            <v>0</v>
          </cell>
        </row>
        <row r="1191">
          <cell r="B1191">
            <v>8846</v>
          </cell>
          <cell r="C1191" t="str">
            <v>Rondeau Jr.; William A</v>
          </cell>
          <cell r="D1191" t="str">
            <v>1C</v>
          </cell>
          <cell r="E1191" t="str">
            <v>IBEWOUT</v>
          </cell>
          <cell r="F1191" t="str">
            <v>126</v>
          </cell>
          <cell r="G1191" t="str">
            <v>8</v>
          </cell>
          <cell r="H1191">
            <v>0</v>
          </cell>
        </row>
        <row r="1192">
          <cell r="B1192">
            <v>8855</v>
          </cell>
          <cell r="C1192" t="str">
            <v>Robbins; Nathan Ray</v>
          </cell>
          <cell r="D1192" t="str">
            <v>1C</v>
          </cell>
          <cell r="E1192" t="str">
            <v>IBEWOUT</v>
          </cell>
          <cell r="F1192" t="str">
            <v>77</v>
          </cell>
          <cell r="G1192" t="str">
            <v>9</v>
          </cell>
          <cell r="H1192">
            <v>0</v>
          </cell>
        </row>
        <row r="1193">
          <cell r="B1193">
            <v>8856</v>
          </cell>
          <cell r="C1193" t="str">
            <v>Rethi; Attila Alex</v>
          </cell>
          <cell r="D1193" t="str">
            <v>1C</v>
          </cell>
          <cell r="E1193" t="str">
            <v>IBEWOUT</v>
          </cell>
          <cell r="F1193" t="str">
            <v>1245</v>
          </cell>
          <cell r="G1193" t="str">
            <v>16</v>
          </cell>
          <cell r="H1193">
            <v>0</v>
          </cell>
        </row>
        <row r="1194">
          <cell r="B1194">
            <v>8857</v>
          </cell>
          <cell r="C1194" t="str">
            <v>Romberg; Grant M</v>
          </cell>
          <cell r="D1194" t="str">
            <v>1C</v>
          </cell>
          <cell r="E1194" t="str">
            <v>IBEWOUT</v>
          </cell>
          <cell r="F1194" t="str">
            <v>160</v>
          </cell>
          <cell r="G1194" t="str">
            <v>8</v>
          </cell>
          <cell r="H1194">
            <v>0</v>
          </cell>
        </row>
        <row r="1195">
          <cell r="B1195">
            <v>8858</v>
          </cell>
          <cell r="C1195" t="str">
            <v>Romero; Johnny O</v>
          </cell>
          <cell r="D1195" t="str">
            <v>1C</v>
          </cell>
          <cell r="E1195" t="str">
            <v>IBEWOUT</v>
          </cell>
          <cell r="F1195" t="str">
            <v>611</v>
          </cell>
          <cell r="G1195" t="str">
            <v>12</v>
          </cell>
          <cell r="H1195">
            <v>0</v>
          </cell>
        </row>
        <row r="1196">
          <cell r="B1196">
            <v>8860</v>
          </cell>
          <cell r="C1196" t="str">
            <v>Rice; Everett L</v>
          </cell>
          <cell r="D1196" t="str">
            <v>1C</v>
          </cell>
          <cell r="E1196" t="str">
            <v>IBEWOUT</v>
          </cell>
          <cell r="F1196" t="str">
            <v>77</v>
          </cell>
          <cell r="G1196" t="str">
            <v>8</v>
          </cell>
          <cell r="H1196">
            <v>0</v>
          </cell>
        </row>
        <row r="1197">
          <cell r="B1197">
            <v>8861</v>
          </cell>
          <cell r="C1197" t="str">
            <v>Rhodes; Sam A</v>
          </cell>
          <cell r="D1197" t="str">
            <v>1C</v>
          </cell>
          <cell r="E1197" t="str">
            <v>IBEWOUT</v>
          </cell>
          <cell r="F1197" t="str">
            <v>77</v>
          </cell>
          <cell r="G1197" t="str">
            <v>8</v>
          </cell>
          <cell r="H1197">
            <v>0</v>
          </cell>
        </row>
        <row r="1198">
          <cell r="B1198">
            <v>8862</v>
          </cell>
          <cell r="C1198" t="str">
            <v>Rex; Paul Arthur</v>
          </cell>
          <cell r="D1198" t="str">
            <v>1C</v>
          </cell>
          <cell r="E1198" t="str">
            <v>IBEWOUT</v>
          </cell>
          <cell r="F1198" t="str">
            <v>47</v>
          </cell>
          <cell r="G1198" t="str">
            <v>60</v>
          </cell>
          <cell r="H1198">
            <v>0</v>
          </cell>
        </row>
        <row r="1199">
          <cell r="B1199">
            <v>8864</v>
          </cell>
          <cell r="C1199" t="str">
            <v>Rhodes; Shawn A</v>
          </cell>
          <cell r="D1199" t="str">
            <v>1</v>
          </cell>
          <cell r="E1199" t="str">
            <v/>
          </cell>
          <cell r="F1199" t="str">
            <v/>
          </cell>
          <cell r="G1199" t="str">
            <v/>
          </cell>
          <cell r="H1199">
            <v>1</v>
          </cell>
        </row>
        <row r="1200">
          <cell r="B1200">
            <v>8865</v>
          </cell>
          <cell r="C1200" t="str">
            <v>Rivet Jr.; Lipton J</v>
          </cell>
          <cell r="D1200" t="str">
            <v>1C</v>
          </cell>
          <cell r="E1200" t="str">
            <v>IBEWOUT</v>
          </cell>
          <cell r="F1200" t="str">
            <v>160</v>
          </cell>
          <cell r="G1200" t="str">
            <v>8</v>
          </cell>
          <cell r="H1200">
            <v>0</v>
          </cell>
        </row>
        <row r="1201">
          <cell r="B1201">
            <v>8868</v>
          </cell>
          <cell r="C1201" t="str">
            <v>Richardson; Rush L</v>
          </cell>
          <cell r="D1201" t="str">
            <v>1C</v>
          </cell>
          <cell r="E1201" t="str">
            <v>IBEWOUT</v>
          </cell>
          <cell r="F1201" t="str">
            <v>1245</v>
          </cell>
          <cell r="G1201" t="str">
            <v>8</v>
          </cell>
          <cell r="H1201">
            <v>0</v>
          </cell>
        </row>
        <row r="1202">
          <cell r="B1202">
            <v>8871</v>
          </cell>
          <cell r="C1202" t="str">
            <v>Romero; Ricardo</v>
          </cell>
          <cell r="D1202" t="str">
            <v>1C</v>
          </cell>
          <cell r="E1202" t="str">
            <v>IBEWOUT</v>
          </cell>
          <cell r="F1202" t="str">
            <v>47</v>
          </cell>
          <cell r="G1202" t="str">
            <v>8</v>
          </cell>
          <cell r="H1202">
            <v>0</v>
          </cell>
        </row>
        <row r="1203">
          <cell r="B1203">
            <v>8872</v>
          </cell>
          <cell r="C1203" t="str">
            <v>Richardson; Tanner J</v>
          </cell>
          <cell r="D1203" t="str">
            <v>1</v>
          </cell>
          <cell r="E1203" t="str">
            <v>IBEWOUT</v>
          </cell>
          <cell r="F1203" t="str">
            <v>77</v>
          </cell>
          <cell r="G1203" t="str">
            <v>8</v>
          </cell>
          <cell r="H1203">
            <v>0</v>
          </cell>
        </row>
        <row r="1204">
          <cell r="B1204">
            <v>8873</v>
          </cell>
          <cell r="C1204" t="str">
            <v>Rico; Jose M</v>
          </cell>
          <cell r="D1204" t="str">
            <v>1C</v>
          </cell>
          <cell r="E1204" t="str">
            <v>IBEWOUT</v>
          </cell>
          <cell r="F1204" t="str">
            <v>1245</v>
          </cell>
          <cell r="G1204" t="str">
            <v>60</v>
          </cell>
          <cell r="H1204">
            <v>0</v>
          </cell>
        </row>
        <row r="1205">
          <cell r="B1205">
            <v>8887</v>
          </cell>
          <cell r="C1205" t="str">
            <v>Riley; Brian Patrick</v>
          </cell>
          <cell r="D1205" t="str">
            <v>1C</v>
          </cell>
          <cell r="E1205" t="str">
            <v/>
          </cell>
          <cell r="F1205" t="str">
            <v/>
          </cell>
          <cell r="G1205" t="str">
            <v/>
          </cell>
          <cell r="H1205">
            <v>0</v>
          </cell>
        </row>
        <row r="1206">
          <cell r="B1206">
            <v>8888</v>
          </cell>
          <cell r="C1206" t="str">
            <v>Rinehimer; Geary M</v>
          </cell>
          <cell r="D1206" t="str">
            <v>1C</v>
          </cell>
          <cell r="E1206" t="str">
            <v>IBEWOUT</v>
          </cell>
          <cell r="F1206" t="str">
            <v>1319</v>
          </cell>
          <cell r="G1206" t="str">
            <v>13</v>
          </cell>
          <cell r="H1206">
            <v>0</v>
          </cell>
        </row>
        <row r="1207">
          <cell r="B1207">
            <v>8891</v>
          </cell>
          <cell r="C1207" t="str">
            <v>Rinella; Philip M</v>
          </cell>
          <cell r="D1207" t="str">
            <v>1</v>
          </cell>
          <cell r="E1207" t="str">
            <v/>
          </cell>
          <cell r="F1207" t="str">
            <v/>
          </cell>
          <cell r="G1207" t="str">
            <v/>
          </cell>
          <cell r="H1207">
            <v>0</v>
          </cell>
        </row>
        <row r="1208">
          <cell r="B1208">
            <v>8895</v>
          </cell>
          <cell r="C1208" t="str">
            <v>Roan; Dustin Michael</v>
          </cell>
          <cell r="D1208" t="str">
            <v>1C</v>
          </cell>
          <cell r="E1208" t="str">
            <v>IBEWOUT</v>
          </cell>
          <cell r="F1208" t="str">
            <v>769</v>
          </cell>
          <cell r="G1208" t="str">
            <v>33</v>
          </cell>
          <cell r="H1208">
            <v>0</v>
          </cell>
        </row>
        <row r="1209">
          <cell r="B1209">
            <v>8899</v>
          </cell>
          <cell r="C1209" t="str">
            <v>Rigg; Stuart N</v>
          </cell>
          <cell r="D1209" t="str">
            <v>1C</v>
          </cell>
          <cell r="E1209" t="str">
            <v>IBEWOUT</v>
          </cell>
          <cell r="F1209" t="str">
            <v>1245</v>
          </cell>
          <cell r="G1209" t="str">
            <v>8</v>
          </cell>
          <cell r="H1209">
            <v>0</v>
          </cell>
        </row>
        <row r="1210">
          <cell r="B1210">
            <v>8904</v>
          </cell>
          <cell r="C1210" t="str">
            <v>Rivera; Amando A</v>
          </cell>
          <cell r="D1210" t="str">
            <v>1C</v>
          </cell>
          <cell r="E1210" t="str">
            <v>IBEWOUT</v>
          </cell>
          <cell r="F1210" t="str">
            <v>47</v>
          </cell>
          <cell r="G1210" t="str">
            <v>8</v>
          </cell>
          <cell r="H1210">
            <v>0</v>
          </cell>
        </row>
        <row r="1211">
          <cell r="B1211">
            <v>8905</v>
          </cell>
          <cell r="C1211" t="str">
            <v>Rieskamp; Amanda M</v>
          </cell>
          <cell r="D1211" t="str">
            <v>1C</v>
          </cell>
          <cell r="E1211" t="str">
            <v/>
          </cell>
          <cell r="F1211" t="str">
            <v/>
          </cell>
          <cell r="G1211" t="str">
            <v/>
          </cell>
          <cell r="H1211">
            <v>0</v>
          </cell>
        </row>
        <row r="1212">
          <cell r="B1212">
            <v>8906</v>
          </cell>
          <cell r="C1212" t="str">
            <v>Rivera; Luis C</v>
          </cell>
          <cell r="D1212" t="str">
            <v>1C</v>
          </cell>
          <cell r="E1212" t="str">
            <v>IBEWOUT</v>
          </cell>
          <cell r="F1212" t="str">
            <v>47</v>
          </cell>
          <cell r="G1212" t="str">
            <v>7</v>
          </cell>
          <cell r="H1212">
            <v>0</v>
          </cell>
        </row>
        <row r="1213">
          <cell r="B1213">
            <v>8908</v>
          </cell>
          <cell r="C1213" t="str">
            <v>Rivera; Andrew L</v>
          </cell>
          <cell r="D1213" t="str">
            <v>1C</v>
          </cell>
          <cell r="E1213" t="str">
            <v>IBEWOUT</v>
          </cell>
          <cell r="F1213" t="str">
            <v>611</v>
          </cell>
          <cell r="G1213" t="str">
            <v>13</v>
          </cell>
          <cell r="H1213">
            <v>0</v>
          </cell>
        </row>
        <row r="1214">
          <cell r="B1214">
            <v>8910</v>
          </cell>
          <cell r="C1214" t="str">
            <v>Rimer Jr; James D</v>
          </cell>
          <cell r="D1214" t="str">
            <v>1C</v>
          </cell>
          <cell r="E1214" t="str">
            <v>IBEWOUT</v>
          </cell>
          <cell r="F1214" t="str">
            <v>1245</v>
          </cell>
          <cell r="G1214" t="str">
            <v>8</v>
          </cell>
          <cell r="H1214">
            <v>0</v>
          </cell>
        </row>
        <row r="1215">
          <cell r="B1215">
            <v>8914</v>
          </cell>
          <cell r="C1215" t="str">
            <v>Rivera; Juan D</v>
          </cell>
          <cell r="D1215" t="str">
            <v>1</v>
          </cell>
          <cell r="E1215" t="str">
            <v>IBEWOUT</v>
          </cell>
          <cell r="F1215" t="str">
            <v>47</v>
          </cell>
          <cell r="G1215" t="str">
            <v>17</v>
          </cell>
          <cell r="H1215">
            <v>0</v>
          </cell>
        </row>
        <row r="1216">
          <cell r="B1216">
            <v>8915</v>
          </cell>
          <cell r="C1216" t="str">
            <v>Rivera; Juan H</v>
          </cell>
          <cell r="D1216" t="str">
            <v>1</v>
          </cell>
          <cell r="E1216" t="str">
            <v>IBEWOUT</v>
          </cell>
          <cell r="F1216" t="str">
            <v>1245</v>
          </cell>
          <cell r="G1216" t="str">
            <v>8</v>
          </cell>
          <cell r="H1216">
            <v>0</v>
          </cell>
        </row>
        <row r="1217">
          <cell r="B1217">
            <v>8930</v>
          </cell>
          <cell r="C1217" t="str">
            <v>Roark; Dale B.</v>
          </cell>
          <cell r="D1217" t="str">
            <v>1C</v>
          </cell>
          <cell r="E1217" t="str">
            <v>IBEWOUT</v>
          </cell>
          <cell r="F1217" t="str">
            <v>47</v>
          </cell>
          <cell r="G1217" t="str">
            <v>8</v>
          </cell>
          <cell r="H1217">
            <v>0</v>
          </cell>
        </row>
        <row r="1218">
          <cell r="B1218">
            <v>8931</v>
          </cell>
          <cell r="C1218" t="str">
            <v>Rocha; Jonathan M</v>
          </cell>
          <cell r="D1218" t="str">
            <v>1C</v>
          </cell>
          <cell r="E1218" t="str">
            <v>IBEWOUT</v>
          </cell>
          <cell r="F1218" t="str">
            <v>1245</v>
          </cell>
          <cell r="G1218" t="str">
            <v>13</v>
          </cell>
          <cell r="H1218">
            <v>0</v>
          </cell>
        </row>
        <row r="1219">
          <cell r="B1219">
            <v>8933</v>
          </cell>
          <cell r="C1219" t="str">
            <v>Rodericks; Marvin C</v>
          </cell>
          <cell r="D1219" t="str">
            <v>1C</v>
          </cell>
          <cell r="E1219" t="str">
            <v>IBEWOUT</v>
          </cell>
          <cell r="F1219" t="str">
            <v>1049</v>
          </cell>
          <cell r="G1219" t="str">
            <v>17</v>
          </cell>
          <cell r="H1219">
            <v>0</v>
          </cell>
        </row>
        <row r="1220">
          <cell r="B1220">
            <v>8960</v>
          </cell>
          <cell r="C1220" t="str">
            <v>Rodriguez; Ruben</v>
          </cell>
          <cell r="D1220" t="str">
            <v>1C</v>
          </cell>
          <cell r="E1220" t="str">
            <v>IBEWOUT</v>
          </cell>
          <cell r="F1220" t="str">
            <v>47</v>
          </cell>
          <cell r="G1220" t="str">
            <v>8</v>
          </cell>
          <cell r="H1220">
            <v>0</v>
          </cell>
        </row>
        <row r="1221">
          <cell r="B1221">
            <v>8962</v>
          </cell>
          <cell r="C1221" t="str">
            <v>Rodriguez; Victor M</v>
          </cell>
          <cell r="D1221" t="str">
            <v>1C</v>
          </cell>
          <cell r="E1221" t="str">
            <v>IBEWOUT</v>
          </cell>
          <cell r="F1221" t="str">
            <v>1245</v>
          </cell>
          <cell r="G1221" t="str">
            <v>10</v>
          </cell>
          <cell r="H1221">
            <v>0</v>
          </cell>
        </row>
        <row r="1222">
          <cell r="B1222">
            <v>9010</v>
          </cell>
          <cell r="C1222" t="str">
            <v>Roberts; James W.</v>
          </cell>
          <cell r="D1222" t="str">
            <v>1</v>
          </cell>
          <cell r="E1222" t="str">
            <v>IBEWOUT</v>
          </cell>
          <cell r="F1222" t="str">
            <v>1245</v>
          </cell>
          <cell r="G1222" t="str">
            <v>1</v>
          </cell>
          <cell r="H1222">
            <v>0</v>
          </cell>
        </row>
        <row r="1223">
          <cell r="B1223">
            <v>9011</v>
          </cell>
          <cell r="C1223" t="str">
            <v>Roberts; Steven C</v>
          </cell>
          <cell r="D1223" t="str">
            <v>1C</v>
          </cell>
          <cell r="E1223" t="str">
            <v>IBEWOUT</v>
          </cell>
          <cell r="F1223" t="str">
            <v>47</v>
          </cell>
          <cell r="G1223" t="str">
            <v>8</v>
          </cell>
          <cell r="H1223">
            <v>0</v>
          </cell>
        </row>
        <row r="1224">
          <cell r="B1224">
            <v>9012</v>
          </cell>
          <cell r="C1224" t="str">
            <v>Robinett; Austin R.</v>
          </cell>
          <cell r="D1224" t="str">
            <v>1C</v>
          </cell>
          <cell r="E1224" t="str">
            <v/>
          </cell>
          <cell r="F1224" t="str">
            <v/>
          </cell>
          <cell r="G1224" t="str">
            <v/>
          </cell>
          <cell r="H1224">
            <v>1</v>
          </cell>
        </row>
        <row r="1225">
          <cell r="B1225">
            <v>9015</v>
          </cell>
          <cell r="C1225" t="str">
            <v>Roemhildt; Keegan M.</v>
          </cell>
          <cell r="D1225" t="str">
            <v>1</v>
          </cell>
          <cell r="E1225" t="str">
            <v/>
          </cell>
          <cell r="F1225" t="str">
            <v/>
          </cell>
          <cell r="G1225" t="str">
            <v/>
          </cell>
          <cell r="H1225">
            <v>1</v>
          </cell>
        </row>
        <row r="1226">
          <cell r="B1226">
            <v>9026</v>
          </cell>
          <cell r="C1226" t="str">
            <v>Rojas; Hilario O</v>
          </cell>
          <cell r="D1226" t="str">
            <v>1C</v>
          </cell>
          <cell r="E1226" t="str">
            <v>IBEWOUT</v>
          </cell>
          <cell r="F1226" t="str">
            <v>611</v>
          </cell>
          <cell r="G1226" t="str">
            <v>15</v>
          </cell>
          <cell r="H1226">
            <v>0</v>
          </cell>
        </row>
        <row r="1227">
          <cell r="B1227">
            <v>9047</v>
          </cell>
          <cell r="C1227" t="str">
            <v>Rose; Bob R</v>
          </cell>
          <cell r="D1227" t="str">
            <v>1C</v>
          </cell>
          <cell r="E1227" t="str">
            <v>IBEWOUT</v>
          </cell>
          <cell r="F1227" t="str">
            <v>77</v>
          </cell>
          <cell r="G1227" t="str">
            <v>16</v>
          </cell>
          <cell r="H1227">
            <v>0</v>
          </cell>
        </row>
        <row r="1228">
          <cell r="B1228">
            <v>9048</v>
          </cell>
          <cell r="C1228" t="str">
            <v>Roy; Cameron Russell</v>
          </cell>
          <cell r="D1228" t="str">
            <v>1</v>
          </cell>
          <cell r="E1228" t="str">
            <v/>
          </cell>
          <cell r="F1228" t="str">
            <v/>
          </cell>
          <cell r="G1228" t="str">
            <v/>
          </cell>
          <cell r="H1228">
            <v>1</v>
          </cell>
        </row>
        <row r="1229">
          <cell r="B1229">
            <v>9068</v>
          </cell>
          <cell r="C1229" t="str">
            <v>Row; Ryan A</v>
          </cell>
          <cell r="D1229" t="str">
            <v>1C</v>
          </cell>
          <cell r="E1229" t="str">
            <v>IBEWOUT</v>
          </cell>
          <cell r="F1229" t="str">
            <v>1245</v>
          </cell>
          <cell r="G1229" t="str">
            <v>7</v>
          </cell>
          <cell r="H1229">
            <v>0</v>
          </cell>
        </row>
        <row r="1230">
          <cell r="B1230">
            <v>9072</v>
          </cell>
          <cell r="C1230" t="str">
            <v>Rowley; Jared N</v>
          </cell>
          <cell r="D1230" t="str">
            <v>1C</v>
          </cell>
          <cell r="E1230" t="str">
            <v>IBEWOUT</v>
          </cell>
          <cell r="F1230" t="str">
            <v>1245</v>
          </cell>
          <cell r="G1230" t="str">
            <v>13</v>
          </cell>
          <cell r="H1230">
            <v>0</v>
          </cell>
        </row>
        <row r="1231">
          <cell r="B1231">
            <v>9082</v>
          </cell>
          <cell r="C1231" t="str">
            <v>Ruiz; Brian D</v>
          </cell>
          <cell r="D1231" t="str">
            <v>1</v>
          </cell>
          <cell r="E1231" t="str">
            <v>IBEWOUT</v>
          </cell>
          <cell r="F1231" t="str">
            <v>1245</v>
          </cell>
          <cell r="G1231" t="str">
            <v>12</v>
          </cell>
          <cell r="H1231">
            <v>0</v>
          </cell>
        </row>
        <row r="1232">
          <cell r="B1232">
            <v>9083</v>
          </cell>
          <cell r="C1232" t="str">
            <v>Rydecki; Christopher E</v>
          </cell>
          <cell r="D1232" t="str">
            <v>1C</v>
          </cell>
          <cell r="E1232" t="str">
            <v>IBEWOUT</v>
          </cell>
          <cell r="F1232" t="str">
            <v>47</v>
          </cell>
          <cell r="G1232" t="str">
            <v>8</v>
          </cell>
          <cell r="H1232">
            <v>0</v>
          </cell>
        </row>
        <row r="1233">
          <cell r="B1233">
            <v>9084</v>
          </cell>
          <cell r="C1233" t="str">
            <v>Ruiz Castillo; Lorenzo</v>
          </cell>
          <cell r="D1233" t="str">
            <v>1C</v>
          </cell>
          <cell r="E1233" t="str">
            <v/>
          </cell>
          <cell r="F1233" t="str">
            <v/>
          </cell>
          <cell r="G1233" t="str">
            <v/>
          </cell>
          <cell r="H1233">
            <v>1</v>
          </cell>
        </row>
        <row r="1234">
          <cell r="B1234">
            <v>9087</v>
          </cell>
          <cell r="C1234" t="str">
            <v>Rossiter; Dustin R</v>
          </cell>
          <cell r="D1234" t="str">
            <v>1C</v>
          </cell>
          <cell r="E1234" t="str">
            <v/>
          </cell>
          <cell r="F1234" t="str">
            <v/>
          </cell>
          <cell r="G1234" t="str">
            <v/>
          </cell>
          <cell r="H1234">
            <v>1</v>
          </cell>
        </row>
        <row r="1235">
          <cell r="B1235">
            <v>9091</v>
          </cell>
          <cell r="C1235" t="str">
            <v>Rosenlund; David Joel</v>
          </cell>
          <cell r="D1235" t="str">
            <v>1C</v>
          </cell>
          <cell r="E1235" t="str">
            <v>IBEWOUT</v>
          </cell>
          <cell r="F1235" t="str">
            <v>1245</v>
          </cell>
          <cell r="G1235" t="str">
            <v>8</v>
          </cell>
          <cell r="H1235">
            <v>0</v>
          </cell>
        </row>
        <row r="1236">
          <cell r="B1236">
            <v>9092</v>
          </cell>
          <cell r="C1236" t="str">
            <v>Rosengrant; Jeffrey M</v>
          </cell>
          <cell r="D1236" t="str">
            <v>1C</v>
          </cell>
          <cell r="E1236" t="str">
            <v>IBEWOUT</v>
          </cell>
          <cell r="F1236" t="str">
            <v>1319</v>
          </cell>
          <cell r="G1236" t="str">
            <v>8</v>
          </cell>
          <cell r="H1236">
            <v>0</v>
          </cell>
        </row>
        <row r="1237">
          <cell r="B1237">
            <v>9107</v>
          </cell>
          <cell r="C1237" t="str">
            <v>Ross; Joe P.</v>
          </cell>
          <cell r="D1237" t="str">
            <v>1C</v>
          </cell>
          <cell r="E1237" t="str">
            <v>IBEWOUT</v>
          </cell>
          <cell r="F1237" t="str">
            <v>602R</v>
          </cell>
          <cell r="G1237" t="str">
            <v>33</v>
          </cell>
          <cell r="H1237">
            <v>0</v>
          </cell>
        </row>
        <row r="1238">
          <cell r="B1238">
            <v>9108</v>
          </cell>
          <cell r="C1238" t="str">
            <v>Robbins; Christopher A.</v>
          </cell>
          <cell r="D1238" t="str">
            <v>1C</v>
          </cell>
          <cell r="E1238" t="str">
            <v>IBEWOUT</v>
          </cell>
          <cell r="F1238" t="str">
            <v>396</v>
          </cell>
          <cell r="G1238" t="str">
            <v>10</v>
          </cell>
          <cell r="H1238">
            <v>0</v>
          </cell>
        </row>
        <row r="1239">
          <cell r="B1239">
            <v>9110</v>
          </cell>
          <cell r="C1239" t="str">
            <v>Rodriguez; Roberto J</v>
          </cell>
          <cell r="D1239" t="str">
            <v>1C</v>
          </cell>
          <cell r="E1239" t="str">
            <v>IBEWOUT</v>
          </cell>
          <cell r="F1239" t="str">
            <v>1245</v>
          </cell>
          <cell r="G1239" t="str">
            <v>7</v>
          </cell>
          <cell r="H1239">
            <v>0</v>
          </cell>
        </row>
        <row r="1240">
          <cell r="B1240">
            <v>9111</v>
          </cell>
          <cell r="C1240" t="str">
            <v>Rodriguez; Daniel N.</v>
          </cell>
          <cell r="D1240" t="str">
            <v>1C</v>
          </cell>
          <cell r="E1240" t="str">
            <v>IBEWOUT</v>
          </cell>
          <cell r="F1240" t="str">
            <v>47</v>
          </cell>
          <cell r="G1240" t="str">
            <v>17</v>
          </cell>
          <cell r="H1240">
            <v>0</v>
          </cell>
        </row>
        <row r="1241">
          <cell r="B1241">
            <v>9114</v>
          </cell>
          <cell r="C1241" t="str">
            <v>Rodriguez; Ricardo R.</v>
          </cell>
          <cell r="D1241" t="str">
            <v>1C</v>
          </cell>
          <cell r="E1241" t="str">
            <v>IBEWOUT</v>
          </cell>
          <cell r="F1241" t="str">
            <v>396</v>
          </cell>
          <cell r="G1241" t="str">
            <v>8</v>
          </cell>
          <cell r="H1241">
            <v>0</v>
          </cell>
        </row>
        <row r="1242">
          <cell r="B1242">
            <v>9116</v>
          </cell>
          <cell r="C1242" t="str">
            <v>Rogers; Jason A.</v>
          </cell>
          <cell r="D1242" t="str">
            <v>1C</v>
          </cell>
          <cell r="E1242" t="str">
            <v>IBEWOUT</v>
          </cell>
          <cell r="F1242" t="str">
            <v>1245</v>
          </cell>
          <cell r="G1242" t="str">
            <v>10</v>
          </cell>
          <cell r="H1242">
            <v>0</v>
          </cell>
        </row>
        <row r="1243">
          <cell r="B1243">
            <v>9117</v>
          </cell>
          <cell r="C1243" t="str">
            <v>Ross; Amie D</v>
          </cell>
          <cell r="D1243" t="str">
            <v>1C</v>
          </cell>
          <cell r="E1243" t="str">
            <v/>
          </cell>
          <cell r="F1243" t="str">
            <v/>
          </cell>
          <cell r="G1243" t="str">
            <v/>
          </cell>
          <cell r="H1243">
            <v>0</v>
          </cell>
        </row>
        <row r="1244">
          <cell r="B1244">
            <v>9118</v>
          </cell>
          <cell r="C1244" t="str">
            <v>Rodriguez; Ramon O</v>
          </cell>
          <cell r="D1244" t="str">
            <v>1C</v>
          </cell>
          <cell r="E1244" t="str">
            <v>IBEWOUT</v>
          </cell>
          <cell r="F1244" t="str">
            <v>1245</v>
          </cell>
          <cell r="G1244" t="str">
            <v>15</v>
          </cell>
          <cell r="H1244">
            <v>0</v>
          </cell>
        </row>
        <row r="1245">
          <cell r="B1245">
            <v>9119</v>
          </cell>
          <cell r="C1245" t="str">
            <v>Roberts; Chaney C</v>
          </cell>
          <cell r="D1245" t="str">
            <v>1C</v>
          </cell>
          <cell r="E1245" t="str">
            <v>IBEWOUT</v>
          </cell>
          <cell r="F1245" t="str">
            <v>47</v>
          </cell>
          <cell r="G1245" t="str">
            <v>17</v>
          </cell>
          <cell r="H1245">
            <v>0</v>
          </cell>
        </row>
        <row r="1246">
          <cell r="B1246">
            <v>9124</v>
          </cell>
          <cell r="C1246" t="str">
            <v>Rodriguez; Blain F</v>
          </cell>
          <cell r="D1246" t="str">
            <v>1C</v>
          </cell>
          <cell r="E1246" t="str">
            <v>IBEWOUT</v>
          </cell>
          <cell r="F1246" t="str">
            <v>47</v>
          </cell>
          <cell r="G1246" t="str">
            <v>7</v>
          </cell>
          <cell r="H1246">
            <v>0</v>
          </cell>
        </row>
        <row r="1247">
          <cell r="B1247">
            <v>9125</v>
          </cell>
          <cell r="C1247" t="str">
            <v>Rodriguez; Derek M</v>
          </cell>
          <cell r="D1247" t="str">
            <v>1C</v>
          </cell>
          <cell r="E1247" t="str">
            <v>IBEWOUT</v>
          </cell>
          <cell r="F1247" t="str">
            <v>611</v>
          </cell>
          <cell r="G1247" t="str">
            <v>17</v>
          </cell>
          <cell r="H1247">
            <v>0</v>
          </cell>
        </row>
        <row r="1248">
          <cell r="B1248">
            <v>9126</v>
          </cell>
          <cell r="C1248" t="str">
            <v>Ross; Brandyn K</v>
          </cell>
          <cell r="D1248" t="str">
            <v>1</v>
          </cell>
          <cell r="E1248" t="str">
            <v>IBEWOUT</v>
          </cell>
          <cell r="F1248" t="str">
            <v>77</v>
          </cell>
          <cell r="G1248" t="str">
            <v>8</v>
          </cell>
          <cell r="H1248">
            <v>0</v>
          </cell>
        </row>
        <row r="1249">
          <cell r="B1249">
            <v>9140</v>
          </cell>
          <cell r="C1249" t="str">
            <v>Rust; James S.</v>
          </cell>
          <cell r="D1249" t="str">
            <v>1C</v>
          </cell>
          <cell r="E1249" t="str">
            <v>IBEWOUT</v>
          </cell>
          <cell r="F1249" t="str">
            <v>1245</v>
          </cell>
          <cell r="G1249" t="str">
            <v>8</v>
          </cell>
          <cell r="H1249">
            <v>0</v>
          </cell>
        </row>
        <row r="1250">
          <cell r="B1250">
            <v>9160</v>
          </cell>
          <cell r="C1250" t="str">
            <v>Salloum; Joseph</v>
          </cell>
          <cell r="D1250" t="str">
            <v>1C</v>
          </cell>
          <cell r="E1250" t="str">
            <v>IBEWOUT</v>
          </cell>
          <cell r="F1250" t="str">
            <v>769</v>
          </cell>
          <cell r="G1250" t="str">
            <v>7</v>
          </cell>
          <cell r="H1250">
            <v>0</v>
          </cell>
        </row>
        <row r="1251">
          <cell r="B1251">
            <v>9162</v>
          </cell>
          <cell r="C1251" t="str">
            <v>Sadler; Christopher S.</v>
          </cell>
          <cell r="D1251" t="str">
            <v>1C</v>
          </cell>
          <cell r="E1251" t="str">
            <v>IBEWOUT</v>
          </cell>
          <cell r="F1251" t="str">
            <v>47</v>
          </cell>
          <cell r="G1251" t="str">
            <v>8</v>
          </cell>
          <cell r="H1251">
            <v>0</v>
          </cell>
        </row>
        <row r="1252">
          <cell r="B1252">
            <v>9164</v>
          </cell>
          <cell r="C1252" t="str">
            <v>Saiz; Robert B.</v>
          </cell>
          <cell r="D1252" t="str">
            <v>1C</v>
          </cell>
          <cell r="E1252" t="str">
            <v>IBEWOUT</v>
          </cell>
          <cell r="F1252" t="str">
            <v>769</v>
          </cell>
          <cell r="G1252" t="str">
            <v>14</v>
          </cell>
          <cell r="H1252">
            <v>0</v>
          </cell>
        </row>
        <row r="1253">
          <cell r="B1253">
            <v>9168</v>
          </cell>
          <cell r="C1253" t="str">
            <v>Sakae; Jasen D</v>
          </cell>
          <cell r="D1253" t="str">
            <v>1C</v>
          </cell>
          <cell r="E1253" t="str">
            <v>IBEWOUT</v>
          </cell>
          <cell r="F1253" t="str">
            <v>47</v>
          </cell>
          <cell r="G1253" t="str">
            <v>13</v>
          </cell>
          <cell r="H1253">
            <v>0</v>
          </cell>
        </row>
        <row r="1254">
          <cell r="B1254">
            <v>9169</v>
          </cell>
          <cell r="C1254" t="str">
            <v>Saiz; Dominic J</v>
          </cell>
          <cell r="D1254" t="str">
            <v>1C</v>
          </cell>
          <cell r="E1254" t="str">
            <v>IBEWOUT</v>
          </cell>
          <cell r="F1254" t="str">
            <v>611</v>
          </cell>
          <cell r="G1254" t="str">
            <v>15</v>
          </cell>
          <cell r="H1254">
            <v>0</v>
          </cell>
        </row>
        <row r="1255">
          <cell r="B1255">
            <v>9181</v>
          </cell>
          <cell r="C1255" t="str">
            <v>Salt; Ronald Robert</v>
          </cell>
          <cell r="D1255" t="str">
            <v>1C</v>
          </cell>
          <cell r="E1255" t="str">
            <v>IBEWOUT</v>
          </cell>
          <cell r="F1255" t="str">
            <v>769</v>
          </cell>
          <cell r="G1255" t="str">
            <v>8</v>
          </cell>
          <cell r="H1255">
            <v>0</v>
          </cell>
        </row>
        <row r="1256">
          <cell r="B1256">
            <v>9183</v>
          </cell>
          <cell r="C1256" t="str">
            <v>Salyers Jr.; Joseph Lee</v>
          </cell>
          <cell r="D1256" t="str">
            <v>1C</v>
          </cell>
          <cell r="E1256" t="str">
            <v>IBEWOUT</v>
          </cell>
          <cell r="F1256" t="str">
            <v>1245</v>
          </cell>
          <cell r="G1256" t="str">
            <v>8</v>
          </cell>
          <cell r="H1256">
            <v>0</v>
          </cell>
        </row>
        <row r="1257">
          <cell r="B1257">
            <v>9188</v>
          </cell>
          <cell r="C1257" t="str">
            <v>Salazar; Christopher</v>
          </cell>
          <cell r="D1257" t="str">
            <v>1C</v>
          </cell>
          <cell r="E1257" t="str">
            <v>IBEWOUT</v>
          </cell>
          <cell r="F1257" t="str">
            <v>769</v>
          </cell>
          <cell r="G1257" t="str">
            <v>20</v>
          </cell>
          <cell r="H1257">
            <v>0</v>
          </cell>
        </row>
        <row r="1258">
          <cell r="B1258">
            <v>9191</v>
          </cell>
          <cell r="C1258" t="str">
            <v>Salazar; Michael</v>
          </cell>
          <cell r="D1258" t="str">
            <v>1</v>
          </cell>
          <cell r="E1258" t="str">
            <v>IBEWOUT</v>
          </cell>
          <cell r="F1258" t="str">
            <v>769</v>
          </cell>
          <cell r="G1258" t="str">
            <v>7</v>
          </cell>
          <cell r="H1258">
            <v>0</v>
          </cell>
        </row>
        <row r="1259">
          <cell r="B1259">
            <v>9195</v>
          </cell>
          <cell r="C1259" t="str">
            <v>Saranto; Blake W</v>
          </cell>
          <cell r="D1259" t="str">
            <v>1C</v>
          </cell>
          <cell r="E1259" t="str">
            <v>IBEWOUT</v>
          </cell>
          <cell r="F1259" t="str">
            <v>77</v>
          </cell>
          <cell r="G1259" t="str">
            <v>16</v>
          </cell>
          <cell r="H1259">
            <v>0</v>
          </cell>
        </row>
        <row r="1260">
          <cell r="B1260">
            <v>9198</v>
          </cell>
          <cell r="C1260" t="str">
            <v>Sarinana; Ricardo</v>
          </cell>
          <cell r="D1260" t="str">
            <v>1C</v>
          </cell>
          <cell r="E1260" t="str">
            <v>IBEWOUT</v>
          </cell>
          <cell r="F1260" t="str">
            <v>47</v>
          </cell>
          <cell r="G1260" t="str">
            <v>8</v>
          </cell>
          <cell r="H1260">
            <v>0</v>
          </cell>
        </row>
        <row r="1261">
          <cell r="B1261">
            <v>9202</v>
          </cell>
          <cell r="C1261" t="str">
            <v>Salazar; Carlos A</v>
          </cell>
          <cell r="D1261" t="str">
            <v>1</v>
          </cell>
          <cell r="E1261" t="str">
            <v>IBEWOUT</v>
          </cell>
          <cell r="F1261" t="str">
            <v>47</v>
          </cell>
          <cell r="G1261" t="str">
            <v>17</v>
          </cell>
          <cell r="H1261">
            <v>0</v>
          </cell>
        </row>
        <row r="1262">
          <cell r="B1262">
            <v>9203</v>
          </cell>
          <cell r="C1262" t="str">
            <v>Sanchez; Saul U</v>
          </cell>
          <cell r="D1262" t="str">
            <v>1C</v>
          </cell>
          <cell r="E1262" t="str">
            <v>IBEWOUT</v>
          </cell>
          <cell r="F1262" t="str">
            <v>1245</v>
          </cell>
          <cell r="G1262" t="str">
            <v>8</v>
          </cell>
          <cell r="H1262">
            <v>0</v>
          </cell>
        </row>
        <row r="1263">
          <cell r="B1263">
            <v>9207</v>
          </cell>
          <cell r="C1263" t="str">
            <v>Saul; Mark Allen</v>
          </cell>
          <cell r="D1263" t="str">
            <v>1C</v>
          </cell>
          <cell r="E1263" t="str">
            <v>IBEWOUT</v>
          </cell>
          <cell r="F1263" t="str">
            <v>160</v>
          </cell>
          <cell r="G1263" t="str">
            <v>7</v>
          </cell>
          <cell r="H1263">
            <v>0</v>
          </cell>
        </row>
        <row r="1264">
          <cell r="B1264">
            <v>9217</v>
          </cell>
          <cell r="C1264" t="str">
            <v>Schaefer; Kurtis Jon</v>
          </cell>
          <cell r="D1264" t="str">
            <v>1C</v>
          </cell>
          <cell r="E1264" t="str">
            <v>IBEWOUT</v>
          </cell>
          <cell r="F1264" t="str">
            <v>77</v>
          </cell>
          <cell r="G1264" t="str">
            <v>7</v>
          </cell>
          <cell r="H1264">
            <v>0</v>
          </cell>
        </row>
        <row r="1265">
          <cell r="B1265">
            <v>9219</v>
          </cell>
          <cell r="C1265" t="str">
            <v>Savanpanyadeth; Erik P</v>
          </cell>
          <cell r="D1265" t="str">
            <v>1C</v>
          </cell>
          <cell r="E1265" t="str">
            <v>IBEWOUT</v>
          </cell>
          <cell r="F1265" t="str">
            <v>1245</v>
          </cell>
          <cell r="G1265" t="str">
            <v>17</v>
          </cell>
          <cell r="H1265">
            <v>0</v>
          </cell>
        </row>
        <row r="1266">
          <cell r="B1266">
            <v>9230</v>
          </cell>
          <cell r="C1266" t="str">
            <v>Scott; Colton</v>
          </cell>
          <cell r="D1266" t="str">
            <v>1</v>
          </cell>
          <cell r="E1266" t="str">
            <v>IBEWOUT</v>
          </cell>
          <cell r="F1266" t="str">
            <v>70</v>
          </cell>
          <cell r="G1266" t="str">
            <v>17</v>
          </cell>
          <cell r="H1266">
            <v>0</v>
          </cell>
        </row>
        <row r="1267">
          <cell r="B1267">
            <v>9235</v>
          </cell>
          <cell r="C1267" t="str">
            <v>Szarkowski; Curt Thomas</v>
          </cell>
          <cell r="D1267" t="str">
            <v>1C</v>
          </cell>
          <cell r="E1267" t="str">
            <v>IBEWOUT</v>
          </cell>
          <cell r="F1267" t="str">
            <v>125</v>
          </cell>
          <cell r="G1267" t="str">
            <v>33</v>
          </cell>
          <cell r="H1267">
            <v>0</v>
          </cell>
        </row>
        <row r="1268">
          <cell r="B1268">
            <v>9238</v>
          </cell>
          <cell r="C1268" t="str">
            <v>Sanchez; John R</v>
          </cell>
          <cell r="D1268" t="str">
            <v>1C</v>
          </cell>
          <cell r="E1268" t="str">
            <v>IBEWOUT</v>
          </cell>
          <cell r="F1268" t="str">
            <v>1245</v>
          </cell>
          <cell r="G1268" t="str">
            <v>16</v>
          </cell>
          <cell r="H1268">
            <v>0</v>
          </cell>
        </row>
        <row r="1269">
          <cell r="B1269">
            <v>9240</v>
          </cell>
          <cell r="C1269" t="str">
            <v>Sanchez; Garrett H</v>
          </cell>
          <cell r="D1269" t="str">
            <v>1C</v>
          </cell>
          <cell r="E1269" t="str">
            <v>IBEWOUT</v>
          </cell>
          <cell r="F1269" t="str">
            <v>769</v>
          </cell>
          <cell r="G1269" t="str">
            <v>14</v>
          </cell>
          <cell r="H1269">
            <v>0</v>
          </cell>
        </row>
        <row r="1270">
          <cell r="B1270">
            <v>9242</v>
          </cell>
          <cell r="C1270" t="str">
            <v>Schmidt; Eric M</v>
          </cell>
          <cell r="D1270" t="str">
            <v>1</v>
          </cell>
          <cell r="E1270" t="str">
            <v>IBEWOUT</v>
          </cell>
          <cell r="F1270" t="str">
            <v>1245</v>
          </cell>
          <cell r="G1270" t="str">
            <v>1</v>
          </cell>
          <cell r="H1270">
            <v>0</v>
          </cell>
        </row>
        <row r="1271">
          <cell r="B1271">
            <v>9246</v>
          </cell>
          <cell r="C1271" t="str">
            <v>Schlenker; Michael Keith</v>
          </cell>
          <cell r="D1271" t="str">
            <v>1C</v>
          </cell>
          <cell r="E1271" t="str">
            <v>IBEWOUT</v>
          </cell>
          <cell r="F1271" t="str">
            <v>1245</v>
          </cell>
          <cell r="G1271" t="str">
            <v>7</v>
          </cell>
          <cell r="H1271">
            <v>0</v>
          </cell>
        </row>
        <row r="1272">
          <cell r="B1272">
            <v>9247</v>
          </cell>
          <cell r="C1272" t="str">
            <v>Sanchez; Jesse</v>
          </cell>
          <cell r="D1272" t="str">
            <v>1C</v>
          </cell>
          <cell r="E1272" t="str">
            <v>IBEWOUT</v>
          </cell>
          <cell r="F1272" t="str">
            <v>1245</v>
          </cell>
          <cell r="G1272" t="str">
            <v>17</v>
          </cell>
          <cell r="H1272">
            <v>0</v>
          </cell>
        </row>
        <row r="1273">
          <cell r="B1273">
            <v>9257</v>
          </cell>
          <cell r="C1273" t="str">
            <v>Schmerber; Raymond L</v>
          </cell>
          <cell r="D1273" t="str">
            <v>1C</v>
          </cell>
          <cell r="E1273" t="str">
            <v>IBEWOUT</v>
          </cell>
          <cell r="F1273" t="str">
            <v>611</v>
          </cell>
          <cell r="G1273" t="str">
            <v>14</v>
          </cell>
          <cell r="H1273">
            <v>0</v>
          </cell>
        </row>
        <row r="1274">
          <cell r="B1274">
            <v>9258</v>
          </cell>
          <cell r="C1274" t="str">
            <v>Scott; Nevin P.</v>
          </cell>
          <cell r="D1274" t="str">
            <v>1C</v>
          </cell>
          <cell r="E1274" t="str">
            <v>IBEWOUT</v>
          </cell>
          <cell r="F1274" t="str">
            <v>611</v>
          </cell>
          <cell r="G1274" t="str">
            <v>20</v>
          </cell>
          <cell r="H1274">
            <v>0</v>
          </cell>
        </row>
        <row r="1275">
          <cell r="B1275">
            <v>9259</v>
          </cell>
          <cell r="C1275" t="str">
            <v>Scott; Bryan David</v>
          </cell>
          <cell r="D1275" t="str">
            <v>1C</v>
          </cell>
          <cell r="E1275" t="str">
            <v/>
          </cell>
          <cell r="F1275" t="str">
            <v/>
          </cell>
          <cell r="G1275" t="str">
            <v/>
          </cell>
          <cell r="H1275">
            <v>1</v>
          </cell>
        </row>
        <row r="1276">
          <cell r="B1276">
            <v>9260</v>
          </cell>
          <cell r="C1276" t="str">
            <v>Scott; Brian E</v>
          </cell>
          <cell r="D1276" t="str">
            <v>1C</v>
          </cell>
          <cell r="E1276" t="str">
            <v>IBEWOUT</v>
          </cell>
          <cell r="F1276" t="str">
            <v>602R</v>
          </cell>
          <cell r="G1276" t="str">
            <v>8</v>
          </cell>
          <cell r="H1276">
            <v>0</v>
          </cell>
        </row>
        <row r="1277">
          <cell r="B1277">
            <v>9261</v>
          </cell>
          <cell r="C1277" t="str">
            <v>Scott; Coltin B</v>
          </cell>
          <cell r="D1277" t="str">
            <v>1</v>
          </cell>
          <cell r="E1277" t="str">
            <v/>
          </cell>
          <cell r="F1277" t="str">
            <v/>
          </cell>
          <cell r="G1277" t="str">
            <v/>
          </cell>
          <cell r="H1277">
            <v>1</v>
          </cell>
        </row>
        <row r="1278">
          <cell r="B1278">
            <v>9262</v>
          </cell>
          <cell r="C1278" t="str">
            <v>Sanders; Travis P.</v>
          </cell>
          <cell r="D1278" t="str">
            <v>1</v>
          </cell>
          <cell r="E1278" t="str">
            <v>IBEWOUT</v>
          </cell>
          <cell r="F1278" t="str">
            <v>1245</v>
          </cell>
          <cell r="G1278" t="str">
            <v>1</v>
          </cell>
          <cell r="H1278">
            <v>0</v>
          </cell>
        </row>
        <row r="1279">
          <cell r="B1279">
            <v>9263</v>
          </cell>
          <cell r="C1279" t="str">
            <v>Scarbrough; James F</v>
          </cell>
          <cell r="D1279" t="str">
            <v>1</v>
          </cell>
          <cell r="E1279" t="str">
            <v>IBEWOUT</v>
          </cell>
          <cell r="F1279" t="str">
            <v>1245</v>
          </cell>
          <cell r="G1279" t="str">
            <v>8</v>
          </cell>
          <cell r="H1279">
            <v>0</v>
          </cell>
        </row>
        <row r="1280">
          <cell r="B1280">
            <v>9265</v>
          </cell>
          <cell r="C1280" t="str">
            <v>Schmeusser; Randy J</v>
          </cell>
          <cell r="D1280" t="str">
            <v>1C</v>
          </cell>
          <cell r="E1280" t="str">
            <v>IBEWOUT</v>
          </cell>
          <cell r="F1280" t="str">
            <v>125</v>
          </cell>
          <cell r="G1280" t="str">
            <v>17</v>
          </cell>
          <cell r="H1280">
            <v>0</v>
          </cell>
        </row>
        <row r="1281">
          <cell r="B1281">
            <v>9270</v>
          </cell>
          <cell r="C1281" t="str">
            <v>Scroggie; Michael L</v>
          </cell>
          <cell r="D1281" t="str">
            <v>1C</v>
          </cell>
          <cell r="E1281" t="str">
            <v>IBEWOUT</v>
          </cell>
          <cell r="F1281" t="str">
            <v>1049</v>
          </cell>
          <cell r="G1281" t="str">
            <v>8</v>
          </cell>
          <cell r="H1281">
            <v>0</v>
          </cell>
        </row>
        <row r="1282">
          <cell r="B1282">
            <v>9273</v>
          </cell>
          <cell r="C1282" t="str">
            <v>Seabourn; David D</v>
          </cell>
          <cell r="D1282" t="str">
            <v>1C</v>
          </cell>
          <cell r="E1282" t="str">
            <v>IBEWOUT</v>
          </cell>
          <cell r="F1282" t="str">
            <v>1245</v>
          </cell>
          <cell r="G1282" t="str">
            <v>16</v>
          </cell>
          <cell r="H1282">
            <v>0</v>
          </cell>
        </row>
        <row r="1283">
          <cell r="B1283">
            <v>9285</v>
          </cell>
          <cell r="C1283" t="str">
            <v>Sedlak; Anthony Michael</v>
          </cell>
          <cell r="D1283" t="str">
            <v>1C</v>
          </cell>
          <cell r="E1283" t="str">
            <v>IBEWOUT</v>
          </cell>
          <cell r="F1283" t="str">
            <v>769</v>
          </cell>
          <cell r="G1283" t="str">
            <v>22</v>
          </cell>
          <cell r="H1283">
            <v>0</v>
          </cell>
        </row>
        <row r="1284">
          <cell r="B1284">
            <v>9286</v>
          </cell>
          <cell r="C1284" t="str">
            <v>Severson; Cody D</v>
          </cell>
          <cell r="D1284" t="str">
            <v>1C</v>
          </cell>
          <cell r="E1284" t="str">
            <v>IBEWOUT</v>
          </cell>
          <cell r="F1284" t="str">
            <v>1245</v>
          </cell>
          <cell r="G1284" t="str">
            <v>8</v>
          </cell>
          <cell r="H1284">
            <v>0</v>
          </cell>
        </row>
        <row r="1285">
          <cell r="B1285">
            <v>9287</v>
          </cell>
          <cell r="C1285" t="str">
            <v>Sheridan; Anthony W</v>
          </cell>
          <cell r="D1285" t="str">
            <v>1C</v>
          </cell>
          <cell r="E1285" t="str">
            <v>IBEWOUT</v>
          </cell>
          <cell r="F1285" t="str">
            <v>47</v>
          </cell>
          <cell r="G1285" t="str">
            <v>8</v>
          </cell>
          <cell r="H1285">
            <v>0</v>
          </cell>
        </row>
        <row r="1286">
          <cell r="B1286">
            <v>9288</v>
          </cell>
          <cell r="C1286" t="str">
            <v>Servin; Carlos E.</v>
          </cell>
          <cell r="D1286" t="str">
            <v>1C</v>
          </cell>
          <cell r="E1286" t="str">
            <v>IBEWOUT</v>
          </cell>
          <cell r="F1286" t="str">
            <v>1245</v>
          </cell>
          <cell r="G1286" t="str">
            <v>10</v>
          </cell>
          <cell r="H1286">
            <v>0</v>
          </cell>
        </row>
        <row r="1287">
          <cell r="B1287">
            <v>9289</v>
          </cell>
          <cell r="C1287" t="str">
            <v>Sheridan; Jimmy L.</v>
          </cell>
          <cell r="D1287" t="str">
            <v>1C</v>
          </cell>
          <cell r="E1287" t="str">
            <v>IBEWOUT</v>
          </cell>
          <cell r="F1287" t="str">
            <v>47</v>
          </cell>
          <cell r="G1287" t="str">
            <v>8</v>
          </cell>
          <cell r="H1287">
            <v>0</v>
          </cell>
        </row>
        <row r="1288">
          <cell r="B1288">
            <v>9291</v>
          </cell>
          <cell r="C1288" t="str">
            <v>Shaffer; David D</v>
          </cell>
          <cell r="D1288" t="str">
            <v>1C</v>
          </cell>
          <cell r="E1288" t="str">
            <v/>
          </cell>
          <cell r="F1288" t="str">
            <v/>
          </cell>
          <cell r="G1288" t="str">
            <v/>
          </cell>
          <cell r="H1288">
            <v>0</v>
          </cell>
        </row>
        <row r="1289">
          <cell r="B1289">
            <v>9293</v>
          </cell>
          <cell r="C1289" t="str">
            <v>Shaddy; Jeffrey</v>
          </cell>
          <cell r="D1289" t="str">
            <v>1C</v>
          </cell>
          <cell r="E1289" t="str">
            <v>IBEWOUT</v>
          </cell>
          <cell r="F1289" t="str">
            <v>1245</v>
          </cell>
          <cell r="G1289" t="str">
            <v>13</v>
          </cell>
          <cell r="H1289">
            <v>0</v>
          </cell>
        </row>
        <row r="1290">
          <cell r="B1290">
            <v>9295</v>
          </cell>
          <cell r="C1290" t="str">
            <v>Shaw; William R.</v>
          </cell>
          <cell r="D1290" t="str">
            <v>1C</v>
          </cell>
          <cell r="E1290" t="str">
            <v>IBEWOUT</v>
          </cell>
          <cell r="F1290" t="str">
            <v>77</v>
          </cell>
          <cell r="G1290" t="str">
            <v>8</v>
          </cell>
          <cell r="H1290">
            <v>0</v>
          </cell>
        </row>
        <row r="1291">
          <cell r="B1291">
            <v>9297</v>
          </cell>
          <cell r="C1291" t="str">
            <v>Shaw; Austin M</v>
          </cell>
          <cell r="D1291" t="str">
            <v>1C</v>
          </cell>
          <cell r="E1291" t="str">
            <v>IBEWOUT</v>
          </cell>
          <cell r="F1291" t="str">
            <v>1245</v>
          </cell>
          <cell r="G1291" t="str">
            <v>14</v>
          </cell>
          <cell r="H1291">
            <v>0</v>
          </cell>
        </row>
        <row r="1292">
          <cell r="B1292">
            <v>9298</v>
          </cell>
          <cell r="C1292" t="str">
            <v>Shelton; William M</v>
          </cell>
          <cell r="D1292" t="str">
            <v>1C</v>
          </cell>
          <cell r="E1292" t="str">
            <v>IBEWOUT</v>
          </cell>
          <cell r="F1292" t="str">
            <v>47</v>
          </cell>
          <cell r="G1292" t="str">
            <v>8</v>
          </cell>
          <cell r="H1292">
            <v>0</v>
          </cell>
        </row>
        <row r="1293">
          <cell r="B1293">
            <v>9299</v>
          </cell>
          <cell r="C1293" t="str">
            <v>Shelton; Jacob R.</v>
          </cell>
          <cell r="D1293" t="str">
            <v>1C</v>
          </cell>
          <cell r="E1293" t="str">
            <v>IBEWOUT</v>
          </cell>
          <cell r="F1293" t="str">
            <v>1245</v>
          </cell>
          <cell r="G1293" t="str">
            <v>8</v>
          </cell>
          <cell r="H1293">
            <v>0</v>
          </cell>
        </row>
        <row r="1294">
          <cell r="B1294">
            <v>9300</v>
          </cell>
          <cell r="C1294" t="str">
            <v>Shearer; Kaylee A</v>
          </cell>
          <cell r="D1294" t="str">
            <v>1C</v>
          </cell>
          <cell r="E1294" t="str">
            <v/>
          </cell>
          <cell r="F1294" t="str">
            <v/>
          </cell>
          <cell r="G1294" t="str">
            <v/>
          </cell>
          <cell r="H1294">
            <v>0</v>
          </cell>
        </row>
        <row r="1295">
          <cell r="B1295">
            <v>9306</v>
          </cell>
          <cell r="C1295" t="str">
            <v>Shelton; Matthew Scott</v>
          </cell>
          <cell r="D1295" t="str">
            <v>1C</v>
          </cell>
          <cell r="E1295" t="str">
            <v/>
          </cell>
          <cell r="F1295" t="str">
            <v/>
          </cell>
          <cell r="G1295" t="str">
            <v/>
          </cell>
          <cell r="H1295">
            <v>1</v>
          </cell>
        </row>
        <row r="1296">
          <cell r="B1296">
            <v>9307</v>
          </cell>
          <cell r="C1296" t="str">
            <v>Sheen; Frederick W.</v>
          </cell>
          <cell r="D1296" t="str">
            <v>1C</v>
          </cell>
          <cell r="E1296" t="str">
            <v>IBEWOUT</v>
          </cell>
          <cell r="F1296" t="str">
            <v>125</v>
          </cell>
          <cell r="G1296" t="str">
            <v>8</v>
          </cell>
          <cell r="H1296">
            <v>0</v>
          </cell>
        </row>
        <row r="1297">
          <cell r="B1297">
            <v>9312</v>
          </cell>
          <cell r="C1297" t="str">
            <v>Shiflett; William J</v>
          </cell>
          <cell r="D1297" t="str">
            <v>1C</v>
          </cell>
          <cell r="E1297" t="str">
            <v>IBEWOUT</v>
          </cell>
          <cell r="F1297" t="str">
            <v>77</v>
          </cell>
          <cell r="G1297" t="str">
            <v>8</v>
          </cell>
          <cell r="H1297">
            <v>0</v>
          </cell>
        </row>
        <row r="1298">
          <cell r="B1298">
            <v>9315</v>
          </cell>
          <cell r="C1298" t="str">
            <v>Sherlock; Andrew C</v>
          </cell>
          <cell r="D1298" t="str">
            <v>1C</v>
          </cell>
          <cell r="E1298" t="str">
            <v>IBEWOUT</v>
          </cell>
          <cell r="F1298" t="str">
            <v>769</v>
          </cell>
          <cell r="G1298" t="str">
            <v>8</v>
          </cell>
          <cell r="H1298">
            <v>0</v>
          </cell>
        </row>
        <row r="1299">
          <cell r="B1299">
            <v>9317</v>
          </cell>
          <cell r="C1299" t="str">
            <v>Shrum; Joel R</v>
          </cell>
          <cell r="D1299" t="str">
            <v>1C</v>
          </cell>
          <cell r="E1299" t="str">
            <v>IBEWOUT</v>
          </cell>
          <cell r="F1299" t="str">
            <v>1245</v>
          </cell>
          <cell r="G1299" t="str">
            <v>7</v>
          </cell>
          <cell r="H1299">
            <v>0</v>
          </cell>
        </row>
        <row r="1300">
          <cell r="B1300">
            <v>9318</v>
          </cell>
          <cell r="C1300" t="str">
            <v>Shipman; Audie L.</v>
          </cell>
          <cell r="D1300" t="str">
            <v>1C</v>
          </cell>
          <cell r="E1300" t="str">
            <v>IBEWOUT</v>
          </cell>
          <cell r="F1300" t="str">
            <v>47</v>
          </cell>
          <cell r="G1300" t="str">
            <v>8</v>
          </cell>
          <cell r="H1300">
            <v>0</v>
          </cell>
        </row>
        <row r="1301">
          <cell r="B1301">
            <v>9320</v>
          </cell>
          <cell r="C1301" t="str">
            <v>Shull; Travis J</v>
          </cell>
          <cell r="D1301" t="str">
            <v>1C</v>
          </cell>
          <cell r="E1301" t="str">
            <v>IBEWOUT</v>
          </cell>
          <cell r="F1301" t="str">
            <v>1245</v>
          </cell>
          <cell r="G1301" t="str">
            <v>12</v>
          </cell>
          <cell r="H1301">
            <v>0</v>
          </cell>
        </row>
        <row r="1302">
          <cell r="B1302">
            <v>9323</v>
          </cell>
          <cell r="C1302" t="str">
            <v>Shaw-Sunderland; Christopher M</v>
          </cell>
          <cell r="D1302" t="str">
            <v>1</v>
          </cell>
          <cell r="E1302" t="str">
            <v>IBEWOUT</v>
          </cell>
          <cell r="F1302" t="str">
            <v>1245</v>
          </cell>
          <cell r="G1302" t="str">
            <v>12</v>
          </cell>
          <cell r="H1302">
            <v>0</v>
          </cell>
        </row>
        <row r="1303">
          <cell r="B1303">
            <v>9325</v>
          </cell>
          <cell r="C1303" t="str">
            <v>Shaffer-Murphy; Jacob C</v>
          </cell>
          <cell r="D1303" t="str">
            <v>1</v>
          </cell>
          <cell r="E1303" t="str">
            <v>IBEWOUT</v>
          </cell>
          <cell r="F1303" t="str">
            <v>47</v>
          </cell>
          <cell r="G1303" t="str">
            <v>8</v>
          </cell>
          <cell r="H1303">
            <v>0</v>
          </cell>
        </row>
        <row r="1304">
          <cell r="B1304">
            <v>9326</v>
          </cell>
          <cell r="C1304" t="str">
            <v>Shaw; Allen L</v>
          </cell>
          <cell r="D1304" t="str">
            <v>1</v>
          </cell>
          <cell r="E1304" t="str">
            <v/>
          </cell>
          <cell r="F1304" t="str">
            <v/>
          </cell>
          <cell r="G1304" t="str">
            <v/>
          </cell>
          <cell r="H1304">
            <v>0</v>
          </cell>
        </row>
        <row r="1305">
          <cell r="B1305">
            <v>9327</v>
          </cell>
          <cell r="C1305" t="str">
            <v>Shea; Michael R</v>
          </cell>
          <cell r="D1305" t="str">
            <v>1</v>
          </cell>
          <cell r="E1305" t="str">
            <v>IBEWOUT</v>
          </cell>
          <cell r="F1305" t="str">
            <v>47</v>
          </cell>
          <cell r="G1305" t="str">
            <v>12</v>
          </cell>
          <cell r="H1305">
            <v>0</v>
          </cell>
        </row>
        <row r="1306">
          <cell r="B1306">
            <v>9328</v>
          </cell>
          <cell r="C1306" t="str">
            <v>Silvas; Raul Torres</v>
          </cell>
          <cell r="D1306" t="str">
            <v>1</v>
          </cell>
          <cell r="E1306" t="str">
            <v>IBEWOUT</v>
          </cell>
          <cell r="F1306" t="str">
            <v>769</v>
          </cell>
          <cell r="G1306" t="str">
            <v>8</v>
          </cell>
          <cell r="H1306">
            <v>0</v>
          </cell>
        </row>
        <row r="1307">
          <cell r="B1307">
            <v>9329</v>
          </cell>
          <cell r="C1307" t="str">
            <v>Silvas; Enrique</v>
          </cell>
          <cell r="D1307" t="str">
            <v>1C</v>
          </cell>
          <cell r="E1307" t="str">
            <v>IBEWOUT</v>
          </cell>
          <cell r="F1307" t="str">
            <v>47</v>
          </cell>
          <cell r="G1307" t="str">
            <v>8</v>
          </cell>
          <cell r="H1307">
            <v>0</v>
          </cell>
        </row>
        <row r="1308">
          <cell r="B1308">
            <v>9337</v>
          </cell>
          <cell r="C1308" t="str">
            <v>Sibley; Anthony E</v>
          </cell>
          <cell r="D1308" t="str">
            <v>1C</v>
          </cell>
          <cell r="E1308" t="str">
            <v>IBEWOUT</v>
          </cell>
          <cell r="F1308" t="str">
            <v>396</v>
          </cell>
          <cell r="G1308" t="str">
            <v>8</v>
          </cell>
          <cell r="H1308">
            <v>0</v>
          </cell>
        </row>
        <row r="1309">
          <cell r="B1309">
            <v>9338</v>
          </cell>
          <cell r="C1309" t="str">
            <v>Sichak; Keith Douglas</v>
          </cell>
          <cell r="D1309" t="str">
            <v>1</v>
          </cell>
          <cell r="E1309" t="str">
            <v/>
          </cell>
          <cell r="F1309" t="str">
            <v/>
          </cell>
          <cell r="G1309" t="str">
            <v/>
          </cell>
          <cell r="H1309">
            <v>1</v>
          </cell>
        </row>
        <row r="1310">
          <cell r="B1310">
            <v>9340</v>
          </cell>
          <cell r="C1310" t="str">
            <v>Side; Ryan P</v>
          </cell>
          <cell r="D1310" t="str">
            <v>1</v>
          </cell>
          <cell r="E1310" t="str">
            <v>IBEWOUT</v>
          </cell>
          <cell r="F1310" t="str">
            <v>47</v>
          </cell>
          <cell r="G1310" t="str">
            <v>7</v>
          </cell>
          <cell r="H1310">
            <v>0</v>
          </cell>
        </row>
        <row r="1311">
          <cell r="B1311">
            <v>9342</v>
          </cell>
          <cell r="C1311" t="str">
            <v>Sickler; Jonathan G</v>
          </cell>
          <cell r="D1311" t="str">
            <v>1</v>
          </cell>
          <cell r="E1311" t="str">
            <v>IBEWOUT</v>
          </cell>
          <cell r="F1311" t="str">
            <v>77</v>
          </cell>
          <cell r="G1311" t="str">
            <v>15</v>
          </cell>
          <cell r="H1311">
            <v>0</v>
          </cell>
        </row>
        <row r="1312">
          <cell r="B1312">
            <v>9353</v>
          </cell>
          <cell r="C1312" t="str">
            <v>Spargo; Jack Victor</v>
          </cell>
          <cell r="D1312" t="str">
            <v>1</v>
          </cell>
          <cell r="E1312" t="str">
            <v>IBEWOUT</v>
          </cell>
          <cell r="F1312" t="str">
            <v>611</v>
          </cell>
          <cell r="G1312" t="str">
            <v>8</v>
          </cell>
          <cell r="H1312">
            <v>0</v>
          </cell>
        </row>
        <row r="1313">
          <cell r="B1313">
            <v>9354</v>
          </cell>
          <cell r="C1313" t="str">
            <v>Sparks; Kyle Gene</v>
          </cell>
          <cell r="D1313" t="str">
            <v>1C</v>
          </cell>
          <cell r="E1313" t="str">
            <v>IBEWOUT</v>
          </cell>
          <cell r="F1313" t="str">
            <v>1245</v>
          </cell>
          <cell r="G1313" t="str">
            <v>1</v>
          </cell>
          <cell r="H1313">
            <v>0</v>
          </cell>
        </row>
        <row r="1314">
          <cell r="B1314">
            <v>9355</v>
          </cell>
          <cell r="C1314" t="str">
            <v>Spargo; Joseph C</v>
          </cell>
          <cell r="D1314" t="str">
            <v>1C</v>
          </cell>
          <cell r="E1314" t="str">
            <v>IBEWOUT</v>
          </cell>
          <cell r="F1314" t="str">
            <v>47</v>
          </cell>
          <cell r="G1314" t="str">
            <v>17</v>
          </cell>
          <cell r="H1314">
            <v>0</v>
          </cell>
        </row>
        <row r="1315">
          <cell r="B1315">
            <v>9362</v>
          </cell>
          <cell r="C1315" t="str">
            <v>Sims; Kristina M</v>
          </cell>
          <cell r="D1315" t="str">
            <v>1</v>
          </cell>
          <cell r="E1315" t="str">
            <v/>
          </cell>
          <cell r="F1315" t="str">
            <v/>
          </cell>
          <cell r="G1315" t="str">
            <v/>
          </cell>
          <cell r="H1315">
            <v>1</v>
          </cell>
        </row>
        <row r="1316">
          <cell r="B1316">
            <v>9364</v>
          </cell>
          <cell r="C1316" t="str">
            <v>Sprunt; Stuart Gregory</v>
          </cell>
          <cell r="D1316" t="str">
            <v>1C</v>
          </cell>
          <cell r="E1316" t="str">
            <v>IBEWOUT</v>
          </cell>
          <cell r="F1316" t="str">
            <v>769</v>
          </cell>
          <cell r="G1316" t="str">
            <v>8</v>
          </cell>
          <cell r="H1316">
            <v>0</v>
          </cell>
        </row>
        <row r="1317">
          <cell r="B1317">
            <v>9365</v>
          </cell>
          <cell r="C1317" t="str">
            <v>Shorty; Darrell Thomas</v>
          </cell>
          <cell r="D1317" t="str">
            <v>1C</v>
          </cell>
          <cell r="E1317" t="str">
            <v>IBEWOUT</v>
          </cell>
          <cell r="F1317" t="str">
            <v>611</v>
          </cell>
          <cell r="G1317" t="str">
            <v>8</v>
          </cell>
          <cell r="H1317">
            <v>0</v>
          </cell>
        </row>
        <row r="1318">
          <cell r="B1318">
            <v>9372</v>
          </cell>
          <cell r="C1318" t="str">
            <v>Sisson; Joseph R</v>
          </cell>
          <cell r="D1318" t="str">
            <v>1C</v>
          </cell>
          <cell r="E1318" t="str">
            <v>IBEWOUT</v>
          </cell>
          <cell r="F1318" t="str">
            <v>77</v>
          </cell>
          <cell r="G1318" t="str">
            <v>8</v>
          </cell>
          <cell r="H1318">
            <v>0</v>
          </cell>
        </row>
        <row r="1319">
          <cell r="B1319">
            <v>9374</v>
          </cell>
          <cell r="C1319" t="str">
            <v>Simons; Nicholas R.</v>
          </cell>
          <cell r="D1319" t="str">
            <v>1C</v>
          </cell>
          <cell r="E1319" t="str">
            <v>IBEWOUT</v>
          </cell>
          <cell r="F1319" t="str">
            <v>1245</v>
          </cell>
          <cell r="G1319" t="str">
            <v>7</v>
          </cell>
          <cell r="H1319">
            <v>0</v>
          </cell>
        </row>
        <row r="1320">
          <cell r="B1320">
            <v>9375</v>
          </cell>
          <cell r="C1320" t="str">
            <v>Simmons; Cyrus E.</v>
          </cell>
          <cell r="D1320" t="str">
            <v>1C</v>
          </cell>
          <cell r="E1320" t="str">
            <v>IBEWOUT</v>
          </cell>
          <cell r="F1320" t="str">
            <v>1245</v>
          </cell>
          <cell r="G1320" t="str">
            <v>8</v>
          </cell>
          <cell r="H1320">
            <v>0</v>
          </cell>
        </row>
        <row r="1321">
          <cell r="B1321">
            <v>9377</v>
          </cell>
          <cell r="C1321" t="str">
            <v>Singledecker; Devin J.</v>
          </cell>
          <cell r="D1321" t="str">
            <v>1C</v>
          </cell>
          <cell r="E1321" t="str">
            <v>IBEWOUT</v>
          </cell>
          <cell r="F1321" t="str">
            <v>77</v>
          </cell>
          <cell r="G1321" t="str">
            <v>10</v>
          </cell>
          <cell r="H1321">
            <v>0</v>
          </cell>
        </row>
        <row r="1322">
          <cell r="B1322">
            <v>9380</v>
          </cell>
          <cell r="C1322" t="str">
            <v>Spears; Harvey L.</v>
          </cell>
          <cell r="D1322" t="str">
            <v>1C</v>
          </cell>
          <cell r="E1322" t="str">
            <v>IBEWOUT</v>
          </cell>
          <cell r="F1322" t="str">
            <v>47</v>
          </cell>
          <cell r="G1322" t="str">
            <v>8</v>
          </cell>
          <cell r="H1322">
            <v>0</v>
          </cell>
        </row>
        <row r="1323">
          <cell r="B1323">
            <v>9382</v>
          </cell>
          <cell r="C1323" t="str">
            <v>Spear; George J</v>
          </cell>
          <cell r="D1323" t="str">
            <v>1C</v>
          </cell>
          <cell r="E1323" t="str">
            <v>IBEWOUT</v>
          </cell>
          <cell r="F1323" t="str">
            <v>77</v>
          </cell>
          <cell r="G1323" t="str">
            <v>8</v>
          </cell>
          <cell r="H1323">
            <v>0</v>
          </cell>
        </row>
        <row r="1324">
          <cell r="B1324">
            <v>9386</v>
          </cell>
          <cell r="C1324" t="str">
            <v>Spurrier; Warren</v>
          </cell>
          <cell r="D1324" t="str">
            <v>1C</v>
          </cell>
          <cell r="E1324" t="str">
            <v>IBEWOUT</v>
          </cell>
          <cell r="F1324" t="str">
            <v>77</v>
          </cell>
          <cell r="G1324" t="str">
            <v>8</v>
          </cell>
          <cell r="H1324">
            <v>0</v>
          </cell>
        </row>
        <row r="1325">
          <cell r="B1325">
            <v>9400</v>
          </cell>
          <cell r="C1325" t="str">
            <v>Slater; Anthony W.</v>
          </cell>
          <cell r="D1325" t="str">
            <v>1C</v>
          </cell>
          <cell r="E1325" t="str">
            <v>IBEWOUT</v>
          </cell>
          <cell r="F1325" t="str">
            <v>47</v>
          </cell>
          <cell r="G1325" t="str">
            <v>8</v>
          </cell>
          <cell r="H1325">
            <v>0</v>
          </cell>
        </row>
        <row r="1326">
          <cell r="B1326">
            <v>9457</v>
          </cell>
          <cell r="C1326" t="str">
            <v>Smith; Alfred D</v>
          </cell>
          <cell r="D1326" t="str">
            <v>1C</v>
          </cell>
          <cell r="E1326" t="str">
            <v>IBEWOUT</v>
          </cell>
          <cell r="F1326" t="str">
            <v>47</v>
          </cell>
          <cell r="G1326" t="str">
            <v>17</v>
          </cell>
          <cell r="H1326">
            <v>0</v>
          </cell>
        </row>
        <row r="1327">
          <cell r="B1327">
            <v>9461</v>
          </cell>
          <cell r="C1327" t="str">
            <v>Smith; Christopher B</v>
          </cell>
          <cell r="D1327" t="str">
            <v>1C</v>
          </cell>
          <cell r="E1327" t="str">
            <v>IBEWOUT</v>
          </cell>
          <cell r="F1327" t="str">
            <v>160</v>
          </cell>
          <cell r="G1327" t="str">
            <v>8</v>
          </cell>
          <cell r="H1327">
            <v>0</v>
          </cell>
        </row>
        <row r="1328">
          <cell r="B1328">
            <v>9463</v>
          </cell>
          <cell r="C1328" t="str">
            <v>Smith; George M</v>
          </cell>
          <cell r="D1328" t="str">
            <v>1C</v>
          </cell>
          <cell r="E1328" t="str">
            <v>IBEWOUT</v>
          </cell>
          <cell r="F1328" t="str">
            <v>1245</v>
          </cell>
          <cell r="G1328" t="str">
            <v>7</v>
          </cell>
          <cell r="H1328">
            <v>0</v>
          </cell>
        </row>
        <row r="1329">
          <cell r="B1329">
            <v>9475</v>
          </cell>
          <cell r="C1329" t="str">
            <v>Smith; Darren R.</v>
          </cell>
          <cell r="D1329" t="str">
            <v>1C</v>
          </cell>
          <cell r="E1329" t="str">
            <v>IBEWOUT</v>
          </cell>
          <cell r="F1329" t="str">
            <v>47</v>
          </cell>
          <cell r="G1329" t="str">
            <v>8</v>
          </cell>
          <cell r="H1329">
            <v>0</v>
          </cell>
        </row>
        <row r="1330">
          <cell r="B1330">
            <v>9489</v>
          </cell>
          <cell r="C1330" t="str">
            <v>Smith; Dustin A</v>
          </cell>
          <cell r="D1330" t="str">
            <v>1</v>
          </cell>
          <cell r="E1330" t="str">
            <v/>
          </cell>
          <cell r="F1330" t="str">
            <v/>
          </cell>
          <cell r="G1330" t="str">
            <v/>
          </cell>
          <cell r="H1330">
            <v>0</v>
          </cell>
        </row>
        <row r="1331">
          <cell r="B1331">
            <v>9494</v>
          </cell>
          <cell r="C1331" t="str">
            <v>Smith; Karl V</v>
          </cell>
          <cell r="D1331" t="str">
            <v>1C</v>
          </cell>
          <cell r="E1331" t="str">
            <v>IBEWOUT</v>
          </cell>
          <cell r="F1331" t="str">
            <v>1245</v>
          </cell>
          <cell r="G1331" t="str">
            <v>8</v>
          </cell>
          <cell r="H1331">
            <v>0</v>
          </cell>
        </row>
        <row r="1332">
          <cell r="B1332">
            <v>9503</v>
          </cell>
          <cell r="C1332" t="str">
            <v>Schneider; Howard I</v>
          </cell>
          <cell r="D1332" t="str">
            <v>1C</v>
          </cell>
          <cell r="E1332" t="str">
            <v>IBEWOUT</v>
          </cell>
          <cell r="F1332" t="str">
            <v>77</v>
          </cell>
          <cell r="G1332" t="str">
            <v>17</v>
          </cell>
          <cell r="H1332">
            <v>0</v>
          </cell>
        </row>
        <row r="1333">
          <cell r="B1333">
            <v>9505</v>
          </cell>
          <cell r="C1333" t="str">
            <v>Smith; Wayne A</v>
          </cell>
          <cell r="D1333" t="str">
            <v>1</v>
          </cell>
          <cell r="E1333" t="str">
            <v/>
          </cell>
          <cell r="F1333" t="str">
            <v/>
          </cell>
          <cell r="G1333" t="str">
            <v/>
          </cell>
          <cell r="H1333">
            <v>1</v>
          </cell>
        </row>
        <row r="1334">
          <cell r="B1334">
            <v>9506</v>
          </cell>
          <cell r="C1334" t="str">
            <v>Smith; Jerry D.</v>
          </cell>
          <cell r="D1334" t="str">
            <v>1C</v>
          </cell>
          <cell r="E1334" t="str">
            <v/>
          </cell>
          <cell r="F1334" t="str">
            <v/>
          </cell>
          <cell r="G1334" t="str">
            <v/>
          </cell>
          <cell r="H1334">
            <v>0</v>
          </cell>
        </row>
        <row r="1335">
          <cell r="B1335">
            <v>9509</v>
          </cell>
          <cell r="C1335" t="str">
            <v>Smith; Joel J</v>
          </cell>
          <cell r="D1335" t="str">
            <v>1C</v>
          </cell>
          <cell r="E1335" t="str">
            <v>IBEWOUT</v>
          </cell>
          <cell r="F1335" t="str">
            <v>611</v>
          </cell>
          <cell r="G1335" t="str">
            <v>17</v>
          </cell>
          <cell r="H1335">
            <v>0</v>
          </cell>
        </row>
        <row r="1336">
          <cell r="B1336">
            <v>9511</v>
          </cell>
          <cell r="C1336" t="str">
            <v>Smith; Wayne A</v>
          </cell>
          <cell r="D1336" t="str">
            <v>1C</v>
          </cell>
          <cell r="E1336" t="str">
            <v>IBEWOUT</v>
          </cell>
          <cell r="F1336" t="str">
            <v>1245</v>
          </cell>
          <cell r="G1336" t="str">
            <v>8</v>
          </cell>
          <cell r="H1336">
            <v>0</v>
          </cell>
        </row>
        <row r="1337">
          <cell r="B1337">
            <v>9520</v>
          </cell>
          <cell r="C1337" t="str">
            <v>Smith; Patrick T.</v>
          </cell>
          <cell r="D1337" t="str">
            <v>1</v>
          </cell>
          <cell r="E1337" t="str">
            <v>IBEWOUT</v>
          </cell>
          <cell r="F1337" t="str">
            <v>125</v>
          </cell>
          <cell r="G1337" t="str">
            <v>4</v>
          </cell>
          <cell r="H1337">
            <v>0</v>
          </cell>
        </row>
        <row r="1338">
          <cell r="B1338">
            <v>9522</v>
          </cell>
          <cell r="C1338" t="str">
            <v>Smith; Jordan P</v>
          </cell>
          <cell r="D1338" t="str">
            <v>1</v>
          </cell>
          <cell r="E1338" t="str">
            <v>IBEWOUT</v>
          </cell>
          <cell r="F1338" t="str">
            <v>1245</v>
          </cell>
          <cell r="G1338" t="str">
            <v>8</v>
          </cell>
          <cell r="H1338">
            <v>0</v>
          </cell>
        </row>
        <row r="1339">
          <cell r="B1339">
            <v>9534</v>
          </cell>
          <cell r="C1339" t="str">
            <v>Smothermon; Archie DeWayne</v>
          </cell>
          <cell r="D1339" t="str">
            <v>1C</v>
          </cell>
          <cell r="E1339" t="str">
            <v>IBEWOUT</v>
          </cell>
          <cell r="F1339" t="str">
            <v>77</v>
          </cell>
          <cell r="G1339" t="str">
            <v>8</v>
          </cell>
          <cell r="H1339">
            <v>0</v>
          </cell>
        </row>
        <row r="1340">
          <cell r="B1340">
            <v>9540</v>
          </cell>
          <cell r="C1340" t="str">
            <v>Schnider; Jacob Clinton</v>
          </cell>
          <cell r="D1340" t="str">
            <v>1C</v>
          </cell>
          <cell r="E1340" t="str">
            <v>IBEWOUT</v>
          </cell>
          <cell r="F1340" t="str">
            <v>1245</v>
          </cell>
          <cell r="G1340" t="str">
            <v>8</v>
          </cell>
          <cell r="H1340">
            <v>0</v>
          </cell>
        </row>
        <row r="1341">
          <cell r="B1341">
            <v>9542</v>
          </cell>
          <cell r="C1341" t="str">
            <v>Schnider; Kyle Rod</v>
          </cell>
          <cell r="D1341" t="str">
            <v>1</v>
          </cell>
          <cell r="E1341" t="str">
            <v>IBEWOUT</v>
          </cell>
          <cell r="F1341" t="str">
            <v>47</v>
          </cell>
          <cell r="G1341" t="str">
            <v>1</v>
          </cell>
          <cell r="H1341">
            <v>0</v>
          </cell>
        </row>
        <row r="1342">
          <cell r="B1342">
            <v>9552</v>
          </cell>
          <cell r="C1342" t="str">
            <v>Schreiner; Stephen A</v>
          </cell>
          <cell r="D1342" t="str">
            <v>1C</v>
          </cell>
          <cell r="E1342" t="str">
            <v>IBEWOUT</v>
          </cell>
          <cell r="F1342" t="str">
            <v>47</v>
          </cell>
          <cell r="G1342" t="str">
            <v>13</v>
          </cell>
          <cell r="H1342">
            <v>0</v>
          </cell>
        </row>
        <row r="1343">
          <cell r="B1343">
            <v>9554</v>
          </cell>
          <cell r="C1343" t="str">
            <v>Schumacher; Matthew J</v>
          </cell>
          <cell r="D1343" t="str">
            <v>1</v>
          </cell>
          <cell r="E1343" t="str">
            <v>IBEWOUT</v>
          </cell>
          <cell r="F1343" t="str">
            <v>47</v>
          </cell>
          <cell r="G1343" t="str">
            <v>16</v>
          </cell>
          <cell r="H1343">
            <v>0</v>
          </cell>
        </row>
        <row r="1344">
          <cell r="B1344">
            <v>9555</v>
          </cell>
          <cell r="C1344" t="str">
            <v>Schnider Sr.; Kevin Todd</v>
          </cell>
          <cell r="D1344" t="str">
            <v>1</v>
          </cell>
          <cell r="E1344" t="str">
            <v>IBEWOUT</v>
          </cell>
          <cell r="F1344" t="str">
            <v>70</v>
          </cell>
          <cell r="G1344" t="str">
            <v>7</v>
          </cell>
          <cell r="H1344">
            <v>0</v>
          </cell>
        </row>
        <row r="1345">
          <cell r="B1345">
            <v>9557</v>
          </cell>
          <cell r="C1345" t="str">
            <v>Schnider Jr.; Kevin T</v>
          </cell>
          <cell r="D1345" t="str">
            <v>1</v>
          </cell>
          <cell r="E1345" t="str">
            <v>IBEWOUT</v>
          </cell>
          <cell r="F1345" t="str">
            <v>70</v>
          </cell>
          <cell r="G1345" t="str">
            <v>16</v>
          </cell>
          <cell r="H1345">
            <v>0</v>
          </cell>
        </row>
        <row r="1346">
          <cell r="B1346">
            <v>9559</v>
          </cell>
          <cell r="C1346" t="str">
            <v>Schumacher; Anthony J</v>
          </cell>
          <cell r="D1346" t="str">
            <v>1</v>
          </cell>
          <cell r="E1346" t="str">
            <v>IBEWOUT</v>
          </cell>
          <cell r="F1346" t="str">
            <v>47</v>
          </cell>
          <cell r="G1346" t="str">
            <v>1</v>
          </cell>
          <cell r="H1346">
            <v>0</v>
          </cell>
        </row>
        <row r="1347">
          <cell r="B1347">
            <v>9561</v>
          </cell>
          <cell r="C1347" t="str">
            <v>Sokolovich; Eduard</v>
          </cell>
          <cell r="D1347" t="str">
            <v>1C</v>
          </cell>
          <cell r="E1347" t="str">
            <v>IBEWOUT</v>
          </cell>
          <cell r="F1347" t="str">
            <v>769</v>
          </cell>
          <cell r="G1347" t="str">
            <v>12</v>
          </cell>
          <cell r="H1347">
            <v>0</v>
          </cell>
        </row>
        <row r="1348">
          <cell r="B1348">
            <v>9563</v>
          </cell>
          <cell r="C1348" t="str">
            <v>Sotelo; Demis C.</v>
          </cell>
          <cell r="D1348" t="str">
            <v>1C</v>
          </cell>
          <cell r="E1348" t="str">
            <v>IBEWOUT</v>
          </cell>
          <cell r="F1348" t="str">
            <v>47</v>
          </cell>
          <cell r="G1348" t="str">
            <v>16</v>
          </cell>
          <cell r="H1348">
            <v>0</v>
          </cell>
        </row>
        <row r="1349">
          <cell r="B1349">
            <v>9566</v>
          </cell>
          <cell r="C1349" t="str">
            <v>Somers; Daniel R</v>
          </cell>
          <cell r="D1349" t="str">
            <v>1C</v>
          </cell>
          <cell r="E1349" t="str">
            <v>IBEWOUT</v>
          </cell>
          <cell r="F1349" t="str">
            <v>1245</v>
          </cell>
          <cell r="G1349" t="str">
            <v>8</v>
          </cell>
          <cell r="H1349">
            <v>0</v>
          </cell>
        </row>
        <row r="1350">
          <cell r="B1350">
            <v>9570</v>
          </cell>
          <cell r="C1350" t="str">
            <v>Solis; Gerardo</v>
          </cell>
          <cell r="D1350" t="str">
            <v>1</v>
          </cell>
          <cell r="E1350" t="str">
            <v>IBEWOUT</v>
          </cell>
          <cell r="F1350" t="str">
            <v>1245</v>
          </cell>
          <cell r="G1350" t="str">
            <v>8</v>
          </cell>
          <cell r="H1350">
            <v>0</v>
          </cell>
        </row>
        <row r="1351">
          <cell r="B1351">
            <v>9575</v>
          </cell>
          <cell r="C1351" t="str">
            <v>Sorensen; Kelly</v>
          </cell>
          <cell r="D1351" t="str">
            <v>1C</v>
          </cell>
          <cell r="E1351" t="str">
            <v>IBEWOUT</v>
          </cell>
          <cell r="F1351" t="str">
            <v>1245</v>
          </cell>
          <cell r="G1351" t="str">
            <v>16</v>
          </cell>
          <cell r="H1351">
            <v>0</v>
          </cell>
        </row>
        <row r="1352">
          <cell r="B1352">
            <v>9577</v>
          </cell>
          <cell r="C1352" t="str">
            <v>Solper; Robert C</v>
          </cell>
          <cell r="D1352" t="str">
            <v>1</v>
          </cell>
          <cell r="E1352" t="str">
            <v/>
          </cell>
          <cell r="F1352" t="str">
            <v/>
          </cell>
          <cell r="G1352" t="str">
            <v/>
          </cell>
          <cell r="H1352">
            <v>0</v>
          </cell>
        </row>
        <row r="1353">
          <cell r="B1353">
            <v>9582</v>
          </cell>
          <cell r="C1353" t="str">
            <v>Schoenborn; Brian M</v>
          </cell>
          <cell r="D1353" t="str">
            <v>1</v>
          </cell>
          <cell r="E1353" t="str">
            <v/>
          </cell>
          <cell r="F1353" t="str">
            <v/>
          </cell>
          <cell r="G1353" t="str">
            <v/>
          </cell>
          <cell r="H1353">
            <v>0</v>
          </cell>
        </row>
        <row r="1354">
          <cell r="B1354">
            <v>9583</v>
          </cell>
          <cell r="C1354" t="str">
            <v>Solis; Gerardo A</v>
          </cell>
          <cell r="D1354" t="str">
            <v>1</v>
          </cell>
          <cell r="E1354" t="str">
            <v>IBEWOUT</v>
          </cell>
          <cell r="F1354" t="str">
            <v>611</v>
          </cell>
          <cell r="G1354" t="str">
            <v>13</v>
          </cell>
          <cell r="H1354">
            <v>0</v>
          </cell>
        </row>
        <row r="1355">
          <cell r="B1355">
            <v>9612</v>
          </cell>
          <cell r="C1355" t="str">
            <v>Stafford; Miles Randolph</v>
          </cell>
          <cell r="D1355" t="str">
            <v>1C</v>
          </cell>
          <cell r="E1355" t="str">
            <v>IBEWOUT</v>
          </cell>
          <cell r="F1355" t="str">
            <v>77</v>
          </cell>
          <cell r="G1355" t="str">
            <v>17</v>
          </cell>
          <cell r="H1355">
            <v>0</v>
          </cell>
        </row>
        <row r="1356">
          <cell r="B1356">
            <v>9613</v>
          </cell>
          <cell r="C1356" t="str">
            <v>Staniforth; Cory D</v>
          </cell>
          <cell r="D1356" t="str">
            <v>1C</v>
          </cell>
          <cell r="E1356" t="str">
            <v>IBEWOUT</v>
          </cell>
          <cell r="F1356" t="str">
            <v>1245</v>
          </cell>
          <cell r="G1356" t="str">
            <v>8</v>
          </cell>
          <cell r="H1356">
            <v>0</v>
          </cell>
        </row>
        <row r="1357">
          <cell r="B1357">
            <v>9615</v>
          </cell>
          <cell r="C1357" t="str">
            <v>Stanton; Adam M</v>
          </cell>
          <cell r="D1357" t="str">
            <v>1C</v>
          </cell>
          <cell r="E1357" t="str">
            <v>IBEWOUT</v>
          </cell>
          <cell r="F1357" t="str">
            <v>126</v>
          </cell>
          <cell r="G1357" t="str">
            <v>12</v>
          </cell>
          <cell r="H1357">
            <v>0</v>
          </cell>
        </row>
        <row r="1358">
          <cell r="B1358">
            <v>9618</v>
          </cell>
          <cell r="C1358" t="str">
            <v>Standifer; Eddie L</v>
          </cell>
          <cell r="D1358" t="str">
            <v>1C</v>
          </cell>
          <cell r="E1358" t="str">
            <v>IBEWOUT</v>
          </cell>
          <cell r="F1358" t="str">
            <v>1245</v>
          </cell>
          <cell r="G1358" t="str">
            <v>60</v>
          </cell>
          <cell r="H1358">
            <v>0</v>
          </cell>
        </row>
        <row r="1359">
          <cell r="B1359">
            <v>9620</v>
          </cell>
          <cell r="C1359" t="str">
            <v>Stanley; Lucas C.</v>
          </cell>
          <cell r="D1359" t="str">
            <v>1C</v>
          </cell>
          <cell r="E1359" t="str">
            <v>IBEWOUT</v>
          </cell>
          <cell r="F1359" t="str">
            <v>1245</v>
          </cell>
          <cell r="G1359" t="str">
            <v>11</v>
          </cell>
          <cell r="H1359">
            <v>0</v>
          </cell>
        </row>
        <row r="1360">
          <cell r="B1360">
            <v>9626</v>
          </cell>
          <cell r="C1360" t="str">
            <v>Stewart; Aubrey Lamar</v>
          </cell>
          <cell r="D1360" t="str">
            <v>1</v>
          </cell>
          <cell r="E1360" t="str">
            <v>IBEWOUT</v>
          </cell>
          <cell r="F1360" t="str">
            <v>1245</v>
          </cell>
          <cell r="G1360" t="str">
            <v>7</v>
          </cell>
          <cell r="H1360">
            <v>0</v>
          </cell>
        </row>
        <row r="1361">
          <cell r="B1361">
            <v>9627</v>
          </cell>
          <cell r="C1361" t="str">
            <v>Stansbury; Ben A</v>
          </cell>
          <cell r="D1361" t="str">
            <v>1C</v>
          </cell>
          <cell r="E1361" t="str">
            <v>IBEWOUT</v>
          </cell>
          <cell r="F1361" t="str">
            <v>602R</v>
          </cell>
          <cell r="G1361" t="str">
            <v>8</v>
          </cell>
          <cell r="H1361">
            <v>0</v>
          </cell>
        </row>
        <row r="1362">
          <cell r="B1362">
            <v>9628</v>
          </cell>
          <cell r="C1362" t="str">
            <v>Stark; Jeff Thomas</v>
          </cell>
          <cell r="D1362" t="str">
            <v>1</v>
          </cell>
          <cell r="E1362" t="str">
            <v/>
          </cell>
          <cell r="F1362" t="str">
            <v/>
          </cell>
          <cell r="G1362" t="str">
            <v/>
          </cell>
          <cell r="H1362">
            <v>1</v>
          </cell>
        </row>
        <row r="1363">
          <cell r="B1363">
            <v>9631</v>
          </cell>
          <cell r="C1363" t="str">
            <v>Steward; Thomas J</v>
          </cell>
          <cell r="D1363" t="str">
            <v>1C</v>
          </cell>
          <cell r="E1363" t="str">
            <v>IBEWOUT</v>
          </cell>
          <cell r="F1363" t="str">
            <v>47</v>
          </cell>
          <cell r="G1363" t="str">
            <v>8</v>
          </cell>
          <cell r="H1363">
            <v>0</v>
          </cell>
        </row>
        <row r="1364">
          <cell r="B1364">
            <v>9637</v>
          </cell>
          <cell r="C1364" t="str">
            <v>Steffes; Michael S</v>
          </cell>
          <cell r="D1364" t="str">
            <v>1</v>
          </cell>
          <cell r="E1364" t="str">
            <v>IBEWOUT</v>
          </cell>
          <cell r="F1364" t="str">
            <v>769</v>
          </cell>
          <cell r="G1364" t="str">
            <v>13</v>
          </cell>
          <cell r="H1364">
            <v>0</v>
          </cell>
        </row>
        <row r="1365">
          <cell r="B1365">
            <v>9638</v>
          </cell>
          <cell r="C1365" t="str">
            <v>Stafford; David S</v>
          </cell>
          <cell r="D1365" t="str">
            <v>1</v>
          </cell>
          <cell r="E1365" t="str">
            <v>IBEWOUT</v>
          </cell>
          <cell r="F1365" t="str">
            <v>1245</v>
          </cell>
          <cell r="G1365" t="str">
            <v>11</v>
          </cell>
          <cell r="H1365">
            <v>0</v>
          </cell>
        </row>
        <row r="1366">
          <cell r="B1366">
            <v>9639</v>
          </cell>
          <cell r="C1366" t="str">
            <v>Stinton; Marco Isaiah</v>
          </cell>
          <cell r="D1366" t="str">
            <v>1C</v>
          </cell>
          <cell r="E1366" t="str">
            <v>IBEWOUT</v>
          </cell>
          <cell r="F1366" t="str">
            <v>47</v>
          </cell>
          <cell r="G1366" t="str">
            <v>13</v>
          </cell>
          <cell r="H1366">
            <v>0</v>
          </cell>
        </row>
        <row r="1367">
          <cell r="B1367">
            <v>9640</v>
          </cell>
          <cell r="C1367" t="str">
            <v>Stimmler; Justin E</v>
          </cell>
          <cell r="D1367" t="str">
            <v>1C</v>
          </cell>
          <cell r="E1367" t="str">
            <v>IBEWOUT</v>
          </cell>
          <cell r="F1367" t="str">
            <v>126</v>
          </cell>
          <cell r="G1367" t="str">
            <v>33</v>
          </cell>
          <cell r="H1367">
            <v>0</v>
          </cell>
        </row>
        <row r="1368">
          <cell r="B1368">
            <v>9662</v>
          </cell>
          <cell r="C1368" t="str">
            <v>Stewart; Joseph Benjamin</v>
          </cell>
          <cell r="D1368" t="str">
            <v>1C</v>
          </cell>
          <cell r="E1368" t="str">
            <v>IBEWOUT</v>
          </cell>
          <cell r="F1368" t="str">
            <v>47</v>
          </cell>
          <cell r="G1368" t="str">
            <v>8</v>
          </cell>
          <cell r="H1368">
            <v>0</v>
          </cell>
        </row>
        <row r="1369">
          <cell r="B1369">
            <v>9663</v>
          </cell>
          <cell r="C1369" t="str">
            <v>Stewart; Joshua A</v>
          </cell>
          <cell r="D1369" t="str">
            <v>1C</v>
          </cell>
          <cell r="E1369" t="str">
            <v>IBEWOUT</v>
          </cell>
          <cell r="F1369" t="str">
            <v>104</v>
          </cell>
          <cell r="G1369" t="str">
            <v>8</v>
          </cell>
          <cell r="H1369">
            <v>0</v>
          </cell>
        </row>
        <row r="1370">
          <cell r="B1370">
            <v>9670</v>
          </cell>
          <cell r="C1370" t="str">
            <v>Stewart; Vincent Ray</v>
          </cell>
          <cell r="D1370" t="str">
            <v>1C</v>
          </cell>
          <cell r="E1370" t="str">
            <v>IBEWOUT</v>
          </cell>
          <cell r="F1370" t="str">
            <v>1245</v>
          </cell>
          <cell r="G1370" t="str">
            <v>8</v>
          </cell>
          <cell r="H1370">
            <v>0</v>
          </cell>
        </row>
        <row r="1371">
          <cell r="B1371">
            <v>9688</v>
          </cell>
          <cell r="C1371" t="str">
            <v>Strickland-Wynn; Anthony J</v>
          </cell>
          <cell r="D1371" t="str">
            <v>1C</v>
          </cell>
          <cell r="E1371" t="str">
            <v>IBEWOUT</v>
          </cell>
          <cell r="F1371" t="str">
            <v>1245</v>
          </cell>
          <cell r="G1371" t="str">
            <v>8</v>
          </cell>
          <cell r="H1371">
            <v>0</v>
          </cell>
        </row>
        <row r="1372">
          <cell r="B1372">
            <v>9695</v>
          </cell>
          <cell r="C1372" t="str">
            <v>Sturdevant; Darin D.</v>
          </cell>
          <cell r="D1372" t="str">
            <v>1</v>
          </cell>
          <cell r="E1372" t="str">
            <v/>
          </cell>
          <cell r="F1372" t="str">
            <v/>
          </cell>
          <cell r="G1372" t="str">
            <v/>
          </cell>
          <cell r="H1372">
            <v>0</v>
          </cell>
        </row>
        <row r="1373">
          <cell r="B1373">
            <v>9704</v>
          </cell>
          <cell r="C1373" t="str">
            <v>Stephens; Cody J</v>
          </cell>
          <cell r="D1373" t="str">
            <v>1</v>
          </cell>
          <cell r="E1373" t="str">
            <v>IBEWOUT</v>
          </cell>
          <cell r="F1373" t="str">
            <v>1245</v>
          </cell>
          <cell r="G1373" t="str">
            <v>8</v>
          </cell>
          <cell r="H1373">
            <v>0</v>
          </cell>
        </row>
        <row r="1374">
          <cell r="B1374">
            <v>9708</v>
          </cell>
          <cell r="C1374" t="str">
            <v>Stephens; Richard L</v>
          </cell>
          <cell r="D1374" t="str">
            <v>1C</v>
          </cell>
          <cell r="E1374" t="str">
            <v>IBEWOUT</v>
          </cell>
          <cell r="F1374" t="str">
            <v>1245</v>
          </cell>
          <cell r="G1374" t="str">
            <v>13</v>
          </cell>
          <cell r="H1374">
            <v>0</v>
          </cell>
        </row>
        <row r="1375">
          <cell r="B1375">
            <v>9712</v>
          </cell>
          <cell r="C1375" t="str">
            <v>Strand; Sheldon R.</v>
          </cell>
          <cell r="D1375" t="str">
            <v>1</v>
          </cell>
          <cell r="E1375" t="str">
            <v/>
          </cell>
          <cell r="F1375" t="str">
            <v/>
          </cell>
          <cell r="G1375" t="str">
            <v/>
          </cell>
          <cell r="H1375">
            <v>0</v>
          </cell>
        </row>
        <row r="1376">
          <cell r="B1376">
            <v>9717</v>
          </cell>
          <cell r="C1376" t="str">
            <v>Stephens; William M.</v>
          </cell>
          <cell r="D1376" t="str">
            <v>1C</v>
          </cell>
          <cell r="E1376" t="str">
            <v/>
          </cell>
          <cell r="F1376" t="str">
            <v/>
          </cell>
          <cell r="G1376" t="str">
            <v/>
          </cell>
          <cell r="H1376">
            <v>0</v>
          </cell>
        </row>
        <row r="1377">
          <cell r="B1377">
            <v>9718</v>
          </cell>
          <cell r="C1377" t="str">
            <v>Stoneburner; Robert H.</v>
          </cell>
          <cell r="D1377" t="str">
            <v>1C</v>
          </cell>
          <cell r="E1377" t="str">
            <v>IBEWOUT</v>
          </cell>
          <cell r="F1377" t="str">
            <v>222</v>
          </cell>
          <cell r="G1377" t="str">
            <v>13</v>
          </cell>
          <cell r="H1377">
            <v>0</v>
          </cell>
        </row>
        <row r="1378">
          <cell r="B1378">
            <v>9721</v>
          </cell>
          <cell r="C1378" t="str">
            <v>Stevenson; Trent H.</v>
          </cell>
          <cell r="D1378" t="str">
            <v>1C</v>
          </cell>
          <cell r="E1378" t="str">
            <v>IBEWOUT</v>
          </cell>
          <cell r="F1378" t="str">
            <v>1245</v>
          </cell>
          <cell r="G1378" t="str">
            <v>8</v>
          </cell>
          <cell r="H1378">
            <v>0</v>
          </cell>
        </row>
        <row r="1379">
          <cell r="B1379">
            <v>9723</v>
          </cell>
          <cell r="C1379" t="str">
            <v>Stevens; Raymond</v>
          </cell>
          <cell r="D1379" t="str">
            <v>1C</v>
          </cell>
          <cell r="E1379" t="str">
            <v>IBEWOUT</v>
          </cell>
          <cell r="F1379" t="str">
            <v>1245</v>
          </cell>
          <cell r="G1379" t="str">
            <v>8</v>
          </cell>
          <cell r="H1379">
            <v>0</v>
          </cell>
        </row>
        <row r="1380">
          <cell r="B1380">
            <v>9726</v>
          </cell>
          <cell r="C1380" t="str">
            <v>Strader; Edward A</v>
          </cell>
          <cell r="D1380" t="str">
            <v>1</v>
          </cell>
          <cell r="E1380" t="str">
            <v>IBEWOUT</v>
          </cell>
          <cell r="F1380" t="str">
            <v>611</v>
          </cell>
          <cell r="G1380" t="str">
            <v>7</v>
          </cell>
          <cell r="H1380">
            <v>0</v>
          </cell>
        </row>
        <row r="1381">
          <cell r="B1381">
            <v>9727</v>
          </cell>
          <cell r="C1381" t="str">
            <v>Stevens; Cole L</v>
          </cell>
          <cell r="D1381" t="str">
            <v>1C</v>
          </cell>
          <cell r="E1381" t="str">
            <v>IBEWOUT</v>
          </cell>
          <cell r="F1381" t="str">
            <v>77</v>
          </cell>
          <cell r="G1381" t="str">
            <v>13</v>
          </cell>
          <cell r="H1381">
            <v>0</v>
          </cell>
        </row>
        <row r="1382">
          <cell r="B1382">
            <v>9731</v>
          </cell>
          <cell r="C1382" t="str">
            <v>Sugerik; David B</v>
          </cell>
          <cell r="D1382" t="str">
            <v>1C</v>
          </cell>
          <cell r="E1382" t="str">
            <v>IBEWOUT</v>
          </cell>
          <cell r="F1382" t="str">
            <v>1319</v>
          </cell>
          <cell r="G1382" t="str">
            <v>8</v>
          </cell>
          <cell r="H1382">
            <v>0</v>
          </cell>
        </row>
        <row r="1383">
          <cell r="B1383">
            <v>9732</v>
          </cell>
          <cell r="C1383" t="str">
            <v>Symonds; Roy D</v>
          </cell>
          <cell r="D1383" t="str">
            <v>1C</v>
          </cell>
          <cell r="E1383" t="str">
            <v>IBEWOUT</v>
          </cell>
          <cell r="F1383" t="str">
            <v>602R</v>
          </cell>
          <cell r="G1383" t="str">
            <v>8</v>
          </cell>
          <cell r="H1383">
            <v>0</v>
          </cell>
        </row>
        <row r="1384">
          <cell r="B1384">
            <v>9733</v>
          </cell>
          <cell r="C1384" t="str">
            <v>Strader Jr.; Edward A</v>
          </cell>
          <cell r="D1384" t="str">
            <v>1</v>
          </cell>
          <cell r="E1384" t="str">
            <v>IBEWOUT</v>
          </cell>
          <cell r="F1384" t="str">
            <v>611</v>
          </cell>
          <cell r="G1384" t="str">
            <v>18</v>
          </cell>
          <cell r="H1384">
            <v>0</v>
          </cell>
        </row>
        <row r="1385">
          <cell r="B1385">
            <v>9734</v>
          </cell>
          <cell r="C1385" t="str">
            <v>Stevenson; Micah J</v>
          </cell>
          <cell r="D1385" t="str">
            <v>1C</v>
          </cell>
          <cell r="E1385" t="str">
            <v/>
          </cell>
          <cell r="F1385" t="str">
            <v/>
          </cell>
          <cell r="G1385" t="str">
            <v/>
          </cell>
          <cell r="H1385">
            <v>1</v>
          </cell>
        </row>
        <row r="1386">
          <cell r="B1386">
            <v>9736</v>
          </cell>
          <cell r="C1386" t="str">
            <v>Strasser; Richard L</v>
          </cell>
          <cell r="D1386" t="str">
            <v>1</v>
          </cell>
          <cell r="E1386" t="str">
            <v>IBEWOUT</v>
          </cell>
          <cell r="F1386" t="str">
            <v>47</v>
          </cell>
          <cell r="G1386" t="str">
            <v>16</v>
          </cell>
          <cell r="H1386">
            <v>0</v>
          </cell>
        </row>
        <row r="1387">
          <cell r="B1387">
            <v>9738</v>
          </cell>
          <cell r="C1387" t="str">
            <v>Stolz; Brandon N</v>
          </cell>
          <cell r="D1387" t="str">
            <v>1C</v>
          </cell>
          <cell r="E1387" t="str">
            <v>IBEWOUT</v>
          </cell>
          <cell r="F1387" t="str">
            <v>160</v>
          </cell>
          <cell r="G1387" t="str">
            <v>15</v>
          </cell>
          <cell r="H1387">
            <v>0</v>
          </cell>
        </row>
        <row r="1388">
          <cell r="B1388">
            <v>9740</v>
          </cell>
          <cell r="C1388" t="str">
            <v>Swain; Cody J.</v>
          </cell>
          <cell r="D1388" t="str">
            <v>1C</v>
          </cell>
          <cell r="E1388" t="str">
            <v>IBEWOUT</v>
          </cell>
          <cell r="F1388" t="str">
            <v>1245</v>
          </cell>
          <cell r="G1388" t="str">
            <v>8</v>
          </cell>
          <cell r="H1388">
            <v>0</v>
          </cell>
        </row>
        <row r="1389">
          <cell r="B1389">
            <v>9743</v>
          </cell>
          <cell r="C1389" t="str">
            <v>Stephas; Roger J</v>
          </cell>
          <cell r="D1389" t="str">
            <v>1C</v>
          </cell>
          <cell r="E1389" t="str">
            <v>IBEWOUT</v>
          </cell>
          <cell r="F1389" t="str">
            <v>611</v>
          </cell>
          <cell r="G1389" t="str">
            <v>8</v>
          </cell>
          <cell r="H1389">
            <v>0</v>
          </cell>
        </row>
        <row r="1390">
          <cell r="B1390">
            <v>9747</v>
          </cell>
          <cell r="C1390" t="str">
            <v>Swegan; David L</v>
          </cell>
          <cell r="D1390" t="str">
            <v>1C</v>
          </cell>
          <cell r="E1390" t="str">
            <v>IBEWOUT</v>
          </cell>
          <cell r="F1390" t="str">
            <v>611</v>
          </cell>
          <cell r="G1390" t="str">
            <v>13</v>
          </cell>
          <cell r="H1390">
            <v>0</v>
          </cell>
        </row>
        <row r="1391">
          <cell r="B1391">
            <v>9748</v>
          </cell>
          <cell r="C1391" t="str">
            <v>Swennes; Taylor W</v>
          </cell>
          <cell r="D1391" t="str">
            <v>1</v>
          </cell>
          <cell r="E1391" t="str">
            <v>IBEWOUT</v>
          </cell>
          <cell r="F1391" t="str">
            <v>769</v>
          </cell>
          <cell r="G1391" t="str">
            <v>8</v>
          </cell>
          <cell r="H1391">
            <v>0</v>
          </cell>
        </row>
        <row r="1392">
          <cell r="B1392">
            <v>9750</v>
          </cell>
          <cell r="C1392" t="str">
            <v>Swiger; Robert H</v>
          </cell>
          <cell r="D1392" t="str">
            <v>1C</v>
          </cell>
          <cell r="E1392" t="str">
            <v>IBEWOUT</v>
          </cell>
          <cell r="F1392" t="str">
            <v>77</v>
          </cell>
          <cell r="G1392" t="str">
            <v>8</v>
          </cell>
          <cell r="H1392">
            <v>0</v>
          </cell>
        </row>
        <row r="1393">
          <cell r="B1393">
            <v>9751</v>
          </cell>
          <cell r="C1393" t="str">
            <v>Stevenson Jr; Robert L</v>
          </cell>
          <cell r="D1393" t="str">
            <v>1</v>
          </cell>
          <cell r="E1393" t="str">
            <v>IBEWOUT</v>
          </cell>
          <cell r="F1393" t="str">
            <v>47</v>
          </cell>
          <cell r="G1393" t="str">
            <v>8</v>
          </cell>
          <cell r="H1393">
            <v>0</v>
          </cell>
        </row>
        <row r="1394">
          <cell r="B1394">
            <v>9822</v>
          </cell>
          <cell r="C1394" t="str">
            <v>Taglieri; Matthew D</v>
          </cell>
          <cell r="D1394" t="str">
            <v>1C</v>
          </cell>
          <cell r="E1394" t="str">
            <v>IBEWOUT</v>
          </cell>
          <cell r="F1394" t="str">
            <v>1245</v>
          </cell>
          <cell r="G1394" t="str">
            <v>15</v>
          </cell>
          <cell r="H1394">
            <v>0</v>
          </cell>
        </row>
        <row r="1395">
          <cell r="B1395">
            <v>9823</v>
          </cell>
          <cell r="C1395" t="str">
            <v>Taghon; Elijah D</v>
          </cell>
          <cell r="D1395" t="str">
            <v>1</v>
          </cell>
          <cell r="E1395" t="str">
            <v/>
          </cell>
          <cell r="F1395" t="str">
            <v/>
          </cell>
          <cell r="G1395" t="str">
            <v/>
          </cell>
          <cell r="H1395">
            <v>0</v>
          </cell>
        </row>
        <row r="1396">
          <cell r="B1396">
            <v>9825</v>
          </cell>
          <cell r="C1396" t="str">
            <v>Szteliga; Bryan D</v>
          </cell>
          <cell r="D1396" t="str">
            <v>1C</v>
          </cell>
          <cell r="E1396" t="str">
            <v>IBEWOUT</v>
          </cell>
          <cell r="F1396" t="str">
            <v>1245</v>
          </cell>
          <cell r="G1396" t="str">
            <v>8</v>
          </cell>
          <cell r="H1396">
            <v>0</v>
          </cell>
        </row>
        <row r="1397">
          <cell r="B1397">
            <v>9835</v>
          </cell>
          <cell r="C1397" t="str">
            <v>Tatro; Lynn D</v>
          </cell>
          <cell r="D1397" t="str">
            <v>1C</v>
          </cell>
          <cell r="E1397" t="str">
            <v>IBEWOUT</v>
          </cell>
          <cell r="F1397" t="str">
            <v>77</v>
          </cell>
          <cell r="G1397" t="str">
            <v>16</v>
          </cell>
          <cell r="H1397">
            <v>0</v>
          </cell>
        </row>
        <row r="1398">
          <cell r="B1398">
            <v>9836</v>
          </cell>
          <cell r="C1398" t="str">
            <v>Tamez; Javier</v>
          </cell>
          <cell r="D1398" t="str">
            <v>1C</v>
          </cell>
          <cell r="E1398" t="str">
            <v>IBEWOUT</v>
          </cell>
          <cell r="F1398" t="str">
            <v>47</v>
          </cell>
          <cell r="G1398" t="str">
            <v>17</v>
          </cell>
          <cell r="H1398">
            <v>0</v>
          </cell>
        </row>
        <row r="1399">
          <cell r="B1399">
            <v>9838</v>
          </cell>
          <cell r="C1399" t="str">
            <v>Tasa; Brenden S</v>
          </cell>
          <cell r="D1399" t="str">
            <v>1C</v>
          </cell>
          <cell r="E1399" t="str">
            <v>IBEWOUT</v>
          </cell>
          <cell r="F1399" t="str">
            <v>611</v>
          </cell>
          <cell r="G1399" t="str">
            <v>12</v>
          </cell>
          <cell r="H1399">
            <v>0</v>
          </cell>
        </row>
        <row r="1400">
          <cell r="B1400">
            <v>9839</v>
          </cell>
          <cell r="C1400" t="str">
            <v>Taylor; Dalthard Ronald</v>
          </cell>
          <cell r="D1400" t="str">
            <v>1C</v>
          </cell>
          <cell r="E1400" t="str">
            <v>IBEWOUT</v>
          </cell>
          <cell r="F1400" t="str">
            <v>47</v>
          </cell>
          <cell r="G1400" t="str">
            <v>8</v>
          </cell>
          <cell r="H1400">
            <v>0</v>
          </cell>
        </row>
        <row r="1401">
          <cell r="B1401">
            <v>9840</v>
          </cell>
          <cell r="C1401" t="str">
            <v>Tapani; Randall J</v>
          </cell>
          <cell r="D1401" t="str">
            <v>1</v>
          </cell>
          <cell r="E1401" t="str">
            <v>IBEWOUT</v>
          </cell>
          <cell r="F1401" t="str">
            <v>77</v>
          </cell>
          <cell r="G1401" t="str">
            <v>8</v>
          </cell>
          <cell r="H1401">
            <v>0</v>
          </cell>
        </row>
        <row r="1402">
          <cell r="B1402">
            <v>9841</v>
          </cell>
          <cell r="C1402" t="str">
            <v>Taylor; Dalthard Grant</v>
          </cell>
          <cell r="D1402" t="str">
            <v>1C</v>
          </cell>
          <cell r="E1402" t="str">
            <v>IBEWOUT</v>
          </cell>
          <cell r="F1402" t="str">
            <v>769</v>
          </cell>
          <cell r="G1402" t="str">
            <v>16</v>
          </cell>
          <cell r="H1402">
            <v>0</v>
          </cell>
        </row>
        <row r="1403">
          <cell r="B1403">
            <v>9847</v>
          </cell>
          <cell r="C1403" t="str">
            <v>Taylor; Corey M</v>
          </cell>
          <cell r="D1403" t="str">
            <v>1C</v>
          </cell>
          <cell r="E1403" t="str">
            <v>IBEWOUT</v>
          </cell>
          <cell r="F1403" t="str">
            <v>1245</v>
          </cell>
          <cell r="G1403" t="str">
            <v>8</v>
          </cell>
          <cell r="H1403">
            <v>0</v>
          </cell>
        </row>
        <row r="1404">
          <cell r="B1404">
            <v>9855</v>
          </cell>
          <cell r="C1404" t="str">
            <v>Tallman; Jared M</v>
          </cell>
          <cell r="D1404" t="str">
            <v>1</v>
          </cell>
          <cell r="E1404" t="str">
            <v/>
          </cell>
          <cell r="F1404" t="str">
            <v/>
          </cell>
          <cell r="G1404" t="str">
            <v/>
          </cell>
          <cell r="H1404">
            <v>0</v>
          </cell>
        </row>
        <row r="1405">
          <cell r="B1405">
            <v>9858</v>
          </cell>
          <cell r="C1405" t="str">
            <v>Teasley; Ryan D</v>
          </cell>
          <cell r="D1405" t="str">
            <v>1</v>
          </cell>
          <cell r="E1405" t="str">
            <v>IBEWOUT</v>
          </cell>
          <cell r="F1405" t="str">
            <v>47</v>
          </cell>
          <cell r="G1405" t="str">
            <v>8</v>
          </cell>
          <cell r="H1405">
            <v>0</v>
          </cell>
        </row>
        <row r="1406">
          <cell r="B1406">
            <v>9862</v>
          </cell>
          <cell r="C1406" t="str">
            <v>Tellez; John Henry</v>
          </cell>
          <cell r="D1406" t="str">
            <v>1C</v>
          </cell>
          <cell r="E1406" t="str">
            <v/>
          </cell>
          <cell r="F1406" t="str">
            <v/>
          </cell>
          <cell r="G1406" t="str">
            <v/>
          </cell>
          <cell r="H1406">
            <v>1</v>
          </cell>
        </row>
        <row r="1407">
          <cell r="B1407">
            <v>9868</v>
          </cell>
          <cell r="C1407" t="str">
            <v>Terlep; Greg J.</v>
          </cell>
          <cell r="D1407" t="str">
            <v>1C</v>
          </cell>
          <cell r="E1407" t="str">
            <v>IBEWOUT</v>
          </cell>
          <cell r="F1407" t="str">
            <v>1245</v>
          </cell>
          <cell r="G1407" t="str">
            <v>60</v>
          </cell>
          <cell r="H1407">
            <v>0</v>
          </cell>
        </row>
        <row r="1408">
          <cell r="B1408">
            <v>9869</v>
          </cell>
          <cell r="C1408" t="str">
            <v>Tepesano; Pablo A</v>
          </cell>
          <cell r="D1408" t="str">
            <v>1C</v>
          </cell>
          <cell r="E1408" t="str">
            <v>IBEWOUT</v>
          </cell>
          <cell r="F1408" t="str">
            <v>47</v>
          </cell>
          <cell r="G1408" t="str">
            <v>8</v>
          </cell>
          <cell r="H1408">
            <v>0</v>
          </cell>
        </row>
        <row r="1409">
          <cell r="B1409">
            <v>9871</v>
          </cell>
          <cell r="C1409" t="str">
            <v>Tenney; Michael J</v>
          </cell>
          <cell r="D1409" t="str">
            <v>1C</v>
          </cell>
          <cell r="E1409" t="str">
            <v>IBEWOUT</v>
          </cell>
          <cell r="F1409" t="str">
            <v>1245</v>
          </cell>
          <cell r="G1409" t="str">
            <v>8</v>
          </cell>
          <cell r="H1409">
            <v>0</v>
          </cell>
        </row>
        <row r="1410">
          <cell r="B1410">
            <v>9875</v>
          </cell>
          <cell r="C1410" t="str">
            <v>Tennell; Rodrick Q</v>
          </cell>
          <cell r="D1410" t="str">
            <v>1</v>
          </cell>
          <cell r="E1410" t="str">
            <v>IBEWOUT</v>
          </cell>
          <cell r="F1410" t="str">
            <v>769</v>
          </cell>
          <cell r="G1410" t="str">
            <v>9</v>
          </cell>
          <cell r="H1410">
            <v>0</v>
          </cell>
        </row>
        <row r="1411">
          <cell r="B1411">
            <v>9877</v>
          </cell>
          <cell r="C1411" t="str">
            <v>Tenneson; Mack E</v>
          </cell>
          <cell r="D1411" t="str">
            <v>1</v>
          </cell>
          <cell r="E1411" t="str">
            <v/>
          </cell>
          <cell r="F1411" t="str">
            <v/>
          </cell>
          <cell r="G1411" t="str">
            <v/>
          </cell>
          <cell r="H1411">
            <v>0</v>
          </cell>
        </row>
        <row r="1412">
          <cell r="B1412">
            <v>9910</v>
          </cell>
          <cell r="C1412" t="str">
            <v>Thagon; Robert G</v>
          </cell>
          <cell r="D1412" t="str">
            <v>1C</v>
          </cell>
          <cell r="E1412" t="str">
            <v/>
          </cell>
          <cell r="F1412" t="str">
            <v/>
          </cell>
          <cell r="G1412" t="str">
            <v/>
          </cell>
          <cell r="H1412">
            <v>1</v>
          </cell>
        </row>
        <row r="1413">
          <cell r="B1413">
            <v>9941</v>
          </cell>
          <cell r="C1413" t="str">
            <v>Thomas; Justin M</v>
          </cell>
          <cell r="D1413" t="str">
            <v>1</v>
          </cell>
          <cell r="E1413" t="str">
            <v>IBEWOUT</v>
          </cell>
          <cell r="F1413" t="str">
            <v>1245</v>
          </cell>
          <cell r="G1413" t="str">
            <v>8</v>
          </cell>
          <cell r="H1413">
            <v>0</v>
          </cell>
        </row>
        <row r="1414">
          <cell r="B1414">
            <v>9943</v>
          </cell>
          <cell r="C1414" t="str">
            <v>Thomas; Kyle R</v>
          </cell>
          <cell r="D1414" t="str">
            <v>1C</v>
          </cell>
          <cell r="E1414" t="str">
            <v>IBEWOUT</v>
          </cell>
          <cell r="F1414" t="str">
            <v>1245</v>
          </cell>
          <cell r="G1414" t="str">
            <v>8</v>
          </cell>
          <cell r="H1414">
            <v>0</v>
          </cell>
        </row>
        <row r="1415">
          <cell r="B1415">
            <v>9946</v>
          </cell>
          <cell r="C1415" t="str">
            <v>Thomas; Dustin James</v>
          </cell>
          <cell r="D1415" t="str">
            <v>1</v>
          </cell>
          <cell r="E1415" t="str">
            <v>IBEWOUT</v>
          </cell>
          <cell r="F1415" t="str">
            <v>1245</v>
          </cell>
          <cell r="G1415" t="str">
            <v>20</v>
          </cell>
          <cell r="H1415">
            <v>0</v>
          </cell>
        </row>
        <row r="1416">
          <cell r="B1416">
            <v>9950</v>
          </cell>
          <cell r="C1416" t="str">
            <v>Thomas; Vance L</v>
          </cell>
          <cell r="D1416" t="str">
            <v>1C</v>
          </cell>
          <cell r="E1416" t="str">
            <v>IBEWOUT</v>
          </cell>
          <cell r="F1416" t="str">
            <v>47</v>
          </cell>
          <cell r="G1416" t="str">
            <v>8</v>
          </cell>
          <cell r="H1416">
            <v>0</v>
          </cell>
        </row>
        <row r="1417">
          <cell r="B1417">
            <v>9952</v>
          </cell>
          <cell r="C1417" t="str">
            <v>Tijerina; Ramiro</v>
          </cell>
          <cell r="D1417" t="str">
            <v>1C</v>
          </cell>
          <cell r="E1417" t="str">
            <v>IBEWOUT</v>
          </cell>
          <cell r="F1417" t="str">
            <v>1245</v>
          </cell>
          <cell r="G1417" t="str">
            <v>8</v>
          </cell>
          <cell r="H1417">
            <v>0</v>
          </cell>
        </row>
        <row r="1418">
          <cell r="B1418">
            <v>9957</v>
          </cell>
          <cell r="C1418" t="str">
            <v>Thomas; Samuel Troy</v>
          </cell>
          <cell r="D1418" t="str">
            <v>1C</v>
          </cell>
          <cell r="E1418" t="str">
            <v>IBEWOUT</v>
          </cell>
          <cell r="F1418" t="str">
            <v>77</v>
          </cell>
          <cell r="G1418" t="str">
            <v>16</v>
          </cell>
          <cell r="H1418">
            <v>0</v>
          </cell>
        </row>
        <row r="1419">
          <cell r="B1419">
            <v>9959</v>
          </cell>
          <cell r="C1419" t="str">
            <v>Thompson; Glen S</v>
          </cell>
          <cell r="D1419" t="str">
            <v>1C</v>
          </cell>
          <cell r="E1419" t="str">
            <v>IBEWOUT</v>
          </cell>
          <cell r="F1419" t="str">
            <v>160</v>
          </cell>
          <cell r="G1419" t="str">
            <v>8</v>
          </cell>
          <cell r="H1419">
            <v>0</v>
          </cell>
        </row>
        <row r="1420">
          <cell r="B1420">
            <v>9960</v>
          </cell>
          <cell r="C1420" t="str">
            <v>Thompson; Ryan M.</v>
          </cell>
          <cell r="D1420" t="str">
            <v>1C</v>
          </cell>
          <cell r="E1420" t="str">
            <v>IBEWOUT</v>
          </cell>
          <cell r="F1420" t="str">
            <v>77</v>
          </cell>
          <cell r="G1420" t="str">
            <v>10</v>
          </cell>
          <cell r="H1420">
            <v>0</v>
          </cell>
        </row>
        <row r="1421">
          <cell r="B1421">
            <v>9961</v>
          </cell>
          <cell r="C1421" t="str">
            <v>Thompson; Padraic K</v>
          </cell>
          <cell r="D1421" t="str">
            <v>1</v>
          </cell>
          <cell r="E1421" t="str">
            <v>IBEWOUT</v>
          </cell>
          <cell r="F1421" t="str">
            <v>1245</v>
          </cell>
          <cell r="G1421" t="str">
            <v>7</v>
          </cell>
          <cell r="H1421">
            <v>0</v>
          </cell>
        </row>
        <row r="1422">
          <cell r="B1422">
            <v>9964</v>
          </cell>
          <cell r="C1422" t="str">
            <v>Thomson; Michael D.</v>
          </cell>
          <cell r="D1422" t="str">
            <v>1C</v>
          </cell>
          <cell r="E1422" t="str">
            <v>IBEWOUT</v>
          </cell>
          <cell r="F1422" t="str">
            <v>769</v>
          </cell>
          <cell r="G1422" t="str">
            <v>20</v>
          </cell>
          <cell r="H1422">
            <v>0</v>
          </cell>
        </row>
        <row r="1423">
          <cell r="B1423">
            <v>9967</v>
          </cell>
          <cell r="C1423" t="str">
            <v>Thomson; Shayne A</v>
          </cell>
          <cell r="D1423" t="str">
            <v>1</v>
          </cell>
          <cell r="E1423" t="str">
            <v/>
          </cell>
          <cell r="F1423" t="str">
            <v/>
          </cell>
          <cell r="G1423" t="str">
            <v/>
          </cell>
          <cell r="H1423">
            <v>0</v>
          </cell>
        </row>
        <row r="1424">
          <cell r="B1424">
            <v>9973</v>
          </cell>
          <cell r="C1424" t="str">
            <v>Thygesen; Brian R.</v>
          </cell>
          <cell r="D1424" t="str">
            <v>1C</v>
          </cell>
          <cell r="E1424" t="str">
            <v>IBEWOUT</v>
          </cell>
          <cell r="F1424" t="str">
            <v>77</v>
          </cell>
          <cell r="G1424" t="str">
            <v>12</v>
          </cell>
          <cell r="H1424">
            <v>0</v>
          </cell>
        </row>
        <row r="1425">
          <cell r="B1425">
            <v>9974</v>
          </cell>
          <cell r="C1425" t="str">
            <v>Thweatt; Cole J</v>
          </cell>
          <cell r="D1425" t="str">
            <v>1</v>
          </cell>
          <cell r="E1425" t="str">
            <v>IBEWOUT</v>
          </cell>
          <cell r="F1425" t="str">
            <v>769</v>
          </cell>
          <cell r="G1425" t="str">
            <v>10</v>
          </cell>
          <cell r="H1425">
            <v>0</v>
          </cell>
        </row>
        <row r="1426">
          <cell r="B1426">
            <v>9983</v>
          </cell>
          <cell r="C1426" t="str">
            <v>Tidwell; Scott D</v>
          </cell>
          <cell r="D1426" t="str">
            <v>1</v>
          </cell>
          <cell r="E1426" t="str">
            <v>IBEWOUT</v>
          </cell>
          <cell r="F1426" t="str">
            <v>1245</v>
          </cell>
          <cell r="G1426" t="str">
            <v>7</v>
          </cell>
          <cell r="H1426">
            <v>0</v>
          </cell>
        </row>
        <row r="1427">
          <cell r="B1427">
            <v>9985</v>
          </cell>
          <cell r="C1427" t="str">
            <v>Tucker; Michael W.</v>
          </cell>
          <cell r="D1427" t="str">
            <v>1C</v>
          </cell>
          <cell r="E1427" t="str">
            <v>IBEWOUT</v>
          </cell>
          <cell r="F1427" t="str">
            <v>47</v>
          </cell>
          <cell r="G1427" t="str">
            <v>20</v>
          </cell>
          <cell r="H1427">
            <v>0</v>
          </cell>
        </row>
        <row r="1428">
          <cell r="B1428">
            <v>9988</v>
          </cell>
          <cell r="C1428" t="str">
            <v>Torres; Victor M.</v>
          </cell>
          <cell r="D1428" t="str">
            <v>1C</v>
          </cell>
          <cell r="E1428" t="str">
            <v>IBEWOUT</v>
          </cell>
          <cell r="F1428" t="str">
            <v>769</v>
          </cell>
          <cell r="G1428" t="str">
            <v>16</v>
          </cell>
          <cell r="H1428">
            <v>0</v>
          </cell>
        </row>
        <row r="1429">
          <cell r="B1429">
            <v>9994</v>
          </cell>
          <cell r="C1429" t="str">
            <v>Tonasket; Justin L</v>
          </cell>
          <cell r="D1429" t="str">
            <v>1C</v>
          </cell>
          <cell r="E1429" t="str">
            <v>IBEWOUT</v>
          </cell>
          <cell r="F1429" t="str">
            <v>1245</v>
          </cell>
          <cell r="G1429" t="str">
            <v>13</v>
          </cell>
          <cell r="H1429">
            <v>0</v>
          </cell>
        </row>
        <row r="1430">
          <cell r="B1430">
            <v>9995</v>
          </cell>
          <cell r="C1430" t="str">
            <v>Tom; Antonio J</v>
          </cell>
          <cell r="D1430" t="str">
            <v>1C</v>
          </cell>
          <cell r="E1430" t="str">
            <v>IBEWOUT</v>
          </cell>
          <cell r="F1430" t="str">
            <v>769</v>
          </cell>
          <cell r="G1430" t="str">
            <v>15</v>
          </cell>
          <cell r="H1430">
            <v>0</v>
          </cell>
        </row>
        <row r="1431">
          <cell r="B1431">
            <v>9996</v>
          </cell>
          <cell r="C1431" t="str">
            <v>Toftdahl; Nels R.</v>
          </cell>
          <cell r="D1431" t="str">
            <v>1</v>
          </cell>
          <cell r="E1431" t="str">
            <v>IBEWOUT</v>
          </cell>
          <cell r="F1431" t="str">
            <v>77</v>
          </cell>
          <cell r="G1431" t="str">
            <v>7</v>
          </cell>
          <cell r="H1431">
            <v>0</v>
          </cell>
        </row>
        <row r="1432">
          <cell r="B1432">
            <v>9997</v>
          </cell>
          <cell r="C1432" t="str">
            <v>Tolson; Chad A</v>
          </cell>
          <cell r="D1432" t="str">
            <v>1C</v>
          </cell>
          <cell r="E1432" t="str">
            <v>IBEWOUT</v>
          </cell>
          <cell r="F1432" t="str">
            <v>1245</v>
          </cell>
          <cell r="G1432" t="str">
            <v>15</v>
          </cell>
          <cell r="H1432">
            <v>0</v>
          </cell>
        </row>
        <row r="1433">
          <cell r="B1433">
            <v>10001</v>
          </cell>
          <cell r="C1433" t="str">
            <v>Tohara; John D.</v>
          </cell>
          <cell r="D1433" t="str">
            <v>1C</v>
          </cell>
          <cell r="E1433" t="str">
            <v>IBEWOUT</v>
          </cell>
          <cell r="F1433" t="str">
            <v>396</v>
          </cell>
          <cell r="G1433" t="str">
            <v>21</v>
          </cell>
          <cell r="H1433">
            <v>0</v>
          </cell>
        </row>
        <row r="1434">
          <cell r="B1434">
            <v>10002</v>
          </cell>
          <cell r="C1434" t="str">
            <v>Toman; Lance E</v>
          </cell>
          <cell r="D1434" t="str">
            <v>1C</v>
          </cell>
          <cell r="E1434" t="str">
            <v>IBEWOUT</v>
          </cell>
          <cell r="F1434" t="str">
            <v>1245</v>
          </cell>
          <cell r="G1434" t="str">
            <v>8</v>
          </cell>
          <cell r="H1434">
            <v>0</v>
          </cell>
        </row>
        <row r="1435">
          <cell r="B1435">
            <v>10007</v>
          </cell>
          <cell r="C1435" t="str">
            <v>Torbet; William Wesley</v>
          </cell>
          <cell r="D1435" t="str">
            <v>1</v>
          </cell>
          <cell r="E1435" t="str">
            <v/>
          </cell>
          <cell r="F1435" t="str">
            <v/>
          </cell>
          <cell r="G1435" t="str">
            <v/>
          </cell>
          <cell r="H1435">
            <v>1</v>
          </cell>
        </row>
        <row r="1436">
          <cell r="B1436">
            <v>10026</v>
          </cell>
          <cell r="C1436" t="str">
            <v>Trimnal; Jerry Gamble</v>
          </cell>
          <cell r="D1436" t="str">
            <v>1C</v>
          </cell>
          <cell r="E1436" t="str">
            <v>IBEWOUT</v>
          </cell>
          <cell r="F1436" t="str">
            <v>47</v>
          </cell>
          <cell r="G1436" t="str">
            <v>7</v>
          </cell>
          <cell r="H1436">
            <v>0</v>
          </cell>
        </row>
        <row r="1437">
          <cell r="B1437">
            <v>10028</v>
          </cell>
          <cell r="C1437" t="str">
            <v>Triner; Jeremy BJ</v>
          </cell>
          <cell r="D1437" t="str">
            <v>1C</v>
          </cell>
          <cell r="E1437" t="str">
            <v>IBEWOUT</v>
          </cell>
          <cell r="F1437" t="str">
            <v>47</v>
          </cell>
          <cell r="G1437" t="str">
            <v>8</v>
          </cell>
          <cell r="H1437">
            <v>0</v>
          </cell>
        </row>
        <row r="1438">
          <cell r="B1438">
            <v>10030</v>
          </cell>
          <cell r="C1438" t="str">
            <v>Tritten; Eric W</v>
          </cell>
          <cell r="D1438" t="str">
            <v>1C</v>
          </cell>
          <cell r="E1438" t="str">
            <v>IBEWOUT</v>
          </cell>
          <cell r="F1438" t="str">
            <v>126</v>
          </cell>
          <cell r="G1438" t="str">
            <v>13</v>
          </cell>
          <cell r="H1438">
            <v>0</v>
          </cell>
        </row>
        <row r="1439">
          <cell r="B1439">
            <v>10031</v>
          </cell>
          <cell r="C1439" t="str">
            <v>Triplett; Bret M</v>
          </cell>
          <cell r="D1439" t="str">
            <v>1C</v>
          </cell>
          <cell r="E1439" t="str">
            <v>IBEWOUT</v>
          </cell>
          <cell r="F1439" t="str">
            <v>1319</v>
          </cell>
          <cell r="G1439" t="str">
            <v>15</v>
          </cell>
          <cell r="H1439">
            <v>0</v>
          </cell>
        </row>
        <row r="1440">
          <cell r="B1440">
            <v>10034</v>
          </cell>
          <cell r="C1440" t="str">
            <v>Tropkoff; Robert J</v>
          </cell>
          <cell r="D1440" t="str">
            <v>1C</v>
          </cell>
          <cell r="E1440" t="str">
            <v>IBEWOUT</v>
          </cell>
          <cell r="F1440" t="str">
            <v>1319</v>
          </cell>
          <cell r="G1440" t="str">
            <v>21</v>
          </cell>
          <cell r="H1440">
            <v>0</v>
          </cell>
        </row>
        <row r="1441">
          <cell r="B1441">
            <v>10039</v>
          </cell>
          <cell r="C1441" t="str">
            <v>Tsuha; Mark</v>
          </cell>
          <cell r="D1441" t="str">
            <v>1C</v>
          </cell>
          <cell r="E1441" t="str">
            <v>IBEWOUT</v>
          </cell>
          <cell r="F1441" t="str">
            <v>77</v>
          </cell>
          <cell r="G1441" t="str">
            <v>16</v>
          </cell>
          <cell r="H1441">
            <v>0</v>
          </cell>
        </row>
        <row r="1442">
          <cell r="B1442">
            <v>10048</v>
          </cell>
          <cell r="C1442" t="str">
            <v>Turner; Luke E</v>
          </cell>
          <cell r="D1442" t="str">
            <v>1</v>
          </cell>
          <cell r="E1442" t="str">
            <v>IBEWOUT</v>
          </cell>
          <cell r="F1442" t="str">
            <v>77</v>
          </cell>
          <cell r="G1442" t="str">
            <v>8</v>
          </cell>
          <cell r="H1442">
            <v>0</v>
          </cell>
        </row>
        <row r="1443">
          <cell r="B1443">
            <v>10049</v>
          </cell>
          <cell r="C1443" t="str">
            <v>Truog; Brannon M</v>
          </cell>
          <cell r="D1443" t="str">
            <v>1C</v>
          </cell>
          <cell r="E1443" t="str">
            <v>IBEWOUT</v>
          </cell>
          <cell r="F1443" t="str">
            <v>769</v>
          </cell>
          <cell r="G1443" t="str">
            <v>17</v>
          </cell>
          <cell r="H1443">
            <v>0</v>
          </cell>
        </row>
        <row r="1444">
          <cell r="B1444">
            <v>10051</v>
          </cell>
          <cell r="C1444" t="str">
            <v>Treadwell; Joshua S</v>
          </cell>
          <cell r="D1444" t="str">
            <v>1C</v>
          </cell>
          <cell r="E1444" t="str">
            <v>IBEWOUT</v>
          </cell>
          <cell r="F1444" t="str">
            <v>602R</v>
          </cell>
          <cell r="G1444" t="str">
            <v>8</v>
          </cell>
          <cell r="H1444">
            <v>0</v>
          </cell>
        </row>
        <row r="1445">
          <cell r="B1445">
            <v>10055</v>
          </cell>
          <cell r="C1445" t="str">
            <v>Torres; Isaac</v>
          </cell>
          <cell r="D1445" t="str">
            <v>1C</v>
          </cell>
          <cell r="E1445" t="str">
            <v>IBEWOUT</v>
          </cell>
          <cell r="F1445" t="str">
            <v>1245</v>
          </cell>
          <cell r="G1445" t="str">
            <v>8</v>
          </cell>
          <cell r="H1445">
            <v>0</v>
          </cell>
        </row>
        <row r="1446">
          <cell r="B1446">
            <v>10056</v>
          </cell>
          <cell r="C1446" t="str">
            <v>Torres; Federico R</v>
          </cell>
          <cell r="D1446" t="str">
            <v>1</v>
          </cell>
          <cell r="E1446" t="str">
            <v/>
          </cell>
          <cell r="F1446" t="str">
            <v/>
          </cell>
          <cell r="G1446" t="str">
            <v/>
          </cell>
          <cell r="H1446">
            <v>1</v>
          </cell>
        </row>
        <row r="1447">
          <cell r="B1447">
            <v>10057</v>
          </cell>
          <cell r="C1447" t="str">
            <v>Torres; Carlos</v>
          </cell>
          <cell r="D1447" t="str">
            <v>1C</v>
          </cell>
          <cell r="E1447" t="str">
            <v>IBEWOUT</v>
          </cell>
          <cell r="F1447" t="str">
            <v>1245</v>
          </cell>
          <cell r="G1447" t="str">
            <v>17</v>
          </cell>
          <cell r="H1447">
            <v>0</v>
          </cell>
        </row>
        <row r="1448">
          <cell r="B1448">
            <v>10058</v>
          </cell>
          <cell r="C1448" t="str">
            <v>Towns; Isaac W</v>
          </cell>
          <cell r="D1448" t="str">
            <v>1C</v>
          </cell>
          <cell r="E1448" t="str">
            <v>IBEWOUT</v>
          </cell>
          <cell r="F1448" t="str">
            <v>47</v>
          </cell>
          <cell r="G1448" t="str">
            <v>8</v>
          </cell>
          <cell r="H1448">
            <v>0</v>
          </cell>
        </row>
        <row r="1449">
          <cell r="B1449">
            <v>10060</v>
          </cell>
          <cell r="C1449" t="str">
            <v>Tweed; Herbert Coke</v>
          </cell>
          <cell r="D1449" t="str">
            <v>1</v>
          </cell>
          <cell r="E1449" t="str">
            <v>IBEWOUT</v>
          </cell>
          <cell r="F1449" t="str">
            <v>47</v>
          </cell>
          <cell r="G1449" t="str">
            <v>7</v>
          </cell>
          <cell r="H1449">
            <v>1</v>
          </cell>
        </row>
        <row r="1450">
          <cell r="B1450">
            <v>10067</v>
          </cell>
          <cell r="C1450" t="str">
            <v>Tune; Christopher D</v>
          </cell>
          <cell r="D1450" t="str">
            <v>1C</v>
          </cell>
          <cell r="E1450" t="str">
            <v>IBEWOUT</v>
          </cell>
          <cell r="F1450" t="str">
            <v>77</v>
          </cell>
          <cell r="G1450" t="str">
            <v>8</v>
          </cell>
          <cell r="H1450">
            <v>0</v>
          </cell>
        </row>
        <row r="1451">
          <cell r="B1451">
            <v>10069</v>
          </cell>
          <cell r="C1451" t="str">
            <v>Turner; Bradley S.</v>
          </cell>
          <cell r="D1451" t="str">
            <v>1C</v>
          </cell>
          <cell r="E1451" t="str">
            <v>IBEWOUT</v>
          </cell>
          <cell r="F1451" t="str">
            <v>47</v>
          </cell>
          <cell r="G1451" t="str">
            <v>60</v>
          </cell>
          <cell r="H1451">
            <v>0</v>
          </cell>
        </row>
        <row r="1452">
          <cell r="B1452">
            <v>10071</v>
          </cell>
          <cell r="C1452" t="str">
            <v>Turpin; Kyle R</v>
          </cell>
          <cell r="D1452" t="str">
            <v>1C</v>
          </cell>
          <cell r="E1452" t="str">
            <v>IBEWOUT</v>
          </cell>
          <cell r="F1452" t="str">
            <v>1245</v>
          </cell>
          <cell r="G1452" t="str">
            <v>17</v>
          </cell>
          <cell r="H1452">
            <v>0</v>
          </cell>
        </row>
        <row r="1453">
          <cell r="B1453">
            <v>10076</v>
          </cell>
          <cell r="C1453" t="str">
            <v>Uitto; Jacob P</v>
          </cell>
          <cell r="D1453" t="str">
            <v>1C</v>
          </cell>
          <cell r="E1453" t="str">
            <v>IBEWOUT</v>
          </cell>
          <cell r="F1453" t="str">
            <v>77</v>
          </cell>
          <cell r="G1453" t="str">
            <v>13</v>
          </cell>
          <cell r="H1453">
            <v>0</v>
          </cell>
        </row>
        <row r="1454">
          <cell r="B1454">
            <v>10078</v>
          </cell>
          <cell r="C1454" t="str">
            <v>Uhlenkott; Nicholas P</v>
          </cell>
          <cell r="D1454" t="str">
            <v>1C</v>
          </cell>
          <cell r="E1454" t="str">
            <v>IBEWOUT</v>
          </cell>
          <cell r="F1454" t="str">
            <v>77</v>
          </cell>
          <cell r="G1454" t="str">
            <v>8</v>
          </cell>
          <cell r="H1454">
            <v>0</v>
          </cell>
        </row>
        <row r="1455">
          <cell r="B1455">
            <v>10085</v>
          </cell>
          <cell r="C1455" t="str">
            <v>Unsworth; Isaac W</v>
          </cell>
          <cell r="D1455" t="str">
            <v>1C</v>
          </cell>
          <cell r="E1455" t="str">
            <v>IBEWOUT</v>
          </cell>
          <cell r="F1455" t="str">
            <v>47</v>
          </cell>
          <cell r="G1455" t="str">
            <v>7</v>
          </cell>
          <cell r="H1455">
            <v>0</v>
          </cell>
        </row>
        <row r="1456">
          <cell r="B1456">
            <v>10086</v>
          </cell>
          <cell r="C1456" t="str">
            <v>Unruh; Spencer J</v>
          </cell>
          <cell r="D1456" t="str">
            <v>1C</v>
          </cell>
          <cell r="E1456" t="str">
            <v>IBEWOUT</v>
          </cell>
          <cell r="F1456" t="str">
            <v>1245</v>
          </cell>
          <cell r="G1456" t="str">
            <v>8</v>
          </cell>
          <cell r="H1456">
            <v>0</v>
          </cell>
        </row>
        <row r="1457">
          <cell r="B1457">
            <v>10090</v>
          </cell>
          <cell r="C1457" t="str">
            <v>Uribe; Jorge</v>
          </cell>
          <cell r="D1457" t="str">
            <v>1C</v>
          </cell>
          <cell r="E1457" t="str">
            <v>IBEWOUT</v>
          </cell>
          <cell r="F1457" t="str">
            <v>1245</v>
          </cell>
          <cell r="G1457" t="str">
            <v>16</v>
          </cell>
          <cell r="H1457">
            <v>0</v>
          </cell>
        </row>
        <row r="1458">
          <cell r="B1458">
            <v>10105</v>
          </cell>
          <cell r="C1458" t="str">
            <v>Urquijo; Bernardo</v>
          </cell>
          <cell r="D1458" t="str">
            <v>1C</v>
          </cell>
          <cell r="E1458" t="str">
            <v>IBEWOUT</v>
          </cell>
          <cell r="F1458" t="str">
            <v>1245</v>
          </cell>
          <cell r="G1458" t="str">
            <v>8</v>
          </cell>
          <cell r="H1458">
            <v>0</v>
          </cell>
        </row>
        <row r="1459">
          <cell r="B1459">
            <v>10112</v>
          </cell>
          <cell r="C1459" t="str">
            <v>Valenzuela; Mark</v>
          </cell>
          <cell r="D1459" t="str">
            <v>1C</v>
          </cell>
          <cell r="E1459" t="str">
            <v>IBEWOUT</v>
          </cell>
          <cell r="F1459" t="str">
            <v>47</v>
          </cell>
          <cell r="G1459" t="str">
            <v>17</v>
          </cell>
          <cell r="H1459">
            <v>0</v>
          </cell>
        </row>
        <row r="1460">
          <cell r="B1460">
            <v>10123</v>
          </cell>
          <cell r="C1460" t="str">
            <v>Valenzuela; Ariel A</v>
          </cell>
          <cell r="D1460" t="str">
            <v>1C</v>
          </cell>
          <cell r="E1460" t="str">
            <v>IBEWOUT</v>
          </cell>
          <cell r="F1460" t="str">
            <v>1245</v>
          </cell>
          <cell r="G1460" t="str">
            <v>12</v>
          </cell>
          <cell r="H1460">
            <v>0</v>
          </cell>
        </row>
        <row r="1461">
          <cell r="B1461">
            <v>10139</v>
          </cell>
          <cell r="C1461" t="str">
            <v>Vanwert Jr.; Richard A</v>
          </cell>
          <cell r="D1461" t="str">
            <v>1C</v>
          </cell>
          <cell r="E1461" t="str">
            <v>IBEWOUT</v>
          </cell>
          <cell r="F1461" t="str">
            <v>1319</v>
          </cell>
          <cell r="G1461" t="str">
            <v>8</v>
          </cell>
          <cell r="H1461">
            <v>0</v>
          </cell>
        </row>
        <row r="1462">
          <cell r="B1462">
            <v>10140</v>
          </cell>
          <cell r="C1462" t="str">
            <v>Vann; Tyhein E</v>
          </cell>
          <cell r="D1462" t="str">
            <v>1C</v>
          </cell>
          <cell r="E1462" t="str">
            <v>IBEWOUT</v>
          </cell>
          <cell r="F1462" t="str">
            <v>126</v>
          </cell>
          <cell r="G1462" t="str">
            <v>8</v>
          </cell>
          <cell r="H1462">
            <v>0</v>
          </cell>
        </row>
        <row r="1463">
          <cell r="B1463">
            <v>10146</v>
          </cell>
          <cell r="C1463" t="str">
            <v>Valencia; Gary S</v>
          </cell>
          <cell r="D1463" t="str">
            <v>1C</v>
          </cell>
          <cell r="E1463" t="str">
            <v>IBEWOUT</v>
          </cell>
          <cell r="F1463" t="str">
            <v>1245</v>
          </cell>
          <cell r="G1463" t="str">
            <v>13</v>
          </cell>
          <cell r="H1463">
            <v>0</v>
          </cell>
        </row>
        <row r="1464">
          <cell r="B1464">
            <v>10148</v>
          </cell>
          <cell r="C1464" t="str">
            <v>Vanderheiden; Ricky J.</v>
          </cell>
          <cell r="D1464" t="str">
            <v>1C</v>
          </cell>
          <cell r="E1464" t="str">
            <v>IBEWOUT</v>
          </cell>
          <cell r="F1464" t="str">
            <v>47</v>
          </cell>
          <cell r="G1464" t="str">
            <v>8</v>
          </cell>
          <cell r="H1464">
            <v>0</v>
          </cell>
        </row>
        <row r="1465">
          <cell r="B1465">
            <v>10149</v>
          </cell>
          <cell r="C1465" t="str">
            <v>Vargas; Joe F</v>
          </cell>
          <cell r="D1465" t="str">
            <v>1C</v>
          </cell>
          <cell r="E1465" t="str">
            <v>IBEWOUT</v>
          </cell>
          <cell r="F1465" t="str">
            <v>1245</v>
          </cell>
          <cell r="G1465" t="str">
            <v>12</v>
          </cell>
          <cell r="H1465">
            <v>0</v>
          </cell>
        </row>
        <row r="1466">
          <cell r="B1466">
            <v>10154</v>
          </cell>
          <cell r="C1466" t="str">
            <v>Vanderwood; Eric L</v>
          </cell>
          <cell r="D1466" t="str">
            <v>1C</v>
          </cell>
          <cell r="E1466" t="str">
            <v/>
          </cell>
          <cell r="F1466" t="str">
            <v/>
          </cell>
          <cell r="G1466" t="str">
            <v/>
          </cell>
          <cell r="H1466">
            <v>0</v>
          </cell>
        </row>
        <row r="1467">
          <cell r="B1467">
            <v>10155</v>
          </cell>
          <cell r="C1467" t="str">
            <v>Vandyke; Jess D</v>
          </cell>
          <cell r="D1467" t="str">
            <v>1C</v>
          </cell>
          <cell r="E1467" t="str">
            <v>IBEWOUT</v>
          </cell>
          <cell r="F1467" t="str">
            <v>1245</v>
          </cell>
          <cell r="G1467" t="str">
            <v>8</v>
          </cell>
          <cell r="H1467">
            <v>0</v>
          </cell>
        </row>
        <row r="1468">
          <cell r="B1468">
            <v>10157</v>
          </cell>
          <cell r="C1468" t="str">
            <v>Vaughters; Brett Randall</v>
          </cell>
          <cell r="D1468" t="str">
            <v>1</v>
          </cell>
          <cell r="E1468" t="str">
            <v/>
          </cell>
          <cell r="F1468" t="str">
            <v/>
          </cell>
          <cell r="G1468" t="str">
            <v/>
          </cell>
          <cell r="H1468">
            <v>1</v>
          </cell>
        </row>
        <row r="1469">
          <cell r="B1469">
            <v>10158</v>
          </cell>
          <cell r="C1469" t="str">
            <v>Valis; Theodore G.</v>
          </cell>
          <cell r="D1469" t="str">
            <v>1C</v>
          </cell>
          <cell r="E1469" t="str">
            <v>IBEWOUT</v>
          </cell>
          <cell r="F1469" t="str">
            <v>769</v>
          </cell>
          <cell r="G1469" t="str">
            <v>8</v>
          </cell>
          <cell r="H1469">
            <v>0</v>
          </cell>
        </row>
        <row r="1470">
          <cell r="B1470">
            <v>10160</v>
          </cell>
          <cell r="C1470" t="str">
            <v>Varnell; Derek B</v>
          </cell>
          <cell r="D1470" t="str">
            <v>1C</v>
          </cell>
          <cell r="E1470" t="str">
            <v>IBEWOUT</v>
          </cell>
          <cell r="F1470" t="str">
            <v>602R</v>
          </cell>
          <cell r="G1470" t="str">
            <v>11T</v>
          </cell>
          <cell r="H1470">
            <v>0</v>
          </cell>
        </row>
        <row r="1471">
          <cell r="B1471">
            <v>10161</v>
          </cell>
          <cell r="C1471" t="str">
            <v>Vargas; Andre A</v>
          </cell>
          <cell r="D1471" t="str">
            <v>1</v>
          </cell>
          <cell r="E1471" t="str">
            <v/>
          </cell>
          <cell r="F1471" t="str">
            <v/>
          </cell>
          <cell r="G1471" t="str">
            <v/>
          </cell>
          <cell r="H1471">
            <v>1</v>
          </cell>
        </row>
        <row r="1472">
          <cell r="B1472">
            <v>10170</v>
          </cell>
          <cell r="C1472" t="str">
            <v>Vega-Brown; Elias</v>
          </cell>
          <cell r="D1472" t="str">
            <v>1C</v>
          </cell>
          <cell r="E1472" t="str">
            <v>IBEWOUT</v>
          </cell>
          <cell r="F1472" t="str">
            <v>1245</v>
          </cell>
          <cell r="G1472" t="str">
            <v>8</v>
          </cell>
          <cell r="H1472">
            <v>0</v>
          </cell>
        </row>
        <row r="1473">
          <cell r="B1473">
            <v>10171</v>
          </cell>
          <cell r="C1473" t="str">
            <v>VanAntwerp; Derek R.</v>
          </cell>
          <cell r="D1473" t="str">
            <v>1C</v>
          </cell>
          <cell r="E1473" t="str">
            <v>IBEWOUT</v>
          </cell>
          <cell r="F1473" t="str">
            <v>1245</v>
          </cell>
          <cell r="G1473" t="str">
            <v>7</v>
          </cell>
          <cell r="H1473">
            <v>0</v>
          </cell>
        </row>
        <row r="1474">
          <cell r="B1474">
            <v>10173</v>
          </cell>
          <cell r="C1474" t="str">
            <v>Vessel; Derick L</v>
          </cell>
          <cell r="D1474" t="str">
            <v>1C</v>
          </cell>
          <cell r="E1474" t="str">
            <v>IBEWOUT</v>
          </cell>
          <cell r="F1474" t="str">
            <v>769</v>
          </cell>
          <cell r="G1474" t="str">
            <v>12</v>
          </cell>
          <cell r="H1474">
            <v>0</v>
          </cell>
        </row>
        <row r="1475">
          <cell r="B1475">
            <v>10177</v>
          </cell>
          <cell r="C1475" t="str">
            <v>Verkler; Jacob M</v>
          </cell>
          <cell r="D1475" t="str">
            <v>1C</v>
          </cell>
          <cell r="E1475" t="str">
            <v>IBEWOUT</v>
          </cell>
          <cell r="F1475" t="str">
            <v>1245</v>
          </cell>
          <cell r="G1475" t="str">
            <v>15</v>
          </cell>
          <cell r="H1475">
            <v>0</v>
          </cell>
        </row>
        <row r="1476">
          <cell r="B1476">
            <v>10180</v>
          </cell>
          <cell r="C1476" t="str">
            <v>Vermeire; Damon L</v>
          </cell>
          <cell r="D1476" t="str">
            <v>1</v>
          </cell>
          <cell r="E1476" t="str">
            <v>IBEWOUT</v>
          </cell>
          <cell r="F1476" t="str">
            <v>77</v>
          </cell>
          <cell r="G1476" t="str">
            <v>7</v>
          </cell>
          <cell r="H1476">
            <v>0</v>
          </cell>
        </row>
        <row r="1477">
          <cell r="B1477">
            <v>10181</v>
          </cell>
          <cell r="C1477" t="str">
            <v>Vick; Clinton W</v>
          </cell>
          <cell r="D1477" t="str">
            <v>1C</v>
          </cell>
          <cell r="E1477" t="str">
            <v>IBEWOUT</v>
          </cell>
          <cell r="F1477" t="str">
            <v>160</v>
          </cell>
          <cell r="G1477" t="str">
            <v>7</v>
          </cell>
          <cell r="H1477">
            <v>0</v>
          </cell>
        </row>
        <row r="1478">
          <cell r="B1478">
            <v>10183</v>
          </cell>
          <cell r="C1478" t="str">
            <v>Vickers; Tom E</v>
          </cell>
          <cell r="D1478" t="str">
            <v>1C</v>
          </cell>
          <cell r="E1478" t="str">
            <v>IBEWOUT</v>
          </cell>
          <cell r="F1478" t="str">
            <v>1245</v>
          </cell>
          <cell r="G1478" t="str">
            <v>17</v>
          </cell>
          <cell r="H1478">
            <v>0</v>
          </cell>
        </row>
        <row r="1479">
          <cell r="B1479">
            <v>10184</v>
          </cell>
          <cell r="C1479" t="str">
            <v>Vickhammer; Bryan S</v>
          </cell>
          <cell r="D1479" t="str">
            <v>1C</v>
          </cell>
          <cell r="E1479" t="str">
            <v>IBEWOUT</v>
          </cell>
          <cell r="F1479" t="str">
            <v>1245</v>
          </cell>
          <cell r="G1479" t="str">
            <v>12</v>
          </cell>
          <cell r="H1479">
            <v>0</v>
          </cell>
        </row>
        <row r="1480">
          <cell r="B1480">
            <v>10187</v>
          </cell>
          <cell r="C1480" t="str">
            <v>Vega; Eduardo</v>
          </cell>
          <cell r="D1480" t="str">
            <v>1</v>
          </cell>
          <cell r="E1480" t="str">
            <v>IBEWOUT</v>
          </cell>
          <cell r="F1480" t="str">
            <v>47</v>
          </cell>
          <cell r="G1480" t="str">
            <v>12</v>
          </cell>
          <cell r="H1480">
            <v>0</v>
          </cell>
        </row>
        <row r="1481">
          <cell r="B1481">
            <v>10190</v>
          </cell>
          <cell r="C1481" t="str">
            <v>Ventura; Francisco A</v>
          </cell>
          <cell r="D1481" t="str">
            <v>1C</v>
          </cell>
          <cell r="E1481" t="str">
            <v>IBEWOUT</v>
          </cell>
          <cell r="F1481" t="str">
            <v>47</v>
          </cell>
          <cell r="G1481" t="str">
            <v>14</v>
          </cell>
          <cell r="H1481">
            <v>0</v>
          </cell>
        </row>
        <row r="1482">
          <cell r="B1482">
            <v>10191</v>
          </cell>
          <cell r="C1482" t="str">
            <v>Verduzco Jr; Ricardo</v>
          </cell>
          <cell r="D1482" t="str">
            <v>1</v>
          </cell>
          <cell r="E1482" t="str">
            <v>IBEWOUT</v>
          </cell>
          <cell r="F1482" t="str">
            <v>769</v>
          </cell>
          <cell r="G1482" t="str">
            <v>8</v>
          </cell>
          <cell r="H1482">
            <v>0</v>
          </cell>
        </row>
        <row r="1483">
          <cell r="B1483">
            <v>10195</v>
          </cell>
          <cell r="C1483" t="str">
            <v>Vogt; Jay A.</v>
          </cell>
          <cell r="D1483" t="str">
            <v>1C</v>
          </cell>
          <cell r="E1483" t="str">
            <v>IBEWOUT</v>
          </cell>
          <cell r="F1483" t="str">
            <v>47</v>
          </cell>
          <cell r="G1483" t="str">
            <v>8</v>
          </cell>
          <cell r="H1483">
            <v>0</v>
          </cell>
        </row>
        <row r="1484">
          <cell r="B1484">
            <v>10203</v>
          </cell>
          <cell r="C1484" t="str">
            <v>Vigil; Darian Marie</v>
          </cell>
          <cell r="D1484" t="str">
            <v>1</v>
          </cell>
          <cell r="E1484" t="str">
            <v/>
          </cell>
          <cell r="F1484" t="str">
            <v/>
          </cell>
          <cell r="G1484" t="str">
            <v/>
          </cell>
          <cell r="H1484">
            <v>0</v>
          </cell>
        </row>
        <row r="1485">
          <cell r="B1485">
            <v>10205</v>
          </cell>
          <cell r="C1485" t="str">
            <v>Vorce; Brian M</v>
          </cell>
          <cell r="D1485" t="str">
            <v>1C</v>
          </cell>
          <cell r="E1485" t="str">
            <v>IBEWOUT</v>
          </cell>
          <cell r="F1485" t="str">
            <v>1245</v>
          </cell>
          <cell r="G1485" t="str">
            <v>8</v>
          </cell>
          <cell r="H1485">
            <v>0</v>
          </cell>
        </row>
        <row r="1486">
          <cell r="B1486">
            <v>10209</v>
          </cell>
          <cell r="C1486" t="str">
            <v>Voshall; Jared C</v>
          </cell>
          <cell r="D1486" t="str">
            <v>1C</v>
          </cell>
          <cell r="E1486" t="str">
            <v>IBEWOUT</v>
          </cell>
          <cell r="F1486" t="str">
            <v>1245</v>
          </cell>
          <cell r="G1486" t="str">
            <v>7</v>
          </cell>
          <cell r="H1486">
            <v>0</v>
          </cell>
        </row>
        <row r="1487">
          <cell r="B1487">
            <v>10210</v>
          </cell>
          <cell r="C1487" t="str">
            <v>Villarreal; Gil</v>
          </cell>
          <cell r="D1487" t="str">
            <v>1</v>
          </cell>
          <cell r="E1487" t="str">
            <v>IBEWOUT</v>
          </cell>
          <cell r="F1487" t="str">
            <v>1245</v>
          </cell>
          <cell r="G1487" t="str">
            <v>17</v>
          </cell>
          <cell r="H1487">
            <v>0</v>
          </cell>
        </row>
        <row r="1488">
          <cell r="B1488">
            <v>10212</v>
          </cell>
          <cell r="C1488" t="str">
            <v>Villa Jr.; Arturo</v>
          </cell>
          <cell r="D1488" t="str">
            <v>1C</v>
          </cell>
          <cell r="E1488" t="str">
            <v>IBEWOUT</v>
          </cell>
          <cell r="F1488" t="str">
            <v>1245</v>
          </cell>
          <cell r="G1488" t="str">
            <v>15</v>
          </cell>
          <cell r="H1488">
            <v>0</v>
          </cell>
        </row>
        <row r="1489">
          <cell r="B1489">
            <v>10216</v>
          </cell>
          <cell r="C1489" t="str">
            <v>Volesky; Dakota R</v>
          </cell>
          <cell r="D1489" t="str">
            <v>1</v>
          </cell>
          <cell r="E1489" t="str">
            <v/>
          </cell>
          <cell r="F1489" t="str">
            <v/>
          </cell>
          <cell r="G1489" t="str">
            <v/>
          </cell>
          <cell r="H1489">
            <v>0</v>
          </cell>
        </row>
        <row r="1490">
          <cell r="B1490">
            <v>10231</v>
          </cell>
          <cell r="C1490" t="str">
            <v>Wager; Brett L.</v>
          </cell>
          <cell r="D1490" t="str">
            <v>1C</v>
          </cell>
          <cell r="E1490" t="str">
            <v>IBEWOUT</v>
          </cell>
          <cell r="F1490" t="str">
            <v>611</v>
          </cell>
          <cell r="G1490" t="str">
            <v>9</v>
          </cell>
          <cell r="H1490">
            <v>0</v>
          </cell>
        </row>
        <row r="1491">
          <cell r="B1491">
            <v>10235</v>
          </cell>
          <cell r="C1491" t="str">
            <v>Waddell; Robert C</v>
          </cell>
          <cell r="D1491" t="str">
            <v>1</v>
          </cell>
          <cell r="E1491" t="str">
            <v>IBEWOUT</v>
          </cell>
          <cell r="F1491" t="str">
            <v>769</v>
          </cell>
          <cell r="G1491" t="str">
            <v>8</v>
          </cell>
          <cell r="H1491">
            <v>0</v>
          </cell>
        </row>
        <row r="1492">
          <cell r="B1492">
            <v>10252</v>
          </cell>
          <cell r="C1492" t="str">
            <v>Waite; Ronald Eric</v>
          </cell>
          <cell r="D1492" t="str">
            <v>1C</v>
          </cell>
          <cell r="E1492" t="str">
            <v/>
          </cell>
          <cell r="F1492" t="str">
            <v/>
          </cell>
          <cell r="G1492" t="str">
            <v/>
          </cell>
          <cell r="H1492">
            <v>1</v>
          </cell>
        </row>
        <row r="1493">
          <cell r="B1493">
            <v>10253</v>
          </cell>
          <cell r="C1493" t="str">
            <v>Wakefield; Josiah T</v>
          </cell>
          <cell r="D1493" t="str">
            <v>1C</v>
          </cell>
          <cell r="E1493" t="str">
            <v/>
          </cell>
          <cell r="F1493" t="str">
            <v/>
          </cell>
          <cell r="G1493" t="str">
            <v/>
          </cell>
          <cell r="H1493">
            <v>1</v>
          </cell>
        </row>
        <row r="1494">
          <cell r="B1494">
            <v>10257</v>
          </cell>
          <cell r="C1494" t="str">
            <v>Wakeland; Alex R</v>
          </cell>
          <cell r="D1494" t="str">
            <v>1C</v>
          </cell>
          <cell r="E1494" t="str">
            <v>IBEWOUT</v>
          </cell>
          <cell r="F1494" t="str">
            <v>602R</v>
          </cell>
          <cell r="G1494" t="str">
            <v>8</v>
          </cell>
          <cell r="H1494">
            <v>0</v>
          </cell>
        </row>
        <row r="1495">
          <cell r="B1495">
            <v>10273</v>
          </cell>
          <cell r="C1495" t="str">
            <v>Walker; Matthew R.</v>
          </cell>
          <cell r="D1495" t="str">
            <v>1C</v>
          </cell>
          <cell r="E1495" t="str">
            <v>IBEWOUT</v>
          </cell>
          <cell r="F1495" t="str">
            <v>1245</v>
          </cell>
          <cell r="G1495" t="str">
            <v>8</v>
          </cell>
          <cell r="H1495">
            <v>0</v>
          </cell>
        </row>
        <row r="1496">
          <cell r="B1496">
            <v>10275</v>
          </cell>
          <cell r="C1496" t="str">
            <v>Walker; Danny L</v>
          </cell>
          <cell r="D1496" t="str">
            <v>1C</v>
          </cell>
          <cell r="E1496" t="str">
            <v>IBEWOUT</v>
          </cell>
          <cell r="F1496" t="str">
            <v>47</v>
          </cell>
          <cell r="G1496" t="str">
            <v>17</v>
          </cell>
          <cell r="H1496">
            <v>0</v>
          </cell>
        </row>
        <row r="1497">
          <cell r="B1497">
            <v>10276</v>
          </cell>
          <cell r="C1497" t="str">
            <v>Walker; Damon V</v>
          </cell>
          <cell r="D1497" t="str">
            <v>1C</v>
          </cell>
          <cell r="E1497" t="str">
            <v>IBEWOUT</v>
          </cell>
          <cell r="F1497" t="str">
            <v>1245</v>
          </cell>
          <cell r="G1497" t="str">
            <v>8</v>
          </cell>
          <cell r="H1497">
            <v>0</v>
          </cell>
        </row>
        <row r="1498">
          <cell r="B1498">
            <v>10279</v>
          </cell>
          <cell r="C1498" t="str">
            <v>Walker; Stephanie G.</v>
          </cell>
          <cell r="D1498" t="str">
            <v>1</v>
          </cell>
          <cell r="E1498" t="str">
            <v/>
          </cell>
          <cell r="F1498" t="str">
            <v/>
          </cell>
          <cell r="G1498" t="str">
            <v/>
          </cell>
          <cell r="H1498">
            <v>1</v>
          </cell>
        </row>
        <row r="1499">
          <cell r="B1499">
            <v>10289</v>
          </cell>
          <cell r="C1499" t="str">
            <v>Wallace; Benjamin D.</v>
          </cell>
          <cell r="D1499" t="str">
            <v>1C</v>
          </cell>
          <cell r="E1499" t="str">
            <v>IBEWOUT</v>
          </cell>
          <cell r="F1499" t="str">
            <v>47</v>
          </cell>
          <cell r="G1499" t="str">
            <v>8</v>
          </cell>
          <cell r="H1499">
            <v>0</v>
          </cell>
        </row>
        <row r="1500">
          <cell r="B1500">
            <v>10291</v>
          </cell>
          <cell r="C1500" t="str">
            <v>Walter; Ryan A.</v>
          </cell>
          <cell r="D1500" t="str">
            <v>1C</v>
          </cell>
          <cell r="E1500" t="str">
            <v>IBEWOUT</v>
          </cell>
          <cell r="F1500" t="str">
            <v>1245</v>
          </cell>
          <cell r="G1500" t="str">
            <v>8</v>
          </cell>
          <cell r="H1500">
            <v>0</v>
          </cell>
        </row>
        <row r="1501">
          <cell r="B1501">
            <v>10305</v>
          </cell>
          <cell r="C1501" t="str">
            <v>Wallace; Scott A.</v>
          </cell>
          <cell r="D1501" t="str">
            <v>1C</v>
          </cell>
          <cell r="E1501" t="str">
            <v>IBEWOUT</v>
          </cell>
          <cell r="F1501" t="str">
            <v>769</v>
          </cell>
          <cell r="G1501" t="str">
            <v>11</v>
          </cell>
          <cell r="H1501">
            <v>0</v>
          </cell>
        </row>
        <row r="1502">
          <cell r="B1502">
            <v>10432</v>
          </cell>
          <cell r="C1502" t="str">
            <v>Ward; Barry E</v>
          </cell>
          <cell r="D1502" t="str">
            <v>1C</v>
          </cell>
          <cell r="E1502" t="str">
            <v>IBEWOUT</v>
          </cell>
          <cell r="F1502" t="str">
            <v>1245</v>
          </cell>
          <cell r="G1502" t="str">
            <v>8</v>
          </cell>
          <cell r="H1502">
            <v>0</v>
          </cell>
        </row>
        <row r="1503">
          <cell r="B1503">
            <v>10435</v>
          </cell>
          <cell r="C1503" t="str">
            <v>Ward; Colton T</v>
          </cell>
          <cell r="D1503" t="str">
            <v>1</v>
          </cell>
          <cell r="E1503" t="str">
            <v>IBEWOUT</v>
          </cell>
          <cell r="F1503" t="str">
            <v>77</v>
          </cell>
          <cell r="G1503" t="str">
            <v>8</v>
          </cell>
          <cell r="H1503">
            <v>0</v>
          </cell>
        </row>
        <row r="1504">
          <cell r="B1504">
            <v>10437</v>
          </cell>
          <cell r="C1504" t="str">
            <v>Warner; Dusty D</v>
          </cell>
          <cell r="D1504" t="str">
            <v>1</v>
          </cell>
          <cell r="E1504" t="str">
            <v>IBEWOUT</v>
          </cell>
          <cell r="F1504" t="str">
            <v>1245</v>
          </cell>
          <cell r="G1504" t="str">
            <v>16</v>
          </cell>
          <cell r="H1504">
            <v>0</v>
          </cell>
        </row>
        <row r="1505">
          <cell r="B1505">
            <v>10439</v>
          </cell>
          <cell r="C1505" t="str">
            <v>Washington; Donell</v>
          </cell>
          <cell r="D1505" t="str">
            <v>1C</v>
          </cell>
          <cell r="E1505" t="str">
            <v>IBEWOUT</v>
          </cell>
          <cell r="F1505" t="str">
            <v>396</v>
          </cell>
          <cell r="G1505" t="str">
            <v>33</v>
          </cell>
          <cell r="H1505">
            <v>0</v>
          </cell>
        </row>
        <row r="1506">
          <cell r="B1506">
            <v>10440</v>
          </cell>
          <cell r="C1506" t="str">
            <v>Wasdin; Jimmy L</v>
          </cell>
          <cell r="D1506" t="str">
            <v>1C</v>
          </cell>
          <cell r="E1506" t="str">
            <v>IBEWOUT</v>
          </cell>
          <cell r="F1506" t="str">
            <v>1245</v>
          </cell>
          <cell r="G1506" t="str">
            <v>8</v>
          </cell>
          <cell r="H1506">
            <v>0</v>
          </cell>
        </row>
        <row r="1507">
          <cell r="B1507">
            <v>10442</v>
          </cell>
          <cell r="C1507" t="str">
            <v>Ward; Edward A</v>
          </cell>
          <cell r="D1507" t="str">
            <v>1</v>
          </cell>
          <cell r="E1507" t="str">
            <v>IBEWOUT</v>
          </cell>
          <cell r="F1507" t="str">
            <v>1245</v>
          </cell>
          <cell r="G1507" t="str">
            <v>8</v>
          </cell>
          <cell r="H1507">
            <v>0</v>
          </cell>
        </row>
        <row r="1508">
          <cell r="B1508">
            <v>10445</v>
          </cell>
          <cell r="C1508" t="str">
            <v>Watkins; Garrett L</v>
          </cell>
          <cell r="D1508" t="str">
            <v>1C</v>
          </cell>
          <cell r="E1508" t="str">
            <v>IBEWOUT</v>
          </cell>
          <cell r="F1508" t="str">
            <v>126</v>
          </cell>
          <cell r="G1508" t="str">
            <v>16</v>
          </cell>
          <cell r="H1508">
            <v>0</v>
          </cell>
        </row>
        <row r="1509">
          <cell r="B1509">
            <v>10449</v>
          </cell>
          <cell r="C1509" t="str">
            <v>Watkins; Gary L</v>
          </cell>
          <cell r="D1509" t="str">
            <v>1C</v>
          </cell>
          <cell r="E1509" t="str">
            <v>IBEWOUT</v>
          </cell>
          <cell r="F1509" t="str">
            <v>126</v>
          </cell>
          <cell r="G1509" t="str">
            <v>8</v>
          </cell>
          <cell r="H1509">
            <v>0</v>
          </cell>
        </row>
        <row r="1510">
          <cell r="B1510">
            <v>10453</v>
          </cell>
          <cell r="C1510" t="str">
            <v>Watson; Frederic M.</v>
          </cell>
          <cell r="D1510" t="str">
            <v>1C</v>
          </cell>
          <cell r="E1510" t="str">
            <v>IBEWIN</v>
          </cell>
          <cell r="F1510" t="str">
            <v>714</v>
          </cell>
          <cell r="G1510" t="str">
            <v>8I</v>
          </cell>
          <cell r="H1510">
            <v>0</v>
          </cell>
        </row>
        <row r="1511">
          <cell r="B1511">
            <v>10546</v>
          </cell>
          <cell r="C1511" t="str">
            <v>Torres Cervantes; Federico</v>
          </cell>
          <cell r="D1511" t="str">
            <v>1</v>
          </cell>
          <cell r="E1511" t="str">
            <v/>
          </cell>
          <cell r="F1511" t="str">
            <v/>
          </cell>
          <cell r="G1511" t="str">
            <v/>
          </cell>
          <cell r="H1511">
            <v>0</v>
          </cell>
        </row>
        <row r="1512">
          <cell r="B1512">
            <v>10549</v>
          </cell>
          <cell r="C1512" t="str">
            <v>Werner; Allen</v>
          </cell>
          <cell r="D1512" t="str">
            <v>1C</v>
          </cell>
          <cell r="E1512" t="str">
            <v>IBEWOUT</v>
          </cell>
          <cell r="F1512" t="str">
            <v>1245</v>
          </cell>
          <cell r="G1512" t="str">
            <v>60</v>
          </cell>
          <cell r="H1512">
            <v>0</v>
          </cell>
        </row>
        <row r="1513">
          <cell r="B1513">
            <v>10550</v>
          </cell>
          <cell r="C1513" t="str">
            <v>Weathers; Kenneth Wilford</v>
          </cell>
          <cell r="D1513" t="str">
            <v>1</v>
          </cell>
          <cell r="E1513" t="str">
            <v/>
          </cell>
          <cell r="F1513" t="str">
            <v/>
          </cell>
          <cell r="G1513" t="str">
            <v/>
          </cell>
          <cell r="H1513">
            <v>1</v>
          </cell>
        </row>
        <row r="1514">
          <cell r="B1514">
            <v>10552</v>
          </cell>
          <cell r="C1514" t="str">
            <v>Weaver; Emmett Lynn</v>
          </cell>
          <cell r="D1514" t="str">
            <v>1</v>
          </cell>
          <cell r="E1514" t="str">
            <v>IBEWOUT</v>
          </cell>
          <cell r="F1514" t="str">
            <v>47</v>
          </cell>
          <cell r="G1514" t="str">
            <v>16</v>
          </cell>
          <cell r="H1514">
            <v>0</v>
          </cell>
        </row>
        <row r="1515">
          <cell r="B1515">
            <v>10556</v>
          </cell>
          <cell r="C1515" t="str">
            <v>Weaver; Benjamin P.</v>
          </cell>
          <cell r="D1515" t="str">
            <v>1C</v>
          </cell>
          <cell r="E1515" t="str">
            <v>IBEWOUT</v>
          </cell>
          <cell r="F1515" t="str">
            <v>1319</v>
          </cell>
          <cell r="G1515" t="str">
            <v>8</v>
          </cell>
          <cell r="H1515">
            <v>0</v>
          </cell>
        </row>
        <row r="1516">
          <cell r="B1516">
            <v>10557</v>
          </cell>
          <cell r="C1516" t="str">
            <v>Weber; Jeremy Louis</v>
          </cell>
          <cell r="D1516" t="str">
            <v>1C</v>
          </cell>
          <cell r="E1516" t="str">
            <v>IBEWOUT</v>
          </cell>
          <cell r="F1516" t="str">
            <v>77</v>
          </cell>
          <cell r="G1516" t="str">
            <v>7</v>
          </cell>
          <cell r="H1516">
            <v>0</v>
          </cell>
        </row>
        <row r="1517">
          <cell r="B1517">
            <v>10558</v>
          </cell>
          <cell r="C1517" t="str">
            <v>Webber; Cody C</v>
          </cell>
          <cell r="D1517" t="str">
            <v>1C</v>
          </cell>
          <cell r="E1517" t="str">
            <v>IBEWOUT</v>
          </cell>
          <cell r="F1517" t="str">
            <v>1245</v>
          </cell>
          <cell r="G1517" t="str">
            <v>8</v>
          </cell>
          <cell r="H1517">
            <v>0</v>
          </cell>
        </row>
        <row r="1518">
          <cell r="B1518">
            <v>10559</v>
          </cell>
          <cell r="C1518" t="str">
            <v>Weekes; Bruce S</v>
          </cell>
          <cell r="D1518" t="str">
            <v>1C</v>
          </cell>
          <cell r="E1518" t="str">
            <v>IBEWOUT</v>
          </cell>
          <cell r="F1518" t="str">
            <v>1245</v>
          </cell>
          <cell r="G1518" t="str">
            <v>8</v>
          </cell>
          <cell r="H1518">
            <v>0</v>
          </cell>
        </row>
        <row r="1519">
          <cell r="B1519">
            <v>10560</v>
          </cell>
          <cell r="C1519" t="str">
            <v>Weber; Austin J</v>
          </cell>
          <cell r="D1519" t="str">
            <v>1C</v>
          </cell>
          <cell r="E1519" t="str">
            <v>IBEWOUT</v>
          </cell>
          <cell r="F1519" t="str">
            <v>77</v>
          </cell>
          <cell r="G1519" t="str">
            <v>9</v>
          </cell>
          <cell r="H1519">
            <v>0</v>
          </cell>
        </row>
        <row r="1520">
          <cell r="B1520">
            <v>10563</v>
          </cell>
          <cell r="C1520" t="str">
            <v>Webb; Jeffrey A</v>
          </cell>
          <cell r="D1520" t="str">
            <v>1</v>
          </cell>
          <cell r="E1520" t="str">
            <v>IBEWOUT</v>
          </cell>
          <cell r="F1520" t="str">
            <v>1245</v>
          </cell>
          <cell r="G1520" t="str">
            <v>8</v>
          </cell>
          <cell r="H1520">
            <v>0</v>
          </cell>
        </row>
        <row r="1521">
          <cell r="B1521">
            <v>10564</v>
          </cell>
          <cell r="C1521" t="str">
            <v>Webb; Richard R.</v>
          </cell>
          <cell r="D1521" t="str">
            <v>1</v>
          </cell>
          <cell r="E1521" t="str">
            <v>IBEWOUT</v>
          </cell>
          <cell r="F1521" t="str">
            <v>1245</v>
          </cell>
          <cell r="G1521" t="str">
            <v>8</v>
          </cell>
          <cell r="H1521">
            <v>0</v>
          </cell>
        </row>
        <row r="1522">
          <cell r="B1522">
            <v>10580</v>
          </cell>
          <cell r="C1522" t="str">
            <v>Wells; Chris A.</v>
          </cell>
          <cell r="D1522" t="str">
            <v>1C</v>
          </cell>
          <cell r="E1522" t="str">
            <v>IBEWOUT</v>
          </cell>
          <cell r="F1522" t="str">
            <v>769</v>
          </cell>
          <cell r="G1522" t="str">
            <v>20</v>
          </cell>
          <cell r="H1522">
            <v>0</v>
          </cell>
        </row>
        <row r="1523">
          <cell r="B1523">
            <v>10581</v>
          </cell>
          <cell r="C1523" t="str">
            <v>Wells; Robert O</v>
          </cell>
          <cell r="D1523" t="str">
            <v>1C</v>
          </cell>
          <cell r="E1523" t="str">
            <v>IBEWOUT</v>
          </cell>
          <cell r="F1523" t="str">
            <v>602R</v>
          </cell>
          <cell r="G1523" t="str">
            <v>8</v>
          </cell>
          <cell r="H1523">
            <v>0</v>
          </cell>
        </row>
        <row r="1524">
          <cell r="B1524">
            <v>10582</v>
          </cell>
          <cell r="C1524" t="str">
            <v>West; Matthew R</v>
          </cell>
          <cell r="D1524" t="str">
            <v>1</v>
          </cell>
          <cell r="E1524" t="str">
            <v>IBEWOUT</v>
          </cell>
          <cell r="F1524" t="str">
            <v>77</v>
          </cell>
          <cell r="G1524" t="str">
            <v>15</v>
          </cell>
          <cell r="H1524">
            <v>0</v>
          </cell>
        </row>
        <row r="1525">
          <cell r="B1525">
            <v>10586</v>
          </cell>
          <cell r="C1525" t="str">
            <v>Welch; David A</v>
          </cell>
          <cell r="D1525" t="str">
            <v>1C</v>
          </cell>
          <cell r="E1525" t="str">
            <v>IBEWOUT</v>
          </cell>
          <cell r="F1525" t="str">
            <v>1245</v>
          </cell>
          <cell r="G1525" t="str">
            <v>15</v>
          </cell>
          <cell r="H1525">
            <v>0</v>
          </cell>
        </row>
        <row r="1526">
          <cell r="B1526">
            <v>10587</v>
          </cell>
          <cell r="C1526" t="str">
            <v>Wendt; Matthew S</v>
          </cell>
          <cell r="D1526" t="str">
            <v>1C</v>
          </cell>
          <cell r="E1526" t="str">
            <v>IBEWOUT</v>
          </cell>
          <cell r="F1526" t="str">
            <v>47</v>
          </cell>
          <cell r="G1526" t="str">
            <v>7</v>
          </cell>
          <cell r="H1526">
            <v>0</v>
          </cell>
        </row>
        <row r="1527">
          <cell r="B1527">
            <v>10595</v>
          </cell>
          <cell r="C1527" t="str">
            <v>Weideman; Michael R</v>
          </cell>
          <cell r="D1527" t="str">
            <v>1C</v>
          </cell>
          <cell r="E1527" t="str">
            <v>IBEWOUT</v>
          </cell>
          <cell r="F1527" t="str">
            <v>1245</v>
          </cell>
          <cell r="G1527" t="str">
            <v>8</v>
          </cell>
          <cell r="H1527">
            <v>0</v>
          </cell>
        </row>
        <row r="1528">
          <cell r="B1528">
            <v>10597</v>
          </cell>
          <cell r="C1528" t="str">
            <v>West; Rueben James</v>
          </cell>
          <cell r="D1528" t="str">
            <v>1</v>
          </cell>
          <cell r="E1528" t="str">
            <v>IBEWOUT</v>
          </cell>
          <cell r="F1528" t="str">
            <v>47</v>
          </cell>
          <cell r="G1528" t="str">
            <v>1</v>
          </cell>
          <cell r="H1528">
            <v>0</v>
          </cell>
        </row>
        <row r="1529">
          <cell r="B1529">
            <v>10599</v>
          </cell>
          <cell r="C1529" t="str">
            <v>Welcher; Scott A</v>
          </cell>
          <cell r="D1529" t="str">
            <v>1</v>
          </cell>
          <cell r="E1529" t="str">
            <v/>
          </cell>
          <cell r="F1529" t="str">
            <v/>
          </cell>
          <cell r="G1529" t="str">
            <v/>
          </cell>
          <cell r="H1529">
            <v>0</v>
          </cell>
        </row>
        <row r="1530">
          <cell r="B1530">
            <v>10602</v>
          </cell>
          <cell r="C1530" t="str">
            <v>Weyl; Christopher L</v>
          </cell>
          <cell r="D1530" t="str">
            <v>1</v>
          </cell>
          <cell r="E1530" t="str">
            <v>IBEWOUT</v>
          </cell>
          <cell r="F1530" t="str">
            <v>47</v>
          </cell>
          <cell r="G1530" t="str">
            <v>7</v>
          </cell>
          <cell r="H1530">
            <v>0</v>
          </cell>
        </row>
        <row r="1531">
          <cell r="B1531">
            <v>10630</v>
          </cell>
          <cell r="C1531" t="str">
            <v>White; Jamail</v>
          </cell>
          <cell r="D1531" t="str">
            <v>1C</v>
          </cell>
          <cell r="E1531" t="str">
            <v>IBEWOUT</v>
          </cell>
          <cell r="F1531" t="str">
            <v>47</v>
          </cell>
          <cell r="G1531" t="str">
            <v>8</v>
          </cell>
          <cell r="H1531">
            <v>0</v>
          </cell>
        </row>
        <row r="1532">
          <cell r="B1532">
            <v>10642</v>
          </cell>
          <cell r="C1532" t="str">
            <v>Wheeler; Shane M</v>
          </cell>
          <cell r="D1532" t="str">
            <v>1C</v>
          </cell>
          <cell r="E1532" t="str">
            <v>IBEWOUT</v>
          </cell>
          <cell r="F1532" t="str">
            <v>77</v>
          </cell>
          <cell r="G1532" t="str">
            <v>16</v>
          </cell>
          <cell r="H1532">
            <v>0</v>
          </cell>
        </row>
        <row r="1533">
          <cell r="B1533">
            <v>10647</v>
          </cell>
          <cell r="C1533" t="str">
            <v>Whitaker; Justin W</v>
          </cell>
          <cell r="D1533" t="str">
            <v>1C</v>
          </cell>
          <cell r="E1533" t="str">
            <v>IBEWOUT</v>
          </cell>
          <cell r="F1533" t="str">
            <v>47</v>
          </cell>
          <cell r="G1533" t="str">
            <v>8</v>
          </cell>
          <cell r="H1533">
            <v>0</v>
          </cell>
        </row>
        <row r="1534">
          <cell r="B1534">
            <v>10648</v>
          </cell>
          <cell r="C1534" t="str">
            <v>Whitcomb; Shawn M</v>
          </cell>
          <cell r="D1534" t="str">
            <v>1C</v>
          </cell>
          <cell r="E1534" t="str">
            <v>IBEWOUT</v>
          </cell>
          <cell r="F1534" t="str">
            <v>396</v>
          </cell>
          <cell r="G1534" t="str">
            <v>8</v>
          </cell>
          <cell r="H1534">
            <v>0</v>
          </cell>
        </row>
        <row r="1535">
          <cell r="B1535">
            <v>10652</v>
          </cell>
          <cell r="C1535" t="str">
            <v>Whitney; Jason K</v>
          </cell>
          <cell r="D1535" t="str">
            <v>1C</v>
          </cell>
          <cell r="E1535" t="str">
            <v>IBEWOUT</v>
          </cell>
          <cell r="F1535" t="str">
            <v>1245</v>
          </cell>
          <cell r="G1535" t="str">
            <v>7</v>
          </cell>
          <cell r="H1535">
            <v>0</v>
          </cell>
        </row>
        <row r="1536">
          <cell r="B1536">
            <v>10653</v>
          </cell>
          <cell r="C1536" t="str">
            <v>White; Anthony S</v>
          </cell>
          <cell r="D1536" t="str">
            <v>1C</v>
          </cell>
          <cell r="E1536" t="str">
            <v>IBEWOUT</v>
          </cell>
          <cell r="F1536" t="str">
            <v>47</v>
          </cell>
          <cell r="G1536" t="str">
            <v>8</v>
          </cell>
          <cell r="H1536">
            <v>0</v>
          </cell>
        </row>
        <row r="1537">
          <cell r="B1537">
            <v>10665</v>
          </cell>
          <cell r="C1537" t="str">
            <v>Whiting; Kenneth E.</v>
          </cell>
          <cell r="D1537" t="str">
            <v>1C</v>
          </cell>
          <cell r="E1537" t="str">
            <v>IBEWOUT</v>
          </cell>
          <cell r="F1537" t="str">
            <v>47</v>
          </cell>
          <cell r="G1537" t="str">
            <v>8</v>
          </cell>
          <cell r="H1537">
            <v>0</v>
          </cell>
        </row>
        <row r="1538">
          <cell r="B1538">
            <v>10672</v>
          </cell>
          <cell r="C1538" t="str">
            <v>Wickman; David S.</v>
          </cell>
          <cell r="D1538" t="str">
            <v>1C</v>
          </cell>
          <cell r="E1538" t="str">
            <v>IBEWOUT</v>
          </cell>
          <cell r="F1538" t="str">
            <v>125</v>
          </cell>
          <cell r="G1538" t="str">
            <v>14</v>
          </cell>
          <cell r="H1538">
            <v>0</v>
          </cell>
        </row>
        <row r="1539">
          <cell r="B1539">
            <v>10679</v>
          </cell>
          <cell r="C1539" t="str">
            <v>Wilburn; Sean D.</v>
          </cell>
          <cell r="D1539" t="str">
            <v>1C</v>
          </cell>
          <cell r="E1539" t="str">
            <v>IBEWOUT</v>
          </cell>
          <cell r="F1539" t="str">
            <v>1245</v>
          </cell>
          <cell r="G1539" t="str">
            <v>8</v>
          </cell>
          <cell r="H1539">
            <v>0</v>
          </cell>
        </row>
        <row r="1540">
          <cell r="B1540">
            <v>10687</v>
          </cell>
          <cell r="C1540" t="str">
            <v>Wilcox; Freddy H.</v>
          </cell>
          <cell r="D1540" t="str">
            <v>1C</v>
          </cell>
          <cell r="E1540" t="str">
            <v>IBEWOUT</v>
          </cell>
          <cell r="F1540" t="str">
            <v>125</v>
          </cell>
          <cell r="G1540" t="str">
            <v>15</v>
          </cell>
          <cell r="H1540">
            <v>0</v>
          </cell>
        </row>
        <row r="1541">
          <cell r="B1541">
            <v>10723</v>
          </cell>
          <cell r="C1541" t="str">
            <v>Wilkinson; Cody M</v>
          </cell>
          <cell r="D1541" t="str">
            <v>1C</v>
          </cell>
          <cell r="E1541" t="str">
            <v>IBEWOUT</v>
          </cell>
          <cell r="F1541" t="str">
            <v>1245</v>
          </cell>
          <cell r="G1541" t="str">
            <v>8</v>
          </cell>
          <cell r="H1541">
            <v>0</v>
          </cell>
        </row>
        <row r="1542">
          <cell r="B1542">
            <v>10730</v>
          </cell>
          <cell r="C1542" t="str">
            <v>Worlinsky; Benjamin C.</v>
          </cell>
          <cell r="D1542" t="str">
            <v>1C</v>
          </cell>
          <cell r="E1542" t="str">
            <v>IBEWOUT</v>
          </cell>
          <cell r="F1542" t="str">
            <v>1319</v>
          </cell>
          <cell r="G1542" t="str">
            <v>13</v>
          </cell>
          <cell r="H1542">
            <v>0</v>
          </cell>
        </row>
        <row r="1543">
          <cell r="B1543">
            <v>10747</v>
          </cell>
          <cell r="C1543" t="str">
            <v>Williams; Anthony J</v>
          </cell>
          <cell r="D1543" t="str">
            <v>1C</v>
          </cell>
          <cell r="E1543" t="str">
            <v>IBEWOUT</v>
          </cell>
          <cell r="F1543" t="str">
            <v>1245</v>
          </cell>
          <cell r="G1543" t="str">
            <v>8</v>
          </cell>
          <cell r="H1543">
            <v>0</v>
          </cell>
        </row>
        <row r="1544">
          <cell r="B1544">
            <v>10749</v>
          </cell>
          <cell r="C1544" t="str">
            <v>Williams II; Orville C.</v>
          </cell>
          <cell r="D1544" t="str">
            <v>1C</v>
          </cell>
          <cell r="E1544" t="str">
            <v>IBEWOUT</v>
          </cell>
          <cell r="F1544" t="str">
            <v>769</v>
          </cell>
          <cell r="G1544" t="str">
            <v>20</v>
          </cell>
          <cell r="H1544">
            <v>0</v>
          </cell>
        </row>
        <row r="1545">
          <cell r="B1545">
            <v>10750</v>
          </cell>
          <cell r="C1545" t="str">
            <v>Williams; Harley L.</v>
          </cell>
          <cell r="D1545" t="str">
            <v>1C</v>
          </cell>
          <cell r="E1545" t="str">
            <v>IBEWOUT</v>
          </cell>
          <cell r="F1545" t="str">
            <v>769</v>
          </cell>
          <cell r="G1545" t="str">
            <v>33</v>
          </cell>
          <cell r="H1545">
            <v>1</v>
          </cell>
        </row>
        <row r="1546">
          <cell r="B1546">
            <v>10754</v>
          </cell>
          <cell r="C1546" t="str">
            <v>Williams; Benjamin J</v>
          </cell>
          <cell r="D1546" t="str">
            <v>1C</v>
          </cell>
          <cell r="E1546" t="str">
            <v>IBEWOUT</v>
          </cell>
          <cell r="F1546" t="str">
            <v>47</v>
          </cell>
          <cell r="G1546" t="str">
            <v>8</v>
          </cell>
          <cell r="H1546">
            <v>0</v>
          </cell>
        </row>
        <row r="1547">
          <cell r="B1547">
            <v>10756</v>
          </cell>
          <cell r="C1547" t="str">
            <v>Williams; Michael Lavell</v>
          </cell>
          <cell r="D1547" t="str">
            <v>1C</v>
          </cell>
          <cell r="E1547" t="str">
            <v>IBEWOUT</v>
          </cell>
          <cell r="F1547" t="str">
            <v>396</v>
          </cell>
          <cell r="G1547" t="str">
            <v>18</v>
          </cell>
          <cell r="H1547">
            <v>0</v>
          </cell>
        </row>
        <row r="1548">
          <cell r="B1548">
            <v>10763</v>
          </cell>
          <cell r="C1548" t="str">
            <v>Williams; Rodney L.</v>
          </cell>
          <cell r="D1548" t="str">
            <v>1</v>
          </cell>
          <cell r="E1548" t="str">
            <v>IBEWOUT</v>
          </cell>
          <cell r="F1548" t="str">
            <v>77</v>
          </cell>
          <cell r="G1548" t="str">
            <v>7</v>
          </cell>
          <cell r="H1548">
            <v>0</v>
          </cell>
        </row>
        <row r="1549">
          <cell r="B1549">
            <v>10766</v>
          </cell>
          <cell r="C1549" t="str">
            <v>Williams; Robbie A</v>
          </cell>
          <cell r="D1549" t="str">
            <v>1C</v>
          </cell>
          <cell r="E1549" t="str">
            <v>IBEWOUT</v>
          </cell>
          <cell r="F1549" t="str">
            <v>1245</v>
          </cell>
          <cell r="G1549" t="str">
            <v>8</v>
          </cell>
          <cell r="H1549">
            <v>0</v>
          </cell>
        </row>
        <row r="1550">
          <cell r="B1550">
            <v>10767</v>
          </cell>
          <cell r="C1550" t="str">
            <v>Williams; Andy Ryan</v>
          </cell>
          <cell r="D1550" t="str">
            <v>1</v>
          </cell>
          <cell r="E1550" t="str">
            <v>IBEWOUT</v>
          </cell>
          <cell r="F1550" t="str">
            <v>769</v>
          </cell>
          <cell r="G1550" t="str">
            <v>7</v>
          </cell>
          <cell r="H1550">
            <v>0</v>
          </cell>
        </row>
        <row r="1551">
          <cell r="B1551">
            <v>10780</v>
          </cell>
          <cell r="C1551" t="str">
            <v>Williams Jr.; Rich W.</v>
          </cell>
          <cell r="D1551" t="str">
            <v>1C</v>
          </cell>
          <cell r="E1551" t="str">
            <v>IBEWOUT</v>
          </cell>
          <cell r="F1551" t="str">
            <v>125</v>
          </cell>
          <cell r="G1551" t="str">
            <v>1</v>
          </cell>
          <cell r="H1551">
            <v>1</v>
          </cell>
        </row>
        <row r="1552">
          <cell r="B1552">
            <v>10784</v>
          </cell>
          <cell r="C1552" t="str">
            <v>Wimberly; Bryan E</v>
          </cell>
          <cell r="D1552" t="str">
            <v>1C</v>
          </cell>
          <cell r="E1552" t="str">
            <v>IBEWOUT</v>
          </cell>
          <cell r="F1552" t="str">
            <v>47</v>
          </cell>
          <cell r="G1552" t="str">
            <v>17</v>
          </cell>
          <cell r="H1552">
            <v>0</v>
          </cell>
        </row>
        <row r="1553">
          <cell r="B1553">
            <v>10787</v>
          </cell>
          <cell r="C1553" t="str">
            <v>Winkler; Jessie E.</v>
          </cell>
          <cell r="D1553" t="str">
            <v>1C</v>
          </cell>
          <cell r="E1553" t="str">
            <v>IBEWOUT</v>
          </cell>
          <cell r="F1553" t="str">
            <v>1319</v>
          </cell>
          <cell r="G1553" t="str">
            <v>8</v>
          </cell>
          <cell r="H1553">
            <v>0</v>
          </cell>
        </row>
        <row r="1554">
          <cell r="B1554">
            <v>10789</v>
          </cell>
          <cell r="C1554" t="str">
            <v>Woods; Kyle E.</v>
          </cell>
          <cell r="D1554" t="str">
            <v>1C</v>
          </cell>
          <cell r="E1554" t="str">
            <v>IBEWOUT</v>
          </cell>
          <cell r="F1554" t="str">
            <v>1245</v>
          </cell>
          <cell r="G1554" t="str">
            <v>8</v>
          </cell>
          <cell r="H1554">
            <v>0</v>
          </cell>
        </row>
        <row r="1555">
          <cell r="B1555">
            <v>10795</v>
          </cell>
          <cell r="C1555" t="str">
            <v>Wilmarth; Lewis Day</v>
          </cell>
          <cell r="D1555" t="str">
            <v>1C</v>
          </cell>
          <cell r="E1555" t="str">
            <v>IBEWOUT</v>
          </cell>
          <cell r="F1555" t="str">
            <v>47</v>
          </cell>
          <cell r="G1555" t="str">
            <v>16</v>
          </cell>
          <cell r="H1555">
            <v>0</v>
          </cell>
        </row>
        <row r="1556">
          <cell r="B1556">
            <v>10797</v>
          </cell>
          <cell r="C1556" t="str">
            <v>Wilson; Glenn M</v>
          </cell>
          <cell r="D1556" t="str">
            <v>1</v>
          </cell>
          <cell r="E1556" t="str">
            <v>IBEWOUT</v>
          </cell>
          <cell r="F1556" t="str">
            <v>47</v>
          </cell>
          <cell r="G1556" t="str">
            <v>16</v>
          </cell>
          <cell r="H1556">
            <v>0</v>
          </cell>
        </row>
        <row r="1557">
          <cell r="B1557">
            <v>10798</v>
          </cell>
          <cell r="C1557" t="str">
            <v>Winslow; Andy J</v>
          </cell>
          <cell r="D1557" t="str">
            <v>1C</v>
          </cell>
          <cell r="E1557" t="str">
            <v/>
          </cell>
          <cell r="F1557" t="str">
            <v/>
          </cell>
          <cell r="G1557" t="str">
            <v/>
          </cell>
          <cell r="H1557">
            <v>1</v>
          </cell>
        </row>
        <row r="1558">
          <cell r="B1558">
            <v>10799</v>
          </cell>
          <cell r="C1558" t="str">
            <v>Wilson; John D.</v>
          </cell>
          <cell r="D1558" t="str">
            <v>1C</v>
          </cell>
          <cell r="E1558" t="str">
            <v>IBEWOUT</v>
          </cell>
          <cell r="F1558" t="str">
            <v>47</v>
          </cell>
          <cell r="G1558" t="str">
            <v>7</v>
          </cell>
          <cell r="H1558">
            <v>0</v>
          </cell>
        </row>
        <row r="1559">
          <cell r="B1559">
            <v>10800</v>
          </cell>
          <cell r="C1559" t="str">
            <v>Wiseley II; Carl W.</v>
          </cell>
          <cell r="D1559" t="str">
            <v>1C</v>
          </cell>
          <cell r="E1559" t="str">
            <v>IBEWOUT</v>
          </cell>
          <cell r="F1559" t="str">
            <v>1245</v>
          </cell>
          <cell r="G1559" t="str">
            <v>8</v>
          </cell>
          <cell r="H1559">
            <v>0</v>
          </cell>
        </row>
        <row r="1560">
          <cell r="B1560">
            <v>10803</v>
          </cell>
          <cell r="C1560" t="str">
            <v>Wimer; Christopher R</v>
          </cell>
          <cell r="D1560" t="str">
            <v>1C</v>
          </cell>
          <cell r="E1560" t="str">
            <v>IBEWOUT</v>
          </cell>
          <cell r="F1560" t="str">
            <v>1245</v>
          </cell>
          <cell r="G1560" t="str">
            <v>11</v>
          </cell>
          <cell r="H1560">
            <v>0</v>
          </cell>
        </row>
        <row r="1561">
          <cell r="B1561">
            <v>10806</v>
          </cell>
          <cell r="C1561" t="str">
            <v>Wing; Chad E</v>
          </cell>
          <cell r="D1561" t="str">
            <v>1C</v>
          </cell>
          <cell r="E1561" t="str">
            <v>IBEWOUT</v>
          </cell>
          <cell r="F1561" t="str">
            <v>1245</v>
          </cell>
          <cell r="G1561" t="str">
            <v>12</v>
          </cell>
          <cell r="H1561">
            <v>0</v>
          </cell>
        </row>
        <row r="1562">
          <cell r="B1562">
            <v>10808</v>
          </cell>
          <cell r="C1562" t="str">
            <v>Wobbema; Austin R</v>
          </cell>
          <cell r="D1562" t="str">
            <v>1</v>
          </cell>
          <cell r="E1562" t="str">
            <v>IBEWOUT</v>
          </cell>
          <cell r="F1562" t="str">
            <v>47</v>
          </cell>
          <cell r="G1562" t="str">
            <v>7</v>
          </cell>
          <cell r="H1562">
            <v>0</v>
          </cell>
        </row>
        <row r="1563">
          <cell r="B1563">
            <v>10811</v>
          </cell>
          <cell r="C1563" t="str">
            <v>Wolford; Cabot L.</v>
          </cell>
          <cell r="D1563" t="str">
            <v>1</v>
          </cell>
          <cell r="E1563" t="str">
            <v/>
          </cell>
          <cell r="F1563" t="str">
            <v/>
          </cell>
          <cell r="G1563" t="str">
            <v/>
          </cell>
          <cell r="H1563">
            <v>1</v>
          </cell>
        </row>
        <row r="1564">
          <cell r="B1564">
            <v>10821</v>
          </cell>
          <cell r="C1564" t="str">
            <v>Wilson; Robby A</v>
          </cell>
          <cell r="D1564" t="str">
            <v>1</v>
          </cell>
          <cell r="E1564" t="str">
            <v>IBEWOUT</v>
          </cell>
          <cell r="F1564" t="str">
            <v>47</v>
          </cell>
          <cell r="G1564" t="str">
            <v>7</v>
          </cell>
          <cell r="H1564">
            <v>0</v>
          </cell>
        </row>
        <row r="1565">
          <cell r="B1565">
            <v>10823</v>
          </cell>
          <cell r="C1565" t="str">
            <v>Wylie; Jared D</v>
          </cell>
          <cell r="D1565" t="str">
            <v>1C</v>
          </cell>
          <cell r="E1565" t="str">
            <v>IBEWOUT</v>
          </cell>
          <cell r="F1565" t="str">
            <v>1245</v>
          </cell>
          <cell r="G1565" t="str">
            <v>13</v>
          </cell>
          <cell r="H1565">
            <v>0</v>
          </cell>
        </row>
        <row r="1566">
          <cell r="B1566">
            <v>10826</v>
          </cell>
          <cell r="C1566" t="str">
            <v>Wirth; Steve B</v>
          </cell>
          <cell r="D1566" t="str">
            <v>1</v>
          </cell>
          <cell r="E1566" t="str">
            <v>IBEWOUT</v>
          </cell>
          <cell r="F1566" t="str">
            <v>1245</v>
          </cell>
          <cell r="G1566" t="str">
            <v>1</v>
          </cell>
          <cell r="H1566">
            <v>0</v>
          </cell>
        </row>
        <row r="1567">
          <cell r="B1567">
            <v>10831</v>
          </cell>
          <cell r="C1567" t="str">
            <v>Wofford; Joseph W</v>
          </cell>
          <cell r="D1567" t="str">
            <v>1C</v>
          </cell>
          <cell r="E1567" t="str">
            <v>IBEWOUT</v>
          </cell>
          <cell r="F1567" t="str">
            <v>47</v>
          </cell>
          <cell r="G1567" t="str">
            <v>16</v>
          </cell>
          <cell r="H1567">
            <v>0</v>
          </cell>
        </row>
        <row r="1568">
          <cell r="B1568">
            <v>10832</v>
          </cell>
          <cell r="C1568" t="str">
            <v>Wolski; Andrew J</v>
          </cell>
          <cell r="D1568" t="str">
            <v>1</v>
          </cell>
          <cell r="E1568" t="str">
            <v/>
          </cell>
          <cell r="F1568" t="str">
            <v/>
          </cell>
          <cell r="G1568" t="str">
            <v/>
          </cell>
          <cell r="H1568">
            <v>1</v>
          </cell>
        </row>
        <row r="1569">
          <cell r="B1569">
            <v>10836</v>
          </cell>
          <cell r="C1569" t="str">
            <v>Woitt; Tom D.</v>
          </cell>
          <cell r="D1569" t="str">
            <v>1C</v>
          </cell>
          <cell r="E1569" t="str">
            <v/>
          </cell>
          <cell r="F1569" t="str">
            <v/>
          </cell>
          <cell r="G1569" t="str">
            <v/>
          </cell>
          <cell r="H1569">
            <v>1</v>
          </cell>
        </row>
        <row r="1570">
          <cell r="B1570">
            <v>10837</v>
          </cell>
          <cell r="C1570" t="str">
            <v>Wolsten; Todd M.</v>
          </cell>
          <cell r="D1570" t="str">
            <v>1C</v>
          </cell>
          <cell r="E1570" t="str">
            <v>IBEWOUT</v>
          </cell>
          <cell r="F1570" t="str">
            <v>1245</v>
          </cell>
          <cell r="G1570" t="str">
            <v>17</v>
          </cell>
          <cell r="H1570">
            <v>0</v>
          </cell>
        </row>
        <row r="1571">
          <cell r="B1571">
            <v>10839</v>
          </cell>
          <cell r="C1571" t="str">
            <v>Woodard; Christopher K</v>
          </cell>
          <cell r="D1571" t="str">
            <v>1C</v>
          </cell>
          <cell r="E1571" t="str">
            <v>IBEWOUT</v>
          </cell>
          <cell r="F1571" t="str">
            <v>47</v>
          </cell>
          <cell r="G1571" t="str">
            <v>8</v>
          </cell>
          <cell r="H1571">
            <v>0</v>
          </cell>
        </row>
        <row r="1572">
          <cell r="B1572">
            <v>10841</v>
          </cell>
          <cell r="C1572" t="str">
            <v>Wittner; Adam K</v>
          </cell>
          <cell r="D1572" t="str">
            <v>1C</v>
          </cell>
          <cell r="E1572" t="str">
            <v>IBEWOUT</v>
          </cell>
          <cell r="F1572" t="str">
            <v>77</v>
          </cell>
          <cell r="G1572" t="str">
            <v>8</v>
          </cell>
          <cell r="H1572">
            <v>0</v>
          </cell>
        </row>
        <row r="1573">
          <cell r="B1573">
            <v>10843</v>
          </cell>
          <cell r="C1573" t="str">
            <v>Wurzer; Mark J</v>
          </cell>
          <cell r="D1573" t="str">
            <v>1</v>
          </cell>
          <cell r="E1573" t="str">
            <v>IBEWOUT</v>
          </cell>
          <cell r="F1573" t="str">
            <v>77</v>
          </cell>
          <cell r="G1573" t="str">
            <v>16</v>
          </cell>
          <cell r="H1573">
            <v>0</v>
          </cell>
        </row>
        <row r="1574">
          <cell r="B1574">
            <v>10849</v>
          </cell>
          <cell r="C1574" t="str">
            <v>Wilson; Stephanie L</v>
          </cell>
          <cell r="D1574" t="str">
            <v>1</v>
          </cell>
          <cell r="E1574" t="str">
            <v/>
          </cell>
          <cell r="F1574" t="str">
            <v/>
          </cell>
          <cell r="G1574" t="str">
            <v/>
          </cell>
          <cell r="H1574">
            <v>0</v>
          </cell>
        </row>
        <row r="1575">
          <cell r="B1575">
            <v>10853</v>
          </cell>
          <cell r="C1575" t="str">
            <v>Wyatt; Layton D</v>
          </cell>
          <cell r="D1575" t="str">
            <v>1</v>
          </cell>
          <cell r="E1575" t="str">
            <v>IBEWOUT</v>
          </cell>
          <cell r="F1575" t="str">
            <v>47</v>
          </cell>
          <cell r="G1575" t="str">
            <v>8</v>
          </cell>
          <cell r="H1575">
            <v>0</v>
          </cell>
        </row>
        <row r="1576">
          <cell r="B1576">
            <v>10854</v>
          </cell>
          <cell r="C1576" t="str">
            <v>Wolfe; Chad A</v>
          </cell>
          <cell r="D1576" t="str">
            <v>1</v>
          </cell>
          <cell r="E1576" t="str">
            <v>IBEWOUT</v>
          </cell>
          <cell r="F1576" t="str">
            <v>1245</v>
          </cell>
          <cell r="G1576" t="str">
            <v>11</v>
          </cell>
          <cell r="H1576">
            <v>0</v>
          </cell>
        </row>
        <row r="1577">
          <cell r="B1577">
            <v>10855</v>
          </cell>
          <cell r="C1577" t="str">
            <v>Wofford; Jeffrey W</v>
          </cell>
          <cell r="D1577" t="str">
            <v>1</v>
          </cell>
          <cell r="E1577" t="str">
            <v>IBEWOUT</v>
          </cell>
          <cell r="F1577" t="str">
            <v>47</v>
          </cell>
          <cell r="G1577" t="str">
            <v>16</v>
          </cell>
          <cell r="H1577">
            <v>0</v>
          </cell>
        </row>
        <row r="1578">
          <cell r="B1578">
            <v>10869</v>
          </cell>
          <cell r="C1578" t="str">
            <v>Wilson; Jeffrey M.</v>
          </cell>
          <cell r="D1578" t="str">
            <v>1C</v>
          </cell>
          <cell r="E1578" t="str">
            <v>IBEWOUT</v>
          </cell>
          <cell r="F1578" t="str">
            <v>1245</v>
          </cell>
          <cell r="G1578" t="str">
            <v>8</v>
          </cell>
          <cell r="H1578">
            <v>0</v>
          </cell>
        </row>
        <row r="1579">
          <cell r="B1579">
            <v>10879</v>
          </cell>
          <cell r="C1579" t="str">
            <v>Wilson; Brenton J</v>
          </cell>
          <cell r="D1579" t="str">
            <v>1C</v>
          </cell>
          <cell r="E1579" t="str">
            <v>IBEWOUT</v>
          </cell>
          <cell r="F1579" t="str">
            <v>47</v>
          </cell>
          <cell r="G1579" t="str">
            <v>10</v>
          </cell>
          <cell r="H1579">
            <v>0</v>
          </cell>
        </row>
        <row r="1580">
          <cell r="B1580">
            <v>10884</v>
          </cell>
          <cell r="C1580" t="str">
            <v>Woll; Mark Anthone</v>
          </cell>
          <cell r="D1580" t="str">
            <v>1</v>
          </cell>
          <cell r="E1580" t="str">
            <v>IBEWOUT</v>
          </cell>
          <cell r="F1580" t="str">
            <v>125</v>
          </cell>
          <cell r="G1580" t="str">
            <v>16</v>
          </cell>
          <cell r="H1580">
            <v>0</v>
          </cell>
        </row>
        <row r="1581">
          <cell r="B1581">
            <v>10886</v>
          </cell>
          <cell r="C1581" t="str">
            <v>Vinyard; Max D</v>
          </cell>
          <cell r="D1581" t="str">
            <v>1</v>
          </cell>
          <cell r="E1581" t="str">
            <v>IBEWOUT</v>
          </cell>
          <cell r="F1581" t="str">
            <v>1245</v>
          </cell>
          <cell r="G1581" t="str">
            <v>7</v>
          </cell>
          <cell r="H1581">
            <v>0</v>
          </cell>
        </row>
        <row r="1582">
          <cell r="B1582">
            <v>10889</v>
          </cell>
          <cell r="C1582" t="str">
            <v>Yetka; Brian V.</v>
          </cell>
          <cell r="D1582" t="str">
            <v>1C</v>
          </cell>
          <cell r="E1582" t="str">
            <v>IBEWOUT</v>
          </cell>
          <cell r="F1582" t="str">
            <v>47</v>
          </cell>
          <cell r="G1582" t="str">
            <v>8</v>
          </cell>
          <cell r="H1582">
            <v>0</v>
          </cell>
        </row>
        <row r="1583">
          <cell r="B1583">
            <v>10891</v>
          </cell>
          <cell r="C1583" t="str">
            <v>Yadon; Nicholas J.</v>
          </cell>
          <cell r="D1583" t="str">
            <v>1C</v>
          </cell>
          <cell r="E1583" t="str">
            <v>IBEWOUT</v>
          </cell>
          <cell r="F1583" t="str">
            <v>769</v>
          </cell>
          <cell r="G1583" t="str">
            <v>8</v>
          </cell>
          <cell r="H1583">
            <v>0</v>
          </cell>
        </row>
        <row r="1584">
          <cell r="B1584">
            <v>10892</v>
          </cell>
          <cell r="C1584" t="str">
            <v>Yell; Joshua E</v>
          </cell>
          <cell r="D1584" t="str">
            <v>1</v>
          </cell>
          <cell r="E1584" t="str">
            <v>IBEWOUT</v>
          </cell>
          <cell r="F1584" t="str">
            <v>77</v>
          </cell>
          <cell r="G1584" t="str">
            <v>12</v>
          </cell>
          <cell r="H1584">
            <v>0</v>
          </cell>
        </row>
        <row r="1585">
          <cell r="B1585">
            <v>10893</v>
          </cell>
          <cell r="C1585" t="str">
            <v>Yazzie; Dehn D</v>
          </cell>
          <cell r="D1585" t="str">
            <v>1C</v>
          </cell>
          <cell r="E1585" t="str">
            <v>IBEWOUT</v>
          </cell>
          <cell r="F1585" t="str">
            <v>769</v>
          </cell>
          <cell r="G1585" t="str">
            <v>8</v>
          </cell>
          <cell r="H1585">
            <v>0</v>
          </cell>
        </row>
        <row r="1586">
          <cell r="B1586">
            <v>10894</v>
          </cell>
          <cell r="C1586" t="str">
            <v>Yazzie; Merlon K.</v>
          </cell>
          <cell r="D1586" t="str">
            <v>1C</v>
          </cell>
          <cell r="E1586" t="str">
            <v>IBEWOUT</v>
          </cell>
          <cell r="F1586" t="str">
            <v>769</v>
          </cell>
          <cell r="G1586" t="str">
            <v>8</v>
          </cell>
          <cell r="H1586">
            <v>0</v>
          </cell>
        </row>
        <row r="1587">
          <cell r="B1587">
            <v>10899</v>
          </cell>
          <cell r="C1587" t="str">
            <v>Yochum; Kevin R</v>
          </cell>
          <cell r="D1587" t="str">
            <v>1C</v>
          </cell>
          <cell r="E1587" t="str">
            <v>IBEWOUT</v>
          </cell>
          <cell r="F1587" t="str">
            <v>602R</v>
          </cell>
          <cell r="G1587" t="str">
            <v>8</v>
          </cell>
          <cell r="H1587">
            <v>0</v>
          </cell>
        </row>
        <row r="1588">
          <cell r="B1588">
            <v>10902</v>
          </cell>
          <cell r="C1588" t="str">
            <v>Young; Greg N</v>
          </cell>
          <cell r="D1588" t="str">
            <v>1C</v>
          </cell>
          <cell r="E1588" t="str">
            <v>IBEWOUT</v>
          </cell>
          <cell r="F1588" t="str">
            <v>1245</v>
          </cell>
          <cell r="G1588" t="str">
            <v>8</v>
          </cell>
          <cell r="H1588">
            <v>0</v>
          </cell>
        </row>
        <row r="1589">
          <cell r="B1589">
            <v>10905</v>
          </cell>
          <cell r="C1589" t="str">
            <v>Zamora; Rod R.</v>
          </cell>
          <cell r="D1589" t="str">
            <v>1C</v>
          </cell>
          <cell r="E1589" t="str">
            <v>IBEWOUT</v>
          </cell>
          <cell r="F1589" t="str">
            <v>47</v>
          </cell>
          <cell r="G1589" t="str">
            <v>17</v>
          </cell>
          <cell r="H1589">
            <v>0</v>
          </cell>
        </row>
        <row r="1590">
          <cell r="B1590">
            <v>10907</v>
          </cell>
          <cell r="C1590" t="str">
            <v>Zamora; Catarino R</v>
          </cell>
          <cell r="D1590" t="str">
            <v>1C</v>
          </cell>
          <cell r="E1590" t="str">
            <v>IBEWOUT</v>
          </cell>
          <cell r="F1590" t="str">
            <v>47</v>
          </cell>
          <cell r="G1590" t="str">
            <v>16</v>
          </cell>
          <cell r="H1590">
            <v>0</v>
          </cell>
        </row>
        <row r="1591">
          <cell r="B1591">
            <v>10909</v>
          </cell>
          <cell r="C1591" t="str">
            <v>Zamudio U; Raymundo</v>
          </cell>
          <cell r="D1591" t="str">
            <v>1C</v>
          </cell>
          <cell r="E1591" t="str">
            <v>IBEWOUT</v>
          </cell>
          <cell r="F1591" t="str">
            <v>1245</v>
          </cell>
          <cell r="G1591" t="str">
            <v>70T</v>
          </cell>
          <cell r="H1591">
            <v>0</v>
          </cell>
        </row>
        <row r="1592">
          <cell r="B1592">
            <v>10910</v>
          </cell>
          <cell r="C1592" t="str">
            <v>Zinkl; Matthew H</v>
          </cell>
          <cell r="D1592" t="str">
            <v>1C</v>
          </cell>
          <cell r="E1592" t="str">
            <v>IBEWOUT</v>
          </cell>
          <cell r="F1592" t="str">
            <v>47</v>
          </cell>
          <cell r="G1592" t="str">
            <v>13</v>
          </cell>
          <cell r="H1592">
            <v>0</v>
          </cell>
        </row>
        <row r="1593">
          <cell r="B1593">
            <v>10912</v>
          </cell>
          <cell r="C1593" t="str">
            <v>Yanez; Fernando V</v>
          </cell>
          <cell r="D1593" t="str">
            <v>1C</v>
          </cell>
          <cell r="E1593" t="str">
            <v>IBEWOUT</v>
          </cell>
          <cell r="F1593" t="str">
            <v>47</v>
          </cell>
          <cell r="G1593" t="str">
            <v>16</v>
          </cell>
          <cell r="H1593">
            <v>0</v>
          </cell>
        </row>
        <row r="1594">
          <cell r="B1594">
            <v>10923</v>
          </cell>
          <cell r="C1594" t="str">
            <v>Zeulner; Zachariah Robert</v>
          </cell>
          <cell r="D1594" t="str">
            <v>1</v>
          </cell>
          <cell r="E1594" t="str">
            <v>IBEWOUT</v>
          </cell>
          <cell r="F1594" t="str">
            <v>1245</v>
          </cell>
          <cell r="G1594" t="str">
            <v>1</v>
          </cell>
          <cell r="H1594">
            <v>1</v>
          </cell>
        </row>
        <row r="1595">
          <cell r="B1595">
            <v>10924</v>
          </cell>
          <cell r="C1595" t="str">
            <v>Zeveney; Patrick J</v>
          </cell>
          <cell r="D1595" t="str">
            <v>1C</v>
          </cell>
          <cell r="E1595" t="str">
            <v>IBEWOUT</v>
          </cell>
          <cell r="F1595" t="str">
            <v>1319</v>
          </cell>
          <cell r="G1595" t="str">
            <v>8</v>
          </cell>
          <cell r="H1595">
            <v>0</v>
          </cell>
        </row>
        <row r="1596">
          <cell r="B1596">
            <v>10926</v>
          </cell>
          <cell r="C1596" t="str">
            <v>Zacher; Theodore R.</v>
          </cell>
          <cell r="D1596" t="str">
            <v>1C</v>
          </cell>
          <cell r="E1596" t="str">
            <v/>
          </cell>
          <cell r="F1596" t="str">
            <v/>
          </cell>
          <cell r="G1596" t="str">
            <v/>
          </cell>
          <cell r="H1596">
            <v>1</v>
          </cell>
        </row>
        <row r="1597">
          <cell r="B1597">
            <v>10929</v>
          </cell>
          <cell r="C1597" t="str">
            <v>Nieves Zarate; Jose</v>
          </cell>
          <cell r="D1597" t="str">
            <v>1C</v>
          </cell>
          <cell r="E1597" t="str">
            <v>IBEWOUT</v>
          </cell>
          <cell r="F1597" t="str">
            <v>47</v>
          </cell>
          <cell r="G1597" t="str">
            <v>8</v>
          </cell>
          <cell r="H1597">
            <v>0</v>
          </cell>
        </row>
        <row r="1598">
          <cell r="B1598">
            <v>10930</v>
          </cell>
          <cell r="C1598" t="str">
            <v>Young; Micah J.</v>
          </cell>
          <cell r="D1598" t="str">
            <v>1C</v>
          </cell>
          <cell r="E1598" t="str">
            <v>IBEWOUT</v>
          </cell>
          <cell r="F1598" t="str">
            <v>1245</v>
          </cell>
          <cell r="G1598" t="str">
            <v>8</v>
          </cell>
          <cell r="H1598">
            <v>0</v>
          </cell>
        </row>
        <row r="1599">
          <cell r="B1599">
            <v>10931</v>
          </cell>
          <cell r="C1599" t="str">
            <v>Zul; Daniel</v>
          </cell>
          <cell r="D1599" t="str">
            <v>1C</v>
          </cell>
          <cell r="E1599" t="str">
            <v>IBEWOUT</v>
          </cell>
          <cell r="F1599" t="str">
            <v>1245</v>
          </cell>
          <cell r="G1599" t="str">
            <v>17</v>
          </cell>
          <cell r="H1599">
            <v>0</v>
          </cell>
        </row>
        <row r="1600">
          <cell r="B1600">
            <v>10932</v>
          </cell>
          <cell r="C1600" t="str">
            <v>Youngblood; Mark O</v>
          </cell>
          <cell r="D1600" t="str">
            <v>1C</v>
          </cell>
          <cell r="E1600" t="str">
            <v>IBEWOUT</v>
          </cell>
          <cell r="F1600" t="str">
            <v>602R</v>
          </cell>
          <cell r="G1600" t="str">
            <v>8</v>
          </cell>
          <cell r="H1600">
            <v>0</v>
          </cell>
        </row>
        <row r="1601">
          <cell r="B1601">
            <v>10933</v>
          </cell>
          <cell r="C1601" t="str">
            <v>Yunkin; Russell</v>
          </cell>
          <cell r="D1601" t="str">
            <v>1C</v>
          </cell>
          <cell r="E1601" t="str">
            <v>IBEWOUT</v>
          </cell>
          <cell r="F1601" t="str">
            <v>126</v>
          </cell>
          <cell r="G1601" t="str">
            <v>8</v>
          </cell>
          <cell r="H1601">
            <v>0</v>
          </cell>
        </row>
        <row r="1602">
          <cell r="B1602">
            <v>10934</v>
          </cell>
          <cell r="C1602" t="str">
            <v>Zeigler; Logan R</v>
          </cell>
          <cell r="D1602" t="str">
            <v>1C</v>
          </cell>
          <cell r="E1602" t="str">
            <v>IBEWOUT</v>
          </cell>
          <cell r="F1602" t="str">
            <v>611</v>
          </cell>
          <cell r="G1602" t="str">
            <v>12</v>
          </cell>
          <cell r="H160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ed Codes"/>
      <sheetName val="Job Details"/>
      <sheetName val="Employees"/>
      <sheetName val="Job List"/>
      <sheetName val="Master Tab "/>
      <sheetName val="Master Tab Training"/>
      <sheetName val="Molina- Safety"/>
      <sheetName val="English, Chuck"/>
      <sheetName val="Mackenzie, Austin"/>
      <sheetName val="Tidwell"/>
      <sheetName val="Duenich"/>
      <sheetName val="Demond"/>
      <sheetName val="Gore"/>
      <sheetName val="Gore correction"/>
      <sheetName val="Taliaferro"/>
      <sheetName val="Haar"/>
      <sheetName val="Cuevas"/>
      <sheetName val="Sanchez"/>
      <sheetName val="Davidson"/>
      <sheetName val="Smith"/>
      <sheetName val="LaMountain"/>
      <sheetName val="Conway"/>
      <sheetName val="Andreotti"/>
      <sheetName val="Powell"/>
      <sheetName val="Starkey"/>
      <sheetName val="Franks"/>
      <sheetName val="Fierro"/>
      <sheetName val="Beck"/>
      <sheetName val="Galves"/>
      <sheetName val="Werline"/>
      <sheetName val="Savant"/>
      <sheetName val="Gomes"/>
      <sheetName val="Vinyard"/>
      <sheetName val="Bodenhamer"/>
      <sheetName val="Daddino"/>
      <sheetName val="Burns"/>
      <sheetName val="P Peterson"/>
      <sheetName val="Woodruff"/>
      <sheetName val="Elliott"/>
      <sheetName val="Brown"/>
      <sheetName val="Stewart"/>
      <sheetName val="Bruder"/>
      <sheetName val="McCormick"/>
      <sheetName val="York"/>
      <sheetName val="Berry"/>
      <sheetName val="Sorensen"/>
      <sheetName val="Santiago"/>
      <sheetName val="ColumnLists"/>
    </sheetNames>
    <sheetDataSet>
      <sheetData sheetId="0" refreshError="1"/>
      <sheetData sheetId="1" refreshError="1">
        <row r="5">
          <cell r="A5" t="str">
            <v>5/8's Crew</v>
          </cell>
          <cell r="B5">
            <v>0</v>
          </cell>
          <cell r="C5" t="str">
            <v>4/10's Crew</v>
          </cell>
          <cell r="D5">
            <v>0</v>
          </cell>
          <cell r="E5" t="str">
            <v>Distribution Crews</v>
          </cell>
        </row>
        <row r="6">
          <cell r="A6" t="str">
            <v>8 ST</v>
          </cell>
          <cell r="B6" t="str">
            <v>10 ST</v>
          </cell>
          <cell r="C6" t="str">
            <v>5/8's Crew</v>
          </cell>
          <cell r="D6">
            <v>0</v>
          </cell>
          <cell r="E6" t="str">
            <v>4/10's Crew</v>
          </cell>
        </row>
        <row r="7">
          <cell r="A7" t="str">
            <v>2 OT</v>
          </cell>
          <cell r="B7" t="str">
            <v>10+ DT</v>
          </cell>
          <cell r="C7" t="str">
            <v>8 ST</v>
          </cell>
          <cell r="D7" t="str">
            <v>10 ST</v>
          </cell>
          <cell r="E7" t="str">
            <v>Saturday</v>
          </cell>
        </row>
        <row r="8">
          <cell r="A8" t="str">
            <v>10+ DT</v>
          </cell>
          <cell r="B8">
            <v>0</v>
          </cell>
          <cell r="C8" t="str">
            <v>8+ DT</v>
          </cell>
          <cell r="D8" t="str">
            <v>10+ DT</v>
          </cell>
          <cell r="E8" t="str">
            <v>All DT</v>
          </cell>
        </row>
        <row r="9">
          <cell r="A9" t="str">
            <v>Saturday</v>
          </cell>
          <cell r="B9">
            <v>0</v>
          </cell>
          <cell r="C9" t="str">
            <v>Sunday</v>
          </cell>
          <cell r="D9">
            <v>0</v>
          </cell>
          <cell r="E9" t="str">
            <v>Sunday</v>
          </cell>
        </row>
        <row r="10">
          <cell r="A10" t="str">
            <v>8 OT</v>
          </cell>
          <cell r="B10">
            <v>0</v>
          </cell>
          <cell r="C10" t="str">
            <v>All DT</v>
          </cell>
          <cell r="D10">
            <v>0</v>
          </cell>
          <cell r="E10" t="str">
            <v>All DT</v>
          </cell>
        </row>
        <row r="11">
          <cell r="A11" t="str">
            <v>8+DT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PRCertifiedclass" backgroundRefresh="0" fillFormulas="1" adjustColumnWidth="0" connectionId="1" xr16:uid="{00000000-0016-0000-0100-000000000000}" autoFormatId="16" applyNumberFormats="0" applyBorderFormats="0" applyFontFormats="1" applyPatternFormats="1" applyAlignmentFormats="0" applyWidthHeightFormats="0">
  <queryTableRefresh nextId="5">
    <queryTableFields count="4">
      <queryTableField id="1" name="Certified class"/>
      <queryTableField id="2" name="Description"/>
      <queryTableField id="3" name="Operator Stamp"/>
      <queryTableField id="4" name="Date Stamp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PREmployee" backgroundRefresh="0" fillFormulas="1" adjustColumnWidth="0" connectionId="5" xr16:uid="{00000000-0016-0000-0200-000001000000}" autoFormatId="16" applyNumberFormats="0" applyBorderFormats="0" applyFontFormats="1" applyPatternFormats="1" applyAlignmentFormats="0" applyWidthHeightFormats="0">
  <queryTableRefresh nextId="10">
    <queryTableFields count="9">
      <queryTableField id="1" name="Employee"/>
      <queryTableField id="8" dataBound="0" fillFormulas="1"/>
      <queryTableField id="2" name="Employee Name"/>
      <queryTableField id="3" name="Pay Group"/>
      <queryTableField id="4" name="Union ID"/>
      <queryTableField id="5" name="Union Local"/>
      <queryTableField id="6" name="Union Class"/>
      <queryTableField id="7" name="Exclude From Cert. Report"/>
      <queryTableField id="9" name="Title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JCPhase" backgroundRefresh="0" fillFormulas="1" adjustColumnWidth="0" connectionId="6" xr16:uid="{00000000-0016-0000-0300-000004000000}" autoFormatId="16" applyNumberFormats="0" applyBorderFormats="0" applyFontFormats="1" applyPatternFormats="1" applyAlignmentFormats="0" applyWidthHeightFormats="0">
  <queryTableRefresh nextId="3">
    <queryTableFields count="2">
      <queryTableField id="1" name="Phase"/>
      <queryTableField id="2" name="Description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JCCategory" backgroundRefresh="0" fillFormulas="1" adjustColumnWidth="0" connectionId="3" xr16:uid="{00000000-0016-0000-0300-000003000000}" autoFormatId="16" applyNumberFormats="0" applyBorderFormats="0" applyFontFormats="1" applyPatternFormats="1" applyAlignmentFormats="0" applyWidthHeightFormats="0">
  <queryTableRefresh nextId="6">
    <queryTableFields count="5">
      <queryTableField id="1" name="Extra"/>
      <queryTableField id="2" name="Phase"/>
      <queryTableField id="5" dataBound="0" fillFormulas="1"/>
      <queryTableField id="3" name="Category"/>
      <queryTableField id="4" name="Descriptio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JCExtra" backgroundRefresh="0" fillFormulas="1" adjustColumnWidth="0" connectionId="4" xr16:uid="{00000000-0016-0000-0300-000002000000}" autoFormatId="16" applyNumberFormats="0" applyBorderFormats="0" applyFontFormats="1" applyPatternFormats="1" applyAlignmentFormats="0" applyWidthHeightFormats="0">
  <queryTableRefresh nextId="6">
    <queryTableFields count="3">
      <queryTableField id="1" name="Extra"/>
      <queryTableField id="2" name="Description"/>
      <queryTableField id="4" name="Address 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ryJCJob1" backgroundRefresh="0" fillFormulas="1" adjustColumnWidth="0" connectionId="2" xr16:uid="{00000000-0016-0000-0400-000005000000}" autoFormatId="16" applyNumberFormats="0" applyBorderFormats="0" applyFontFormats="1" applyPatternFormats="1" applyAlignmentFormats="0" applyWidthHeightFormats="0">
  <queryTableRefresh nextId="11">
    <queryTableFields count="8">
      <queryTableField id="1" name="Job"/>
      <queryTableField id="2" name="Description"/>
      <queryTableField id="3" name="Project Manager"/>
      <queryTableField id="4" name="Foreman"/>
      <queryTableField id="5" name="Status"/>
      <queryTableField id="6" name="Revenue account"/>
      <queryTableField id="7" name="Workers' Comp Group"/>
      <queryTableField id="9" name="Work state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imeSheet34" displayName="TimeSheet34" ref="A12:CX24" totalsRowCount="1" headerRowDxfId="3664" dataDxfId="3662" totalsRowDxfId="3660" headerRowBorderDxfId="3663" tableBorderDxfId="3661" totalsRowBorderDxfId="3659" headerRowCellStyle="Normal 2 10" dataCellStyle="Normal 2 10" totalsRowCellStyle="Normal 2 10">
  <tableColumns count="102">
    <tableColumn id="8" xr3:uid="{00000000-0010-0000-0000-000008000000}" name="IMPORT TIME?" dataDxfId="3658" totalsRowDxfId="3657" dataCellStyle="Normal 2 10">
      <calculatedColumnFormula>IF(ISBLANK(C13),"",IF(ISBLANK($D$3),"",$D$3))</calculatedColumnFormula>
    </tableColumn>
    <tableColumn id="64" xr3:uid="{00000000-0010-0000-0000-000040000000}" name="WC CODE" dataDxfId="3656" totalsRowDxfId="3655" dataCellStyle="Normal 2 10"/>
    <tableColumn id="2" xr3:uid="{00000000-0010-0000-0000-000002000000}" name="JOB " dataDxfId="3654" totalsRowDxfId="3653" dataCellStyle="Normal 2 10"/>
    <tableColumn id="4" xr3:uid="{00000000-0010-0000-0000-000004000000}" name="EXTRA" dataDxfId="3652" totalsRowDxfId="3651" dataCellStyle="Normal 2 10"/>
    <tableColumn id="5" xr3:uid="{00000000-0010-0000-0000-000005000000}" name="PHASE" dataDxfId="3650" totalsRowDxfId="3649" dataCellStyle="Normal 2 10"/>
    <tableColumn id="7" xr3:uid="{00000000-0010-0000-0000-000007000000}" name="UNION LOCAL" dataDxfId="3648" totalsRowDxfId="3647" dataCellStyle="Normal 2 10">
      <calculatedColumnFormula>IF(ISBLANK($B$4),"",$B$4)</calculatedColumnFormula>
    </tableColumn>
    <tableColumn id="58" xr3:uid="{00000000-0010-0000-0000-00003A000000}" name="WC STATE" dataDxfId="3646" totalsRowDxfId="3645" dataCellStyle="Normal 2 10"/>
    <tableColumn id="57" xr3:uid="{00000000-0010-0000-0000-000039000000}" name="ST" dataDxfId="3644" totalsRowDxfId="3643" dataCellStyle="Normal 2 10"/>
    <tableColumn id="6" xr3:uid="{00000000-0010-0000-0000-000006000000}" name="UNION CLASS" dataDxfId="3642" totalsRowDxfId="3641" dataCellStyle="Normal 2 10"/>
    <tableColumn id="107" xr3:uid="{00000000-0010-0000-0000-00006B000000}" name="Cert Class Form" dataDxfId="3640" totalsRowDxfId="3639" dataCellStyle="Normal 2 10">
      <calculatedColumnFormula>IF($K13=0,"",IF($K13&lt;10,"0"&amp;$K13,$K13))</calculatedColumnFormula>
    </tableColumn>
    <tableColumn id="93" xr3:uid="{00000000-0010-0000-0000-00005D000000}" name="CERT. CLASS" dataDxfId="3638" totalsRowDxfId="3637" dataCellStyle="Normal 2 10"/>
    <tableColumn id="9" xr3:uid="{00000000-0010-0000-0000-000009000000}" name="RT1" totalsRowFunction="sum" dataDxfId="3636" totalsRowDxfId="3635" dataCellStyle="Normal 2 10"/>
    <tableColumn id="10" xr3:uid="{00000000-0010-0000-0000-00000A000000}" name="OT1" totalsRowFunction="sum" dataDxfId="3634" totalsRowDxfId="3633" dataCellStyle="Normal 2 10"/>
    <tableColumn id="11" xr3:uid="{00000000-0010-0000-0000-00000B000000}" name="DT1" totalsRowFunction="sum" dataDxfId="3632" totalsRowDxfId="3631" dataCellStyle="Normal 2 10"/>
    <tableColumn id="12" xr3:uid="{00000000-0010-0000-0000-00000C000000}" name="PD1" totalsRowFunction="sum" dataDxfId="3630" totalsRowDxfId="3629" dataCellStyle="Normal 2 10"/>
    <tableColumn id="13" xr3:uid="{00000000-0010-0000-0000-00000D000000}" name="4D1" totalsRowFunction="sum" dataDxfId="3628" totalsRowDxfId="3627" dataCellStyle="Normal 2 10"/>
    <tableColumn id="14" xr3:uid="{00000000-0010-0000-0000-00000E000000}" name="4A1" totalsRowFunction="sum" dataDxfId="3626" totalsRowDxfId="3625" dataCellStyle="Normal 2 10"/>
    <tableColumn id="15" xr3:uid="{00000000-0010-0000-0000-00000F000000}" name="RT2" totalsRowFunction="sum" dataDxfId="3624" totalsRowDxfId="3623" dataCellStyle="Normal 2 10"/>
    <tableColumn id="16" xr3:uid="{00000000-0010-0000-0000-000010000000}" name="OT2" totalsRowFunction="sum" dataDxfId="3622" totalsRowDxfId="3621" dataCellStyle="Normal 2 10"/>
    <tableColumn id="17" xr3:uid="{00000000-0010-0000-0000-000011000000}" name="DT2" totalsRowFunction="sum" dataDxfId="3620" totalsRowDxfId="3619" dataCellStyle="Normal 2 10"/>
    <tableColumn id="18" xr3:uid="{00000000-0010-0000-0000-000012000000}" name="PD2" totalsRowFunction="sum" dataDxfId="3618" totalsRowDxfId="3617" dataCellStyle="Normal 2 10"/>
    <tableColumn id="19" xr3:uid="{00000000-0010-0000-0000-000013000000}" name="4D2" totalsRowFunction="sum" dataDxfId="3616" totalsRowDxfId="3615" dataCellStyle="Normal 2 10"/>
    <tableColumn id="20" xr3:uid="{00000000-0010-0000-0000-000014000000}" name="4A2" totalsRowFunction="sum" dataDxfId="3614" totalsRowDxfId="3613" dataCellStyle="Normal 2 10"/>
    <tableColumn id="21" xr3:uid="{00000000-0010-0000-0000-000015000000}" name="RT3" totalsRowFunction="sum" dataDxfId="3612" totalsRowDxfId="3611" dataCellStyle="Normal 2 10"/>
    <tableColumn id="22" xr3:uid="{00000000-0010-0000-0000-000016000000}" name="OT3" totalsRowFunction="sum" dataDxfId="3610" totalsRowDxfId="3609" dataCellStyle="Normal 2 10"/>
    <tableColumn id="23" xr3:uid="{00000000-0010-0000-0000-000017000000}" name="DT3" totalsRowFunction="sum" dataDxfId="3608" totalsRowDxfId="3607" dataCellStyle="Normal 2 10"/>
    <tableColumn id="24" xr3:uid="{00000000-0010-0000-0000-000018000000}" name="PD3" totalsRowFunction="sum" dataDxfId="3606" totalsRowDxfId="3605" dataCellStyle="Normal 2 10"/>
    <tableColumn id="25" xr3:uid="{00000000-0010-0000-0000-000019000000}" name="4D3" totalsRowFunction="sum" dataDxfId="3604" totalsRowDxfId="3603" dataCellStyle="Normal 2 10"/>
    <tableColumn id="26" xr3:uid="{00000000-0010-0000-0000-00001A000000}" name="4A3" totalsRowFunction="sum" dataDxfId="3602" totalsRowDxfId="3601" dataCellStyle="Normal 2 10"/>
    <tableColumn id="27" xr3:uid="{00000000-0010-0000-0000-00001B000000}" name="RT4" totalsRowFunction="sum" dataDxfId="3600" totalsRowDxfId="3599" dataCellStyle="Normal 2 10"/>
    <tableColumn id="28" xr3:uid="{00000000-0010-0000-0000-00001C000000}" name="OT4" totalsRowFunction="sum" dataDxfId="3598" totalsRowDxfId="3597" dataCellStyle="Normal 2 10"/>
    <tableColumn id="29" xr3:uid="{00000000-0010-0000-0000-00001D000000}" name="DT4" totalsRowFunction="sum" dataDxfId="3596" totalsRowDxfId="3595" dataCellStyle="Normal 2 10"/>
    <tableColumn id="30" xr3:uid="{00000000-0010-0000-0000-00001E000000}" name="PD4" totalsRowFunction="sum" dataDxfId="3594" totalsRowDxfId="3593" dataCellStyle="Normal 2 10"/>
    <tableColumn id="31" xr3:uid="{00000000-0010-0000-0000-00001F000000}" name="4D4" totalsRowFunction="sum" dataDxfId="3592" totalsRowDxfId="3591" dataCellStyle="Normal 2 10"/>
    <tableColumn id="32" xr3:uid="{00000000-0010-0000-0000-000020000000}" name="4A4" totalsRowFunction="sum" dataDxfId="3590" totalsRowDxfId="3589" dataCellStyle="Normal 2 10"/>
    <tableColumn id="33" xr3:uid="{00000000-0010-0000-0000-000021000000}" name="RT5" totalsRowFunction="sum" dataDxfId="3588" totalsRowDxfId="3587" dataCellStyle="Normal 2 10"/>
    <tableColumn id="34" xr3:uid="{00000000-0010-0000-0000-000022000000}" name="OT5" totalsRowFunction="sum" dataDxfId="3586" totalsRowDxfId="3585" dataCellStyle="Normal 2 10"/>
    <tableColumn id="35" xr3:uid="{00000000-0010-0000-0000-000023000000}" name="DT5" totalsRowFunction="sum" dataDxfId="3584" totalsRowDxfId="3583" dataCellStyle="Normal 2 10"/>
    <tableColumn id="36" xr3:uid="{00000000-0010-0000-0000-000024000000}" name="PD5" totalsRowFunction="sum" dataDxfId="3582" totalsRowDxfId="3581" dataCellStyle="Normal 2 10"/>
    <tableColumn id="37" xr3:uid="{00000000-0010-0000-0000-000025000000}" name="4D5" totalsRowFunction="sum" dataDxfId="3580" totalsRowDxfId="3579" dataCellStyle="Normal 2 10"/>
    <tableColumn id="38" xr3:uid="{00000000-0010-0000-0000-000026000000}" name="4A5" totalsRowFunction="sum" dataDxfId="3578" totalsRowDxfId="3577" dataCellStyle="Normal 2 10"/>
    <tableColumn id="39" xr3:uid="{00000000-0010-0000-0000-000027000000}" name="RT6" totalsRowFunction="sum" dataDxfId="3576" totalsRowDxfId="3575" dataCellStyle="Normal 2 10"/>
    <tableColumn id="40" xr3:uid="{00000000-0010-0000-0000-000028000000}" name="OT6" totalsRowFunction="sum" dataDxfId="3574" totalsRowDxfId="3573" dataCellStyle="Normal 2 10"/>
    <tableColumn id="41" xr3:uid="{00000000-0010-0000-0000-000029000000}" name="DT6" totalsRowFunction="sum" dataDxfId="3572" totalsRowDxfId="3571" dataCellStyle="Normal 2 10"/>
    <tableColumn id="42" xr3:uid="{00000000-0010-0000-0000-00002A000000}" name="PD6" totalsRowFunction="sum" dataDxfId="3570" totalsRowDxfId="3569" dataCellStyle="Normal 2 10"/>
    <tableColumn id="43" xr3:uid="{00000000-0010-0000-0000-00002B000000}" name="4D6" totalsRowFunction="sum" dataDxfId="3568" totalsRowDxfId="3567" dataCellStyle="Normal 2 10"/>
    <tableColumn id="44" xr3:uid="{00000000-0010-0000-0000-00002C000000}" name="4A6" totalsRowFunction="sum" dataDxfId="3566" totalsRowDxfId="3565" dataCellStyle="Normal 2 10"/>
    <tableColumn id="45" xr3:uid="{00000000-0010-0000-0000-00002D000000}" name="RT7" totalsRowFunction="sum" dataDxfId="3564" totalsRowDxfId="3563" dataCellStyle="Normal 2 10"/>
    <tableColumn id="46" xr3:uid="{00000000-0010-0000-0000-00002E000000}" name="OT7" totalsRowFunction="sum" dataDxfId="3562" totalsRowDxfId="3561" dataCellStyle="Normal 2 10"/>
    <tableColumn id="47" xr3:uid="{00000000-0010-0000-0000-00002F000000}" name="DT7" totalsRowFunction="sum" dataDxfId="3560" totalsRowDxfId="3559" dataCellStyle="Normal 2 10"/>
    <tableColumn id="48" xr3:uid="{00000000-0010-0000-0000-000030000000}" name="PD7" totalsRowFunction="sum" dataDxfId="3558" totalsRowDxfId="3557" dataCellStyle="Normal 2 10"/>
    <tableColumn id="49" xr3:uid="{00000000-0010-0000-0000-000031000000}" name="4D7" totalsRowFunction="sum" dataDxfId="3556" totalsRowDxfId="3555" dataCellStyle="Normal 2 10"/>
    <tableColumn id="50" xr3:uid="{00000000-0010-0000-0000-000032000000}" name="4A7" totalsRowFunction="sum" dataDxfId="3554" totalsRowDxfId="3553" dataCellStyle="Normal 2 10"/>
    <tableColumn id="51" xr3:uid="{00000000-0010-0000-0000-000033000000}" name="1" totalsRowFunction="sum" dataDxfId="3552" totalsRowDxfId="3551" dataCellStyle="Normal 2 10">
      <calculatedColumnFormula>SUM(AV13,AP13,AJ13,AD13,X13,R13,L13)</calculatedColumnFormula>
    </tableColumn>
    <tableColumn id="52" xr3:uid="{00000000-0010-0000-0000-000034000000}" name="3" totalsRowFunction="sum" dataDxfId="3550" totalsRowDxfId="3549" dataCellStyle="Normal 2 10">
      <calculatedColumnFormula>SUM(AW13,AQ13,AK13,AE13,Y13,S13,M13)</calculatedColumnFormula>
    </tableColumn>
    <tableColumn id="53" xr3:uid="{00000000-0010-0000-0000-000035000000}" name="2" totalsRowFunction="sum" dataDxfId="3548" totalsRowDxfId="3547" dataCellStyle="Normal 2 10">
      <calculatedColumnFormula>SUM(AX13,AR13,AL13,AF13,Z13,T13,N13)</calculatedColumnFormula>
    </tableColumn>
    <tableColumn id="54" xr3:uid="{00000000-0010-0000-0000-000036000000}" name="4" totalsRowFunction="sum" dataDxfId="3546" totalsRowDxfId="3545" dataCellStyle="Normal 2 10">
      <calculatedColumnFormula>SUM(AY13,AS13,AM13,AG13,AA13,U13,O13)</calculatedColumnFormula>
    </tableColumn>
    <tableColumn id="55" xr3:uid="{00000000-0010-0000-0000-000037000000}" name="4D" totalsRowFunction="sum" dataDxfId="3544" totalsRowDxfId="3543" dataCellStyle="Normal 2 10">
      <calculatedColumnFormula>SUM(AZ13,AT13,AN13,AH13,AB13,V13,P13)</calculatedColumnFormula>
    </tableColumn>
    <tableColumn id="56" xr3:uid="{00000000-0010-0000-0000-000038000000}" name="4A" totalsRowFunction="sum" dataDxfId="3542" totalsRowDxfId="3541" dataCellStyle="Normal 2 10">
      <calculatedColumnFormula>SUM(BA13,AU13,AO13,AI13,AC13,W13,Q13)</calculatedColumnFormula>
    </tableColumn>
    <tableColumn id="3" xr3:uid="{00000000-0010-0000-0000-000003000000}" name="Total" totalsRowFunction="custom" dataDxfId="3540" totalsRowDxfId="3539" dataCellStyle="Normal 2 10">
      <calculatedColumnFormula>SUM(TimeSheet34[[#This Row],[1]:[4A]])</calculatedColumnFormula>
      <totalsRowFormula>SUBTOTAL(109,TimeSheet34[Total])-SUM(TimeSheet34[[#Totals],[RT1]:[4A7]])</totalsRowFormula>
    </tableColumn>
    <tableColumn id="65" xr3:uid="{00000000-0010-0000-0000-000041000000}" name="COC1.1" dataDxfId="3538" totalsRowDxfId="3537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000-000042000000}" name="COC3.1" dataDxfId="3536" totalsRowDxfId="3535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000-000043000000}" name="COC2.1" dataDxfId="3534" totalsRowDxfId="3533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000-00005E000000}" name="COC2.13" dataDxfId="3532" totalsRowDxfId="3531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000-00003F000000}" name="COC2.12" dataDxfId="3530" totalsRowDxfId="3529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000-000044000000}" name="COC4A.1" dataDxfId="3528" totalsRowDxfId="3527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000-000045000000}" name="COC1.2" dataDxfId="3526" totalsRowDxfId="3525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000-000046000000}" name="COC3.2" dataDxfId="3524" totalsRowDxfId="3523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000-000047000000}" name="COC2.2" dataDxfId="3522" totalsRowDxfId="3521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000-000060000000}" name="COC2.23" dataDxfId="3520" totalsRowDxfId="3519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000-00005F000000}" name="COC2.22" dataDxfId="3518" totalsRowDxfId="3517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000-000048000000}" name="COC4A.2" dataDxfId="3516" totalsRowDxfId="3515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000-000049000000}" name="COC1.3" dataDxfId="3514" totalsRowDxfId="3513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000-00004A000000}" name="COC3.3" dataDxfId="3512" totalsRowDxfId="3511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000-00004B000000}" name="COC2.3" dataDxfId="3510" totalsRowDxfId="3509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000-000062000000}" name="COC2.33" dataDxfId="3508" totalsRowDxfId="3507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000-000061000000}" name="COC2.32" dataDxfId="3506" totalsRowDxfId="3505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000-00004C000000}" name="COC4A.3" dataDxfId="3504" totalsRowDxfId="3503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000-00004D000000}" name="COC1.4" dataDxfId="3502" totalsRowDxfId="3501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000-00004E000000}" name="COC3.4" dataDxfId="3500" totalsRowDxfId="3499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000-00004F000000}" name="COC2.4" dataDxfId="3498" totalsRowDxfId="3497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000-000064000000}" name="COC2.43" dataDxfId="3496" totalsRowDxfId="3495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000-000063000000}" name="COC2.42" dataDxfId="3494" totalsRowDxfId="3493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000-000050000000}" name="COC4A.4" dataDxfId="3492" totalsRowDxfId="3491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000-000051000000}" name="COC1.5" dataDxfId="3490" totalsRowDxfId="3489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000-000052000000}" name="COC3.5" dataDxfId="3488" totalsRowDxfId="3487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000-000053000000}" name="COC2.5" dataDxfId="3486" totalsRowDxfId="3485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000-00006A000000}" name="COC2.53" dataDxfId="3484" totalsRowDxfId="3483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000-000069000000}" name="COC2.52" dataDxfId="3482" totalsRowDxfId="3481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000-000054000000}" name="COC4A.5" dataDxfId="3480" totalsRowDxfId="3479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000-000055000000}" name="COC1.6" dataDxfId="3478" totalsRowDxfId="3477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000-000056000000}" name="COC3.6" dataDxfId="3476" totalsRowDxfId="3475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000-000057000000}" name="COC2.6" dataDxfId="3474" totalsRowDxfId="3473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000-000066000000}" name="COC2.63" dataDxfId="3472" totalsRowDxfId="3471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000-000065000000}" name="COC2.62" dataDxfId="3470" totalsRowDxfId="3469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000-000058000000}" name="COC4A.6" dataDxfId="3468" totalsRowDxfId="3467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000-000059000000}" name="COC1.7" dataDxfId="3466" totalsRowDxfId="3465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000-00005A000000}" name="COC3.7" dataDxfId="3464" totalsRowDxfId="3463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000-00005B000000}" name="COC2.7" dataDxfId="3462" totalsRowDxfId="3461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000-000068000000}" name="COC2.72" dataDxfId="3460" totalsRowDxfId="3459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000-000067000000}" name="COC2.8" dataDxfId="3458" totalsRowDxfId="3457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000-00005C000000}" name="COC4A.7" dataDxfId="3456" totalsRowDxfId="3455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imeSheet341252" displayName="TimeSheet341252" ref="A12:CX24" totalsRowCount="1" headerRowDxfId="3347" dataDxfId="3345" totalsRowDxfId="3343" headerRowBorderDxfId="3346" tableBorderDxfId="3344" totalsRowBorderDxfId="3342" headerRowCellStyle="Normal 2 10" dataCellStyle="Normal 2 10" totalsRowCellStyle="Normal 2 10">
  <tableColumns count="102">
    <tableColumn id="8" xr3:uid="{00000000-0010-0000-0100-000008000000}" name="IMPORT TIME?" dataDxfId="3341" totalsRowDxfId="3340" dataCellStyle="Normal 2 10">
      <calculatedColumnFormula>IF(ISBLANK(C13),"",IF(ISBLANK($D$3),"",$D$3))</calculatedColumnFormula>
    </tableColumn>
    <tableColumn id="64" xr3:uid="{00000000-0010-0000-0100-000040000000}" name="WC CODE" dataDxfId="3339" totalsRowDxfId="3338" dataCellStyle="Normal 2 10"/>
    <tableColumn id="2" xr3:uid="{00000000-0010-0000-0100-000002000000}" name="JOB " dataDxfId="3337" totalsRowDxfId="3336" dataCellStyle="Normal 2 10"/>
    <tableColumn id="4" xr3:uid="{00000000-0010-0000-0100-000004000000}" name="EXTRA" dataDxfId="3335" totalsRowDxfId="3334" dataCellStyle="Normal 2 10"/>
    <tableColumn id="5" xr3:uid="{00000000-0010-0000-0100-000005000000}" name="PHASE" dataDxfId="3333" totalsRowDxfId="3332" dataCellStyle="Normal 2 10"/>
    <tableColumn id="7" xr3:uid="{00000000-0010-0000-0100-000007000000}" name="UNION LOCAL" dataDxfId="3331" totalsRowDxfId="3330" dataCellStyle="Normal 2 10">
      <calculatedColumnFormula>IF(ISBLANK($B$4),"",$B$4)</calculatedColumnFormula>
    </tableColumn>
    <tableColumn id="58" xr3:uid="{00000000-0010-0000-0100-00003A000000}" name="WC STATE" dataDxfId="3329" totalsRowDxfId="3328" dataCellStyle="Normal 2 10"/>
    <tableColumn id="57" xr3:uid="{00000000-0010-0000-0100-000039000000}" name="ST" dataDxfId="3327" totalsRowDxfId="3326" dataCellStyle="Normal 2 10"/>
    <tableColumn id="6" xr3:uid="{00000000-0010-0000-0100-000006000000}" name="UNION CLASS" dataDxfId="3325" totalsRowDxfId="3324" dataCellStyle="Normal 2 10"/>
    <tableColumn id="107" xr3:uid="{00000000-0010-0000-0100-00006B000000}" name="Cert Class Form" dataDxfId="3323" totalsRowDxfId="3322" dataCellStyle="Normal 2 10">
      <calculatedColumnFormula>IF($K13=0,"",IF($K13&lt;10,"0"&amp;$K13,$K13))</calculatedColumnFormula>
    </tableColumn>
    <tableColumn id="93" xr3:uid="{00000000-0010-0000-0100-00005D000000}" name="CERT. CLASS" dataDxfId="3321" totalsRowDxfId="3320" dataCellStyle="Normal 2 10"/>
    <tableColumn id="9" xr3:uid="{00000000-0010-0000-0100-000009000000}" name="RT1" totalsRowFunction="sum" dataDxfId="3319" totalsRowDxfId="3318" dataCellStyle="Normal 2 10"/>
    <tableColumn id="10" xr3:uid="{00000000-0010-0000-0100-00000A000000}" name="OT1" totalsRowFunction="sum" dataDxfId="3317" totalsRowDxfId="3316" dataCellStyle="Normal 2 10"/>
    <tableColumn id="11" xr3:uid="{00000000-0010-0000-0100-00000B000000}" name="DT1" totalsRowFunction="sum" dataDxfId="3315" totalsRowDxfId="3314" dataCellStyle="Normal 2 10"/>
    <tableColumn id="12" xr3:uid="{00000000-0010-0000-0100-00000C000000}" name="PD1" totalsRowFunction="sum" dataDxfId="3313" totalsRowDxfId="3312" dataCellStyle="Normal 2 10"/>
    <tableColumn id="13" xr3:uid="{00000000-0010-0000-0100-00000D000000}" name="4D1" totalsRowFunction="sum" dataDxfId="3311" totalsRowDxfId="3310" dataCellStyle="Normal 2 10"/>
    <tableColumn id="14" xr3:uid="{00000000-0010-0000-0100-00000E000000}" name="4A1" totalsRowFunction="sum" dataDxfId="3309" totalsRowDxfId="3308" dataCellStyle="Normal 2 10"/>
    <tableColumn id="15" xr3:uid="{00000000-0010-0000-0100-00000F000000}" name="RT2" totalsRowFunction="sum" dataDxfId="3307" totalsRowDxfId="3306" dataCellStyle="Normal 2 10"/>
    <tableColumn id="16" xr3:uid="{00000000-0010-0000-0100-000010000000}" name="OT2" totalsRowFunction="sum" dataDxfId="3305" totalsRowDxfId="3304" dataCellStyle="Normal 2 10"/>
    <tableColumn id="17" xr3:uid="{00000000-0010-0000-0100-000011000000}" name="DT2" totalsRowFunction="sum" dataDxfId="3303" totalsRowDxfId="3302" dataCellStyle="Normal 2 10"/>
    <tableColumn id="18" xr3:uid="{00000000-0010-0000-0100-000012000000}" name="PD2" totalsRowFunction="sum" dataDxfId="3301" totalsRowDxfId="3300" dataCellStyle="Normal 2 10"/>
    <tableColumn id="19" xr3:uid="{00000000-0010-0000-0100-000013000000}" name="4D2" totalsRowFunction="sum" dataDxfId="3299" totalsRowDxfId="3298" dataCellStyle="Normal 2 10"/>
    <tableColumn id="20" xr3:uid="{00000000-0010-0000-0100-000014000000}" name="4A2" totalsRowFunction="sum" dataDxfId="3297" totalsRowDxfId="3296" dataCellStyle="Normal 2 10"/>
    <tableColumn id="21" xr3:uid="{00000000-0010-0000-0100-000015000000}" name="RT3" totalsRowFunction="sum" dataDxfId="3295" totalsRowDxfId="3294" dataCellStyle="Normal 2 10"/>
    <tableColumn id="22" xr3:uid="{00000000-0010-0000-0100-000016000000}" name="OT3" totalsRowFunction="sum" dataDxfId="3293" totalsRowDxfId="3292" dataCellStyle="Normal 2 10"/>
    <tableColumn id="23" xr3:uid="{00000000-0010-0000-0100-000017000000}" name="DT3" totalsRowFunction="sum" dataDxfId="3291" totalsRowDxfId="3290" dataCellStyle="Normal 2 10"/>
    <tableColumn id="24" xr3:uid="{00000000-0010-0000-0100-000018000000}" name="PD3" totalsRowFunction="sum" dataDxfId="3289" totalsRowDxfId="3288" dataCellStyle="Normal 2 10"/>
    <tableColumn id="25" xr3:uid="{00000000-0010-0000-0100-000019000000}" name="4D3" totalsRowFunction="sum" dataDxfId="3287" totalsRowDxfId="3286" dataCellStyle="Normal 2 10"/>
    <tableColumn id="26" xr3:uid="{00000000-0010-0000-0100-00001A000000}" name="4A3" totalsRowFunction="sum" dataDxfId="3285" totalsRowDxfId="3284" dataCellStyle="Normal 2 10"/>
    <tableColumn id="27" xr3:uid="{00000000-0010-0000-0100-00001B000000}" name="RT4" totalsRowFunction="sum" dataDxfId="3283" totalsRowDxfId="3282" dataCellStyle="Normal 2 10"/>
    <tableColumn id="28" xr3:uid="{00000000-0010-0000-0100-00001C000000}" name="OT4" totalsRowFunction="sum" dataDxfId="3281" totalsRowDxfId="3280" dataCellStyle="Normal 2 10"/>
    <tableColumn id="29" xr3:uid="{00000000-0010-0000-0100-00001D000000}" name="DT4" totalsRowFunction="sum" dataDxfId="3279" totalsRowDxfId="3278" dataCellStyle="Normal 2 10"/>
    <tableColumn id="30" xr3:uid="{00000000-0010-0000-0100-00001E000000}" name="PD4" totalsRowFunction="sum" dataDxfId="3277" totalsRowDxfId="3276" dataCellStyle="Normal 2 10"/>
    <tableColumn id="31" xr3:uid="{00000000-0010-0000-0100-00001F000000}" name="4D4" totalsRowFunction="sum" dataDxfId="3275" totalsRowDxfId="3274" dataCellStyle="Normal 2 10"/>
    <tableColumn id="32" xr3:uid="{00000000-0010-0000-0100-000020000000}" name="4A4" totalsRowFunction="sum" dataDxfId="3273" totalsRowDxfId="3272" dataCellStyle="Normal 2 10"/>
    <tableColumn id="33" xr3:uid="{00000000-0010-0000-0100-000021000000}" name="RT5" totalsRowFunction="sum" dataDxfId="3271" totalsRowDxfId="3270" dataCellStyle="Normal 2 10"/>
    <tableColumn id="34" xr3:uid="{00000000-0010-0000-0100-000022000000}" name="OT5" totalsRowFunction="sum" dataDxfId="3269" totalsRowDxfId="3268" dataCellStyle="Normal 2 10"/>
    <tableColumn id="35" xr3:uid="{00000000-0010-0000-0100-000023000000}" name="DT5" totalsRowFunction="sum" dataDxfId="3267" totalsRowDxfId="3266" dataCellStyle="Normal 2 10"/>
    <tableColumn id="36" xr3:uid="{00000000-0010-0000-0100-000024000000}" name="PD5" totalsRowFunction="sum" dataDxfId="3265" totalsRowDxfId="3264" dataCellStyle="Normal 2 10"/>
    <tableColumn id="37" xr3:uid="{00000000-0010-0000-0100-000025000000}" name="4D5" totalsRowFunction="sum" dataDxfId="3263" totalsRowDxfId="3262" dataCellStyle="Normal 2 10"/>
    <tableColumn id="38" xr3:uid="{00000000-0010-0000-0100-000026000000}" name="4A5" totalsRowFunction="sum" dataDxfId="3261" totalsRowDxfId="3260" dataCellStyle="Normal 2 10"/>
    <tableColumn id="39" xr3:uid="{00000000-0010-0000-0100-000027000000}" name="RT6" totalsRowFunction="sum" dataDxfId="3259" totalsRowDxfId="3258" dataCellStyle="Normal 2 10"/>
    <tableColumn id="40" xr3:uid="{00000000-0010-0000-0100-000028000000}" name="OT6" totalsRowFunction="sum" dataDxfId="3257" totalsRowDxfId="3256" dataCellStyle="Normal 2 10"/>
    <tableColumn id="41" xr3:uid="{00000000-0010-0000-0100-000029000000}" name="DT6" totalsRowFunction="sum" dataDxfId="3255" totalsRowDxfId="3254" dataCellStyle="Normal 2 10"/>
    <tableColumn id="42" xr3:uid="{00000000-0010-0000-0100-00002A000000}" name="PD6" totalsRowFunction="sum" dataDxfId="3253" totalsRowDxfId="3252" dataCellStyle="Normal 2 10"/>
    <tableColumn id="43" xr3:uid="{00000000-0010-0000-0100-00002B000000}" name="4D6" totalsRowFunction="sum" dataDxfId="3251" totalsRowDxfId="3250" dataCellStyle="Normal 2 10"/>
    <tableColumn id="44" xr3:uid="{00000000-0010-0000-0100-00002C000000}" name="4A6" totalsRowFunction="sum" dataDxfId="3249" totalsRowDxfId="3248" dataCellStyle="Normal 2 10"/>
    <tableColumn id="45" xr3:uid="{00000000-0010-0000-0100-00002D000000}" name="RT7" totalsRowFunction="sum" dataDxfId="3247" totalsRowDxfId="3246" dataCellStyle="Normal 2 10"/>
    <tableColumn id="46" xr3:uid="{00000000-0010-0000-0100-00002E000000}" name="OT7" totalsRowFunction="sum" dataDxfId="3245" totalsRowDxfId="3244" dataCellStyle="Normal 2 10"/>
    <tableColumn id="47" xr3:uid="{00000000-0010-0000-0100-00002F000000}" name="DT7" totalsRowFunction="sum" dataDxfId="3243" totalsRowDxfId="3242" dataCellStyle="Normal 2 10"/>
    <tableColumn id="48" xr3:uid="{00000000-0010-0000-0100-000030000000}" name="PD7" totalsRowFunction="sum" dataDxfId="3241" totalsRowDxfId="3240" dataCellStyle="Normal 2 10"/>
    <tableColumn id="49" xr3:uid="{00000000-0010-0000-0100-000031000000}" name="4D7" totalsRowFunction="sum" dataDxfId="3239" totalsRowDxfId="3238" dataCellStyle="Normal 2 10"/>
    <tableColumn id="50" xr3:uid="{00000000-0010-0000-0100-000032000000}" name="4A7" totalsRowFunction="sum" dataDxfId="3237" totalsRowDxfId="3236" dataCellStyle="Normal 2 10"/>
    <tableColumn id="51" xr3:uid="{00000000-0010-0000-0100-000033000000}" name="1" totalsRowFunction="sum" dataDxfId="3235" totalsRowDxfId="3234" dataCellStyle="Normal 2 10">
      <calculatedColumnFormula>SUM(AV13,AP13,AJ13,AD13,X13,R13,L13)</calculatedColumnFormula>
    </tableColumn>
    <tableColumn id="52" xr3:uid="{00000000-0010-0000-0100-000034000000}" name="3" totalsRowFunction="sum" dataDxfId="3233" totalsRowDxfId="3232" dataCellStyle="Normal 2 10">
      <calculatedColumnFormula>SUM(AW13,AQ13,AK13,AE13,Y13,S13,M13)</calculatedColumnFormula>
    </tableColumn>
    <tableColumn id="53" xr3:uid="{00000000-0010-0000-0100-000035000000}" name="2" totalsRowFunction="sum" dataDxfId="3231" totalsRowDxfId="3230" dataCellStyle="Normal 2 10">
      <calculatedColumnFormula>SUM(AX13,AR13,AL13,AF13,Z13,T13,N13)</calculatedColumnFormula>
    </tableColumn>
    <tableColumn id="54" xr3:uid="{00000000-0010-0000-0100-000036000000}" name="4" totalsRowFunction="sum" dataDxfId="3229" totalsRowDxfId="3228" dataCellStyle="Normal 2 10">
      <calculatedColumnFormula>SUM(AY13,AS13,AM13,AG13,AA13,U13,O13)</calculatedColumnFormula>
    </tableColumn>
    <tableColumn id="55" xr3:uid="{00000000-0010-0000-0100-000037000000}" name="4D" totalsRowFunction="sum" dataDxfId="3227" totalsRowDxfId="3226" dataCellStyle="Normal 2 10">
      <calculatedColumnFormula>SUM(AZ13,AT13,AN13,AH13,AB13,V13,P13)</calculatedColumnFormula>
    </tableColumn>
    <tableColumn id="56" xr3:uid="{00000000-0010-0000-0100-000038000000}" name="4A" totalsRowFunction="sum" dataDxfId="3225" totalsRowDxfId="3224" dataCellStyle="Normal 2 10">
      <calculatedColumnFormula>SUM(BA13,AU13,AO13,AI13,AC13,W13,Q13)</calculatedColumnFormula>
    </tableColumn>
    <tableColumn id="3" xr3:uid="{00000000-0010-0000-0100-000003000000}" name="Total" totalsRowFunction="custom" dataDxfId="3223" totalsRowDxfId="3222" dataCellStyle="Normal 2 10">
      <calculatedColumnFormula>SUM(TimeSheet341252[[#This Row],[1]:[4A]])</calculatedColumnFormula>
      <totalsRowFormula>SUBTOTAL(109,TimeSheet341252[Total])-SUM(TimeSheet341252[[#Totals],[RT1]:[4A7]])</totalsRowFormula>
    </tableColumn>
    <tableColumn id="65" xr3:uid="{00000000-0010-0000-0100-000041000000}" name="COC1.1" dataDxfId="3221" totalsRowDxfId="3220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100-000042000000}" name="COC3.1" dataDxfId="3219" totalsRowDxfId="3218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100-000043000000}" name="COC2.1" dataDxfId="3217" totalsRowDxfId="3216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100-00005E000000}" name="COC2.13" dataDxfId="3215" totalsRowDxfId="3214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100-00003F000000}" name="COC2.12" dataDxfId="3213" totalsRowDxfId="3212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100-000044000000}" name="COC4A.1" dataDxfId="3211" totalsRowDxfId="3210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100-000045000000}" name="COC1.2" dataDxfId="3209" totalsRowDxfId="3208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100-000046000000}" name="COC3.2" dataDxfId="3207" totalsRowDxfId="3206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100-000047000000}" name="COC2.2" dataDxfId="3205" totalsRowDxfId="3204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100-000060000000}" name="COC2.23" dataDxfId="3203" totalsRowDxfId="3202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100-00005F000000}" name="COC2.22" dataDxfId="3201" totalsRowDxfId="3200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100-000048000000}" name="COC4A.2" dataDxfId="3199" totalsRowDxfId="3198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100-000049000000}" name="COC1.3" dataDxfId="3197" totalsRowDxfId="3196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100-00004A000000}" name="COC3.3" dataDxfId="3195" totalsRowDxfId="3194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100-00004B000000}" name="COC2.3" dataDxfId="3193" totalsRowDxfId="3192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100-000062000000}" name="COC2.33" dataDxfId="3191" totalsRowDxfId="3190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100-000061000000}" name="COC2.32" dataDxfId="3189" totalsRowDxfId="3188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100-00004C000000}" name="COC4A.3" dataDxfId="3187" totalsRowDxfId="3186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100-00004D000000}" name="COC1.4" dataDxfId="3185" totalsRowDxfId="3184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100-00004E000000}" name="COC3.4" dataDxfId="3183" totalsRowDxfId="3182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100-00004F000000}" name="COC2.4" dataDxfId="3181" totalsRowDxfId="3180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100-000064000000}" name="COC2.43" dataDxfId="3179" totalsRowDxfId="3178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100-000063000000}" name="COC2.42" dataDxfId="3177" totalsRowDxfId="3176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100-000050000000}" name="COC4A.4" dataDxfId="3175" totalsRowDxfId="3174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100-000051000000}" name="COC1.5" dataDxfId="3173" totalsRowDxfId="3172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100-000052000000}" name="COC3.5" dataDxfId="3171" totalsRowDxfId="3170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100-000053000000}" name="COC2.5" dataDxfId="3169" totalsRowDxfId="3168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100-00006A000000}" name="COC2.53" dataDxfId="3167" totalsRowDxfId="3166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100-000069000000}" name="COC2.52" dataDxfId="3165" totalsRowDxfId="3164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100-000054000000}" name="COC4A.5" dataDxfId="3163" totalsRowDxfId="3162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100-000055000000}" name="COC1.6" dataDxfId="3161" totalsRowDxfId="3160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100-000056000000}" name="COC3.6" dataDxfId="3159" totalsRowDxfId="3158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100-000057000000}" name="COC2.6" dataDxfId="3157" totalsRowDxfId="3156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100-000066000000}" name="COC2.63" dataDxfId="3155" totalsRowDxfId="3154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100-000065000000}" name="COC2.62" dataDxfId="3153" totalsRowDxfId="3152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100-000058000000}" name="COC4A.6" dataDxfId="3151" totalsRowDxfId="3150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100-000059000000}" name="COC1.7" dataDxfId="3149" totalsRowDxfId="3148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100-00005A000000}" name="COC3.7" dataDxfId="3147" totalsRowDxfId="3146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100-00005B000000}" name="COC2.7" dataDxfId="3145" totalsRowDxfId="3144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100-000068000000}" name="COC2.72" dataDxfId="3143" totalsRowDxfId="3142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100-000067000000}" name="COC2.8" dataDxfId="3141" totalsRowDxfId="3140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100-00005C000000}" name="COC4A.7" dataDxfId="3139" totalsRowDxfId="3138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imeSheet348" displayName="TimeSheet348" ref="A12:CX24" totalsRowCount="1" headerRowDxfId="3005" dataDxfId="3003" totalsRowDxfId="3001" headerRowBorderDxfId="3004" tableBorderDxfId="3002" totalsRowBorderDxfId="3000" headerRowCellStyle="Normal 2 10" dataCellStyle="Normal 2 10" totalsRowCellStyle="Normal 2 10">
  <tableColumns count="102">
    <tableColumn id="8" xr3:uid="{00000000-0010-0000-0200-000008000000}" name="IMPORT TIME?" dataDxfId="2999" totalsRowDxfId="2998" dataCellStyle="Normal 2 10">
      <calculatedColumnFormula>IF(ISBLANK(C13),"",IF(ISBLANK($D$3),"",$D$3))</calculatedColumnFormula>
    </tableColumn>
    <tableColumn id="64" xr3:uid="{00000000-0010-0000-0200-000040000000}" name="WC CODE" dataDxfId="2997" totalsRowDxfId="2996" dataCellStyle="Normal 2 10"/>
    <tableColumn id="2" xr3:uid="{00000000-0010-0000-0200-000002000000}" name="JOB " dataDxfId="2995" totalsRowDxfId="2994" dataCellStyle="Normal 2 10"/>
    <tableColumn id="4" xr3:uid="{00000000-0010-0000-0200-000004000000}" name="EXTRA" dataDxfId="2993" totalsRowDxfId="2992" dataCellStyle="Normal 2 10"/>
    <tableColumn id="5" xr3:uid="{00000000-0010-0000-0200-000005000000}" name="PHASE" dataDxfId="2991" totalsRowDxfId="2990" dataCellStyle="Normal 2 10"/>
    <tableColumn id="7" xr3:uid="{00000000-0010-0000-0200-000007000000}" name="UNION LOCAL" dataDxfId="2989" totalsRowDxfId="2988" dataCellStyle="Normal 2 10">
      <calculatedColumnFormula>IF(ISBLANK($B$4),"",$B$4)</calculatedColumnFormula>
    </tableColumn>
    <tableColumn id="58" xr3:uid="{00000000-0010-0000-0200-00003A000000}" name="WC STATE" dataDxfId="2987" totalsRowDxfId="2986" dataCellStyle="Normal 2 10"/>
    <tableColumn id="57" xr3:uid="{00000000-0010-0000-0200-000039000000}" name="ST" dataDxfId="2985" totalsRowDxfId="2984" dataCellStyle="Normal 2 10"/>
    <tableColumn id="6" xr3:uid="{00000000-0010-0000-0200-000006000000}" name="UNION CLASS" dataDxfId="2983" totalsRowDxfId="2982" dataCellStyle="Normal 2 10"/>
    <tableColumn id="107" xr3:uid="{00000000-0010-0000-0200-00006B000000}" name="Cert Class Form" dataDxfId="2981" totalsRowDxfId="2980" dataCellStyle="Normal 2 10">
      <calculatedColumnFormula>IF($K13=0,"",IF($K13&lt;10,"0"&amp;$K13,$K13))</calculatedColumnFormula>
    </tableColumn>
    <tableColumn id="93" xr3:uid="{00000000-0010-0000-0200-00005D000000}" name="CERT. CLASS" dataDxfId="2979" totalsRowDxfId="2978" dataCellStyle="Normal 2 10"/>
    <tableColumn id="9" xr3:uid="{00000000-0010-0000-0200-000009000000}" name="RT1" totalsRowFunction="sum" dataDxfId="2977" totalsRowDxfId="2976" dataCellStyle="Normal 2 10"/>
    <tableColumn id="10" xr3:uid="{00000000-0010-0000-0200-00000A000000}" name="OT1" totalsRowFunction="sum" dataDxfId="2975" totalsRowDxfId="2974" dataCellStyle="Normal 2 10"/>
    <tableColumn id="11" xr3:uid="{00000000-0010-0000-0200-00000B000000}" name="DT1" totalsRowFunction="sum" dataDxfId="2973" totalsRowDxfId="2972" dataCellStyle="Normal 2 10"/>
    <tableColumn id="12" xr3:uid="{00000000-0010-0000-0200-00000C000000}" name="PD1" totalsRowFunction="sum" dataDxfId="2971" totalsRowDxfId="2970" dataCellStyle="Normal 2 10"/>
    <tableColumn id="13" xr3:uid="{00000000-0010-0000-0200-00000D000000}" name="4D1" totalsRowFunction="sum" dataDxfId="2969" totalsRowDxfId="2968" dataCellStyle="Normal 2 10"/>
    <tableColumn id="14" xr3:uid="{00000000-0010-0000-0200-00000E000000}" name="4A1" totalsRowFunction="sum" dataDxfId="2967" totalsRowDxfId="2966" dataCellStyle="Normal 2 10"/>
    <tableColumn id="15" xr3:uid="{00000000-0010-0000-0200-00000F000000}" name="RT2" totalsRowFunction="sum" dataDxfId="2965" totalsRowDxfId="2964" dataCellStyle="Normal 2 10"/>
    <tableColumn id="16" xr3:uid="{00000000-0010-0000-0200-000010000000}" name="OT2" totalsRowFunction="sum" dataDxfId="2963" totalsRowDxfId="2962" dataCellStyle="Normal 2 10"/>
    <tableColumn id="17" xr3:uid="{00000000-0010-0000-0200-000011000000}" name="DT2" totalsRowFunction="sum" dataDxfId="2961" totalsRowDxfId="2960" dataCellStyle="Normal 2 10"/>
    <tableColumn id="18" xr3:uid="{00000000-0010-0000-0200-000012000000}" name="PD2" totalsRowFunction="sum" dataDxfId="2959" totalsRowDxfId="2958" dataCellStyle="Normal 2 10"/>
    <tableColumn id="19" xr3:uid="{00000000-0010-0000-0200-000013000000}" name="4D2" totalsRowFunction="sum" dataDxfId="2957" totalsRowDxfId="2956" dataCellStyle="Normal 2 10"/>
    <tableColumn id="20" xr3:uid="{00000000-0010-0000-0200-000014000000}" name="4A2" totalsRowFunction="sum" dataDxfId="2955" totalsRowDxfId="2954" dataCellStyle="Normal 2 10"/>
    <tableColumn id="21" xr3:uid="{00000000-0010-0000-0200-000015000000}" name="RT3" totalsRowFunction="sum" dataDxfId="2953" totalsRowDxfId="2952" dataCellStyle="Normal 2 10"/>
    <tableColumn id="22" xr3:uid="{00000000-0010-0000-0200-000016000000}" name="OT3" totalsRowFunction="sum" dataDxfId="2951" totalsRowDxfId="2950" dataCellStyle="Normal 2 10"/>
    <tableColumn id="23" xr3:uid="{00000000-0010-0000-0200-000017000000}" name="DT3" totalsRowFunction="sum" dataDxfId="2949" totalsRowDxfId="2948" dataCellStyle="Normal 2 10"/>
    <tableColumn id="24" xr3:uid="{00000000-0010-0000-0200-000018000000}" name="PD3" totalsRowFunction="sum" dataDxfId="2947" totalsRowDxfId="2946" dataCellStyle="Normal 2 10"/>
    <tableColumn id="25" xr3:uid="{00000000-0010-0000-0200-000019000000}" name="4D3" totalsRowFunction="sum" dataDxfId="2945" totalsRowDxfId="2944" dataCellStyle="Normal 2 10"/>
    <tableColumn id="26" xr3:uid="{00000000-0010-0000-0200-00001A000000}" name="4A3" totalsRowFunction="sum" dataDxfId="2943" totalsRowDxfId="2942" dataCellStyle="Normal 2 10"/>
    <tableColumn id="27" xr3:uid="{00000000-0010-0000-0200-00001B000000}" name="RT4" totalsRowFunction="sum" dataDxfId="2941" totalsRowDxfId="2940" dataCellStyle="Normal 2 10"/>
    <tableColumn id="28" xr3:uid="{00000000-0010-0000-0200-00001C000000}" name="OT4" totalsRowFunction="sum" dataDxfId="2939" totalsRowDxfId="2938" dataCellStyle="Normal 2 10"/>
    <tableColumn id="29" xr3:uid="{00000000-0010-0000-0200-00001D000000}" name="DT4" totalsRowFunction="sum" dataDxfId="2937" totalsRowDxfId="2936" dataCellStyle="Normal 2 10"/>
    <tableColumn id="30" xr3:uid="{00000000-0010-0000-0200-00001E000000}" name="PD4" totalsRowFunction="sum" dataDxfId="2935" totalsRowDxfId="2934" dataCellStyle="Normal 2 10"/>
    <tableColumn id="31" xr3:uid="{00000000-0010-0000-0200-00001F000000}" name="4D4" totalsRowFunction="sum" dataDxfId="2933" totalsRowDxfId="2932" dataCellStyle="Normal 2 10"/>
    <tableColumn id="32" xr3:uid="{00000000-0010-0000-0200-000020000000}" name="4A4" totalsRowFunction="sum" dataDxfId="2931" totalsRowDxfId="2930" dataCellStyle="Normal 2 10"/>
    <tableColumn id="33" xr3:uid="{00000000-0010-0000-0200-000021000000}" name="RT5" totalsRowFunction="sum" dataDxfId="2929" totalsRowDxfId="2928" dataCellStyle="Normal 2 10"/>
    <tableColumn id="34" xr3:uid="{00000000-0010-0000-0200-000022000000}" name="OT5" totalsRowFunction="sum" dataDxfId="2927" totalsRowDxfId="2926" dataCellStyle="Normal 2 10"/>
    <tableColumn id="35" xr3:uid="{00000000-0010-0000-0200-000023000000}" name="DT5" totalsRowFunction="sum" dataDxfId="2925" totalsRowDxfId="2924" dataCellStyle="Normal 2 10"/>
    <tableColumn id="36" xr3:uid="{00000000-0010-0000-0200-000024000000}" name="PD5" totalsRowFunction="sum" dataDxfId="2923" totalsRowDxfId="2922" dataCellStyle="Normal 2 10"/>
    <tableColumn id="37" xr3:uid="{00000000-0010-0000-0200-000025000000}" name="4D5" totalsRowFunction="sum" dataDxfId="2921" totalsRowDxfId="2920" dataCellStyle="Normal 2 10"/>
    <tableColumn id="38" xr3:uid="{00000000-0010-0000-0200-000026000000}" name="4A5" totalsRowFunction="sum" dataDxfId="2919" totalsRowDxfId="2918" dataCellStyle="Normal 2 10"/>
    <tableColumn id="39" xr3:uid="{00000000-0010-0000-0200-000027000000}" name="RT6" totalsRowFunction="sum" dataDxfId="2917" totalsRowDxfId="2916" dataCellStyle="Normal 2 10"/>
    <tableColumn id="40" xr3:uid="{00000000-0010-0000-0200-000028000000}" name="OT6" totalsRowFunction="sum" dataDxfId="2915" totalsRowDxfId="2914" dataCellStyle="Normal 2 10"/>
    <tableColumn id="41" xr3:uid="{00000000-0010-0000-0200-000029000000}" name="DT6" totalsRowFunction="sum" dataDxfId="2913" totalsRowDxfId="2912" dataCellStyle="Normal 2 10"/>
    <tableColumn id="42" xr3:uid="{00000000-0010-0000-0200-00002A000000}" name="PD6" totalsRowFunction="sum" dataDxfId="2911" totalsRowDxfId="2910" dataCellStyle="Normal 2 10"/>
    <tableColumn id="43" xr3:uid="{00000000-0010-0000-0200-00002B000000}" name="4D6" totalsRowFunction="sum" dataDxfId="2909" totalsRowDxfId="2908" dataCellStyle="Normal 2 10"/>
    <tableColumn id="44" xr3:uid="{00000000-0010-0000-0200-00002C000000}" name="4A6" totalsRowFunction="sum" dataDxfId="2907" totalsRowDxfId="2906" dataCellStyle="Normal 2 10"/>
    <tableColumn id="45" xr3:uid="{00000000-0010-0000-0200-00002D000000}" name="RT7" totalsRowFunction="sum" dataDxfId="2905" totalsRowDxfId="2904" dataCellStyle="Normal 2 10"/>
    <tableColumn id="46" xr3:uid="{00000000-0010-0000-0200-00002E000000}" name="OT7" totalsRowFunction="sum" dataDxfId="2903" totalsRowDxfId="2902" dataCellStyle="Normal 2 10"/>
    <tableColumn id="47" xr3:uid="{00000000-0010-0000-0200-00002F000000}" name="DT7" totalsRowFunction="sum" dataDxfId="2901" totalsRowDxfId="2900" dataCellStyle="Normal 2 10"/>
    <tableColumn id="48" xr3:uid="{00000000-0010-0000-0200-000030000000}" name="PD7" totalsRowFunction="sum" dataDxfId="2899" totalsRowDxfId="2898" dataCellStyle="Normal 2 10"/>
    <tableColumn id="49" xr3:uid="{00000000-0010-0000-0200-000031000000}" name="4D7" totalsRowFunction="sum" dataDxfId="2897" totalsRowDxfId="2896" dataCellStyle="Normal 2 10"/>
    <tableColumn id="50" xr3:uid="{00000000-0010-0000-0200-000032000000}" name="4A7" totalsRowFunction="sum" dataDxfId="2895" totalsRowDxfId="2894" dataCellStyle="Normal 2 10"/>
    <tableColumn id="51" xr3:uid="{00000000-0010-0000-0200-000033000000}" name="1" totalsRowFunction="sum" dataDxfId="2893" totalsRowDxfId="2892" dataCellStyle="Normal 2 10">
      <calculatedColumnFormula>SUM(AV13,AP13,AJ13,AD13,X13,R13,L13)</calculatedColumnFormula>
    </tableColumn>
    <tableColumn id="52" xr3:uid="{00000000-0010-0000-0200-000034000000}" name="3" totalsRowFunction="sum" dataDxfId="2891" totalsRowDxfId="2890" dataCellStyle="Normal 2 10">
      <calculatedColumnFormula>SUM(AW13,AQ13,AK13,AE13,Y13,S13,M13)</calculatedColumnFormula>
    </tableColumn>
    <tableColumn id="53" xr3:uid="{00000000-0010-0000-0200-000035000000}" name="2" totalsRowFunction="sum" dataDxfId="2889" totalsRowDxfId="2888" dataCellStyle="Normal 2 10">
      <calculatedColumnFormula>SUM(AX13,AR13,AL13,AF13,Z13,T13,N13)</calculatedColumnFormula>
    </tableColumn>
    <tableColumn id="54" xr3:uid="{00000000-0010-0000-0200-000036000000}" name="4" totalsRowFunction="sum" dataDxfId="2887" totalsRowDxfId="2886" dataCellStyle="Normal 2 10">
      <calculatedColumnFormula>SUM(AY13,AS13,AM13,AG13,AA13,U13,O13)</calculatedColumnFormula>
    </tableColumn>
    <tableColumn id="55" xr3:uid="{00000000-0010-0000-0200-000037000000}" name="4D" totalsRowFunction="sum" dataDxfId="2885" totalsRowDxfId="2884" dataCellStyle="Normal 2 10">
      <calculatedColumnFormula>SUM(AZ13,AT13,AN13,AH13,AB13,V13,P13)</calculatedColumnFormula>
    </tableColumn>
    <tableColumn id="56" xr3:uid="{00000000-0010-0000-0200-000038000000}" name="4A" totalsRowFunction="sum" dataDxfId="2883" totalsRowDxfId="2882" dataCellStyle="Normal 2 10">
      <calculatedColumnFormula>SUM(BA13,AU13,AO13,AI13,AC13,W13,Q13)</calculatedColumnFormula>
    </tableColumn>
    <tableColumn id="3" xr3:uid="{00000000-0010-0000-0200-000003000000}" name="Total" totalsRowFunction="custom" dataDxfId="2881" totalsRowDxfId="2880" dataCellStyle="Normal 2 10">
      <calculatedColumnFormula>SUM(TimeSheet348[[#This Row],[1]:[4A]])</calculatedColumnFormula>
      <totalsRowFormula>SUBTOTAL(109,TimeSheet348[Total])-SUM(TimeSheet348[[#Totals],[RT1]:[4A7]])</totalsRowFormula>
    </tableColumn>
    <tableColumn id="65" xr3:uid="{00000000-0010-0000-0200-000041000000}" name="COC1.1" dataDxfId="2879" totalsRowDxfId="2878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200-000042000000}" name="COC3.1" dataDxfId="2877" totalsRowDxfId="2876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200-000043000000}" name="COC2.1" dataDxfId="2875" totalsRowDxfId="2874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200-00005E000000}" name="COC2.13" dataDxfId="2873" totalsRowDxfId="2872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200-00003F000000}" name="COC2.12" dataDxfId="2871" totalsRowDxfId="2870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200-000044000000}" name="COC4A.1" dataDxfId="2869" totalsRowDxfId="2868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200-000045000000}" name="COC1.2" dataDxfId="2867" totalsRowDxfId="2866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200-000046000000}" name="COC3.2" dataDxfId="2865" totalsRowDxfId="2864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200-000047000000}" name="COC2.2" dataDxfId="2863" totalsRowDxfId="2862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200-000060000000}" name="COC2.23" dataDxfId="2861" totalsRowDxfId="2860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200-00005F000000}" name="COC2.22" dataDxfId="2859" totalsRowDxfId="2858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200-000048000000}" name="COC4A.2" dataDxfId="2857" totalsRowDxfId="2856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200-000049000000}" name="COC1.3" dataDxfId="2855" totalsRowDxfId="2854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200-00004A000000}" name="COC3.3" dataDxfId="2853" totalsRowDxfId="2852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200-00004B000000}" name="COC2.3" dataDxfId="2851" totalsRowDxfId="2850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200-000062000000}" name="COC2.33" dataDxfId="2849" totalsRowDxfId="2848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200-000061000000}" name="COC2.32" dataDxfId="2847" totalsRowDxfId="2846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200-00004C000000}" name="COC4A.3" dataDxfId="2845" totalsRowDxfId="2844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200-00004D000000}" name="COC1.4" dataDxfId="2843" totalsRowDxfId="2842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200-00004E000000}" name="COC3.4" dataDxfId="2841" totalsRowDxfId="2840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200-00004F000000}" name="COC2.4" dataDxfId="2839" totalsRowDxfId="2838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200-000064000000}" name="COC2.43" dataDxfId="2837" totalsRowDxfId="2836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200-000063000000}" name="COC2.42" dataDxfId="2835" totalsRowDxfId="2834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200-000050000000}" name="COC4A.4" dataDxfId="2833" totalsRowDxfId="2832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200-000051000000}" name="COC1.5" dataDxfId="2831" totalsRowDxfId="2830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200-000052000000}" name="COC3.5" dataDxfId="2829" totalsRowDxfId="2828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200-000053000000}" name="COC2.5" dataDxfId="2827" totalsRowDxfId="2826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200-00006A000000}" name="COC2.53" dataDxfId="2825" totalsRowDxfId="2824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200-000069000000}" name="COC2.52" dataDxfId="2823" totalsRowDxfId="2822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200-000054000000}" name="COC4A.5" dataDxfId="2821" totalsRowDxfId="2820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200-000055000000}" name="COC1.6" dataDxfId="2819" totalsRowDxfId="2818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200-000056000000}" name="COC3.6" dataDxfId="2817" totalsRowDxfId="2816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200-000057000000}" name="COC2.6" dataDxfId="2815" totalsRowDxfId="2814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200-000066000000}" name="COC2.63" dataDxfId="2813" totalsRowDxfId="2812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200-000065000000}" name="COC2.62" dataDxfId="2811" totalsRowDxfId="2810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200-000058000000}" name="COC4A.6" dataDxfId="2809" totalsRowDxfId="2808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200-000059000000}" name="COC1.7" dataDxfId="2807" totalsRowDxfId="2806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200-00005A000000}" name="COC3.7" dataDxfId="2805" totalsRowDxfId="2804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200-00005B000000}" name="COC2.7" dataDxfId="2803" totalsRowDxfId="2802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200-000068000000}" name="COC2.72" dataDxfId="2801" totalsRowDxfId="2800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200-000067000000}" name="COC2.8" dataDxfId="2799" totalsRowDxfId="2798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200-00005C000000}" name="COC4A.7" dataDxfId="2797" totalsRowDxfId="2796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imeSheet3426" displayName="TimeSheet3426" ref="A12:CX24" totalsRowCount="1" headerRowDxfId="2683" dataDxfId="2681" totalsRowDxfId="2679" headerRowBorderDxfId="2682" tableBorderDxfId="2680" totalsRowBorderDxfId="2678" headerRowCellStyle="Normal 2 10" dataCellStyle="Normal 2 10" totalsRowCellStyle="Normal 2 10">
  <tableColumns count="102">
    <tableColumn id="8" xr3:uid="{00000000-0010-0000-0300-000008000000}" name="IMPORT TIME?" dataDxfId="2677" totalsRowDxfId="2676" dataCellStyle="Normal 2 10">
      <calculatedColumnFormula>IF(ISBLANK(C13),"",IF(ISBLANK($D$3),"",$D$3))</calculatedColumnFormula>
    </tableColumn>
    <tableColumn id="64" xr3:uid="{00000000-0010-0000-0300-000040000000}" name="WC CODE" dataDxfId="2675" totalsRowDxfId="2674" dataCellStyle="Normal 2 10"/>
    <tableColumn id="2" xr3:uid="{00000000-0010-0000-0300-000002000000}" name="JOB " dataDxfId="2673" totalsRowDxfId="2672" dataCellStyle="Normal 2 10"/>
    <tableColumn id="4" xr3:uid="{00000000-0010-0000-0300-000004000000}" name="EXTRA" dataDxfId="2671" totalsRowDxfId="2670" dataCellStyle="Normal 2 10"/>
    <tableColumn id="5" xr3:uid="{00000000-0010-0000-0300-000005000000}" name="PHASE" dataDxfId="2669" totalsRowDxfId="2668" dataCellStyle="Normal 2 10"/>
    <tableColumn id="7" xr3:uid="{00000000-0010-0000-0300-000007000000}" name="UNION LOCAL" dataDxfId="2667" totalsRowDxfId="2666" dataCellStyle="Normal 2 10">
      <calculatedColumnFormula>IF(ISBLANK($B$4),"",$B$4)</calculatedColumnFormula>
    </tableColumn>
    <tableColumn id="58" xr3:uid="{00000000-0010-0000-0300-00003A000000}" name="WC STATE" dataDxfId="2665" totalsRowDxfId="2664" dataCellStyle="Normal 2 10"/>
    <tableColumn id="57" xr3:uid="{00000000-0010-0000-0300-000039000000}" name="ST" dataDxfId="2663" totalsRowDxfId="2662" dataCellStyle="Normal 2 10"/>
    <tableColumn id="6" xr3:uid="{00000000-0010-0000-0300-000006000000}" name="UNION CLASS" dataDxfId="2661" totalsRowDxfId="2660" dataCellStyle="Normal 2 10"/>
    <tableColumn id="107" xr3:uid="{00000000-0010-0000-0300-00006B000000}" name="Cert Class Form" dataDxfId="2659" totalsRowDxfId="2658" dataCellStyle="Normal 2 10">
      <calculatedColumnFormula>IF($K13=0,"",IF($K13&lt;10,"0"&amp;$K13,$K13))</calculatedColumnFormula>
    </tableColumn>
    <tableColumn id="93" xr3:uid="{00000000-0010-0000-0300-00005D000000}" name="CERT. CLASS" dataDxfId="2657" totalsRowDxfId="2656" dataCellStyle="Normal 2 10"/>
    <tableColumn id="9" xr3:uid="{00000000-0010-0000-0300-000009000000}" name="RT1" totalsRowFunction="sum" dataDxfId="2655" totalsRowDxfId="2654" dataCellStyle="Normal 2 10"/>
    <tableColumn id="10" xr3:uid="{00000000-0010-0000-0300-00000A000000}" name="OT1" totalsRowFunction="sum" dataDxfId="2653" totalsRowDxfId="2652" dataCellStyle="Normal 2 10"/>
    <tableColumn id="11" xr3:uid="{00000000-0010-0000-0300-00000B000000}" name="DT1" totalsRowFunction="sum" dataDxfId="2651" totalsRowDxfId="2650" dataCellStyle="Normal 2 10"/>
    <tableColumn id="12" xr3:uid="{00000000-0010-0000-0300-00000C000000}" name="PD1" totalsRowFunction="sum" dataDxfId="2649" totalsRowDxfId="2648" dataCellStyle="Normal 2 10"/>
    <tableColumn id="13" xr3:uid="{00000000-0010-0000-0300-00000D000000}" name="4D1" totalsRowFunction="sum" dataDxfId="2647" totalsRowDxfId="2646" dataCellStyle="Normal 2 10"/>
    <tableColumn id="14" xr3:uid="{00000000-0010-0000-0300-00000E000000}" name="4A1" totalsRowFunction="sum" dataDxfId="2645" totalsRowDxfId="2644" dataCellStyle="Normal 2 10"/>
    <tableColumn id="15" xr3:uid="{00000000-0010-0000-0300-00000F000000}" name="RT2" totalsRowFunction="sum" dataDxfId="2643" totalsRowDxfId="2642" dataCellStyle="Normal 2 10"/>
    <tableColumn id="16" xr3:uid="{00000000-0010-0000-0300-000010000000}" name="OT2" totalsRowFunction="sum" dataDxfId="2641" totalsRowDxfId="2640" dataCellStyle="Normal 2 10"/>
    <tableColumn id="17" xr3:uid="{00000000-0010-0000-0300-000011000000}" name="DT2" totalsRowFunction="sum" dataDxfId="2639" totalsRowDxfId="2638" dataCellStyle="Normal 2 10"/>
    <tableColumn id="18" xr3:uid="{00000000-0010-0000-0300-000012000000}" name="PD2" totalsRowFunction="sum" dataDxfId="2637" totalsRowDxfId="2636" dataCellStyle="Normal 2 10"/>
    <tableColumn id="19" xr3:uid="{00000000-0010-0000-0300-000013000000}" name="4D2" totalsRowFunction="sum" dataDxfId="2635" totalsRowDxfId="2634" dataCellStyle="Normal 2 10"/>
    <tableColumn id="20" xr3:uid="{00000000-0010-0000-0300-000014000000}" name="4A2" totalsRowFunction="sum" dataDxfId="2633" totalsRowDxfId="2632" dataCellStyle="Normal 2 10"/>
    <tableColumn id="21" xr3:uid="{00000000-0010-0000-0300-000015000000}" name="RT3" totalsRowFunction="sum" dataDxfId="2631" totalsRowDxfId="2630" dataCellStyle="Normal 2 10"/>
    <tableColumn id="22" xr3:uid="{00000000-0010-0000-0300-000016000000}" name="OT3" totalsRowFunction="sum" dataDxfId="2629" totalsRowDxfId="2628" dataCellStyle="Normal 2 10"/>
    <tableColumn id="23" xr3:uid="{00000000-0010-0000-0300-000017000000}" name="DT3" totalsRowFunction="sum" dataDxfId="2627" totalsRowDxfId="2626" dataCellStyle="Normal 2 10"/>
    <tableColumn id="24" xr3:uid="{00000000-0010-0000-0300-000018000000}" name="PD3" totalsRowFunction="sum" dataDxfId="2625" totalsRowDxfId="2624" dataCellStyle="Normal 2 10"/>
    <tableColumn id="25" xr3:uid="{00000000-0010-0000-0300-000019000000}" name="4D3" totalsRowFunction="sum" dataDxfId="2623" totalsRowDxfId="2622" dataCellStyle="Normal 2 10"/>
    <tableColumn id="26" xr3:uid="{00000000-0010-0000-0300-00001A000000}" name="4A3" totalsRowFunction="sum" dataDxfId="2621" totalsRowDxfId="2620" dataCellStyle="Normal 2 10"/>
    <tableColumn id="27" xr3:uid="{00000000-0010-0000-0300-00001B000000}" name="RT4" totalsRowFunction="sum" dataDxfId="2619" totalsRowDxfId="2618" dataCellStyle="Normal 2 10"/>
    <tableColumn id="28" xr3:uid="{00000000-0010-0000-0300-00001C000000}" name="OT4" totalsRowFunction="sum" dataDxfId="2617" totalsRowDxfId="2616" dataCellStyle="Normal 2 10"/>
    <tableColumn id="29" xr3:uid="{00000000-0010-0000-0300-00001D000000}" name="DT4" totalsRowFunction="sum" dataDxfId="2615" totalsRowDxfId="2614" dataCellStyle="Normal 2 10"/>
    <tableColumn id="30" xr3:uid="{00000000-0010-0000-0300-00001E000000}" name="PD4" totalsRowFunction="sum" dataDxfId="2613" totalsRowDxfId="2612" dataCellStyle="Normal 2 10"/>
    <tableColumn id="31" xr3:uid="{00000000-0010-0000-0300-00001F000000}" name="4D4" totalsRowFunction="sum" dataDxfId="2611" totalsRowDxfId="2610" dataCellStyle="Normal 2 10"/>
    <tableColumn id="32" xr3:uid="{00000000-0010-0000-0300-000020000000}" name="4A4" totalsRowFunction="sum" dataDxfId="2609" totalsRowDxfId="2608" dataCellStyle="Normal 2 10"/>
    <tableColumn id="33" xr3:uid="{00000000-0010-0000-0300-000021000000}" name="RT5" totalsRowFunction="sum" dataDxfId="2607" totalsRowDxfId="2606" dataCellStyle="Normal 2 10"/>
    <tableColumn id="34" xr3:uid="{00000000-0010-0000-0300-000022000000}" name="OT5" totalsRowFunction="sum" dataDxfId="2605" totalsRowDxfId="2604" dataCellStyle="Normal 2 10"/>
    <tableColumn id="35" xr3:uid="{00000000-0010-0000-0300-000023000000}" name="DT5" totalsRowFunction="sum" dataDxfId="2603" totalsRowDxfId="2602" dataCellStyle="Normal 2 10"/>
    <tableColumn id="36" xr3:uid="{00000000-0010-0000-0300-000024000000}" name="PD5" totalsRowFunction="sum" dataDxfId="2601" totalsRowDxfId="2600" dataCellStyle="Normal 2 10"/>
    <tableColumn id="37" xr3:uid="{00000000-0010-0000-0300-000025000000}" name="4D5" totalsRowFunction="sum" dataDxfId="2599" totalsRowDxfId="2598" dataCellStyle="Normal 2 10"/>
    <tableColumn id="38" xr3:uid="{00000000-0010-0000-0300-000026000000}" name="4A5" totalsRowFunction="sum" dataDxfId="2597" totalsRowDxfId="2596" dataCellStyle="Normal 2 10"/>
    <tableColumn id="39" xr3:uid="{00000000-0010-0000-0300-000027000000}" name="RT6" totalsRowFunction="sum" dataDxfId="2595" totalsRowDxfId="2594" dataCellStyle="Normal 2 10"/>
    <tableColumn id="40" xr3:uid="{00000000-0010-0000-0300-000028000000}" name="OT6" totalsRowFunction="sum" dataDxfId="2593" totalsRowDxfId="2592" dataCellStyle="Normal 2 10"/>
    <tableColumn id="41" xr3:uid="{00000000-0010-0000-0300-000029000000}" name="DT6" totalsRowFunction="sum" dataDxfId="2591" totalsRowDxfId="2590" dataCellStyle="Normal 2 10"/>
    <tableColumn id="42" xr3:uid="{00000000-0010-0000-0300-00002A000000}" name="PD6" totalsRowFunction="sum" dataDxfId="2589" totalsRowDxfId="2588" dataCellStyle="Normal 2 10"/>
    <tableColumn id="43" xr3:uid="{00000000-0010-0000-0300-00002B000000}" name="4D6" totalsRowFunction="sum" dataDxfId="2587" totalsRowDxfId="2586" dataCellStyle="Normal 2 10"/>
    <tableColumn id="44" xr3:uid="{00000000-0010-0000-0300-00002C000000}" name="4A6" totalsRowFunction="sum" dataDxfId="2585" totalsRowDxfId="2584" dataCellStyle="Normal 2 10"/>
    <tableColumn id="45" xr3:uid="{00000000-0010-0000-0300-00002D000000}" name="RT7" totalsRowFunction="sum" dataDxfId="2583" totalsRowDxfId="2582" dataCellStyle="Normal 2 10"/>
    <tableColumn id="46" xr3:uid="{00000000-0010-0000-0300-00002E000000}" name="OT7" totalsRowFunction="sum" dataDxfId="2581" totalsRowDxfId="2580" dataCellStyle="Normal 2 10"/>
    <tableColumn id="47" xr3:uid="{00000000-0010-0000-0300-00002F000000}" name="DT7" totalsRowFunction="sum" dataDxfId="2579" totalsRowDxfId="2578" dataCellStyle="Normal 2 10"/>
    <tableColumn id="48" xr3:uid="{00000000-0010-0000-0300-000030000000}" name="PD7" totalsRowFunction="sum" dataDxfId="2577" totalsRowDxfId="2576" dataCellStyle="Normal 2 10"/>
    <tableColumn id="49" xr3:uid="{00000000-0010-0000-0300-000031000000}" name="4D7" totalsRowFunction="sum" dataDxfId="2575" totalsRowDxfId="2574" dataCellStyle="Normal 2 10"/>
    <tableColumn id="50" xr3:uid="{00000000-0010-0000-0300-000032000000}" name="4A7" totalsRowFunction="sum" dataDxfId="2573" totalsRowDxfId="2572" dataCellStyle="Normal 2 10"/>
    <tableColumn id="51" xr3:uid="{00000000-0010-0000-0300-000033000000}" name="1" totalsRowFunction="sum" dataDxfId="2571" totalsRowDxfId="2570" dataCellStyle="Normal 2 10">
      <calculatedColumnFormula>SUM(AV13,AP13,AJ13,AD13,X13,R13,L13)</calculatedColumnFormula>
    </tableColumn>
    <tableColumn id="52" xr3:uid="{00000000-0010-0000-0300-000034000000}" name="3" totalsRowFunction="sum" dataDxfId="2569" totalsRowDxfId="2568" dataCellStyle="Normal 2 10">
      <calculatedColumnFormula>SUM(AW13,AQ13,AK13,AE13,Y13,S13,M13)</calculatedColumnFormula>
    </tableColumn>
    <tableColumn id="53" xr3:uid="{00000000-0010-0000-0300-000035000000}" name="2" totalsRowFunction="sum" dataDxfId="2567" totalsRowDxfId="2566" dataCellStyle="Normal 2 10">
      <calculatedColumnFormula>SUM(AX13,AR13,AL13,AF13,Z13,T13,N13)</calculatedColumnFormula>
    </tableColumn>
    <tableColumn id="54" xr3:uid="{00000000-0010-0000-0300-000036000000}" name="4" totalsRowFunction="sum" dataDxfId="2565" totalsRowDxfId="2564" dataCellStyle="Normal 2 10">
      <calculatedColumnFormula>SUM(AY13,AS13,AM13,AG13,AA13,U13,O13)</calculatedColumnFormula>
    </tableColumn>
    <tableColumn id="55" xr3:uid="{00000000-0010-0000-0300-000037000000}" name="4D" totalsRowFunction="sum" dataDxfId="2563" totalsRowDxfId="2562" dataCellStyle="Normal 2 10">
      <calculatedColumnFormula>SUM(AZ13,AT13,AN13,AH13,AB13,V13,P13)</calculatedColumnFormula>
    </tableColumn>
    <tableColumn id="56" xr3:uid="{00000000-0010-0000-0300-000038000000}" name="4A" totalsRowFunction="sum" dataDxfId="2561" totalsRowDxfId="2560" dataCellStyle="Normal 2 10">
      <calculatedColumnFormula>SUM(BA13,AU13,AO13,AI13,AC13,W13,Q13)</calculatedColumnFormula>
    </tableColumn>
    <tableColumn id="3" xr3:uid="{00000000-0010-0000-0300-000003000000}" name="Total" totalsRowFunction="custom" dataDxfId="2559" totalsRowDxfId="2558" dataCellStyle="Normal 2 10">
      <calculatedColumnFormula>SUM(TimeSheet3426[[#This Row],[1]:[4A]])</calculatedColumnFormula>
      <totalsRowFormula>SUBTOTAL(109,TimeSheet3426[Total])-SUM(TimeSheet3426[[#Totals],[RT1]:[4A7]])</totalsRowFormula>
    </tableColumn>
    <tableColumn id="65" xr3:uid="{00000000-0010-0000-0300-000041000000}" name="COC1.1" dataDxfId="2557" totalsRowDxfId="2556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300-000042000000}" name="COC3.1" dataDxfId="2555" totalsRowDxfId="2554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300-000043000000}" name="COC2.1" dataDxfId="2553" totalsRowDxfId="2552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300-00005E000000}" name="COC2.13" dataDxfId="2551" totalsRowDxfId="2550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300-00003F000000}" name="COC2.12" dataDxfId="2549" totalsRowDxfId="2548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300-000044000000}" name="COC4A.1" dataDxfId="2547" totalsRowDxfId="2546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300-000045000000}" name="COC1.2" dataDxfId="2545" totalsRowDxfId="2544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300-000046000000}" name="COC3.2" dataDxfId="2543" totalsRowDxfId="2542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300-000047000000}" name="COC2.2" dataDxfId="2541" totalsRowDxfId="2540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300-000060000000}" name="COC2.23" dataDxfId="2539" totalsRowDxfId="2538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300-00005F000000}" name="COC2.22" dataDxfId="2537" totalsRowDxfId="2536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300-000048000000}" name="COC4A.2" dataDxfId="2535" totalsRowDxfId="2534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300-000049000000}" name="COC1.3" dataDxfId="2533" totalsRowDxfId="2532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300-00004A000000}" name="COC3.3" dataDxfId="2531" totalsRowDxfId="2530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300-00004B000000}" name="COC2.3" dataDxfId="2529" totalsRowDxfId="2528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300-000062000000}" name="COC2.33" dataDxfId="2527" totalsRowDxfId="2526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300-000061000000}" name="COC2.32" dataDxfId="2525" totalsRowDxfId="2524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300-00004C000000}" name="COC4A.3" dataDxfId="2523" totalsRowDxfId="2522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300-00004D000000}" name="COC1.4" dataDxfId="2521" totalsRowDxfId="2520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300-00004E000000}" name="COC3.4" dataDxfId="2519" totalsRowDxfId="2518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300-00004F000000}" name="COC2.4" dataDxfId="2517" totalsRowDxfId="2516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300-000064000000}" name="COC2.43" dataDxfId="2515" totalsRowDxfId="2514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300-000063000000}" name="COC2.42" dataDxfId="2513" totalsRowDxfId="2512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300-000050000000}" name="COC4A.4" dataDxfId="2511" totalsRowDxfId="2510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300-000051000000}" name="COC1.5" dataDxfId="2509" totalsRowDxfId="2508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300-000052000000}" name="COC3.5" dataDxfId="2507" totalsRowDxfId="2506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300-000053000000}" name="COC2.5" dataDxfId="2505" totalsRowDxfId="2504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300-00006A000000}" name="COC2.53" dataDxfId="2503" totalsRowDxfId="2502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300-000069000000}" name="COC2.52" dataDxfId="2501" totalsRowDxfId="2500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300-000054000000}" name="COC4A.5" dataDxfId="2499" totalsRowDxfId="2498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300-000055000000}" name="COC1.6" dataDxfId="2497" totalsRowDxfId="2496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300-000056000000}" name="COC3.6" dataDxfId="2495" totalsRowDxfId="2494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300-000057000000}" name="COC2.6" dataDxfId="2493" totalsRowDxfId="2492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300-000066000000}" name="COC2.63" dataDxfId="2491" totalsRowDxfId="2490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300-000065000000}" name="COC2.62" dataDxfId="2489" totalsRowDxfId="2488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300-000058000000}" name="COC4A.6" dataDxfId="2487" totalsRowDxfId="2486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300-000059000000}" name="COC1.7" dataDxfId="2485" totalsRowDxfId="2484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300-00005A000000}" name="COC3.7" dataDxfId="2483" totalsRowDxfId="2482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300-00005B000000}" name="COC2.7" dataDxfId="2481" totalsRowDxfId="2480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300-000068000000}" name="COC2.72" dataDxfId="2479" totalsRowDxfId="2478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300-000067000000}" name="COC2.8" dataDxfId="2477" totalsRowDxfId="2476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300-00005C000000}" name="COC4A.7" dataDxfId="2475" totalsRowDxfId="2474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imeSheet34753619244401821620262269123493124" displayName="TimeSheet34753619244401821620262269123493124" ref="A12:CX24" totalsRowCount="1" headerRowDxfId="2270" dataDxfId="2268" totalsRowDxfId="2266" headerRowBorderDxfId="2269" tableBorderDxfId="2267" totalsRowBorderDxfId="2265" headerRowCellStyle="Normal 2 10" dataCellStyle="Normal 2 10" totalsRowCellStyle="Normal 2 10">
  <tableColumns count="102">
    <tableColumn id="8" xr3:uid="{00000000-0010-0000-0400-000008000000}" name="IMPORT TIME?" dataDxfId="2264" totalsRowDxfId="2263" dataCellStyle="Normal 2 10">
      <calculatedColumnFormula>IF(ISBLANK(C13),"",IF(ISBLANK($D$3),"",$D$3))</calculatedColumnFormula>
    </tableColumn>
    <tableColumn id="64" xr3:uid="{00000000-0010-0000-0400-000040000000}" name="WC CODE" dataDxfId="2262" totalsRowDxfId="2261" dataCellStyle="Normal 2 10"/>
    <tableColumn id="2" xr3:uid="{00000000-0010-0000-0400-000002000000}" name="JOB " dataDxfId="2260" totalsRowDxfId="2259" dataCellStyle="Normal 2 10"/>
    <tableColumn id="4" xr3:uid="{00000000-0010-0000-0400-000004000000}" name="EXTRA" dataDxfId="2258" totalsRowDxfId="2257" dataCellStyle="Normal 2 10"/>
    <tableColumn id="5" xr3:uid="{00000000-0010-0000-0400-000005000000}" name="PHASE" dataDxfId="2256" totalsRowDxfId="2255" dataCellStyle="Normal 2 10"/>
    <tableColumn id="7" xr3:uid="{00000000-0010-0000-0400-000007000000}" name="UNION LOCAL" dataDxfId="2254" totalsRowDxfId="2253" dataCellStyle="Normal 2 10">
      <calculatedColumnFormula>IF(ISBLANK($B$4),"",$B$4)</calculatedColumnFormula>
    </tableColumn>
    <tableColumn id="58" xr3:uid="{00000000-0010-0000-0400-00003A000000}" name="WC STATE" dataDxfId="2252" totalsRowDxfId="2251" dataCellStyle="Normal 2 10"/>
    <tableColumn id="57" xr3:uid="{00000000-0010-0000-0400-000039000000}" name="ST" dataDxfId="2250" totalsRowDxfId="2249" dataCellStyle="Normal 2 10"/>
    <tableColumn id="6" xr3:uid="{00000000-0010-0000-0400-000006000000}" name="UNION CLASS" dataDxfId="2248" totalsRowDxfId="2247" dataCellStyle="Normal 2 10"/>
    <tableColumn id="107" xr3:uid="{00000000-0010-0000-0400-00006B000000}" name="Cert Class Form" dataDxfId="2246" totalsRowDxfId="2245" dataCellStyle="Normal 2 10">
      <calculatedColumnFormula>IF($K13=0,"",IF($K13&lt;10,"0"&amp;$K13,$K13))</calculatedColumnFormula>
    </tableColumn>
    <tableColumn id="93" xr3:uid="{00000000-0010-0000-0400-00005D000000}" name="CERT. CLASS" dataDxfId="2244" totalsRowDxfId="2243" dataCellStyle="Normal 2 10"/>
    <tableColumn id="9" xr3:uid="{00000000-0010-0000-0400-000009000000}" name="RT1" totalsRowFunction="sum" dataDxfId="2242" totalsRowDxfId="2241" dataCellStyle="Normal 2 10"/>
    <tableColumn id="10" xr3:uid="{00000000-0010-0000-0400-00000A000000}" name="OT1" totalsRowFunction="sum" dataDxfId="2240" totalsRowDxfId="2239" dataCellStyle="Normal 2 10"/>
    <tableColumn id="11" xr3:uid="{00000000-0010-0000-0400-00000B000000}" name="DT1" totalsRowFunction="sum" dataDxfId="2238" totalsRowDxfId="2237" dataCellStyle="Normal 2 10"/>
    <tableColumn id="12" xr3:uid="{00000000-0010-0000-0400-00000C000000}" name="PD1" totalsRowFunction="sum" dataDxfId="2236" totalsRowDxfId="2235" dataCellStyle="Normal 2 10"/>
    <tableColumn id="13" xr3:uid="{00000000-0010-0000-0400-00000D000000}" name="4D1" totalsRowFunction="sum" dataDxfId="2234" totalsRowDxfId="2233" dataCellStyle="Normal 2 10"/>
    <tableColumn id="14" xr3:uid="{00000000-0010-0000-0400-00000E000000}" name="4A1" totalsRowFunction="sum" dataDxfId="2232" totalsRowDxfId="2231" dataCellStyle="Normal 2 10"/>
    <tableColumn id="15" xr3:uid="{00000000-0010-0000-0400-00000F000000}" name="RT2" totalsRowFunction="sum" dataDxfId="2230" totalsRowDxfId="2229" dataCellStyle="Normal 2 10"/>
    <tableColumn id="16" xr3:uid="{00000000-0010-0000-0400-000010000000}" name="OT2" totalsRowFunction="sum" dataDxfId="2228" totalsRowDxfId="2227" dataCellStyle="Normal 2 10"/>
    <tableColumn id="17" xr3:uid="{00000000-0010-0000-0400-000011000000}" name="DT2" totalsRowFunction="sum" dataDxfId="2226" totalsRowDxfId="2225" dataCellStyle="Normal 2 10"/>
    <tableColumn id="18" xr3:uid="{00000000-0010-0000-0400-000012000000}" name="PD2" totalsRowFunction="sum" dataDxfId="2224" totalsRowDxfId="2223" dataCellStyle="Normal 2 10"/>
    <tableColumn id="19" xr3:uid="{00000000-0010-0000-0400-000013000000}" name="4D2" totalsRowFunction="sum" dataDxfId="2222" totalsRowDxfId="2221" dataCellStyle="Normal 2 10"/>
    <tableColumn id="20" xr3:uid="{00000000-0010-0000-0400-000014000000}" name="4A2" totalsRowFunction="sum" dataDxfId="2220" totalsRowDxfId="2219" dataCellStyle="Normal 2 10"/>
    <tableColumn id="21" xr3:uid="{00000000-0010-0000-0400-000015000000}" name="RT3" totalsRowFunction="sum" dataDxfId="2218" totalsRowDxfId="2217" dataCellStyle="Normal 2 10"/>
    <tableColumn id="22" xr3:uid="{00000000-0010-0000-0400-000016000000}" name="OT3" totalsRowFunction="sum" dataDxfId="2216" totalsRowDxfId="2215" dataCellStyle="Normal 2 10"/>
    <tableColumn id="23" xr3:uid="{00000000-0010-0000-0400-000017000000}" name="DT3" totalsRowFunction="sum" dataDxfId="2214" totalsRowDxfId="2213" dataCellStyle="Normal 2 10"/>
    <tableColumn id="24" xr3:uid="{00000000-0010-0000-0400-000018000000}" name="PD3" totalsRowFunction="sum" dataDxfId="2212" totalsRowDxfId="2211" dataCellStyle="Normal 2 10"/>
    <tableColumn id="25" xr3:uid="{00000000-0010-0000-0400-000019000000}" name="4D3" totalsRowFunction="sum" dataDxfId="2210" totalsRowDxfId="2209" dataCellStyle="Normal 2 10"/>
    <tableColumn id="26" xr3:uid="{00000000-0010-0000-0400-00001A000000}" name="4A3" totalsRowFunction="sum" dataDxfId="2208" totalsRowDxfId="2207" dataCellStyle="Normal 2 10"/>
    <tableColumn id="27" xr3:uid="{00000000-0010-0000-0400-00001B000000}" name="RT4" totalsRowFunction="sum" dataDxfId="2206" totalsRowDxfId="2205" dataCellStyle="Normal 2 10"/>
    <tableColumn id="28" xr3:uid="{00000000-0010-0000-0400-00001C000000}" name="OT4" totalsRowFunction="sum" dataDxfId="2204" totalsRowDxfId="2203" dataCellStyle="Normal 2 10"/>
    <tableColumn id="29" xr3:uid="{00000000-0010-0000-0400-00001D000000}" name="DT4" totalsRowFunction="sum" dataDxfId="2202" totalsRowDxfId="2201" dataCellStyle="Normal 2 10"/>
    <tableColumn id="30" xr3:uid="{00000000-0010-0000-0400-00001E000000}" name="PD4" totalsRowFunction="sum" dataDxfId="2200" totalsRowDxfId="2199" dataCellStyle="Normal 2 10"/>
    <tableColumn id="31" xr3:uid="{00000000-0010-0000-0400-00001F000000}" name="4D4" totalsRowFunction="sum" dataDxfId="2198" totalsRowDxfId="2197" dataCellStyle="Normal 2 10"/>
    <tableColumn id="32" xr3:uid="{00000000-0010-0000-0400-000020000000}" name="4A4" totalsRowFunction="sum" dataDxfId="2196" totalsRowDxfId="2195" dataCellStyle="Normal 2 10"/>
    <tableColumn id="33" xr3:uid="{00000000-0010-0000-0400-000021000000}" name="RT5" totalsRowFunction="sum" dataDxfId="2194" totalsRowDxfId="2193" dataCellStyle="Normal 2 10"/>
    <tableColumn id="34" xr3:uid="{00000000-0010-0000-0400-000022000000}" name="OT5" totalsRowFunction="sum" dataDxfId="2192" totalsRowDxfId="2191" dataCellStyle="Normal 2 10"/>
    <tableColumn id="35" xr3:uid="{00000000-0010-0000-0400-000023000000}" name="DT5" totalsRowFunction="sum" dataDxfId="2190" totalsRowDxfId="2189" dataCellStyle="Normal 2 10"/>
    <tableColumn id="36" xr3:uid="{00000000-0010-0000-0400-000024000000}" name="PD5" totalsRowFunction="sum" dataDxfId="2188" totalsRowDxfId="2187" dataCellStyle="Normal 2 10"/>
    <tableColumn id="37" xr3:uid="{00000000-0010-0000-0400-000025000000}" name="4D5" totalsRowFunction="sum" dataDxfId="2186" totalsRowDxfId="2185" dataCellStyle="Normal 2 10"/>
    <tableColumn id="38" xr3:uid="{00000000-0010-0000-0400-000026000000}" name="4A5" totalsRowFunction="sum" dataDxfId="2184" totalsRowDxfId="2183" dataCellStyle="Normal 2 10"/>
    <tableColumn id="39" xr3:uid="{00000000-0010-0000-0400-000027000000}" name="RT6" totalsRowFunction="sum" dataDxfId="2182" totalsRowDxfId="2181" dataCellStyle="Normal 2 10"/>
    <tableColumn id="40" xr3:uid="{00000000-0010-0000-0400-000028000000}" name="OT6" totalsRowFunction="sum" dataDxfId="2180" totalsRowDxfId="2179" dataCellStyle="Normal 2 10"/>
    <tableColumn id="41" xr3:uid="{00000000-0010-0000-0400-000029000000}" name="DT6" totalsRowFunction="sum" dataDxfId="2178" totalsRowDxfId="2177" dataCellStyle="Normal 2 10"/>
    <tableColumn id="42" xr3:uid="{00000000-0010-0000-0400-00002A000000}" name="PD6" totalsRowFunction="sum" dataDxfId="2176" totalsRowDxfId="2175" dataCellStyle="Normal 2 10"/>
    <tableColumn id="43" xr3:uid="{00000000-0010-0000-0400-00002B000000}" name="4D6" totalsRowFunction="sum" dataDxfId="2174" totalsRowDxfId="2173" dataCellStyle="Normal 2 10"/>
    <tableColumn id="44" xr3:uid="{00000000-0010-0000-0400-00002C000000}" name="4A6" totalsRowFunction="sum" dataDxfId="2172" totalsRowDxfId="2171" dataCellStyle="Normal 2 10"/>
    <tableColumn id="45" xr3:uid="{00000000-0010-0000-0400-00002D000000}" name="RT7" totalsRowFunction="sum" dataDxfId="2170" totalsRowDxfId="2169" dataCellStyle="Normal 2 10"/>
    <tableColumn id="46" xr3:uid="{00000000-0010-0000-0400-00002E000000}" name="OT7" totalsRowFunction="sum" dataDxfId="2168" totalsRowDxfId="2167" dataCellStyle="Normal 2 10"/>
    <tableColumn id="47" xr3:uid="{00000000-0010-0000-0400-00002F000000}" name="DT7" totalsRowFunction="sum" dataDxfId="2166" totalsRowDxfId="2165" dataCellStyle="Normal 2 10"/>
    <tableColumn id="48" xr3:uid="{00000000-0010-0000-0400-000030000000}" name="PD7" totalsRowFunction="sum" dataDxfId="2164" totalsRowDxfId="2163" dataCellStyle="Normal 2 10"/>
    <tableColumn id="49" xr3:uid="{00000000-0010-0000-0400-000031000000}" name="4D7" totalsRowFunction="sum" dataDxfId="2162" totalsRowDxfId="2161" dataCellStyle="Normal 2 10"/>
    <tableColumn id="50" xr3:uid="{00000000-0010-0000-0400-000032000000}" name="4A7" totalsRowFunction="sum" dataDxfId="2160" totalsRowDxfId="2159" dataCellStyle="Normal 2 10"/>
    <tableColumn id="51" xr3:uid="{00000000-0010-0000-0400-000033000000}" name="1" totalsRowFunction="sum" dataDxfId="2158" totalsRowDxfId="2157" dataCellStyle="Normal 2 10">
      <calculatedColumnFormula>SUM(AV13,AP13,AJ13,AD13,X13,R13,L13)</calculatedColumnFormula>
    </tableColumn>
    <tableColumn id="52" xr3:uid="{00000000-0010-0000-0400-000034000000}" name="3" totalsRowFunction="sum" dataDxfId="2156" totalsRowDxfId="2155" dataCellStyle="Normal 2 10">
      <calculatedColumnFormula>SUM(AW13,AQ13,AK13,AE13,Y13,S13,M13)</calculatedColumnFormula>
    </tableColumn>
    <tableColumn id="53" xr3:uid="{00000000-0010-0000-0400-000035000000}" name="2" totalsRowFunction="sum" dataDxfId="2154" totalsRowDxfId="2153" dataCellStyle="Normal 2 10">
      <calculatedColumnFormula>SUM(AX13,AR13,AL13,AF13,Z13,T13,N13)</calculatedColumnFormula>
    </tableColumn>
    <tableColumn id="54" xr3:uid="{00000000-0010-0000-0400-000036000000}" name="4" totalsRowFunction="sum" dataDxfId="2152" totalsRowDxfId="2151" dataCellStyle="Normal 2 10">
      <calculatedColumnFormula>SUM(AY13,AS13,AM13,AG13,AA13,U13,O13)</calculatedColumnFormula>
    </tableColumn>
    <tableColumn id="55" xr3:uid="{00000000-0010-0000-0400-000037000000}" name="4D" totalsRowFunction="sum" dataDxfId="2150" totalsRowDxfId="2149" dataCellStyle="Normal 2 10">
      <calculatedColumnFormula>SUM(AZ13,AT13,AN13,AH13,AB13,V13,P13)</calculatedColumnFormula>
    </tableColumn>
    <tableColumn id="56" xr3:uid="{00000000-0010-0000-0400-000038000000}" name="4A" totalsRowFunction="sum" dataDxfId="2148" totalsRowDxfId="2147" dataCellStyle="Normal 2 10">
      <calculatedColumnFormula>SUM(BA13,AU13,AO13,AI13,AC13,W13,Q13)</calculatedColumnFormula>
    </tableColumn>
    <tableColumn id="3" xr3:uid="{00000000-0010-0000-0400-000003000000}" name="Total" totalsRowFunction="custom" dataDxfId="2146" totalsRowDxfId="2145" dataCellStyle="Normal 2 10">
      <calculatedColumnFormula>SUM(TimeSheet34753619244401821620262269123493124[[#This Row],[1]:[4A]])</calculatedColumnFormula>
      <totalsRowFormula>SUBTOTAL(109,TimeSheet34753619244401821620262269123493124[Total])-SUM(TimeSheet34753619244401821620262269123493124[[#Totals],[RT1]:[4A7]])</totalsRowFormula>
    </tableColumn>
    <tableColumn id="65" xr3:uid="{00000000-0010-0000-0400-000041000000}" name="COC1.1" dataDxfId="2144" totalsRowDxfId="2143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400-000042000000}" name="COC3.1" dataDxfId="2142" totalsRowDxfId="2141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400-000043000000}" name="COC2.1" dataDxfId="2140" totalsRowDxfId="2139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400-00005E000000}" name="COC2.13" dataDxfId="2138" totalsRowDxfId="2137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400-00003F000000}" name="COC2.12" dataDxfId="2136" totalsRowDxfId="2135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400-000044000000}" name="COC4A.1" dataDxfId="2134" totalsRowDxfId="2133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400-000045000000}" name="COC1.2" dataDxfId="2132" totalsRowDxfId="2131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400-000046000000}" name="COC3.2" dataDxfId="2130" totalsRowDxfId="2129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400-000047000000}" name="COC2.2" dataDxfId="2128" totalsRowDxfId="2127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400-000060000000}" name="COC2.23" dataDxfId="2126" totalsRowDxfId="2125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400-00005F000000}" name="COC2.22" dataDxfId="2124" totalsRowDxfId="2123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400-000048000000}" name="COC4A.2" dataDxfId="2122" totalsRowDxfId="2121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400-000049000000}" name="COC1.3" dataDxfId="2120" totalsRowDxfId="2119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400-00004A000000}" name="COC3.3" dataDxfId="2118" totalsRowDxfId="2117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400-00004B000000}" name="COC2.3" dataDxfId="2116" totalsRowDxfId="2115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400-000062000000}" name="COC2.33" dataDxfId="2114" totalsRowDxfId="2113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400-000061000000}" name="COC2.32" dataDxfId="2112" totalsRowDxfId="2111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400-00004C000000}" name="COC4A.3" dataDxfId="2110" totalsRowDxfId="2109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400-00004D000000}" name="COC1.4" dataDxfId="2108" totalsRowDxfId="2107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400-00004E000000}" name="COC3.4" dataDxfId="2106" totalsRowDxfId="2105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400-00004F000000}" name="COC2.4" dataDxfId="2104" totalsRowDxfId="2103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400-000064000000}" name="COC2.43" dataDxfId="2102" totalsRowDxfId="2101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400-000063000000}" name="COC2.42" dataDxfId="2100" totalsRowDxfId="2099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400-000050000000}" name="COC4A.4" dataDxfId="2098" totalsRowDxfId="2097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400-000051000000}" name="COC1.5" dataDxfId="2096" totalsRowDxfId="2095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400-000052000000}" name="COC3.5" dataDxfId="2094" totalsRowDxfId="2093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400-000053000000}" name="COC2.5" dataDxfId="2092" totalsRowDxfId="2091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400-00006A000000}" name="COC2.53" dataDxfId="2090" totalsRowDxfId="2089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400-000069000000}" name="COC2.52" dataDxfId="2088" totalsRowDxfId="2087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400-000054000000}" name="COC4A.5" dataDxfId="2086" totalsRowDxfId="2085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400-000055000000}" name="COC1.6" dataDxfId="2084" totalsRowDxfId="2083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400-000056000000}" name="COC3.6" dataDxfId="2082" totalsRowDxfId="2081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400-000057000000}" name="COC2.6" dataDxfId="2080" totalsRowDxfId="2079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400-000066000000}" name="COC2.63" dataDxfId="2078" totalsRowDxfId="2077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400-000065000000}" name="COC2.62" dataDxfId="2076" totalsRowDxfId="2075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400-000058000000}" name="COC4A.6" dataDxfId="2074" totalsRowDxfId="2073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400-000059000000}" name="COC1.7" dataDxfId="2072" totalsRowDxfId="2071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400-00005A000000}" name="COC3.7" dataDxfId="2070" totalsRowDxfId="2069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400-00005B000000}" name="COC2.7" dataDxfId="2068" totalsRowDxfId="2067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400-000068000000}" name="COC2.72" dataDxfId="2066" totalsRowDxfId="2065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400-000067000000}" name="COC2.8" dataDxfId="2064" totalsRowDxfId="2063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400-00005C000000}" name="COC4A.7" dataDxfId="2062" totalsRowDxfId="2061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imeSheet347536192444018216202622691234931249" displayName="TimeSheet347536192444018216202622691234931249" ref="A12:CX24" totalsRowCount="1" headerRowDxfId="1827" dataDxfId="1825" totalsRowDxfId="1823" headerRowBorderDxfId="1826" tableBorderDxfId="1824" totalsRowBorderDxfId="1822" headerRowCellStyle="Normal 2 10" dataCellStyle="Normal 2 10" totalsRowCellStyle="Normal 2 10">
  <tableColumns count="102">
    <tableColumn id="8" xr3:uid="{00000000-0010-0000-0500-000008000000}" name="IMPORT TIME?" dataDxfId="1821" totalsRowDxfId="1820" dataCellStyle="Normal 2 10">
      <calculatedColumnFormula>IF(ISBLANK(C13),"",IF(ISBLANK($D$3),"",$D$3))</calculatedColumnFormula>
    </tableColumn>
    <tableColumn id="64" xr3:uid="{00000000-0010-0000-0500-000040000000}" name="WC CODE" dataDxfId="1819" totalsRowDxfId="1818" dataCellStyle="Normal 2 10"/>
    <tableColumn id="2" xr3:uid="{00000000-0010-0000-0500-000002000000}" name="JOB " dataDxfId="1817" totalsRowDxfId="1816" dataCellStyle="Normal 2 10"/>
    <tableColumn id="4" xr3:uid="{00000000-0010-0000-0500-000004000000}" name="EXTRA" dataDxfId="1815" totalsRowDxfId="1814" dataCellStyle="Normal 2 10"/>
    <tableColumn id="5" xr3:uid="{00000000-0010-0000-0500-000005000000}" name="PHASE" dataDxfId="1813" totalsRowDxfId="1812" dataCellStyle="Normal 2 10"/>
    <tableColumn id="7" xr3:uid="{00000000-0010-0000-0500-000007000000}" name="UNION LOCAL" dataDxfId="1811" totalsRowDxfId="1810" dataCellStyle="Normal 2 10">
      <calculatedColumnFormula>IF(ISBLANK($B$4),"",$B$4)</calculatedColumnFormula>
    </tableColumn>
    <tableColumn id="58" xr3:uid="{00000000-0010-0000-0500-00003A000000}" name="WC STATE" dataDxfId="1809" totalsRowDxfId="1808" dataCellStyle="Normal 2 10"/>
    <tableColumn id="57" xr3:uid="{00000000-0010-0000-0500-000039000000}" name="ST" dataDxfId="1807" totalsRowDxfId="1806" dataCellStyle="Normal 2 10"/>
    <tableColumn id="6" xr3:uid="{00000000-0010-0000-0500-000006000000}" name="UNION CLASS" dataDxfId="1805" totalsRowDxfId="1804" dataCellStyle="Normal 2 10"/>
    <tableColumn id="107" xr3:uid="{00000000-0010-0000-0500-00006B000000}" name="Cert Class Form" dataDxfId="1803" totalsRowDxfId="1802" dataCellStyle="Normal 2 10">
      <calculatedColumnFormula>IF($K13=0,"",IF($K13&lt;10,"0"&amp;$K13,$K13))</calculatedColumnFormula>
    </tableColumn>
    <tableColumn id="93" xr3:uid="{00000000-0010-0000-0500-00005D000000}" name="CERT. CLASS" dataDxfId="1801" totalsRowDxfId="1800" dataCellStyle="Normal 2 10"/>
    <tableColumn id="9" xr3:uid="{00000000-0010-0000-0500-000009000000}" name="RT1" totalsRowFunction="sum" dataDxfId="1799" totalsRowDxfId="1798" dataCellStyle="Normal 2 10"/>
    <tableColumn id="10" xr3:uid="{00000000-0010-0000-0500-00000A000000}" name="OT1" totalsRowFunction="sum" dataDxfId="1797" totalsRowDxfId="1796" dataCellStyle="Normal 2 10"/>
    <tableColumn id="11" xr3:uid="{00000000-0010-0000-0500-00000B000000}" name="DT1" totalsRowFunction="sum" dataDxfId="1795" totalsRowDxfId="1794" dataCellStyle="Normal 2 10"/>
    <tableColumn id="12" xr3:uid="{00000000-0010-0000-0500-00000C000000}" name="PD1" totalsRowFunction="sum" dataDxfId="1793" totalsRowDxfId="1792" dataCellStyle="Normal 2 10"/>
    <tableColumn id="13" xr3:uid="{00000000-0010-0000-0500-00000D000000}" name="4D1" totalsRowFunction="sum" dataDxfId="1791" totalsRowDxfId="1790" dataCellStyle="Normal 2 10"/>
    <tableColumn id="14" xr3:uid="{00000000-0010-0000-0500-00000E000000}" name="4A1" totalsRowFunction="sum" dataDxfId="1789" totalsRowDxfId="1788" dataCellStyle="Normal 2 10"/>
    <tableColumn id="15" xr3:uid="{00000000-0010-0000-0500-00000F000000}" name="RT2" totalsRowFunction="sum" dataDxfId="1787" totalsRowDxfId="1786" dataCellStyle="Normal 2 10"/>
    <tableColumn id="16" xr3:uid="{00000000-0010-0000-0500-000010000000}" name="OT2" totalsRowFunction="sum" dataDxfId="1785" totalsRowDxfId="1784" dataCellStyle="Normal 2 10"/>
    <tableColumn id="17" xr3:uid="{00000000-0010-0000-0500-000011000000}" name="DT2" totalsRowFunction="sum" dataDxfId="1783" totalsRowDxfId="1782" dataCellStyle="Normal 2 10"/>
    <tableColumn id="18" xr3:uid="{00000000-0010-0000-0500-000012000000}" name="PD2" totalsRowFunction="sum" dataDxfId="1781" totalsRowDxfId="1780" dataCellStyle="Normal 2 10"/>
    <tableColumn id="19" xr3:uid="{00000000-0010-0000-0500-000013000000}" name="4D2" totalsRowFunction="sum" dataDxfId="1779" totalsRowDxfId="1778" dataCellStyle="Normal 2 10"/>
    <tableColumn id="20" xr3:uid="{00000000-0010-0000-0500-000014000000}" name="4A2" totalsRowFunction="sum" dataDxfId="1777" totalsRowDxfId="1776" dataCellStyle="Normal 2 10"/>
    <tableColumn id="21" xr3:uid="{00000000-0010-0000-0500-000015000000}" name="RT3" totalsRowFunction="sum" dataDxfId="1775" totalsRowDxfId="1774" dataCellStyle="Normal 2 10"/>
    <tableColumn id="22" xr3:uid="{00000000-0010-0000-0500-000016000000}" name="OT3" totalsRowFunction="sum" dataDxfId="1773" totalsRowDxfId="1772" dataCellStyle="Normal 2 10"/>
    <tableColumn id="23" xr3:uid="{00000000-0010-0000-0500-000017000000}" name="DT3" totalsRowFunction="sum" dataDxfId="1771" totalsRowDxfId="1770" dataCellStyle="Normal 2 10"/>
    <tableColumn id="24" xr3:uid="{00000000-0010-0000-0500-000018000000}" name="PD3" totalsRowFunction="sum" dataDxfId="1769" totalsRowDxfId="1768" dataCellStyle="Normal 2 10"/>
    <tableColumn id="25" xr3:uid="{00000000-0010-0000-0500-000019000000}" name="4D3" totalsRowFunction="sum" dataDxfId="1767" totalsRowDxfId="1766" dataCellStyle="Normal 2 10"/>
    <tableColumn id="26" xr3:uid="{00000000-0010-0000-0500-00001A000000}" name="4A3" totalsRowFunction="sum" dataDxfId="1765" totalsRowDxfId="1764" dataCellStyle="Normal 2 10"/>
    <tableColumn id="27" xr3:uid="{00000000-0010-0000-0500-00001B000000}" name="RT4" totalsRowFunction="sum" dataDxfId="1763" totalsRowDxfId="1762" dataCellStyle="Normal 2 10"/>
    <tableColumn id="28" xr3:uid="{00000000-0010-0000-0500-00001C000000}" name="OT4" totalsRowFunction="sum" dataDxfId="1761" totalsRowDxfId="1760" dataCellStyle="Normal 2 10"/>
    <tableColumn id="29" xr3:uid="{00000000-0010-0000-0500-00001D000000}" name="DT4" totalsRowFunction="sum" dataDxfId="1759" totalsRowDxfId="1758" dataCellStyle="Normal 2 10"/>
    <tableColumn id="30" xr3:uid="{00000000-0010-0000-0500-00001E000000}" name="PD4" totalsRowFunction="sum" dataDxfId="1757" totalsRowDxfId="1756" dataCellStyle="Normal 2 10"/>
    <tableColumn id="31" xr3:uid="{00000000-0010-0000-0500-00001F000000}" name="4D4" totalsRowFunction="sum" dataDxfId="1755" totalsRowDxfId="1754" dataCellStyle="Normal 2 10"/>
    <tableColumn id="32" xr3:uid="{00000000-0010-0000-0500-000020000000}" name="4A4" totalsRowFunction="sum" dataDxfId="1753" totalsRowDxfId="1752" dataCellStyle="Normal 2 10"/>
    <tableColumn id="33" xr3:uid="{00000000-0010-0000-0500-000021000000}" name="RT5" totalsRowFunction="sum" dataDxfId="1751" totalsRowDxfId="1750" dataCellStyle="Normal 2 10"/>
    <tableColumn id="34" xr3:uid="{00000000-0010-0000-0500-000022000000}" name="OT5" totalsRowFunction="sum" dataDxfId="1749" totalsRowDxfId="1748" dataCellStyle="Normal 2 10"/>
    <tableColumn id="35" xr3:uid="{00000000-0010-0000-0500-000023000000}" name="DT5" totalsRowFunction="sum" dataDxfId="1747" totalsRowDxfId="1746" dataCellStyle="Normal 2 10"/>
    <tableColumn id="36" xr3:uid="{00000000-0010-0000-0500-000024000000}" name="PD5" totalsRowFunction="sum" dataDxfId="1745" totalsRowDxfId="1744" dataCellStyle="Normal 2 10"/>
    <tableColumn id="37" xr3:uid="{00000000-0010-0000-0500-000025000000}" name="4D5" totalsRowFunction="sum" dataDxfId="1743" totalsRowDxfId="1742" dataCellStyle="Normal 2 10"/>
    <tableColumn id="38" xr3:uid="{00000000-0010-0000-0500-000026000000}" name="4A5" totalsRowFunction="sum" dataDxfId="1741" totalsRowDxfId="1740" dataCellStyle="Normal 2 10"/>
    <tableColumn id="39" xr3:uid="{00000000-0010-0000-0500-000027000000}" name="RT6" totalsRowFunction="sum" dataDxfId="1739" totalsRowDxfId="1738" dataCellStyle="Normal 2 10"/>
    <tableColumn id="40" xr3:uid="{00000000-0010-0000-0500-000028000000}" name="OT6" totalsRowFunction="sum" dataDxfId="1737" totalsRowDxfId="1736" dataCellStyle="Normal 2 10"/>
    <tableColumn id="41" xr3:uid="{00000000-0010-0000-0500-000029000000}" name="DT6" totalsRowFunction="sum" dataDxfId="1735" totalsRowDxfId="1734" dataCellStyle="Normal 2 10"/>
    <tableColumn id="42" xr3:uid="{00000000-0010-0000-0500-00002A000000}" name="PD6" totalsRowFunction="sum" dataDxfId="1733" totalsRowDxfId="1732" dataCellStyle="Normal 2 10"/>
    <tableColumn id="43" xr3:uid="{00000000-0010-0000-0500-00002B000000}" name="4D6" totalsRowFunction="sum" dataDxfId="1731" totalsRowDxfId="1730" dataCellStyle="Normal 2 10"/>
    <tableColumn id="44" xr3:uid="{00000000-0010-0000-0500-00002C000000}" name="4A6" totalsRowFunction="sum" dataDxfId="1729" totalsRowDxfId="1728" dataCellStyle="Normal 2 10"/>
    <tableColumn id="45" xr3:uid="{00000000-0010-0000-0500-00002D000000}" name="RT7" totalsRowFunction="sum" dataDxfId="1727" totalsRowDxfId="1726" dataCellStyle="Normal 2 10"/>
    <tableColumn id="46" xr3:uid="{00000000-0010-0000-0500-00002E000000}" name="OT7" totalsRowFunction="sum" dataDxfId="1725" totalsRowDxfId="1724" dataCellStyle="Normal 2 10"/>
    <tableColumn id="47" xr3:uid="{00000000-0010-0000-0500-00002F000000}" name="DT7" totalsRowFunction="sum" dataDxfId="1723" totalsRowDxfId="1722" dataCellStyle="Normal 2 10"/>
    <tableColumn id="48" xr3:uid="{00000000-0010-0000-0500-000030000000}" name="PD7" totalsRowFunction="sum" dataDxfId="1721" totalsRowDxfId="1720" dataCellStyle="Normal 2 10"/>
    <tableColumn id="49" xr3:uid="{00000000-0010-0000-0500-000031000000}" name="4D7" totalsRowFunction="sum" dataDxfId="1719" totalsRowDxfId="1718" dataCellStyle="Normal 2 10"/>
    <tableColumn id="50" xr3:uid="{00000000-0010-0000-0500-000032000000}" name="4A7" totalsRowFunction="sum" dataDxfId="1717" totalsRowDxfId="1716" dataCellStyle="Normal 2 10"/>
    <tableColumn id="51" xr3:uid="{00000000-0010-0000-0500-000033000000}" name="1" totalsRowFunction="sum" dataDxfId="1715" totalsRowDxfId="1714" dataCellStyle="Normal 2 10">
      <calculatedColumnFormula>SUM(AV13,AP13,AJ13,AD13,X13,R13,L13)</calculatedColumnFormula>
    </tableColumn>
    <tableColumn id="52" xr3:uid="{00000000-0010-0000-0500-000034000000}" name="3" totalsRowFunction="sum" dataDxfId="1713" totalsRowDxfId="1712" dataCellStyle="Normal 2 10">
      <calculatedColumnFormula>SUM(AW13,AQ13,AK13,AE13,Y13,S13,M13)</calculatedColumnFormula>
    </tableColumn>
    <tableColumn id="53" xr3:uid="{00000000-0010-0000-0500-000035000000}" name="2" totalsRowFunction="sum" dataDxfId="1711" totalsRowDxfId="1710" dataCellStyle="Normal 2 10">
      <calculatedColumnFormula>SUM(AX13,AR13,AL13,AF13,Z13,T13,N13)</calculatedColumnFormula>
    </tableColumn>
    <tableColumn id="54" xr3:uid="{00000000-0010-0000-0500-000036000000}" name="4" totalsRowFunction="sum" dataDxfId="1709" totalsRowDxfId="1708" dataCellStyle="Normal 2 10">
      <calculatedColumnFormula>SUM(AY13,AS13,AM13,AG13,AA13,U13,O13)</calculatedColumnFormula>
    </tableColumn>
    <tableColumn id="55" xr3:uid="{00000000-0010-0000-0500-000037000000}" name="4D" totalsRowFunction="sum" dataDxfId="1707" totalsRowDxfId="1706" dataCellStyle="Normal 2 10">
      <calculatedColumnFormula>SUM(AZ13,AT13,AN13,AH13,AB13,V13,P13)</calculatedColumnFormula>
    </tableColumn>
    <tableColumn id="56" xr3:uid="{00000000-0010-0000-0500-000038000000}" name="4A" totalsRowFunction="sum" dataDxfId="1705" totalsRowDxfId="1704" dataCellStyle="Normal 2 10">
      <calculatedColumnFormula>SUM(BA13,AU13,AO13,AI13,AC13,W13,Q13)</calculatedColumnFormula>
    </tableColumn>
    <tableColumn id="3" xr3:uid="{00000000-0010-0000-0500-000003000000}" name="Total" totalsRowFunction="custom" dataDxfId="1703" totalsRowDxfId="1702" dataCellStyle="Normal 2 10">
      <calculatedColumnFormula>SUM(TimeSheet347536192444018216202622691234931249[[#This Row],[1]:[4A]])</calculatedColumnFormula>
      <totalsRowFormula>SUBTOTAL(109,TimeSheet347536192444018216202622691234931249[Total])-SUM(TimeSheet347536192444018216202622691234931249[[#Totals],[RT1]:[4A7]])</totalsRowFormula>
    </tableColumn>
    <tableColumn id="65" xr3:uid="{00000000-0010-0000-0500-000041000000}" name="COC1.1" dataDxfId="1701" totalsRowDxfId="1700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500-000042000000}" name="COC3.1" dataDxfId="1699" totalsRowDxfId="1698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500-000043000000}" name="COC2.1" dataDxfId="1697" totalsRowDxfId="1696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500-00005E000000}" name="COC2.13" dataDxfId="1695" totalsRowDxfId="1694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500-00003F000000}" name="COC2.12" dataDxfId="1693" totalsRowDxfId="1692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500-000044000000}" name="COC4A.1" dataDxfId="1691" totalsRowDxfId="1690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500-000045000000}" name="COC1.2" dataDxfId="1689" totalsRowDxfId="1688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500-000046000000}" name="COC3.2" dataDxfId="1687" totalsRowDxfId="1686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500-000047000000}" name="COC2.2" dataDxfId="1685" totalsRowDxfId="1684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500-000060000000}" name="COC2.23" dataDxfId="1683" totalsRowDxfId="1682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500-00005F000000}" name="COC2.22" dataDxfId="1681" totalsRowDxfId="1680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500-000048000000}" name="COC4A.2" dataDxfId="1679" totalsRowDxfId="1678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500-000049000000}" name="COC1.3" dataDxfId="1677" totalsRowDxfId="1676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500-00004A000000}" name="COC3.3" dataDxfId="1675" totalsRowDxfId="1674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500-00004B000000}" name="COC2.3" dataDxfId="1673" totalsRowDxfId="1672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500-000062000000}" name="COC2.33" dataDxfId="1671" totalsRowDxfId="1670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500-000061000000}" name="COC2.32" dataDxfId="1669" totalsRowDxfId="1668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500-00004C000000}" name="COC4A.3" dataDxfId="1667" totalsRowDxfId="1666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500-00004D000000}" name="COC1.4" dataDxfId="1665" totalsRowDxfId="1664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500-00004E000000}" name="COC3.4" dataDxfId="1663" totalsRowDxfId="1662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500-00004F000000}" name="COC2.4" dataDxfId="1661" totalsRowDxfId="1660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500-000064000000}" name="COC2.43" dataDxfId="1659" totalsRowDxfId="1658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500-000063000000}" name="COC2.42" dataDxfId="1657" totalsRowDxfId="1656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500-000050000000}" name="COC4A.4" dataDxfId="1655" totalsRowDxfId="1654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500-000051000000}" name="COC1.5" dataDxfId="1653" totalsRowDxfId="1652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500-000052000000}" name="COC3.5" dataDxfId="1651" totalsRowDxfId="1650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500-000053000000}" name="COC2.5" dataDxfId="1649" totalsRowDxfId="1648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500-00006A000000}" name="COC2.53" dataDxfId="1647" totalsRowDxfId="1646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500-000069000000}" name="COC2.52" dataDxfId="1645" totalsRowDxfId="1644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500-000054000000}" name="COC4A.5" dataDxfId="1643" totalsRowDxfId="1642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500-000055000000}" name="COC1.6" dataDxfId="1641" totalsRowDxfId="1640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500-000056000000}" name="COC3.6" dataDxfId="1639" totalsRowDxfId="1638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500-000057000000}" name="COC2.6" dataDxfId="1637" totalsRowDxfId="1636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500-000066000000}" name="COC2.63" dataDxfId="1635" totalsRowDxfId="1634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500-000065000000}" name="COC2.62" dataDxfId="1633" totalsRowDxfId="1632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500-000058000000}" name="COC4A.6" dataDxfId="1631" totalsRowDxfId="1630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500-000059000000}" name="COC1.7" dataDxfId="1629" totalsRowDxfId="1628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500-00005A000000}" name="COC3.7" dataDxfId="1627" totalsRowDxfId="1626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500-00005B000000}" name="COC2.7" dataDxfId="1625" totalsRowDxfId="1624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500-000068000000}" name="COC2.72" dataDxfId="1623" totalsRowDxfId="1622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500-000067000000}" name="COC2.8" dataDxfId="1621" totalsRowDxfId="1620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500-00005C000000}" name="COC4A.7" dataDxfId="1619" totalsRowDxfId="1618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imeSheet3475361924440182162026226912349310988781177252" displayName="TimeSheet3475361924440182162026226912349310988781177252" ref="A12:CX24" totalsRowCount="1" headerRowDxfId="1478" dataDxfId="1476" totalsRowDxfId="1474" headerRowBorderDxfId="1477" tableBorderDxfId="1475" totalsRowBorderDxfId="1473" headerRowCellStyle="Normal 2 10" dataCellStyle="Normal 2 10" totalsRowCellStyle="Normal 2 10">
  <tableColumns count="102">
    <tableColumn id="8" xr3:uid="{00000000-0010-0000-0600-000008000000}" name="IMPORT TIME?" dataDxfId="1472" totalsRowDxfId="1471" dataCellStyle="Normal 2 10">
      <calculatedColumnFormula>IF(ISBLANK(C13),"",IF(ISBLANK($D$3),"",$D$3))</calculatedColumnFormula>
    </tableColumn>
    <tableColumn id="64" xr3:uid="{00000000-0010-0000-0600-000040000000}" name="WC CODE" dataDxfId="1470" totalsRowDxfId="1469" dataCellStyle="Normal 2 10"/>
    <tableColumn id="2" xr3:uid="{00000000-0010-0000-0600-000002000000}" name="JOB " dataDxfId="1468" totalsRowDxfId="1467" dataCellStyle="Normal 2 10"/>
    <tableColumn id="4" xr3:uid="{00000000-0010-0000-0600-000004000000}" name="EXTRA" dataDxfId="1466" totalsRowDxfId="1465" dataCellStyle="Normal 2 10"/>
    <tableColumn id="5" xr3:uid="{00000000-0010-0000-0600-000005000000}" name="PHASE" dataDxfId="1464" totalsRowDxfId="1463" dataCellStyle="Normal 2 10"/>
    <tableColumn id="7" xr3:uid="{00000000-0010-0000-0600-000007000000}" name="UNION LOCAL" dataDxfId="1462" totalsRowDxfId="1461" dataCellStyle="Normal 2 10">
      <calculatedColumnFormula>IF(ISBLANK($B$4),"",$B$4)</calculatedColumnFormula>
    </tableColumn>
    <tableColumn id="58" xr3:uid="{00000000-0010-0000-0600-00003A000000}" name="WC STATE" dataDxfId="1460" totalsRowDxfId="1459" dataCellStyle="Normal 2 10"/>
    <tableColumn id="57" xr3:uid="{00000000-0010-0000-0600-000039000000}" name="ST" dataDxfId="1458" totalsRowDxfId="1457" dataCellStyle="Normal 2 10"/>
    <tableColumn id="6" xr3:uid="{00000000-0010-0000-0600-000006000000}" name="UNION CLASS" dataDxfId="1456" totalsRowDxfId="1455" dataCellStyle="Normal 2 10"/>
    <tableColumn id="107" xr3:uid="{00000000-0010-0000-0600-00006B000000}" name="Cert Class Form" dataDxfId="1454" totalsRowDxfId="1453" dataCellStyle="Normal 2 10">
      <calculatedColumnFormula>IF($K13=0,"",IF($K13&lt;10,"0"&amp;$K13,$K13))</calculatedColumnFormula>
    </tableColumn>
    <tableColumn id="93" xr3:uid="{00000000-0010-0000-0600-00005D000000}" name="CERT. CLASS" dataDxfId="1452" totalsRowDxfId="1451" dataCellStyle="Normal 2 10"/>
    <tableColumn id="9" xr3:uid="{00000000-0010-0000-0600-000009000000}" name="RT1" totalsRowFunction="sum" dataDxfId="1450" totalsRowDxfId="1449" dataCellStyle="Normal 2 10"/>
    <tableColumn id="10" xr3:uid="{00000000-0010-0000-0600-00000A000000}" name="OT1" totalsRowFunction="sum" dataDxfId="1448" totalsRowDxfId="1447" dataCellStyle="Normal 2 10"/>
    <tableColumn id="11" xr3:uid="{00000000-0010-0000-0600-00000B000000}" name="DT1" totalsRowFunction="sum" dataDxfId="1446" totalsRowDxfId="1445" dataCellStyle="Normal 2 10"/>
    <tableColumn id="12" xr3:uid="{00000000-0010-0000-0600-00000C000000}" name="PD1" totalsRowFunction="sum" dataDxfId="1444" totalsRowDxfId="1443" dataCellStyle="Normal 2 10"/>
    <tableColumn id="13" xr3:uid="{00000000-0010-0000-0600-00000D000000}" name="4D1" totalsRowFunction="sum" dataDxfId="1442" totalsRowDxfId="1441" dataCellStyle="Normal 2 10"/>
    <tableColumn id="14" xr3:uid="{00000000-0010-0000-0600-00000E000000}" name="4A1" totalsRowFunction="sum" dataDxfId="1440" totalsRowDxfId="1439" dataCellStyle="Normal 2 10"/>
    <tableColumn id="15" xr3:uid="{00000000-0010-0000-0600-00000F000000}" name="RT2" totalsRowFunction="sum" dataDxfId="1438" totalsRowDxfId="1437" dataCellStyle="Normal 2 10"/>
    <tableColumn id="16" xr3:uid="{00000000-0010-0000-0600-000010000000}" name="OT2" totalsRowFunction="sum" dataDxfId="1436" totalsRowDxfId="1435" dataCellStyle="Normal 2 10"/>
    <tableColumn id="17" xr3:uid="{00000000-0010-0000-0600-000011000000}" name="DT2" totalsRowFunction="sum" dataDxfId="1434" totalsRowDxfId="1433" dataCellStyle="Normal 2 10"/>
    <tableColumn id="18" xr3:uid="{00000000-0010-0000-0600-000012000000}" name="PD2" totalsRowFunction="sum" dataDxfId="1432" totalsRowDxfId="1431" dataCellStyle="Normal 2 10"/>
    <tableColumn id="19" xr3:uid="{00000000-0010-0000-0600-000013000000}" name="4D2" totalsRowFunction="sum" dataDxfId="1430" totalsRowDxfId="1429" dataCellStyle="Normal 2 10"/>
    <tableColumn id="20" xr3:uid="{00000000-0010-0000-0600-000014000000}" name="4A2" totalsRowFunction="sum" dataDxfId="1428" totalsRowDxfId="1427" dataCellStyle="Normal 2 10"/>
    <tableColumn id="21" xr3:uid="{00000000-0010-0000-0600-000015000000}" name="RT3" totalsRowFunction="sum" dataDxfId="1426" totalsRowDxfId="1425" dataCellStyle="Normal 2 10"/>
    <tableColumn id="22" xr3:uid="{00000000-0010-0000-0600-000016000000}" name="OT3" totalsRowFunction="sum" dataDxfId="1424" totalsRowDxfId="1423" dataCellStyle="Normal 2 10"/>
    <tableColumn id="23" xr3:uid="{00000000-0010-0000-0600-000017000000}" name="DT3" totalsRowFunction="sum" dataDxfId="1422" totalsRowDxfId="1421" dataCellStyle="Normal 2 10"/>
    <tableColumn id="24" xr3:uid="{00000000-0010-0000-0600-000018000000}" name="PD3" totalsRowFunction="sum" dataDxfId="1420" totalsRowDxfId="1419" dataCellStyle="Normal 2 10"/>
    <tableColumn id="25" xr3:uid="{00000000-0010-0000-0600-000019000000}" name="4D3" totalsRowFunction="sum" dataDxfId="1418" totalsRowDxfId="1417" dataCellStyle="Normal 2 10"/>
    <tableColumn id="26" xr3:uid="{00000000-0010-0000-0600-00001A000000}" name="4A3" totalsRowFunction="sum" dataDxfId="1416" totalsRowDxfId="1415" dataCellStyle="Normal 2 10"/>
    <tableColumn id="27" xr3:uid="{00000000-0010-0000-0600-00001B000000}" name="RT4" totalsRowFunction="sum" dataDxfId="1414" totalsRowDxfId="1413" dataCellStyle="Normal 2 10"/>
    <tableColumn id="28" xr3:uid="{00000000-0010-0000-0600-00001C000000}" name="OT4" totalsRowFunction="sum" dataDxfId="1412" totalsRowDxfId="1411" dataCellStyle="Normal 2 10"/>
    <tableColumn id="29" xr3:uid="{00000000-0010-0000-0600-00001D000000}" name="DT4" totalsRowFunction="sum" dataDxfId="1410" totalsRowDxfId="1409" dataCellStyle="Normal 2 10"/>
    <tableColumn id="30" xr3:uid="{00000000-0010-0000-0600-00001E000000}" name="PD4" totalsRowFunction="sum" dataDxfId="1408" totalsRowDxfId="1407" dataCellStyle="Normal 2 10"/>
    <tableColumn id="31" xr3:uid="{00000000-0010-0000-0600-00001F000000}" name="4D4" totalsRowFunction="sum" dataDxfId="1406" totalsRowDxfId="1405" dataCellStyle="Normal 2 10"/>
    <tableColumn id="32" xr3:uid="{00000000-0010-0000-0600-000020000000}" name="4A4" totalsRowFunction="sum" dataDxfId="1404" totalsRowDxfId="1403" dataCellStyle="Normal 2 10"/>
    <tableColumn id="33" xr3:uid="{00000000-0010-0000-0600-000021000000}" name="RT5" totalsRowFunction="sum" dataDxfId="1402" totalsRowDxfId="1401" dataCellStyle="Normal 2 10"/>
    <tableColumn id="34" xr3:uid="{00000000-0010-0000-0600-000022000000}" name="OT5" totalsRowFunction="sum" dataDxfId="1400" totalsRowDxfId="1399" dataCellStyle="Normal 2 10"/>
    <tableColumn id="35" xr3:uid="{00000000-0010-0000-0600-000023000000}" name="DT5" totalsRowFunction="sum" dataDxfId="1398" totalsRowDxfId="1397" dataCellStyle="Normal 2 10"/>
    <tableColumn id="36" xr3:uid="{00000000-0010-0000-0600-000024000000}" name="PD5" totalsRowFunction="sum" dataDxfId="1396" totalsRowDxfId="1395" dataCellStyle="Normal 2 10"/>
    <tableColumn id="37" xr3:uid="{00000000-0010-0000-0600-000025000000}" name="4D5" totalsRowFunction="sum" dataDxfId="1394" totalsRowDxfId="1393" dataCellStyle="Normal 2 10"/>
    <tableColumn id="38" xr3:uid="{00000000-0010-0000-0600-000026000000}" name="4A5" totalsRowFunction="sum" dataDxfId="1392" totalsRowDxfId="1391" dataCellStyle="Normal 2 10"/>
    <tableColumn id="39" xr3:uid="{00000000-0010-0000-0600-000027000000}" name="RT6" totalsRowFunction="sum" dataDxfId="1390" totalsRowDxfId="1389" dataCellStyle="Normal 2 10"/>
    <tableColumn id="40" xr3:uid="{00000000-0010-0000-0600-000028000000}" name="OT6" totalsRowFunction="sum" dataDxfId="1388" totalsRowDxfId="1387" dataCellStyle="Normal 2 10"/>
    <tableColumn id="41" xr3:uid="{00000000-0010-0000-0600-000029000000}" name="DT6" totalsRowFunction="sum" dataDxfId="1386" totalsRowDxfId="1385" dataCellStyle="Normal 2 10"/>
    <tableColumn id="42" xr3:uid="{00000000-0010-0000-0600-00002A000000}" name="PD6" totalsRowFunction="sum" dataDxfId="1384" totalsRowDxfId="1383" dataCellStyle="Normal 2 10"/>
    <tableColumn id="43" xr3:uid="{00000000-0010-0000-0600-00002B000000}" name="4D6" totalsRowFunction="sum" dataDxfId="1382" totalsRowDxfId="1381" dataCellStyle="Normal 2 10"/>
    <tableColumn id="44" xr3:uid="{00000000-0010-0000-0600-00002C000000}" name="4A6" totalsRowFunction="sum" dataDxfId="1380" totalsRowDxfId="1379" dataCellStyle="Normal 2 10"/>
    <tableColumn id="45" xr3:uid="{00000000-0010-0000-0600-00002D000000}" name="RT7" totalsRowFunction="sum" dataDxfId="1378" totalsRowDxfId="1377" dataCellStyle="Normal 2 10"/>
    <tableColumn id="46" xr3:uid="{00000000-0010-0000-0600-00002E000000}" name="OT7" totalsRowFunction="sum" dataDxfId="1376" totalsRowDxfId="1375" dataCellStyle="Normal 2 10"/>
    <tableColumn id="47" xr3:uid="{00000000-0010-0000-0600-00002F000000}" name="DT7" totalsRowFunction="sum" dataDxfId="1374" totalsRowDxfId="1373" dataCellStyle="Normal 2 10"/>
    <tableColumn id="48" xr3:uid="{00000000-0010-0000-0600-000030000000}" name="PD7" totalsRowFunction="sum" dataDxfId="1372" totalsRowDxfId="1371" dataCellStyle="Normal 2 10"/>
    <tableColumn id="49" xr3:uid="{00000000-0010-0000-0600-000031000000}" name="4D7" totalsRowFunction="sum" dataDxfId="1370" totalsRowDxfId="1369" dataCellStyle="Normal 2 10"/>
    <tableColumn id="50" xr3:uid="{00000000-0010-0000-0600-000032000000}" name="4A7" totalsRowFunction="sum" dataDxfId="1368" totalsRowDxfId="1367" dataCellStyle="Normal 2 10"/>
    <tableColumn id="51" xr3:uid="{00000000-0010-0000-0600-000033000000}" name="1" totalsRowFunction="sum" dataDxfId="1366" totalsRowDxfId="1365" dataCellStyle="Normal 2 10">
      <calculatedColumnFormula>SUM(AV13,AP13,AJ13,AD13,X13,R13,L13)</calculatedColumnFormula>
    </tableColumn>
    <tableColumn id="52" xr3:uid="{00000000-0010-0000-0600-000034000000}" name="3" totalsRowFunction="sum" dataDxfId="1364" totalsRowDxfId="1363" dataCellStyle="Normal 2 10">
      <calculatedColumnFormula>SUM(AW13,AQ13,AK13,AE13,Y13,S13,M13)</calculatedColumnFormula>
    </tableColumn>
    <tableColumn id="53" xr3:uid="{00000000-0010-0000-0600-000035000000}" name="2" totalsRowFunction="sum" dataDxfId="1362" totalsRowDxfId="1361" dataCellStyle="Normal 2 10">
      <calculatedColumnFormula>SUM(AX13,AR13,AL13,AF13,Z13,T13,N13)</calculatedColumnFormula>
    </tableColumn>
    <tableColumn id="54" xr3:uid="{00000000-0010-0000-0600-000036000000}" name="4" totalsRowFunction="sum" dataDxfId="1360" totalsRowDxfId="1359" dataCellStyle="Normal 2 10">
      <calculatedColumnFormula>SUM(AY13,AS13,AM13,AG13,AA13,U13,O13)</calculatedColumnFormula>
    </tableColumn>
    <tableColumn id="55" xr3:uid="{00000000-0010-0000-0600-000037000000}" name="4D" totalsRowFunction="sum" dataDxfId="1358" totalsRowDxfId="1357" dataCellStyle="Normal 2 10">
      <calculatedColumnFormula>SUM(AZ13,AT13,AN13,AH13,AB13,V13,P13)</calculatedColumnFormula>
    </tableColumn>
    <tableColumn id="56" xr3:uid="{00000000-0010-0000-0600-000038000000}" name="4A" totalsRowFunction="sum" dataDxfId="1356" totalsRowDxfId="1355" dataCellStyle="Normal 2 10">
      <calculatedColumnFormula>SUM(BA13,AU13,AO13,AI13,AC13,W13,Q13)</calculatedColumnFormula>
    </tableColumn>
    <tableColumn id="3" xr3:uid="{00000000-0010-0000-0600-000003000000}" name="Total" totalsRowFunction="custom" dataDxfId="1354" totalsRowDxfId="1353" dataCellStyle="Normal 2 10">
      <calculatedColumnFormula>SUM(TimeSheet3475361924440182162026226912349310988781177252[[#This Row],[1]:[4A]])</calculatedColumnFormula>
      <totalsRowFormula>SUBTOTAL(109,TimeSheet3475361924440182162026226912349310988781177252[Total])-SUM(TimeSheet3475361924440182162026226912349310988781177252[[#Totals],[RT1]:[4A7]])</totalsRowFormula>
    </tableColumn>
    <tableColumn id="65" xr3:uid="{00000000-0010-0000-0600-000041000000}" name="COC1.1" dataDxfId="1352" totalsRowDxfId="1351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600-000042000000}" name="COC3.1" dataDxfId="1350" totalsRowDxfId="1349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600-000043000000}" name="COC2.1" dataDxfId="1348" totalsRowDxfId="1347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600-00005E000000}" name="COC2.13" dataDxfId="1346" totalsRowDxfId="1345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600-00003F000000}" name="COC2.12" dataDxfId="1344" totalsRowDxfId="1343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600-000044000000}" name="COC4A.1" dataDxfId="1342" totalsRowDxfId="1341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600-000045000000}" name="COC1.2" dataDxfId="1340" totalsRowDxfId="1339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600-000046000000}" name="COC3.2" dataDxfId="1338" totalsRowDxfId="1337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600-000047000000}" name="COC2.2" dataDxfId="1336" totalsRowDxfId="1335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600-000060000000}" name="COC2.23" dataDxfId="1334" totalsRowDxfId="1333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600-00005F000000}" name="COC2.22" dataDxfId="1332" totalsRowDxfId="1331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600-000048000000}" name="COC4A.2" dataDxfId="1330" totalsRowDxfId="1329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600-000049000000}" name="COC1.3" dataDxfId="1328" totalsRowDxfId="1327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600-00004A000000}" name="COC3.3" dataDxfId="1326" totalsRowDxfId="1325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600-00004B000000}" name="COC2.3" dataDxfId="1324" totalsRowDxfId="1323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600-000062000000}" name="COC2.33" dataDxfId="1322" totalsRowDxfId="1321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600-000061000000}" name="COC2.32" dataDxfId="1320" totalsRowDxfId="1319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600-00004C000000}" name="COC4A.3" dataDxfId="1318" totalsRowDxfId="1317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600-00004D000000}" name="COC1.4" dataDxfId="1316" totalsRowDxfId="1315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600-00004E000000}" name="COC3.4" dataDxfId="1314" totalsRowDxfId="1313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600-00004F000000}" name="COC2.4" dataDxfId="1312" totalsRowDxfId="1311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600-000064000000}" name="COC2.43" dataDxfId="1310" totalsRowDxfId="1309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600-000063000000}" name="COC2.42" dataDxfId="1308" totalsRowDxfId="1307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600-000050000000}" name="COC4A.4" dataDxfId="1306" totalsRowDxfId="1305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600-000051000000}" name="COC1.5" dataDxfId="1304" totalsRowDxfId="1303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600-000052000000}" name="COC3.5" dataDxfId="1302" totalsRowDxfId="1301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600-000053000000}" name="COC2.5" dataDxfId="1300" totalsRowDxfId="1299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600-00006A000000}" name="COC2.53" dataDxfId="1298" totalsRowDxfId="1297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600-000069000000}" name="COC2.52" dataDxfId="1296" totalsRowDxfId="1295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600-000054000000}" name="COC4A.5" dataDxfId="1294" totalsRowDxfId="1293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600-000055000000}" name="COC1.6" dataDxfId="1292" totalsRowDxfId="1291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600-000056000000}" name="COC3.6" dataDxfId="1290" totalsRowDxfId="1289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600-000057000000}" name="COC2.6" dataDxfId="1288" totalsRowDxfId="1287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600-000066000000}" name="COC2.63" dataDxfId="1286" totalsRowDxfId="1285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600-000065000000}" name="COC2.62" dataDxfId="1284" totalsRowDxfId="1283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600-000058000000}" name="COC4A.6" dataDxfId="1282" totalsRowDxfId="1281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600-000059000000}" name="COC1.7" dataDxfId="1280" totalsRowDxfId="1279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600-00005A000000}" name="COC3.7" dataDxfId="1278" totalsRowDxfId="1277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600-00005B000000}" name="COC2.7" dataDxfId="1276" totalsRowDxfId="1275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600-000068000000}" name="COC2.72" dataDxfId="1274" totalsRowDxfId="1273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600-000067000000}" name="COC2.8" dataDxfId="1272" totalsRowDxfId="1271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600-00005C000000}" name="COC4A.7" dataDxfId="1270" totalsRowDxfId="1269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imeSheet34753619244401821620262269123493109887811772527" displayName="TimeSheet34753619244401821620262269123493109887811772527" ref="A12:CX24" totalsRowCount="1" headerRowDxfId="1129" dataDxfId="1127" totalsRowDxfId="1125" headerRowBorderDxfId="1128" tableBorderDxfId="1126" totalsRowBorderDxfId="1124" headerRowCellStyle="Normal 2 10" dataCellStyle="Normal 2 10" totalsRowCellStyle="Normal 2 10">
  <tableColumns count="102">
    <tableColumn id="8" xr3:uid="{00000000-0010-0000-0700-000008000000}" name="IMPORT TIME?" dataDxfId="1123" totalsRowDxfId="1122" dataCellStyle="Normal 2 10">
      <calculatedColumnFormula>IF(ISBLANK(C13),"",IF(ISBLANK($D$3),"",$D$3))</calculatedColumnFormula>
    </tableColumn>
    <tableColumn id="64" xr3:uid="{00000000-0010-0000-0700-000040000000}" name="WC CODE" dataDxfId="1121" totalsRowDxfId="1120" dataCellStyle="Normal 2 10"/>
    <tableColumn id="2" xr3:uid="{00000000-0010-0000-0700-000002000000}" name="JOB " dataDxfId="1119" totalsRowDxfId="1118" dataCellStyle="Normal 2 10"/>
    <tableColumn id="4" xr3:uid="{00000000-0010-0000-0700-000004000000}" name="EXTRA" dataDxfId="1117" totalsRowDxfId="1116" dataCellStyle="Normal 2 10"/>
    <tableColumn id="5" xr3:uid="{00000000-0010-0000-0700-000005000000}" name="PHASE" dataDxfId="1115" totalsRowDxfId="1114" dataCellStyle="Normal 2 10"/>
    <tableColumn id="7" xr3:uid="{00000000-0010-0000-0700-000007000000}" name="UNION LOCAL" dataDxfId="1113" totalsRowDxfId="1112" dataCellStyle="Normal 2 10">
      <calculatedColumnFormula>IF(ISBLANK($B$4),"",$B$4)</calculatedColumnFormula>
    </tableColumn>
    <tableColumn id="58" xr3:uid="{00000000-0010-0000-0700-00003A000000}" name="WC STATE" dataDxfId="1111" totalsRowDxfId="1110" dataCellStyle="Normal 2 10"/>
    <tableColumn id="57" xr3:uid="{00000000-0010-0000-0700-000039000000}" name="ST" dataDxfId="1109" totalsRowDxfId="1108" dataCellStyle="Normal 2 10"/>
    <tableColumn id="6" xr3:uid="{00000000-0010-0000-0700-000006000000}" name="UNION CLASS" dataDxfId="1107" totalsRowDxfId="1106" dataCellStyle="Normal 2 10"/>
    <tableColumn id="107" xr3:uid="{00000000-0010-0000-0700-00006B000000}" name="Cert Class Form" dataDxfId="1105" totalsRowDxfId="1104" dataCellStyle="Normal 2 10">
      <calculatedColumnFormula>IF($K13=0,"",IF($K13&lt;10,"0"&amp;$K13,$K13))</calculatedColumnFormula>
    </tableColumn>
    <tableColumn id="93" xr3:uid="{00000000-0010-0000-0700-00005D000000}" name="CERT. CLASS" dataDxfId="1103" totalsRowDxfId="1102" dataCellStyle="Normal 2 10"/>
    <tableColumn id="9" xr3:uid="{00000000-0010-0000-0700-000009000000}" name="RT1" totalsRowFunction="sum" dataDxfId="1101" totalsRowDxfId="1100" dataCellStyle="Normal 2 10"/>
    <tableColumn id="10" xr3:uid="{00000000-0010-0000-0700-00000A000000}" name="OT1" totalsRowFunction="sum" dataDxfId="1099" totalsRowDxfId="1098" dataCellStyle="Normal 2 10"/>
    <tableColumn id="11" xr3:uid="{00000000-0010-0000-0700-00000B000000}" name="DT1" totalsRowFunction="sum" dataDxfId="1097" totalsRowDxfId="1096" dataCellStyle="Normal 2 10"/>
    <tableColumn id="12" xr3:uid="{00000000-0010-0000-0700-00000C000000}" name="PD1" totalsRowFunction="sum" dataDxfId="1095" totalsRowDxfId="1094" dataCellStyle="Normal 2 10"/>
    <tableColumn id="13" xr3:uid="{00000000-0010-0000-0700-00000D000000}" name="4D1" totalsRowFunction="sum" dataDxfId="1093" totalsRowDxfId="1092" dataCellStyle="Normal 2 10"/>
    <tableColumn id="14" xr3:uid="{00000000-0010-0000-0700-00000E000000}" name="4A1" totalsRowFunction="sum" dataDxfId="1091" totalsRowDxfId="1090" dataCellStyle="Normal 2 10"/>
    <tableColumn id="15" xr3:uid="{00000000-0010-0000-0700-00000F000000}" name="RT2" totalsRowFunction="sum" dataDxfId="1089" totalsRowDxfId="1088" dataCellStyle="Normal 2 10"/>
    <tableColumn id="16" xr3:uid="{00000000-0010-0000-0700-000010000000}" name="OT2" totalsRowFunction="sum" dataDxfId="1087" totalsRowDxfId="1086" dataCellStyle="Normal 2 10"/>
    <tableColumn id="17" xr3:uid="{00000000-0010-0000-0700-000011000000}" name="DT2" totalsRowFunction="sum" dataDxfId="1085" totalsRowDxfId="1084" dataCellStyle="Normal 2 10"/>
    <tableColumn id="18" xr3:uid="{00000000-0010-0000-0700-000012000000}" name="PD2" totalsRowFunction="sum" dataDxfId="1083" totalsRowDxfId="1082" dataCellStyle="Normal 2 10"/>
    <tableColumn id="19" xr3:uid="{00000000-0010-0000-0700-000013000000}" name="4D2" totalsRowFunction="sum" dataDxfId="1081" totalsRowDxfId="1080" dataCellStyle="Normal 2 10"/>
    <tableColumn id="20" xr3:uid="{00000000-0010-0000-0700-000014000000}" name="4A2" totalsRowFunction="sum" dataDxfId="1079" totalsRowDxfId="1078" dataCellStyle="Normal 2 10"/>
    <tableColumn id="21" xr3:uid="{00000000-0010-0000-0700-000015000000}" name="RT3" totalsRowFunction="sum" dataDxfId="1077" totalsRowDxfId="1076" dataCellStyle="Normal 2 10"/>
    <tableColumn id="22" xr3:uid="{00000000-0010-0000-0700-000016000000}" name="OT3" totalsRowFunction="sum" dataDxfId="1075" totalsRowDxfId="1074" dataCellStyle="Normal 2 10"/>
    <tableColumn id="23" xr3:uid="{00000000-0010-0000-0700-000017000000}" name="DT3" totalsRowFunction="sum" dataDxfId="1073" totalsRowDxfId="1072" dataCellStyle="Normal 2 10"/>
    <tableColumn id="24" xr3:uid="{00000000-0010-0000-0700-000018000000}" name="PD3" totalsRowFunction="sum" dataDxfId="1071" totalsRowDxfId="1070" dataCellStyle="Normal 2 10"/>
    <tableColumn id="25" xr3:uid="{00000000-0010-0000-0700-000019000000}" name="4D3" totalsRowFunction="sum" dataDxfId="1069" totalsRowDxfId="1068" dataCellStyle="Normal 2 10"/>
    <tableColumn id="26" xr3:uid="{00000000-0010-0000-0700-00001A000000}" name="4A3" totalsRowFunction="sum" dataDxfId="1067" totalsRowDxfId="1066" dataCellStyle="Normal 2 10"/>
    <tableColumn id="27" xr3:uid="{00000000-0010-0000-0700-00001B000000}" name="RT4" totalsRowFunction="sum" dataDxfId="1065" totalsRowDxfId="1064" dataCellStyle="Normal 2 10"/>
    <tableColumn id="28" xr3:uid="{00000000-0010-0000-0700-00001C000000}" name="OT4" totalsRowFunction="sum" dataDxfId="1063" totalsRowDxfId="1062" dataCellStyle="Normal 2 10"/>
    <tableColumn id="29" xr3:uid="{00000000-0010-0000-0700-00001D000000}" name="DT4" totalsRowFunction="sum" dataDxfId="1061" totalsRowDxfId="1060" dataCellStyle="Normal 2 10"/>
    <tableColumn id="30" xr3:uid="{00000000-0010-0000-0700-00001E000000}" name="PD4" totalsRowFunction="sum" dataDxfId="1059" totalsRowDxfId="1058" dataCellStyle="Normal 2 10"/>
    <tableColumn id="31" xr3:uid="{00000000-0010-0000-0700-00001F000000}" name="4D4" totalsRowFunction="sum" dataDxfId="1057" totalsRowDxfId="1056" dataCellStyle="Normal 2 10"/>
    <tableColumn id="32" xr3:uid="{00000000-0010-0000-0700-000020000000}" name="4A4" totalsRowFunction="sum" dataDxfId="1055" totalsRowDxfId="1054" dataCellStyle="Normal 2 10"/>
    <tableColumn id="33" xr3:uid="{00000000-0010-0000-0700-000021000000}" name="RT5" totalsRowFunction="sum" dataDxfId="1053" totalsRowDxfId="1052" dataCellStyle="Normal 2 10"/>
    <tableColumn id="34" xr3:uid="{00000000-0010-0000-0700-000022000000}" name="OT5" totalsRowFunction="sum" dataDxfId="1051" totalsRowDxfId="1050" dataCellStyle="Normal 2 10"/>
    <tableColumn id="35" xr3:uid="{00000000-0010-0000-0700-000023000000}" name="DT5" totalsRowFunction="sum" dataDxfId="1049" totalsRowDxfId="1048" dataCellStyle="Normal 2 10"/>
    <tableColumn id="36" xr3:uid="{00000000-0010-0000-0700-000024000000}" name="PD5" totalsRowFunction="sum" dataDxfId="1047" totalsRowDxfId="1046" dataCellStyle="Normal 2 10"/>
    <tableColumn id="37" xr3:uid="{00000000-0010-0000-0700-000025000000}" name="4D5" totalsRowFunction="sum" dataDxfId="1045" totalsRowDxfId="1044" dataCellStyle="Normal 2 10"/>
    <tableColumn id="38" xr3:uid="{00000000-0010-0000-0700-000026000000}" name="4A5" totalsRowFunction="sum" dataDxfId="1043" totalsRowDxfId="1042" dataCellStyle="Normal 2 10"/>
    <tableColumn id="39" xr3:uid="{00000000-0010-0000-0700-000027000000}" name="RT6" totalsRowFunction="sum" dataDxfId="1041" totalsRowDxfId="1040" dataCellStyle="Normal 2 10"/>
    <tableColumn id="40" xr3:uid="{00000000-0010-0000-0700-000028000000}" name="OT6" totalsRowFunction="sum" dataDxfId="1039" totalsRowDxfId="1038" dataCellStyle="Normal 2 10"/>
    <tableColumn id="41" xr3:uid="{00000000-0010-0000-0700-000029000000}" name="DT6" totalsRowFunction="sum" dataDxfId="1037" totalsRowDxfId="1036" dataCellStyle="Normal 2 10"/>
    <tableColumn id="42" xr3:uid="{00000000-0010-0000-0700-00002A000000}" name="PD6" totalsRowFunction="sum" dataDxfId="1035" totalsRowDxfId="1034" dataCellStyle="Normal 2 10"/>
    <tableColumn id="43" xr3:uid="{00000000-0010-0000-0700-00002B000000}" name="4D6" totalsRowFunction="sum" dataDxfId="1033" totalsRowDxfId="1032" dataCellStyle="Normal 2 10"/>
    <tableColumn id="44" xr3:uid="{00000000-0010-0000-0700-00002C000000}" name="4A6" totalsRowFunction="sum" dataDxfId="1031" totalsRowDxfId="1030" dataCellStyle="Normal 2 10"/>
    <tableColumn id="45" xr3:uid="{00000000-0010-0000-0700-00002D000000}" name="RT7" totalsRowFunction="sum" dataDxfId="1029" totalsRowDxfId="1028" dataCellStyle="Normal 2 10"/>
    <tableColumn id="46" xr3:uid="{00000000-0010-0000-0700-00002E000000}" name="OT7" totalsRowFunction="sum" dataDxfId="1027" totalsRowDxfId="1026" dataCellStyle="Normal 2 10"/>
    <tableColumn id="47" xr3:uid="{00000000-0010-0000-0700-00002F000000}" name="DT7" totalsRowFunction="sum" dataDxfId="1025" totalsRowDxfId="1024" dataCellStyle="Normal 2 10"/>
    <tableColumn id="48" xr3:uid="{00000000-0010-0000-0700-000030000000}" name="PD7" totalsRowFunction="sum" dataDxfId="1023" totalsRowDxfId="1022" dataCellStyle="Normal 2 10"/>
    <tableColumn id="49" xr3:uid="{00000000-0010-0000-0700-000031000000}" name="4D7" totalsRowFunction="sum" dataDxfId="1021" totalsRowDxfId="1020" dataCellStyle="Normal 2 10"/>
    <tableColumn id="50" xr3:uid="{00000000-0010-0000-0700-000032000000}" name="4A7" totalsRowFunction="sum" dataDxfId="1019" totalsRowDxfId="1018" dataCellStyle="Normal 2 10"/>
    <tableColumn id="51" xr3:uid="{00000000-0010-0000-0700-000033000000}" name="1" totalsRowFunction="sum" dataDxfId="1017" totalsRowDxfId="1016" dataCellStyle="Normal 2 10">
      <calculatedColumnFormula>SUM(AV13,AP13,AJ13,AD13,X13,R13,L13)</calculatedColumnFormula>
    </tableColumn>
    <tableColumn id="52" xr3:uid="{00000000-0010-0000-0700-000034000000}" name="3" totalsRowFunction="sum" dataDxfId="1015" totalsRowDxfId="1014" dataCellStyle="Normal 2 10">
      <calculatedColumnFormula>SUM(AW13,AQ13,AK13,AE13,Y13,S13,M13)</calculatedColumnFormula>
    </tableColumn>
    <tableColumn id="53" xr3:uid="{00000000-0010-0000-0700-000035000000}" name="2" totalsRowFunction="sum" dataDxfId="1013" totalsRowDxfId="1012" dataCellStyle="Normal 2 10">
      <calculatedColumnFormula>SUM(AX13,AR13,AL13,AF13,Z13,T13,N13)</calculatedColumnFormula>
    </tableColumn>
    <tableColumn id="54" xr3:uid="{00000000-0010-0000-0700-000036000000}" name="4" totalsRowFunction="sum" dataDxfId="1011" totalsRowDxfId="1010" dataCellStyle="Normal 2 10">
      <calculatedColumnFormula>SUM(AY13,AS13,AM13,AG13,AA13,U13,O13)</calculatedColumnFormula>
    </tableColumn>
    <tableColumn id="55" xr3:uid="{00000000-0010-0000-0700-000037000000}" name="4D" totalsRowFunction="sum" dataDxfId="1009" totalsRowDxfId="1008" dataCellStyle="Normal 2 10">
      <calculatedColumnFormula>SUM(AZ13,AT13,AN13,AH13,AB13,V13,P13)</calculatedColumnFormula>
    </tableColumn>
    <tableColumn id="56" xr3:uid="{00000000-0010-0000-0700-000038000000}" name="4A" totalsRowFunction="sum" dataDxfId="1007" totalsRowDxfId="1006" dataCellStyle="Normal 2 10">
      <calculatedColumnFormula>SUM(BA13,AU13,AO13,AI13,AC13,W13,Q13)</calculatedColumnFormula>
    </tableColumn>
    <tableColumn id="3" xr3:uid="{00000000-0010-0000-0700-000003000000}" name="Total" totalsRowFunction="custom" dataDxfId="1005" totalsRowDxfId="1004" dataCellStyle="Normal 2 10">
      <calculatedColumnFormula>SUM(TimeSheet34753619244401821620262269123493109887811772527[[#This Row],[1]:[4A]])</calculatedColumnFormula>
      <totalsRowFormula>SUBTOTAL(109,TimeSheet34753619244401821620262269123493109887811772527[Total])-SUM(TimeSheet34753619244401821620262269123493109887811772527[[#Totals],[RT1]:[4A7]])</totalsRowFormula>
    </tableColumn>
    <tableColumn id="65" xr3:uid="{00000000-0010-0000-0700-000041000000}" name="COC1.1" dataDxfId="1003" totalsRowDxfId="1002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700-000042000000}" name="COC3.1" dataDxfId="1001" totalsRowDxfId="1000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700-000043000000}" name="COC2.1" dataDxfId="999" totalsRowDxfId="998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700-00005E000000}" name="COC2.13" dataDxfId="997" totalsRowDxfId="996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700-00003F000000}" name="COC2.12" dataDxfId="995" totalsRowDxfId="994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700-000044000000}" name="COC4A.1" dataDxfId="993" totalsRowDxfId="992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700-000045000000}" name="COC1.2" dataDxfId="991" totalsRowDxfId="990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700-000046000000}" name="COC3.2" dataDxfId="989" totalsRowDxfId="988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700-000047000000}" name="COC2.2" dataDxfId="987" totalsRowDxfId="986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700-000060000000}" name="COC2.23" dataDxfId="985" totalsRowDxfId="984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700-00005F000000}" name="COC2.22" dataDxfId="983" totalsRowDxfId="982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700-000048000000}" name="COC4A.2" dataDxfId="981" totalsRowDxfId="980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700-000049000000}" name="COC1.3" dataDxfId="979" totalsRowDxfId="978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700-00004A000000}" name="COC3.3" dataDxfId="977" totalsRowDxfId="976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700-00004B000000}" name="COC2.3" dataDxfId="975" totalsRowDxfId="974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700-000062000000}" name="COC2.33" dataDxfId="973" totalsRowDxfId="972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700-000061000000}" name="COC2.32" dataDxfId="971" totalsRowDxfId="970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700-00004C000000}" name="COC4A.3" dataDxfId="969" totalsRowDxfId="968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700-00004D000000}" name="COC1.4" dataDxfId="967" totalsRowDxfId="966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700-00004E000000}" name="COC3.4" dataDxfId="965" totalsRowDxfId="964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700-00004F000000}" name="COC2.4" dataDxfId="963" totalsRowDxfId="962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700-000064000000}" name="COC2.43" dataDxfId="961" totalsRowDxfId="960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700-000063000000}" name="COC2.42" dataDxfId="959" totalsRowDxfId="958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700-000050000000}" name="COC4A.4" dataDxfId="957" totalsRowDxfId="956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700-000051000000}" name="COC1.5" dataDxfId="955" totalsRowDxfId="954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700-000052000000}" name="COC3.5" dataDxfId="953" totalsRowDxfId="952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700-000053000000}" name="COC2.5" dataDxfId="951" totalsRowDxfId="950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700-00006A000000}" name="COC2.53" dataDxfId="949" totalsRowDxfId="948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700-000069000000}" name="COC2.52" dataDxfId="947" totalsRowDxfId="946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700-000054000000}" name="COC4A.5" dataDxfId="945" totalsRowDxfId="944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700-000055000000}" name="COC1.6" dataDxfId="943" totalsRowDxfId="942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700-000056000000}" name="COC3.6" dataDxfId="941" totalsRowDxfId="940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700-000057000000}" name="COC2.6" dataDxfId="939" totalsRowDxfId="938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700-000066000000}" name="COC2.63" dataDxfId="937" totalsRowDxfId="936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700-000065000000}" name="COC2.62" dataDxfId="935" totalsRowDxfId="934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700-000058000000}" name="COC4A.6" dataDxfId="933" totalsRowDxfId="932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700-000059000000}" name="COC1.7" dataDxfId="931" totalsRowDxfId="930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700-00005A000000}" name="COC3.7" dataDxfId="929" totalsRowDxfId="928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700-00005B000000}" name="COC2.7" dataDxfId="927" totalsRowDxfId="926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700-000068000000}" name="COC2.72" dataDxfId="925" totalsRowDxfId="924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700-000067000000}" name="COC2.8" dataDxfId="923" totalsRowDxfId="922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700-00005C000000}" name="COC4A.7" dataDxfId="921" totalsRowDxfId="920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imeSheet3410" displayName="TimeSheet3410" ref="A12:CX24" totalsRowCount="1" headerRowDxfId="834" dataDxfId="832" totalsRowDxfId="830" headerRowBorderDxfId="833" tableBorderDxfId="831" totalsRowBorderDxfId="829" headerRowCellStyle="Normal 2 10" dataCellStyle="Normal 2 10" totalsRowCellStyle="Normal 2 10">
  <tableColumns count="102">
    <tableColumn id="8" xr3:uid="{00000000-0010-0000-0800-000008000000}" name="IMPORT TIME?" dataDxfId="828" totalsRowDxfId="827" dataCellStyle="Normal 2 10">
      <calculatedColumnFormula>IF(ISBLANK(C13),"",IF(ISBLANK($D$3),"",$D$3))</calculatedColumnFormula>
    </tableColumn>
    <tableColumn id="64" xr3:uid="{00000000-0010-0000-0800-000040000000}" name="WC CODE" dataDxfId="826" totalsRowDxfId="825" dataCellStyle="Normal 2 10"/>
    <tableColumn id="2" xr3:uid="{00000000-0010-0000-0800-000002000000}" name="JOB " dataDxfId="824" totalsRowDxfId="823" dataCellStyle="Normal 2 10"/>
    <tableColumn id="4" xr3:uid="{00000000-0010-0000-0800-000004000000}" name="EXTRA" dataDxfId="822" totalsRowDxfId="821" dataCellStyle="Normal 2 10"/>
    <tableColumn id="5" xr3:uid="{00000000-0010-0000-0800-000005000000}" name="PHASE" dataDxfId="820" totalsRowDxfId="819" dataCellStyle="Normal 2 10"/>
    <tableColumn id="7" xr3:uid="{00000000-0010-0000-0800-000007000000}" name="UNION LOCAL" dataDxfId="818" totalsRowDxfId="817" dataCellStyle="Normal 2 10">
      <calculatedColumnFormula>IF(ISBLANK($B$4),"",$B$4)</calculatedColumnFormula>
    </tableColumn>
    <tableColumn id="58" xr3:uid="{00000000-0010-0000-0800-00003A000000}" name="WC STATE" dataDxfId="816" totalsRowDxfId="815" dataCellStyle="Normal 2 10"/>
    <tableColumn id="57" xr3:uid="{00000000-0010-0000-0800-000039000000}" name="ST" dataDxfId="814" totalsRowDxfId="813" dataCellStyle="Normal 2 10"/>
    <tableColumn id="6" xr3:uid="{00000000-0010-0000-0800-000006000000}" name="UNION CLASS" dataDxfId="812" totalsRowDxfId="811" dataCellStyle="Normal 2 10"/>
    <tableColumn id="107" xr3:uid="{00000000-0010-0000-0800-00006B000000}" name="Cert Class Form" dataDxfId="810" totalsRowDxfId="809" dataCellStyle="Normal 2 10">
      <calculatedColumnFormula>IF($K13=0,"",IF($K13&lt;10,"0"&amp;$K13,$K13))</calculatedColumnFormula>
    </tableColumn>
    <tableColumn id="93" xr3:uid="{00000000-0010-0000-0800-00005D000000}" name="CERT. CLASS" dataDxfId="808" totalsRowDxfId="807" dataCellStyle="Normal 2 10"/>
    <tableColumn id="9" xr3:uid="{00000000-0010-0000-0800-000009000000}" name="RT1" totalsRowFunction="sum" dataDxfId="806" totalsRowDxfId="805" dataCellStyle="Normal 2 10"/>
    <tableColumn id="10" xr3:uid="{00000000-0010-0000-0800-00000A000000}" name="OT1" totalsRowFunction="sum" dataDxfId="804" totalsRowDxfId="803" dataCellStyle="Normal 2 10"/>
    <tableColumn id="11" xr3:uid="{00000000-0010-0000-0800-00000B000000}" name="DT1" totalsRowFunction="sum" dataDxfId="802" totalsRowDxfId="801" dataCellStyle="Normal 2 10"/>
    <tableColumn id="12" xr3:uid="{00000000-0010-0000-0800-00000C000000}" name="PD1" totalsRowFunction="sum" dataDxfId="800" totalsRowDxfId="799" dataCellStyle="Normal 2 10"/>
    <tableColumn id="13" xr3:uid="{00000000-0010-0000-0800-00000D000000}" name="4D1" totalsRowFunction="sum" dataDxfId="798" totalsRowDxfId="797" dataCellStyle="Normal 2 10"/>
    <tableColumn id="14" xr3:uid="{00000000-0010-0000-0800-00000E000000}" name="4A1" totalsRowFunction="sum" dataDxfId="796" totalsRowDxfId="795" dataCellStyle="Normal 2 10"/>
    <tableColumn id="15" xr3:uid="{00000000-0010-0000-0800-00000F000000}" name="RT2" totalsRowFunction="sum" dataDxfId="794" totalsRowDxfId="793" dataCellStyle="Normal 2 10"/>
    <tableColumn id="16" xr3:uid="{00000000-0010-0000-0800-000010000000}" name="OT2" totalsRowFunction="sum" dataDxfId="792" totalsRowDxfId="791" dataCellStyle="Normal 2 10"/>
    <tableColumn id="17" xr3:uid="{00000000-0010-0000-0800-000011000000}" name="DT2" totalsRowFunction="sum" dataDxfId="790" totalsRowDxfId="789" dataCellStyle="Normal 2 10"/>
    <tableColumn id="18" xr3:uid="{00000000-0010-0000-0800-000012000000}" name="PD2" totalsRowFunction="sum" dataDxfId="788" totalsRowDxfId="787" dataCellStyle="Normal 2 10"/>
    <tableColumn id="19" xr3:uid="{00000000-0010-0000-0800-000013000000}" name="4D2" totalsRowFunction="sum" dataDxfId="786" totalsRowDxfId="785" dataCellStyle="Normal 2 10"/>
    <tableColumn id="20" xr3:uid="{00000000-0010-0000-0800-000014000000}" name="4A2" totalsRowFunction="sum" dataDxfId="784" totalsRowDxfId="783" dataCellStyle="Normal 2 10"/>
    <tableColumn id="21" xr3:uid="{00000000-0010-0000-0800-000015000000}" name="RT3" totalsRowFunction="sum" dataDxfId="782" totalsRowDxfId="781" dataCellStyle="Normal 2 10"/>
    <tableColumn id="22" xr3:uid="{00000000-0010-0000-0800-000016000000}" name="OT3" totalsRowFunction="sum" dataDxfId="780" totalsRowDxfId="779" dataCellStyle="Normal 2 10"/>
    <tableColumn id="23" xr3:uid="{00000000-0010-0000-0800-000017000000}" name="DT3" totalsRowFunction="sum" dataDxfId="778" totalsRowDxfId="777" dataCellStyle="Normal 2 10"/>
    <tableColumn id="24" xr3:uid="{00000000-0010-0000-0800-000018000000}" name="PD3" totalsRowFunction="sum" dataDxfId="776" totalsRowDxfId="775" dataCellStyle="Normal 2 10"/>
    <tableColumn id="25" xr3:uid="{00000000-0010-0000-0800-000019000000}" name="4D3" totalsRowFunction="sum" dataDxfId="774" totalsRowDxfId="773" dataCellStyle="Normal 2 10"/>
    <tableColumn id="26" xr3:uid="{00000000-0010-0000-0800-00001A000000}" name="4A3" totalsRowFunction="sum" dataDxfId="772" totalsRowDxfId="771" dataCellStyle="Normal 2 10"/>
    <tableColumn id="27" xr3:uid="{00000000-0010-0000-0800-00001B000000}" name="RT4" totalsRowFunction="sum" dataDxfId="770" totalsRowDxfId="769" dataCellStyle="Normal 2 10"/>
    <tableColumn id="28" xr3:uid="{00000000-0010-0000-0800-00001C000000}" name="OT4" totalsRowFunction="sum" dataDxfId="768" totalsRowDxfId="767" dataCellStyle="Normal 2 10"/>
    <tableColumn id="29" xr3:uid="{00000000-0010-0000-0800-00001D000000}" name="DT4" totalsRowFunction="sum" dataDxfId="766" totalsRowDxfId="765" dataCellStyle="Normal 2 10"/>
    <tableColumn id="30" xr3:uid="{00000000-0010-0000-0800-00001E000000}" name="PD4" totalsRowFunction="sum" dataDxfId="764" totalsRowDxfId="763" dataCellStyle="Normal 2 10"/>
    <tableColumn id="31" xr3:uid="{00000000-0010-0000-0800-00001F000000}" name="4D4" totalsRowFunction="sum" dataDxfId="762" totalsRowDxfId="761" dataCellStyle="Normal 2 10"/>
    <tableColumn id="32" xr3:uid="{00000000-0010-0000-0800-000020000000}" name="4A4" totalsRowFunction="sum" dataDxfId="760" totalsRowDxfId="759" dataCellStyle="Normal 2 10"/>
    <tableColumn id="33" xr3:uid="{00000000-0010-0000-0800-000021000000}" name="RT5" totalsRowFunction="sum" dataDxfId="758" totalsRowDxfId="757" dataCellStyle="Normal 2 10"/>
    <tableColumn id="34" xr3:uid="{00000000-0010-0000-0800-000022000000}" name="OT5" totalsRowFunction="sum" dataDxfId="756" totalsRowDxfId="755" dataCellStyle="Normal 2 10"/>
    <tableColumn id="35" xr3:uid="{00000000-0010-0000-0800-000023000000}" name="DT5" totalsRowFunction="sum" dataDxfId="754" totalsRowDxfId="753" dataCellStyle="Normal 2 10"/>
    <tableColumn id="36" xr3:uid="{00000000-0010-0000-0800-000024000000}" name="PD5" totalsRowFunction="sum" dataDxfId="752" totalsRowDxfId="751" dataCellStyle="Normal 2 10"/>
    <tableColumn id="37" xr3:uid="{00000000-0010-0000-0800-000025000000}" name="4D5" totalsRowFunction="sum" dataDxfId="750" totalsRowDxfId="749" dataCellStyle="Normal 2 10"/>
    <tableColumn id="38" xr3:uid="{00000000-0010-0000-0800-000026000000}" name="4A5" totalsRowFunction="sum" dataDxfId="748" totalsRowDxfId="747" dataCellStyle="Normal 2 10"/>
    <tableColumn id="39" xr3:uid="{00000000-0010-0000-0800-000027000000}" name="RT6" totalsRowFunction="sum" dataDxfId="746" totalsRowDxfId="745" dataCellStyle="Normal 2 10"/>
    <tableColumn id="40" xr3:uid="{00000000-0010-0000-0800-000028000000}" name="OT6" totalsRowFunction="sum" dataDxfId="744" totalsRowDxfId="743" dataCellStyle="Normal 2 10"/>
    <tableColumn id="41" xr3:uid="{00000000-0010-0000-0800-000029000000}" name="DT6" totalsRowFunction="sum" dataDxfId="742" totalsRowDxfId="741" dataCellStyle="Normal 2 10"/>
    <tableColumn id="42" xr3:uid="{00000000-0010-0000-0800-00002A000000}" name="PD6" totalsRowFunction="sum" dataDxfId="740" totalsRowDxfId="739" dataCellStyle="Normal 2 10"/>
    <tableColumn id="43" xr3:uid="{00000000-0010-0000-0800-00002B000000}" name="4D6" totalsRowFunction="sum" dataDxfId="738" totalsRowDxfId="737" dataCellStyle="Normal 2 10"/>
    <tableColumn id="44" xr3:uid="{00000000-0010-0000-0800-00002C000000}" name="4A6" totalsRowFunction="sum" dataDxfId="736" totalsRowDxfId="735" dataCellStyle="Normal 2 10"/>
    <tableColumn id="45" xr3:uid="{00000000-0010-0000-0800-00002D000000}" name="RT7" totalsRowFunction="sum" dataDxfId="734" totalsRowDxfId="733" dataCellStyle="Normal 2 10"/>
    <tableColumn id="46" xr3:uid="{00000000-0010-0000-0800-00002E000000}" name="OT7" totalsRowFunction="sum" dataDxfId="732" totalsRowDxfId="731" dataCellStyle="Normal 2 10"/>
    <tableColumn id="47" xr3:uid="{00000000-0010-0000-0800-00002F000000}" name="DT7" totalsRowFunction="sum" dataDxfId="730" totalsRowDxfId="729" dataCellStyle="Normal 2 10"/>
    <tableColumn id="48" xr3:uid="{00000000-0010-0000-0800-000030000000}" name="PD7" totalsRowFunction="sum" dataDxfId="728" totalsRowDxfId="727" dataCellStyle="Normal 2 10"/>
    <tableColumn id="49" xr3:uid="{00000000-0010-0000-0800-000031000000}" name="4D7" totalsRowFunction="sum" dataDxfId="726" totalsRowDxfId="725" dataCellStyle="Normal 2 10"/>
    <tableColumn id="50" xr3:uid="{00000000-0010-0000-0800-000032000000}" name="4A7" totalsRowFunction="sum" dataDxfId="724" totalsRowDxfId="723" dataCellStyle="Normal 2 10"/>
    <tableColumn id="51" xr3:uid="{00000000-0010-0000-0800-000033000000}" name="1" totalsRowFunction="sum" dataDxfId="722" totalsRowDxfId="721" dataCellStyle="Normal 2 10">
      <calculatedColumnFormula>SUM(AV13,AP13,AJ13,AD13,X13,R13,L13)</calculatedColumnFormula>
    </tableColumn>
    <tableColumn id="52" xr3:uid="{00000000-0010-0000-0800-000034000000}" name="3" totalsRowFunction="sum" dataDxfId="720" totalsRowDxfId="719" dataCellStyle="Normal 2 10">
      <calculatedColumnFormula>SUM(AW13,AQ13,AK13,AE13,Y13,S13,M13)</calculatedColumnFormula>
    </tableColumn>
    <tableColumn id="53" xr3:uid="{00000000-0010-0000-0800-000035000000}" name="2" totalsRowFunction="sum" dataDxfId="718" totalsRowDxfId="717" dataCellStyle="Normal 2 10">
      <calculatedColumnFormula>SUM(AX13,AR13,AL13,AF13,Z13,T13,N13)</calculatedColumnFormula>
    </tableColumn>
    <tableColumn id="54" xr3:uid="{00000000-0010-0000-0800-000036000000}" name="4" totalsRowFunction="sum" dataDxfId="716" totalsRowDxfId="715" dataCellStyle="Normal 2 10">
      <calculatedColumnFormula>SUM(AY13,AS13,AM13,AG13,AA13,U13,O13)</calculatedColumnFormula>
    </tableColumn>
    <tableColumn id="55" xr3:uid="{00000000-0010-0000-0800-000037000000}" name="4D" totalsRowFunction="sum" dataDxfId="714" totalsRowDxfId="713" dataCellStyle="Normal 2 10">
      <calculatedColumnFormula>SUM(AZ13,AT13,AN13,AH13,AB13,V13,P13)</calculatedColumnFormula>
    </tableColumn>
    <tableColumn id="56" xr3:uid="{00000000-0010-0000-0800-000038000000}" name="4A" totalsRowFunction="sum" dataDxfId="712" totalsRowDxfId="711" dataCellStyle="Normal 2 10">
      <calculatedColumnFormula>SUM(BA13,AU13,AO13,AI13,AC13,W13,Q13)</calculatedColumnFormula>
    </tableColumn>
    <tableColumn id="3" xr3:uid="{00000000-0010-0000-0800-000003000000}" name="Total" totalsRowFunction="custom" dataDxfId="710" totalsRowDxfId="709" dataCellStyle="Normal 2 10">
      <calculatedColumnFormula>SUM(TimeSheet3410[[#This Row],[1]:[4A]])</calculatedColumnFormula>
      <totalsRowFormula>SUBTOTAL(109,TimeSheet3410[Total])-SUM(TimeSheet3410[[#Totals],[RT1]:[4A7]])</totalsRowFormula>
    </tableColumn>
    <tableColumn id="65" xr3:uid="{00000000-0010-0000-0800-000041000000}" name="COC1.1" dataDxfId="708" totalsRowDxfId="707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800-000042000000}" name="COC3.1" dataDxfId="706" totalsRowDxfId="705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800-000043000000}" name="COC2.1" dataDxfId="704" totalsRowDxfId="703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800-00005E000000}" name="COC2.13" dataDxfId="702" totalsRowDxfId="701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800-00003F000000}" name="COC2.12" dataDxfId="700" totalsRowDxfId="699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800-000044000000}" name="COC4A.1" dataDxfId="698" totalsRowDxfId="697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800-000045000000}" name="COC1.2" dataDxfId="696" totalsRowDxfId="695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800-000046000000}" name="COC3.2" dataDxfId="694" totalsRowDxfId="693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800-000047000000}" name="COC2.2" dataDxfId="692" totalsRowDxfId="691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800-000060000000}" name="COC2.23" dataDxfId="690" totalsRowDxfId="689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800-00005F000000}" name="COC2.22" dataDxfId="688" totalsRowDxfId="687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800-000048000000}" name="COC4A.2" dataDxfId="686" totalsRowDxfId="685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800-000049000000}" name="COC1.3" dataDxfId="684" totalsRowDxfId="683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800-00004A000000}" name="COC3.3" dataDxfId="682" totalsRowDxfId="681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800-00004B000000}" name="COC2.3" dataDxfId="680" totalsRowDxfId="679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800-000062000000}" name="COC2.33" dataDxfId="678" totalsRowDxfId="677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800-000061000000}" name="COC2.32" dataDxfId="676" totalsRowDxfId="675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800-00004C000000}" name="COC4A.3" dataDxfId="674" totalsRowDxfId="673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800-00004D000000}" name="COC1.4" dataDxfId="672" totalsRowDxfId="671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800-00004E000000}" name="COC3.4" dataDxfId="670" totalsRowDxfId="669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800-00004F000000}" name="COC2.4" dataDxfId="668" totalsRowDxfId="667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800-000064000000}" name="COC2.43" dataDxfId="666" totalsRowDxfId="665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800-000063000000}" name="COC2.42" dataDxfId="664" totalsRowDxfId="663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800-000050000000}" name="COC4A.4" dataDxfId="662" totalsRowDxfId="661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800-000051000000}" name="COC1.5" dataDxfId="660" totalsRowDxfId="659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800-000052000000}" name="COC3.5" dataDxfId="658" totalsRowDxfId="657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800-000053000000}" name="COC2.5" dataDxfId="656" totalsRowDxfId="655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800-00006A000000}" name="COC2.53" dataDxfId="654" totalsRowDxfId="653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800-000069000000}" name="COC2.52" dataDxfId="652" totalsRowDxfId="651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800-000054000000}" name="COC4A.5" dataDxfId="650" totalsRowDxfId="649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800-000055000000}" name="COC1.6" dataDxfId="648" totalsRowDxfId="647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800-000056000000}" name="COC3.6" dataDxfId="646" totalsRowDxfId="645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800-000057000000}" name="COC2.6" dataDxfId="644" totalsRowDxfId="643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800-000066000000}" name="COC2.63" dataDxfId="642" totalsRowDxfId="641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800-000065000000}" name="COC2.62" dataDxfId="640" totalsRowDxfId="639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800-000058000000}" name="COC4A.6" dataDxfId="638" totalsRowDxfId="637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800-000059000000}" name="COC1.7" dataDxfId="636" totalsRowDxfId="635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800-00005A000000}" name="COC3.7" dataDxfId="634" totalsRowDxfId="633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800-00005B000000}" name="COC2.7" dataDxfId="632" totalsRowDxfId="631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800-000068000000}" name="COC2.72" dataDxfId="630" totalsRowDxfId="629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800-000067000000}" name="COC2.8" dataDxfId="628" totalsRowDxfId="627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800-00005C000000}" name="COC4A.7" dataDxfId="626" totalsRowDxfId="625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imeSheet3413" displayName="TimeSheet3413" ref="A12:CX24" totalsRowCount="1" headerRowDxfId="531" dataDxfId="529" totalsRowDxfId="527" headerRowBorderDxfId="530" tableBorderDxfId="528" totalsRowBorderDxfId="526" headerRowCellStyle="Normal 2 10" dataCellStyle="Normal 2 10" totalsRowCellStyle="Normal 2 10">
  <tableColumns count="102">
    <tableColumn id="8" xr3:uid="{00000000-0010-0000-0900-000008000000}" name="IMPORT TIME?" dataDxfId="525" totalsRowDxfId="524" dataCellStyle="Normal 2 10">
      <calculatedColumnFormula>IF(ISBLANK(C13),"",IF(ISBLANK($D$3),"",$D$3))</calculatedColumnFormula>
    </tableColumn>
    <tableColumn id="64" xr3:uid="{00000000-0010-0000-0900-000040000000}" name="WC CODE" dataDxfId="523" totalsRowDxfId="522" dataCellStyle="Normal 2 10"/>
    <tableColumn id="2" xr3:uid="{00000000-0010-0000-0900-000002000000}" name="JOB " dataDxfId="521" totalsRowDxfId="520" dataCellStyle="Normal 2 10"/>
    <tableColumn id="4" xr3:uid="{00000000-0010-0000-0900-000004000000}" name="EXTRA" dataDxfId="519" totalsRowDxfId="518" dataCellStyle="Normal 2 10"/>
    <tableColumn id="5" xr3:uid="{00000000-0010-0000-0900-000005000000}" name="PHASE" dataDxfId="517" totalsRowDxfId="516" dataCellStyle="Normal 2 10"/>
    <tableColumn id="7" xr3:uid="{00000000-0010-0000-0900-000007000000}" name="UNION LOCAL" dataDxfId="515" totalsRowDxfId="514" dataCellStyle="Normal 2 10">
      <calculatedColumnFormula>IF(ISBLANK($B$4),"",$B$4)</calculatedColumnFormula>
    </tableColumn>
    <tableColumn id="58" xr3:uid="{00000000-0010-0000-0900-00003A000000}" name="WC STATE" dataDxfId="513" totalsRowDxfId="512" dataCellStyle="Normal 2 10"/>
    <tableColumn id="57" xr3:uid="{00000000-0010-0000-0900-000039000000}" name="ST" dataDxfId="511" totalsRowDxfId="510" dataCellStyle="Normal 2 10"/>
    <tableColumn id="6" xr3:uid="{00000000-0010-0000-0900-000006000000}" name="UNION CLASS" dataDxfId="509" totalsRowDxfId="508" dataCellStyle="Normal 2 10"/>
    <tableColumn id="107" xr3:uid="{00000000-0010-0000-0900-00006B000000}" name="Cert Class Form" dataDxfId="507" totalsRowDxfId="506" dataCellStyle="Normal 2 10">
      <calculatedColumnFormula>IF($K13=0,"",IF($K13&lt;10,"0"&amp;$K13,$K13))</calculatedColumnFormula>
    </tableColumn>
    <tableColumn id="93" xr3:uid="{00000000-0010-0000-0900-00005D000000}" name="CERT. CLASS" dataDxfId="505" totalsRowDxfId="504" dataCellStyle="Normal 2 10"/>
    <tableColumn id="9" xr3:uid="{00000000-0010-0000-0900-000009000000}" name="RT1" totalsRowFunction="sum" dataDxfId="503" totalsRowDxfId="502" dataCellStyle="Normal 2 10"/>
    <tableColumn id="10" xr3:uid="{00000000-0010-0000-0900-00000A000000}" name="OT1" totalsRowFunction="sum" dataDxfId="501" totalsRowDxfId="500" dataCellStyle="Normal 2 10"/>
    <tableColumn id="11" xr3:uid="{00000000-0010-0000-0900-00000B000000}" name="DT1" totalsRowFunction="sum" dataDxfId="499" totalsRowDxfId="498" dataCellStyle="Normal 2 10"/>
    <tableColumn id="12" xr3:uid="{00000000-0010-0000-0900-00000C000000}" name="PD1" totalsRowFunction="sum" dataDxfId="497" totalsRowDxfId="496" dataCellStyle="Normal 2 10"/>
    <tableColumn id="13" xr3:uid="{00000000-0010-0000-0900-00000D000000}" name="4D1" totalsRowFunction="sum" dataDxfId="495" totalsRowDxfId="494" dataCellStyle="Normal 2 10"/>
    <tableColumn id="14" xr3:uid="{00000000-0010-0000-0900-00000E000000}" name="4A1" totalsRowFunction="sum" dataDxfId="493" totalsRowDxfId="492" dataCellStyle="Normal 2 10"/>
    <tableColumn id="15" xr3:uid="{00000000-0010-0000-0900-00000F000000}" name="RT2" totalsRowFunction="sum" dataDxfId="491" totalsRowDxfId="490" dataCellStyle="Normal 2 10"/>
    <tableColumn id="16" xr3:uid="{00000000-0010-0000-0900-000010000000}" name="OT2" totalsRowFunction="sum" dataDxfId="489" totalsRowDxfId="488" dataCellStyle="Normal 2 10"/>
    <tableColumn id="17" xr3:uid="{00000000-0010-0000-0900-000011000000}" name="DT2" totalsRowFunction="sum" dataDxfId="487" totalsRowDxfId="486" dataCellStyle="Normal 2 10"/>
    <tableColumn id="18" xr3:uid="{00000000-0010-0000-0900-000012000000}" name="PD2" totalsRowFunction="sum" dataDxfId="485" totalsRowDxfId="484" dataCellStyle="Normal 2 10"/>
    <tableColumn id="19" xr3:uid="{00000000-0010-0000-0900-000013000000}" name="4D2" totalsRowFunction="sum" dataDxfId="483" totalsRowDxfId="482" dataCellStyle="Normal 2 10"/>
    <tableColumn id="20" xr3:uid="{00000000-0010-0000-0900-000014000000}" name="4A2" totalsRowFunction="sum" dataDxfId="481" totalsRowDxfId="480" dataCellStyle="Normal 2 10"/>
    <tableColumn id="21" xr3:uid="{00000000-0010-0000-0900-000015000000}" name="RT3" totalsRowFunction="sum" dataDxfId="479" totalsRowDxfId="478" dataCellStyle="Normal 2 10"/>
    <tableColumn id="22" xr3:uid="{00000000-0010-0000-0900-000016000000}" name="OT3" totalsRowFunction="sum" dataDxfId="477" totalsRowDxfId="476" dataCellStyle="Normal 2 10"/>
    <tableColumn id="23" xr3:uid="{00000000-0010-0000-0900-000017000000}" name="DT3" totalsRowFunction="sum" dataDxfId="475" totalsRowDxfId="474" dataCellStyle="Normal 2 10"/>
    <tableColumn id="24" xr3:uid="{00000000-0010-0000-0900-000018000000}" name="PD3" totalsRowFunction="sum" dataDxfId="473" totalsRowDxfId="472" dataCellStyle="Normal 2 10"/>
    <tableColumn id="25" xr3:uid="{00000000-0010-0000-0900-000019000000}" name="4D3" totalsRowFunction="sum" dataDxfId="471" totalsRowDxfId="470" dataCellStyle="Normal 2 10"/>
    <tableColumn id="26" xr3:uid="{00000000-0010-0000-0900-00001A000000}" name="4A3" totalsRowFunction="sum" dataDxfId="469" totalsRowDxfId="468" dataCellStyle="Normal 2 10"/>
    <tableColumn id="27" xr3:uid="{00000000-0010-0000-0900-00001B000000}" name="RT4" totalsRowFunction="sum" dataDxfId="467" totalsRowDxfId="466" dataCellStyle="Normal 2 10"/>
    <tableColumn id="28" xr3:uid="{00000000-0010-0000-0900-00001C000000}" name="OT4" totalsRowFunction="sum" dataDxfId="465" totalsRowDxfId="464" dataCellStyle="Normal 2 10"/>
    <tableColumn id="29" xr3:uid="{00000000-0010-0000-0900-00001D000000}" name="DT4" totalsRowFunction="sum" dataDxfId="463" totalsRowDxfId="462" dataCellStyle="Normal 2 10"/>
    <tableColumn id="30" xr3:uid="{00000000-0010-0000-0900-00001E000000}" name="PD4" totalsRowFunction="sum" dataDxfId="461" totalsRowDxfId="460" dataCellStyle="Normal 2 10"/>
    <tableColumn id="31" xr3:uid="{00000000-0010-0000-0900-00001F000000}" name="4D4" totalsRowFunction="sum" dataDxfId="459" totalsRowDxfId="458" dataCellStyle="Normal 2 10"/>
    <tableColumn id="32" xr3:uid="{00000000-0010-0000-0900-000020000000}" name="4A4" totalsRowFunction="sum" dataDxfId="457" totalsRowDxfId="456" dataCellStyle="Normal 2 10"/>
    <tableColumn id="33" xr3:uid="{00000000-0010-0000-0900-000021000000}" name="RT5" totalsRowFunction="sum" dataDxfId="455" totalsRowDxfId="454" dataCellStyle="Normal 2 10"/>
    <tableColumn id="34" xr3:uid="{00000000-0010-0000-0900-000022000000}" name="OT5" totalsRowFunction="sum" dataDxfId="453" totalsRowDxfId="452" dataCellStyle="Normal 2 10"/>
    <tableColumn id="35" xr3:uid="{00000000-0010-0000-0900-000023000000}" name="DT5" totalsRowFunction="sum" dataDxfId="451" totalsRowDxfId="450" dataCellStyle="Normal 2 10"/>
    <tableColumn id="36" xr3:uid="{00000000-0010-0000-0900-000024000000}" name="PD5" totalsRowFunction="sum" dataDxfId="449" totalsRowDxfId="448" dataCellStyle="Normal 2 10"/>
    <tableColumn id="37" xr3:uid="{00000000-0010-0000-0900-000025000000}" name="4D5" totalsRowFunction="sum" dataDxfId="447" totalsRowDxfId="446" dataCellStyle="Normal 2 10"/>
    <tableColumn id="38" xr3:uid="{00000000-0010-0000-0900-000026000000}" name="4A5" totalsRowFunction="sum" dataDxfId="445" totalsRowDxfId="444" dataCellStyle="Normal 2 10"/>
    <tableColumn id="39" xr3:uid="{00000000-0010-0000-0900-000027000000}" name="RT6" totalsRowFunction="sum" dataDxfId="443" totalsRowDxfId="442" dataCellStyle="Normal 2 10"/>
    <tableColumn id="40" xr3:uid="{00000000-0010-0000-0900-000028000000}" name="OT6" totalsRowFunction="sum" dataDxfId="441" totalsRowDxfId="440" dataCellStyle="Normal 2 10"/>
    <tableColumn id="41" xr3:uid="{00000000-0010-0000-0900-000029000000}" name="DT6" totalsRowFunction="sum" dataDxfId="439" totalsRowDxfId="438" dataCellStyle="Normal 2 10"/>
    <tableColumn id="42" xr3:uid="{00000000-0010-0000-0900-00002A000000}" name="PD6" totalsRowFunction="sum" dataDxfId="437" totalsRowDxfId="436" dataCellStyle="Normal 2 10"/>
    <tableColumn id="43" xr3:uid="{00000000-0010-0000-0900-00002B000000}" name="4D6" totalsRowFunction="sum" dataDxfId="435" totalsRowDxfId="434" dataCellStyle="Normal 2 10"/>
    <tableColumn id="44" xr3:uid="{00000000-0010-0000-0900-00002C000000}" name="4A6" totalsRowFunction="sum" dataDxfId="433" totalsRowDxfId="432" dataCellStyle="Normal 2 10"/>
    <tableColumn id="45" xr3:uid="{00000000-0010-0000-0900-00002D000000}" name="RT7" totalsRowFunction="sum" dataDxfId="431" totalsRowDxfId="430" dataCellStyle="Normal 2 10"/>
    <tableColumn id="46" xr3:uid="{00000000-0010-0000-0900-00002E000000}" name="OT7" totalsRowFunction="sum" dataDxfId="429" totalsRowDxfId="428" dataCellStyle="Normal 2 10"/>
    <tableColumn id="47" xr3:uid="{00000000-0010-0000-0900-00002F000000}" name="DT7" totalsRowFunction="sum" dataDxfId="427" totalsRowDxfId="426" dataCellStyle="Normal 2 10"/>
    <tableColumn id="48" xr3:uid="{00000000-0010-0000-0900-000030000000}" name="PD7" totalsRowFunction="sum" dataDxfId="425" totalsRowDxfId="424" dataCellStyle="Normal 2 10"/>
    <tableColumn id="49" xr3:uid="{00000000-0010-0000-0900-000031000000}" name="4D7" totalsRowFunction="sum" dataDxfId="423" totalsRowDxfId="422" dataCellStyle="Normal 2 10"/>
    <tableColumn id="50" xr3:uid="{00000000-0010-0000-0900-000032000000}" name="4A7" totalsRowFunction="sum" dataDxfId="421" totalsRowDxfId="420" dataCellStyle="Normal 2 10"/>
    <tableColumn id="51" xr3:uid="{00000000-0010-0000-0900-000033000000}" name="1" totalsRowFunction="sum" dataDxfId="419" totalsRowDxfId="418" dataCellStyle="Normal 2 10">
      <calculatedColumnFormula>SUM(AV13,AP13,AJ13,AD13,X13,R13,L13)</calculatedColumnFormula>
    </tableColumn>
    <tableColumn id="52" xr3:uid="{00000000-0010-0000-0900-000034000000}" name="3" totalsRowFunction="sum" dataDxfId="417" totalsRowDxfId="416" dataCellStyle="Normal 2 10">
      <calculatedColumnFormula>SUM(AW13,AQ13,AK13,AE13,Y13,S13,M13)</calculatedColumnFormula>
    </tableColumn>
    <tableColumn id="53" xr3:uid="{00000000-0010-0000-0900-000035000000}" name="2" totalsRowFunction="sum" dataDxfId="415" totalsRowDxfId="414" dataCellStyle="Normal 2 10">
      <calculatedColumnFormula>SUM(AX13,AR13,AL13,AF13,Z13,T13,N13)</calculatedColumnFormula>
    </tableColumn>
    <tableColumn id="54" xr3:uid="{00000000-0010-0000-0900-000036000000}" name="4" totalsRowFunction="sum" dataDxfId="413" totalsRowDxfId="412" dataCellStyle="Normal 2 10">
      <calculatedColumnFormula>SUM(AY13,AS13,AM13,AG13,AA13,U13,O13)</calculatedColumnFormula>
    </tableColumn>
    <tableColumn id="55" xr3:uid="{00000000-0010-0000-0900-000037000000}" name="4D" totalsRowFunction="sum" dataDxfId="411" totalsRowDxfId="410" dataCellStyle="Normal 2 10">
      <calculatedColumnFormula>SUM(AZ13,AT13,AN13,AH13,AB13,V13,P13)</calculatedColumnFormula>
    </tableColumn>
    <tableColumn id="56" xr3:uid="{00000000-0010-0000-0900-000038000000}" name="4A" totalsRowFunction="sum" dataDxfId="409" totalsRowDxfId="408" dataCellStyle="Normal 2 10">
      <calculatedColumnFormula>SUM(BA13,AU13,AO13,AI13,AC13,W13,Q13)</calculatedColumnFormula>
    </tableColumn>
    <tableColumn id="3" xr3:uid="{00000000-0010-0000-0900-000003000000}" name="Total" totalsRowFunction="custom" dataDxfId="407" totalsRowDxfId="406" dataCellStyle="Normal 2 10">
      <calculatedColumnFormula>SUM(TimeSheet3413[[#This Row],[1]:[4A]])</calculatedColumnFormula>
      <totalsRowFormula>SUBTOTAL(109,TimeSheet3413[Total])-SUM(TimeSheet3413[[#Totals],[RT1]:[4A7]])</totalsRowFormula>
    </tableColumn>
    <tableColumn id="65" xr3:uid="{00000000-0010-0000-0900-000041000000}" name="COC1.1" dataDxfId="405" totalsRowDxfId="404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900-000042000000}" name="COC3.1" dataDxfId="403" totalsRowDxfId="402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900-000043000000}" name="COC2.1" dataDxfId="401" totalsRowDxfId="400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900-00005E000000}" name="COC2.13" dataDxfId="399" totalsRowDxfId="398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900-00003F000000}" name="COC2.12" dataDxfId="397" totalsRowDxfId="396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900-000044000000}" name="COC4A.1" dataDxfId="395" totalsRowDxfId="394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900-000045000000}" name="COC1.2" dataDxfId="393" totalsRowDxfId="392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900-000046000000}" name="COC3.2" dataDxfId="391" totalsRowDxfId="390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900-000047000000}" name="COC2.2" dataDxfId="389" totalsRowDxfId="388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900-000060000000}" name="COC2.23" dataDxfId="387" totalsRowDxfId="386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900-00005F000000}" name="COC2.22" dataDxfId="385" totalsRowDxfId="384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900-000048000000}" name="COC4A.2" dataDxfId="383" totalsRowDxfId="382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900-000049000000}" name="COC1.3" dataDxfId="381" totalsRowDxfId="380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900-00004A000000}" name="COC3.3" dataDxfId="379" totalsRowDxfId="378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900-00004B000000}" name="COC2.3" dataDxfId="377" totalsRowDxfId="376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900-000062000000}" name="COC2.33" dataDxfId="375" totalsRowDxfId="374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900-000061000000}" name="COC2.32" dataDxfId="373" totalsRowDxfId="372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900-00004C000000}" name="COC4A.3" dataDxfId="371" totalsRowDxfId="370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900-00004D000000}" name="COC1.4" dataDxfId="369" totalsRowDxfId="368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900-00004E000000}" name="COC3.4" dataDxfId="367" totalsRowDxfId="366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900-00004F000000}" name="COC2.4" dataDxfId="365" totalsRowDxfId="364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900-000064000000}" name="COC2.43" dataDxfId="363" totalsRowDxfId="362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900-000063000000}" name="COC2.42" dataDxfId="361" totalsRowDxfId="360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900-000050000000}" name="COC4A.4" dataDxfId="359" totalsRowDxfId="358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900-000051000000}" name="COC1.5" dataDxfId="357" totalsRowDxfId="356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900-000052000000}" name="COC3.5" dataDxfId="355" totalsRowDxfId="354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900-000053000000}" name="COC2.5" dataDxfId="353" totalsRowDxfId="352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900-00006A000000}" name="COC2.53" dataDxfId="351" totalsRowDxfId="350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900-000069000000}" name="COC2.52" dataDxfId="349" totalsRowDxfId="348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900-000054000000}" name="COC4A.5" dataDxfId="347" totalsRowDxfId="346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900-000055000000}" name="COC1.6" dataDxfId="345" totalsRowDxfId="344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900-000056000000}" name="COC3.6" dataDxfId="343" totalsRowDxfId="342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900-000057000000}" name="COC2.6" dataDxfId="341" totalsRowDxfId="340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900-000066000000}" name="COC2.63" dataDxfId="339" totalsRowDxfId="338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900-000065000000}" name="COC2.62" dataDxfId="337" totalsRowDxfId="336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900-000058000000}" name="COC4A.6" dataDxfId="335" totalsRowDxfId="334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900-000059000000}" name="COC1.7" dataDxfId="333" totalsRowDxfId="332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900-00005A000000}" name="COC3.7" dataDxfId="331" totalsRowDxfId="330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900-00005B000000}" name="COC2.7" dataDxfId="329" totalsRowDxfId="328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900-000068000000}" name="COC2.72" dataDxfId="327" totalsRowDxfId="326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900-000067000000}" name="COC2.8" dataDxfId="325" totalsRowDxfId="324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900-00005C000000}" name="COC4A.7" dataDxfId="323" totalsRowDxfId="322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TimeSheet347536192444018281322354750220515659613035363650515317116122135" displayName="TimeSheet347536192444018281322354750220515659613035363650515317116122135" ref="A12:CX24" totalsRowCount="1" headerRowDxfId="209" dataDxfId="207" totalsRowDxfId="205" headerRowBorderDxfId="208" tableBorderDxfId="206" totalsRowBorderDxfId="204" headerRowCellStyle="Normal 2 10" dataCellStyle="Normal 2 10" totalsRowCellStyle="Normal 2 10">
  <tableColumns count="102">
    <tableColumn id="8" xr3:uid="{00000000-0010-0000-0A00-000008000000}" name="IMPORT TIME?" dataDxfId="203" totalsRowDxfId="202" dataCellStyle="Normal 2 10">
      <calculatedColumnFormula>IF(ISBLANK(C13),"",IF(ISBLANK($D$3),"",$D$3))</calculatedColumnFormula>
    </tableColumn>
    <tableColumn id="64" xr3:uid="{00000000-0010-0000-0A00-000040000000}" name="WC CODE" dataDxfId="201" totalsRowDxfId="200" dataCellStyle="Normal 2 10"/>
    <tableColumn id="2" xr3:uid="{00000000-0010-0000-0A00-000002000000}" name="JOB " dataDxfId="199" totalsRowDxfId="198" dataCellStyle="Normal 2 10"/>
    <tableColumn id="4" xr3:uid="{00000000-0010-0000-0A00-000004000000}" name="EXTRA" dataDxfId="197" totalsRowDxfId="196" dataCellStyle="Normal 2 10"/>
    <tableColumn id="5" xr3:uid="{00000000-0010-0000-0A00-000005000000}" name="PHASE" dataDxfId="195" totalsRowDxfId="194" dataCellStyle="Normal 2 10"/>
    <tableColumn id="7" xr3:uid="{00000000-0010-0000-0A00-000007000000}" name="UNION LOCAL" dataDxfId="193" totalsRowDxfId="192" dataCellStyle="Normal 2 10">
      <calculatedColumnFormula>IF(ISBLANK($B$4),"",$B$4)</calculatedColumnFormula>
    </tableColumn>
    <tableColumn id="58" xr3:uid="{00000000-0010-0000-0A00-00003A000000}" name="WC STATE" dataDxfId="191" totalsRowDxfId="190" dataCellStyle="Normal 2 10"/>
    <tableColumn id="57" xr3:uid="{00000000-0010-0000-0A00-000039000000}" name="ST" dataDxfId="189" totalsRowDxfId="188" dataCellStyle="Normal 2 10"/>
    <tableColumn id="6" xr3:uid="{00000000-0010-0000-0A00-000006000000}" name="UNION CLASS" dataDxfId="187" totalsRowDxfId="186" dataCellStyle="Normal 2 10"/>
    <tableColumn id="107" xr3:uid="{00000000-0010-0000-0A00-00006B000000}" name="Cert Class Form" dataDxfId="185" totalsRowDxfId="184" dataCellStyle="Normal 2 10">
      <calculatedColumnFormula>IF($K13=0,"",IF($K13&lt;10,"0"&amp;$K13,$K13))</calculatedColumnFormula>
    </tableColumn>
    <tableColumn id="93" xr3:uid="{00000000-0010-0000-0A00-00005D000000}" name="CERT. CLASS" dataDxfId="183" totalsRowDxfId="182" dataCellStyle="Normal 2 10"/>
    <tableColumn id="9" xr3:uid="{00000000-0010-0000-0A00-000009000000}" name="RT1" totalsRowFunction="sum" dataDxfId="181" totalsRowDxfId="180" dataCellStyle="Normal 2 10"/>
    <tableColumn id="10" xr3:uid="{00000000-0010-0000-0A00-00000A000000}" name="OT1" totalsRowFunction="sum" dataDxfId="179" totalsRowDxfId="178" dataCellStyle="Normal 2 10"/>
    <tableColumn id="11" xr3:uid="{00000000-0010-0000-0A00-00000B000000}" name="DT1" totalsRowFunction="sum" dataDxfId="177" totalsRowDxfId="176" dataCellStyle="Normal 2 10"/>
    <tableColumn id="12" xr3:uid="{00000000-0010-0000-0A00-00000C000000}" name="PD1" totalsRowFunction="sum" dataDxfId="175" totalsRowDxfId="174" dataCellStyle="Normal 2 10"/>
    <tableColumn id="13" xr3:uid="{00000000-0010-0000-0A00-00000D000000}" name="4D1" totalsRowFunction="sum" dataDxfId="173" totalsRowDxfId="172" dataCellStyle="Normal 2 10"/>
    <tableColumn id="14" xr3:uid="{00000000-0010-0000-0A00-00000E000000}" name="4A1" totalsRowFunction="sum" dataDxfId="171" totalsRowDxfId="170" dataCellStyle="Normal 2 10"/>
    <tableColumn id="15" xr3:uid="{00000000-0010-0000-0A00-00000F000000}" name="RT2" totalsRowFunction="sum" dataDxfId="169" totalsRowDxfId="168" dataCellStyle="Normal 2 10"/>
    <tableColumn id="16" xr3:uid="{00000000-0010-0000-0A00-000010000000}" name="OT2" totalsRowFunction="sum" dataDxfId="167" totalsRowDxfId="166" dataCellStyle="Normal 2 10"/>
    <tableColumn id="17" xr3:uid="{00000000-0010-0000-0A00-000011000000}" name="DT2" totalsRowFunction="sum" dataDxfId="165" totalsRowDxfId="164" dataCellStyle="Normal 2 10"/>
    <tableColumn id="18" xr3:uid="{00000000-0010-0000-0A00-000012000000}" name="PD2" totalsRowFunction="sum" dataDxfId="163" totalsRowDxfId="162" dataCellStyle="Normal 2 10"/>
    <tableColumn id="19" xr3:uid="{00000000-0010-0000-0A00-000013000000}" name="4D2" totalsRowFunction="sum" dataDxfId="161" totalsRowDxfId="160" dataCellStyle="Normal 2 10"/>
    <tableColumn id="20" xr3:uid="{00000000-0010-0000-0A00-000014000000}" name="4A2" totalsRowFunction="sum" dataDxfId="159" totalsRowDxfId="158" dataCellStyle="Normal 2 10"/>
    <tableColumn id="21" xr3:uid="{00000000-0010-0000-0A00-000015000000}" name="RT3" totalsRowFunction="sum" dataDxfId="157" totalsRowDxfId="156" dataCellStyle="Normal 2 10"/>
    <tableColumn id="22" xr3:uid="{00000000-0010-0000-0A00-000016000000}" name="OT3" totalsRowFunction="sum" dataDxfId="155" totalsRowDxfId="154" dataCellStyle="Normal 2 10"/>
    <tableColumn id="23" xr3:uid="{00000000-0010-0000-0A00-000017000000}" name="DT3" totalsRowFunction="sum" dataDxfId="153" totalsRowDxfId="152" dataCellStyle="Normal 2 10"/>
    <tableColumn id="24" xr3:uid="{00000000-0010-0000-0A00-000018000000}" name="PD3" totalsRowFunction="sum" dataDxfId="151" totalsRowDxfId="150" dataCellStyle="Normal 2 10"/>
    <tableColumn id="25" xr3:uid="{00000000-0010-0000-0A00-000019000000}" name="4D3" totalsRowFunction="sum" dataDxfId="149" totalsRowDxfId="148" dataCellStyle="Normal 2 10"/>
    <tableColumn id="26" xr3:uid="{00000000-0010-0000-0A00-00001A000000}" name="4A3" totalsRowFunction="sum" dataDxfId="147" totalsRowDxfId="146" dataCellStyle="Normal 2 10"/>
    <tableColumn id="27" xr3:uid="{00000000-0010-0000-0A00-00001B000000}" name="RT4" totalsRowFunction="sum" dataDxfId="145" totalsRowDxfId="144" dataCellStyle="Normal 2 10"/>
    <tableColumn id="28" xr3:uid="{00000000-0010-0000-0A00-00001C000000}" name="OT4" totalsRowFunction="sum" dataDxfId="143" totalsRowDxfId="142" dataCellStyle="Normal 2 10"/>
    <tableColumn id="29" xr3:uid="{00000000-0010-0000-0A00-00001D000000}" name="DT4" totalsRowFunction="sum" dataDxfId="141" totalsRowDxfId="140" dataCellStyle="Normal 2 10"/>
    <tableColumn id="30" xr3:uid="{00000000-0010-0000-0A00-00001E000000}" name="PD4" totalsRowFunction="sum" dataDxfId="139" totalsRowDxfId="138" dataCellStyle="Normal 2 10"/>
    <tableColumn id="31" xr3:uid="{00000000-0010-0000-0A00-00001F000000}" name="4D4" totalsRowFunction="sum" dataDxfId="137" totalsRowDxfId="136" dataCellStyle="Normal 2 10"/>
    <tableColumn id="32" xr3:uid="{00000000-0010-0000-0A00-000020000000}" name="4A4" totalsRowFunction="sum" dataDxfId="135" totalsRowDxfId="134" dataCellStyle="Normal 2 10"/>
    <tableColumn id="33" xr3:uid="{00000000-0010-0000-0A00-000021000000}" name="RT5" totalsRowFunction="sum" dataDxfId="133" totalsRowDxfId="132" dataCellStyle="Normal 2 10"/>
    <tableColumn id="34" xr3:uid="{00000000-0010-0000-0A00-000022000000}" name="OT5" totalsRowFunction="sum" dataDxfId="131" totalsRowDxfId="130" dataCellStyle="Normal 2 10"/>
    <tableColumn id="35" xr3:uid="{00000000-0010-0000-0A00-000023000000}" name="DT5" totalsRowFunction="sum" dataDxfId="129" totalsRowDxfId="128" dataCellStyle="Normal 2 10"/>
    <tableColumn id="36" xr3:uid="{00000000-0010-0000-0A00-000024000000}" name="PD5" totalsRowFunction="sum" dataDxfId="127" totalsRowDxfId="126" dataCellStyle="Normal 2 10"/>
    <tableColumn id="37" xr3:uid="{00000000-0010-0000-0A00-000025000000}" name="4D5" totalsRowFunction="sum" dataDxfId="125" totalsRowDxfId="124" dataCellStyle="Normal 2 10"/>
    <tableColumn id="38" xr3:uid="{00000000-0010-0000-0A00-000026000000}" name="4A5" totalsRowFunction="sum" dataDxfId="123" totalsRowDxfId="122" dataCellStyle="Normal 2 10"/>
    <tableColumn id="39" xr3:uid="{00000000-0010-0000-0A00-000027000000}" name="RT6" totalsRowFunction="sum" dataDxfId="121" totalsRowDxfId="120" dataCellStyle="Normal 2 10"/>
    <tableColumn id="40" xr3:uid="{00000000-0010-0000-0A00-000028000000}" name="OT6" totalsRowFunction="sum" dataDxfId="119" totalsRowDxfId="118" dataCellStyle="Normal 2 10"/>
    <tableColumn id="41" xr3:uid="{00000000-0010-0000-0A00-000029000000}" name="DT6" totalsRowFunction="sum" dataDxfId="117" totalsRowDxfId="116" dataCellStyle="Normal 2 10"/>
    <tableColumn id="42" xr3:uid="{00000000-0010-0000-0A00-00002A000000}" name="PD6" totalsRowFunction="sum" dataDxfId="115" totalsRowDxfId="114" dataCellStyle="Normal 2 10"/>
    <tableColumn id="43" xr3:uid="{00000000-0010-0000-0A00-00002B000000}" name="4D6" totalsRowFunction="sum" dataDxfId="113" totalsRowDxfId="112" dataCellStyle="Normal 2 10"/>
    <tableColumn id="44" xr3:uid="{00000000-0010-0000-0A00-00002C000000}" name="4A6" totalsRowFunction="sum" dataDxfId="111" totalsRowDxfId="110" dataCellStyle="Normal 2 10"/>
    <tableColumn id="45" xr3:uid="{00000000-0010-0000-0A00-00002D000000}" name="RT7" totalsRowFunction="sum" dataDxfId="109" totalsRowDxfId="108" dataCellStyle="Normal 2 10"/>
    <tableColumn id="46" xr3:uid="{00000000-0010-0000-0A00-00002E000000}" name="OT7" totalsRowFunction="sum" dataDxfId="107" totalsRowDxfId="106" dataCellStyle="Normal 2 10"/>
    <tableColumn id="47" xr3:uid="{00000000-0010-0000-0A00-00002F000000}" name="DT7" totalsRowFunction="sum" dataDxfId="105" totalsRowDxfId="104" dataCellStyle="Normal 2 10"/>
    <tableColumn id="48" xr3:uid="{00000000-0010-0000-0A00-000030000000}" name="PD7" totalsRowFunction="sum" dataDxfId="103" totalsRowDxfId="102" dataCellStyle="Normal 2 10"/>
    <tableColumn id="49" xr3:uid="{00000000-0010-0000-0A00-000031000000}" name="4D7" totalsRowFunction="sum" dataDxfId="101" totalsRowDxfId="100" dataCellStyle="Normal 2 10"/>
    <tableColumn id="50" xr3:uid="{00000000-0010-0000-0A00-000032000000}" name="4A7" totalsRowFunction="sum" dataDxfId="99" totalsRowDxfId="98" dataCellStyle="Normal 2 10"/>
    <tableColumn id="51" xr3:uid="{00000000-0010-0000-0A00-000033000000}" name="1" totalsRowFunction="sum" dataDxfId="97" totalsRowDxfId="96" dataCellStyle="Normal 2 10">
      <calculatedColumnFormula>SUM(AV13,AP13,AJ13,AD13,X13,R13,L13)</calculatedColumnFormula>
    </tableColumn>
    <tableColumn id="52" xr3:uid="{00000000-0010-0000-0A00-000034000000}" name="3" totalsRowFunction="sum" dataDxfId="95" totalsRowDxfId="94" dataCellStyle="Normal 2 10">
      <calculatedColumnFormula>SUM(AW13,AQ13,AK13,AE13,Y13,S13,M13)</calculatedColumnFormula>
    </tableColumn>
    <tableColumn id="53" xr3:uid="{00000000-0010-0000-0A00-000035000000}" name="2" totalsRowFunction="sum" dataDxfId="93" totalsRowDxfId="92" dataCellStyle="Normal 2 10">
      <calculatedColumnFormula>SUM(AX13,AR13,AL13,AF13,Z13,T13,N13)</calculatedColumnFormula>
    </tableColumn>
    <tableColumn id="54" xr3:uid="{00000000-0010-0000-0A00-000036000000}" name="4" totalsRowFunction="sum" dataDxfId="91" totalsRowDxfId="90" dataCellStyle="Normal 2 10">
      <calculatedColumnFormula>SUM(AY13,AS13,AM13,AG13,AA13,U13,O13)</calculatedColumnFormula>
    </tableColumn>
    <tableColumn id="55" xr3:uid="{00000000-0010-0000-0A00-000037000000}" name="4D" totalsRowFunction="sum" dataDxfId="89" totalsRowDxfId="88" dataCellStyle="Normal 2 10">
      <calculatedColumnFormula>SUM(AZ13,AT13,AN13,AH13,AB13,V13,P13)</calculatedColumnFormula>
    </tableColumn>
    <tableColumn id="56" xr3:uid="{00000000-0010-0000-0A00-000038000000}" name="4A" totalsRowFunction="sum" dataDxfId="87" totalsRowDxfId="86" dataCellStyle="Normal 2 10">
      <calculatedColumnFormula>SUM(BA13,AU13,AO13,AI13,AC13,W13,Q13)</calculatedColumnFormula>
    </tableColumn>
    <tableColumn id="3" xr3:uid="{00000000-0010-0000-0A00-000003000000}" name="Total" totalsRowFunction="custom" dataDxfId="85" totalsRowDxfId="84" dataCellStyle="Normal 2 10">
      <calculatedColumnFormula>SUM(TimeSheet347536192444018281322354750220515659613035363650515317116122135[[#This Row],[1]:[4A]])</calculatedColumnFormula>
      <totalsRowFormula>SUBTOTAL(109,TimeSheet347536192444018281322354750220515659613035363650515317116122135[Total])-SUM(TimeSheet347536192444018281322354750220515659613035363650515317116122135[[#Totals],[RT1]:[4A7]])</totalsRowFormula>
    </tableColumn>
    <tableColumn id="65" xr3:uid="{00000000-0010-0000-0A00-000041000000}" name="COC1.1" dataDxfId="83" totalsRowDxfId="82" dataCellStyle="Normal 2 10">
      <calculatedColumnFormula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calculatedColumnFormula>
    </tableColumn>
    <tableColumn id="66" xr3:uid="{00000000-0010-0000-0A00-000042000000}" name="COC3.1" dataDxfId="81" totalsRowDxfId="80" dataCellStyle="Normal 2 10">
      <calculatedColumnFormula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calculatedColumnFormula>
    </tableColumn>
    <tableColumn id="67" xr3:uid="{00000000-0010-0000-0A00-000043000000}" name="COC2.1" dataDxfId="79" totalsRowDxfId="78" dataCellStyle="Normal 2 10">
      <calculatedColumnFormula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calculatedColumnFormula>
    </tableColumn>
    <tableColumn id="94" xr3:uid="{00000000-0010-0000-0A00-00005E000000}" name="COC2.13" dataDxfId="77" totalsRowDxfId="76" dataCellStyle="Normal 2 10">
      <calculatedColumnFormula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calculatedColumnFormula>
    </tableColumn>
    <tableColumn id="63" xr3:uid="{00000000-0010-0000-0A00-00003F000000}" name="COC2.12" dataDxfId="75" totalsRowDxfId="74" dataCellStyle="Normal 2 10">
      <calculatedColumnFormula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calculatedColumnFormula>
    </tableColumn>
    <tableColumn id="68" xr3:uid="{00000000-0010-0000-0A00-000044000000}" name="COC4A.1" dataDxfId="73" totalsRowDxfId="72" dataCellStyle="Normal 2 10">
      <calculatedColumnFormula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calculatedColumnFormula>
    </tableColumn>
    <tableColumn id="69" xr3:uid="{00000000-0010-0000-0A00-000045000000}" name="COC1.2" dataDxfId="71" totalsRowDxfId="70" dataCellStyle="Normal 2 10">
      <calculatedColumnFormula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calculatedColumnFormula>
    </tableColumn>
    <tableColumn id="70" xr3:uid="{00000000-0010-0000-0A00-000046000000}" name="COC3.2" dataDxfId="69" totalsRowDxfId="68" dataCellStyle="Normal 2 10">
      <calculatedColumnFormula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calculatedColumnFormula>
    </tableColumn>
    <tableColumn id="71" xr3:uid="{00000000-0010-0000-0A00-000047000000}" name="COC2.2" dataDxfId="67" totalsRowDxfId="66" dataCellStyle="Normal 2 10">
      <calculatedColumnFormula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calculatedColumnFormula>
    </tableColumn>
    <tableColumn id="96" xr3:uid="{00000000-0010-0000-0A00-000060000000}" name="COC2.23" dataDxfId="65" totalsRowDxfId="64" dataCellStyle="Normal 2 10">
      <calculatedColumnFormula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calculatedColumnFormula>
    </tableColumn>
    <tableColumn id="95" xr3:uid="{00000000-0010-0000-0A00-00005F000000}" name="COC2.22" dataDxfId="63" totalsRowDxfId="62" dataCellStyle="Normal 2 10">
      <calculatedColumnFormula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calculatedColumnFormula>
    </tableColumn>
    <tableColumn id="72" xr3:uid="{00000000-0010-0000-0A00-000048000000}" name="COC4A.2" dataDxfId="61" totalsRowDxfId="60" dataCellStyle="Normal 2 10">
      <calculatedColumnFormula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calculatedColumnFormula>
    </tableColumn>
    <tableColumn id="73" xr3:uid="{00000000-0010-0000-0A00-000049000000}" name="COC1.3" dataDxfId="59" totalsRowDxfId="58" dataCellStyle="Normal 2 10">
      <calculatedColumnFormula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calculatedColumnFormula>
    </tableColumn>
    <tableColumn id="74" xr3:uid="{00000000-0010-0000-0A00-00004A000000}" name="COC3.3" dataDxfId="57" totalsRowDxfId="56" dataCellStyle="Normal 2 10">
      <calculatedColumnFormula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calculatedColumnFormula>
    </tableColumn>
    <tableColumn id="75" xr3:uid="{00000000-0010-0000-0A00-00004B000000}" name="COC2.3" dataDxfId="55" totalsRowDxfId="54" dataCellStyle="Normal 2 10">
      <calculatedColumnFormula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calculatedColumnFormula>
    </tableColumn>
    <tableColumn id="98" xr3:uid="{00000000-0010-0000-0A00-000062000000}" name="COC2.33" dataDxfId="53" totalsRowDxfId="52" dataCellStyle="Normal 2 10">
      <calculatedColumnFormula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calculatedColumnFormula>
    </tableColumn>
    <tableColumn id="97" xr3:uid="{00000000-0010-0000-0A00-000061000000}" name="COC2.32" dataDxfId="51" totalsRowDxfId="50" dataCellStyle="Normal 2 10">
      <calculatedColumnFormula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calculatedColumnFormula>
    </tableColumn>
    <tableColumn id="76" xr3:uid="{00000000-0010-0000-0A00-00004C000000}" name="COC4A.3" dataDxfId="49" totalsRowDxfId="48" dataCellStyle="Normal 2 10">
      <calculatedColumnFormula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calculatedColumnFormula>
    </tableColumn>
    <tableColumn id="77" xr3:uid="{00000000-0010-0000-0A00-00004D000000}" name="COC1.4" dataDxfId="47" totalsRowDxfId="46" dataCellStyle="Normal 2 10">
      <calculatedColumnFormula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calculatedColumnFormula>
    </tableColumn>
    <tableColumn id="78" xr3:uid="{00000000-0010-0000-0A00-00004E000000}" name="COC3.4" dataDxfId="45" totalsRowDxfId="44" dataCellStyle="Normal 2 10">
      <calculatedColumnFormula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calculatedColumnFormula>
    </tableColumn>
    <tableColumn id="79" xr3:uid="{00000000-0010-0000-0A00-00004F000000}" name="COC2.4" dataDxfId="43" totalsRowDxfId="42" dataCellStyle="Normal 2 10">
      <calculatedColumnFormula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calculatedColumnFormula>
    </tableColumn>
    <tableColumn id="100" xr3:uid="{00000000-0010-0000-0A00-000064000000}" name="COC2.43" dataDxfId="41" totalsRowDxfId="40" dataCellStyle="Normal 2 10">
      <calculatedColumnFormula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calculatedColumnFormula>
    </tableColumn>
    <tableColumn id="99" xr3:uid="{00000000-0010-0000-0A00-000063000000}" name="COC2.42" dataDxfId="39" totalsRowDxfId="38" dataCellStyle="Normal 2 10">
      <calculatedColumnFormula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calculatedColumnFormula>
    </tableColumn>
    <tableColumn id="80" xr3:uid="{00000000-0010-0000-0A00-000050000000}" name="COC4A.4" dataDxfId="37" totalsRowDxfId="36" dataCellStyle="Normal 2 10">
      <calculatedColumnFormula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calculatedColumnFormula>
    </tableColumn>
    <tableColumn id="81" xr3:uid="{00000000-0010-0000-0A00-000051000000}" name="COC1.5" dataDxfId="35" totalsRowDxfId="34" dataCellStyle="Normal 2 10">
      <calculatedColumnFormula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calculatedColumnFormula>
    </tableColumn>
    <tableColumn id="82" xr3:uid="{00000000-0010-0000-0A00-000052000000}" name="COC3.5" dataDxfId="33" totalsRowDxfId="32" dataCellStyle="Normal 2 10">
      <calculatedColumnFormula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calculatedColumnFormula>
    </tableColumn>
    <tableColumn id="83" xr3:uid="{00000000-0010-0000-0A00-000053000000}" name="COC2.5" dataDxfId="31" totalsRowDxfId="30" dataCellStyle="Normal 2 10">
      <calculatedColumnFormula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calculatedColumnFormula>
    </tableColumn>
    <tableColumn id="106" xr3:uid="{00000000-0010-0000-0A00-00006A000000}" name="COC2.53" dataDxfId="29" totalsRowDxfId="28" dataCellStyle="Normal 2 10">
      <calculatedColumnFormula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calculatedColumnFormula>
    </tableColumn>
    <tableColumn id="105" xr3:uid="{00000000-0010-0000-0A00-000069000000}" name="COC2.52" dataDxfId="27" totalsRowDxfId="26" dataCellStyle="Normal 2 10">
      <calculatedColumnFormula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calculatedColumnFormula>
    </tableColumn>
    <tableColumn id="84" xr3:uid="{00000000-0010-0000-0A00-000054000000}" name="COC4A.5" dataDxfId="25" totalsRowDxfId="24" dataCellStyle="Normal 2 10">
      <calculatedColumnFormula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calculatedColumnFormula>
    </tableColumn>
    <tableColumn id="85" xr3:uid="{00000000-0010-0000-0A00-000055000000}" name="COC1.6" dataDxfId="23" totalsRowDxfId="22" dataCellStyle="Normal 2 10">
      <calculatedColumnFormula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calculatedColumnFormula>
    </tableColumn>
    <tableColumn id="86" xr3:uid="{00000000-0010-0000-0A00-000056000000}" name="COC3.6" dataDxfId="21" totalsRowDxfId="20" dataCellStyle="Normal 2 10">
      <calculatedColumnFormula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calculatedColumnFormula>
    </tableColumn>
    <tableColumn id="87" xr3:uid="{00000000-0010-0000-0A00-000057000000}" name="COC2.6" dataDxfId="19" totalsRowDxfId="18" dataCellStyle="Normal 2 10">
      <calculatedColumnFormula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calculatedColumnFormula>
    </tableColumn>
    <tableColumn id="102" xr3:uid="{00000000-0010-0000-0A00-000066000000}" name="COC2.63" dataDxfId="17" totalsRowDxfId="16" dataCellStyle="Normal 2 10">
      <calculatedColumnFormula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calculatedColumnFormula>
    </tableColumn>
    <tableColumn id="101" xr3:uid="{00000000-0010-0000-0A00-000065000000}" name="COC2.62" dataDxfId="15" totalsRowDxfId="14" dataCellStyle="Normal 2 10">
      <calculatedColumnFormula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calculatedColumnFormula>
    </tableColumn>
    <tableColumn id="88" xr3:uid="{00000000-0010-0000-0A00-000058000000}" name="COC4A.6" dataDxfId="13" totalsRowDxfId="12" dataCellStyle="Normal 2 10">
      <calculatedColumnFormula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calculatedColumnFormula>
    </tableColumn>
    <tableColumn id="89" xr3:uid="{00000000-0010-0000-0A00-000059000000}" name="COC1.7" dataDxfId="11" totalsRowDxfId="10" dataCellStyle="Normal 2 10">
      <calculatedColumnFormula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calculatedColumnFormula>
    </tableColumn>
    <tableColumn id="90" xr3:uid="{00000000-0010-0000-0A00-00005A000000}" name="COC3.7" dataDxfId="9" totalsRowDxfId="8" dataCellStyle="Normal 2 10">
      <calculatedColumnFormula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calculatedColumnFormula>
    </tableColumn>
    <tableColumn id="91" xr3:uid="{00000000-0010-0000-0A00-00005B000000}" name="COC2.7" dataDxfId="7" totalsRowDxfId="6" dataCellStyle="Normal 2 10">
      <calculatedColumnFormula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calculatedColumnFormula>
    </tableColumn>
    <tableColumn id="104" xr3:uid="{00000000-0010-0000-0A00-000068000000}" name="COC2.72" dataDxfId="5" totalsRowDxfId="4" dataCellStyle="Normal 2 10">
      <calculatedColumnFormula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calculatedColumnFormula>
    </tableColumn>
    <tableColumn id="103" xr3:uid="{00000000-0010-0000-0A00-000067000000}" name="COC2.8" dataDxfId="3" totalsRowDxfId="2" dataCellStyle="Normal 2 10">
      <calculatedColumnFormula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calculatedColumnFormula>
    </tableColumn>
    <tableColumn id="92" xr3:uid="{00000000-0010-0000-0A00-00005C000000}" name="COC4A.7" dataDxfId="1" totalsRowDxfId="0" dataCellStyle="Normal 2 10">
      <calculatedColumnFormula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4" tint="0.39997558519241921"/>
    <pageSetUpPr fitToPage="1"/>
  </sheetPr>
  <dimension ref="A1:CX33"/>
  <sheetViews>
    <sheetView showGridLines="0" zoomScale="50" zoomScaleNormal="50" zoomScaleSheetLayoutView="38" workbookViewId="0">
      <pane xSplit="3" ySplit="12" topLeftCell="D13" activePane="bottomRight" state="frozen"/>
      <selection activeCell="BB2" sqref="BB2"/>
      <selection pane="topRight" activeCell="BB2" sqref="BB2"/>
      <selection pane="bottomLeft" activeCell="BB2" sqref="BB2"/>
      <selection pane="bottomRight" activeCell="B3" sqref="B3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38.7109375" style="1" customWidth="1"/>
    <col min="7" max="7" width="14.42578125" style="1" bestFit="1" customWidth="1"/>
    <col min="8" max="8" width="8.42578125" style="1" customWidth="1"/>
    <col min="9" max="9" width="11.7109375" customWidth="1"/>
    <col min="10" max="10" width="13.42578125" style="1" hidden="1" customWidth="1"/>
    <col min="11" max="11" width="19.85546875" style="1" customWidth="1"/>
    <col min="12" max="12" width="10.140625" style="1" customWidth="1"/>
    <col min="13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54" width="6.7109375" style="1" customWidth="1"/>
    <col min="55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94">
        <v>42917</v>
      </c>
      <c r="BA1" s="149" t="s">
        <v>18</v>
      </c>
      <c r="BB1" s="421">
        <v>43673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/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IF(ISNA(VLOOKUP($B$2,Employees!$B:$H,4,FALSE)),"",VLOOKUP($B$2,Employees!$B:$H,4,FALSE))</f>
        <v/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43668</v>
      </c>
      <c r="M3" s="425"/>
      <c r="N3" s="425"/>
      <c r="O3" s="425"/>
      <c r="P3" s="425"/>
      <c r="Q3" s="426"/>
      <c r="R3" s="427">
        <f>BB1-4</f>
        <v>43669</v>
      </c>
      <c r="S3" s="428"/>
      <c r="T3" s="428"/>
      <c r="U3" s="428"/>
      <c r="V3" s="428"/>
      <c r="W3" s="429"/>
      <c r="X3" s="424">
        <f>BB1-3</f>
        <v>43670</v>
      </c>
      <c r="Y3" s="425"/>
      <c r="Z3" s="425"/>
      <c r="AA3" s="425"/>
      <c r="AB3" s="425"/>
      <c r="AC3" s="426"/>
      <c r="AD3" s="427">
        <f>BB1-2</f>
        <v>43671</v>
      </c>
      <c r="AE3" s="428"/>
      <c r="AF3" s="428"/>
      <c r="AG3" s="428"/>
      <c r="AH3" s="428"/>
      <c r="AI3" s="429"/>
      <c r="AJ3" s="424">
        <f>BB1-1</f>
        <v>43672</v>
      </c>
      <c r="AK3" s="425"/>
      <c r="AL3" s="425"/>
      <c r="AM3" s="425"/>
      <c r="AN3" s="425"/>
      <c r="AO3" s="426"/>
      <c r="AP3" s="427">
        <f>BB1-0</f>
        <v>43673</v>
      </c>
      <c r="AQ3" s="428"/>
      <c r="AR3" s="428"/>
      <c r="AS3" s="428"/>
      <c r="AT3" s="428"/>
      <c r="AU3" s="429"/>
      <c r="AV3" s="424">
        <f>BB1-6</f>
        <v>43667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/>
      </c>
      <c r="D4" s="67"/>
      <c r="E4" s="67"/>
      <c r="F4" s="67"/>
      <c r="G4" s="67"/>
      <c r="H4" s="67"/>
      <c r="I4" s="67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/>
      <c r="M5" s="416"/>
      <c r="N5" s="416"/>
      <c r="O5" s="416"/>
      <c r="P5" s="416"/>
      <c r="Q5" s="417"/>
      <c r="R5" s="415"/>
      <c r="S5" s="416"/>
      <c r="T5" s="416"/>
      <c r="U5" s="416"/>
      <c r="V5" s="416"/>
      <c r="W5" s="417"/>
      <c r="X5" s="415"/>
      <c r="Y5" s="416"/>
      <c r="Z5" s="416"/>
      <c r="AA5" s="416"/>
      <c r="AB5" s="416"/>
      <c r="AC5" s="417"/>
      <c r="AD5" s="415"/>
      <c r="AE5" s="416"/>
      <c r="AF5" s="416"/>
      <c r="AG5" s="416"/>
      <c r="AH5" s="416"/>
      <c r="AI5" s="417"/>
      <c r="AJ5" s="415"/>
      <c r="AK5" s="416"/>
      <c r="AL5" s="416"/>
      <c r="AM5" s="416"/>
      <c r="AN5" s="416"/>
      <c r="AO5" s="417"/>
      <c r="AP5" s="415"/>
      <c r="AQ5" s="416"/>
      <c r="AR5" s="416"/>
      <c r="AS5" s="416"/>
      <c r="AT5" s="416"/>
      <c r="AU5" s="417"/>
      <c r="AV5" s="415"/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/>
      <c r="M8" s="416"/>
      <c r="N8" s="416"/>
      <c r="O8" s="416"/>
      <c r="P8" s="416"/>
      <c r="Q8" s="417"/>
      <c r="R8" s="415"/>
      <c r="S8" s="416"/>
      <c r="T8" s="416"/>
      <c r="U8" s="416"/>
      <c r="V8" s="416"/>
      <c r="W8" s="417"/>
      <c r="X8" s="415"/>
      <c r="Y8" s="416"/>
      <c r="Z8" s="416"/>
      <c r="AA8" s="416"/>
      <c r="AB8" s="416"/>
      <c r="AC8" s="417"/>
      <c r="AD8" s="415"/>
      <c r="AE8" s="416"/>
      <c r="AF8" s="416"/>
      <c r="AG8" s="416"/>
      <c r="AH8" s="416"/>
      <c r="AI8" s="417"/>
      <c r="AJ8" s="415"/>
      <c r="AK8" s="416"/>
      <c r="AL8" s="416"/>
      <c r="AM8" s="416"/>
      <c r="AN8" s="416"/>
      <c r="AO8" s="417"/>
      <c r="AP8" s="415"/>
      <c r="AQ8" s="416"/>
      <c r="AR8" s="416"/>
      <c r="AS8" s="416"/>
      <c r="AT8" s="416"/>
      <c r="AU8" s="417"/>
      <c r="AV8" s="415"/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0</v>
      </c>
      <c r="M9" s="401"/>
      <c r="N9" s="401"/>
      <c r="O9" s="401"/>
      <c r="P9" s="401"/>
      <c r="Q9" s="402"/>
      <c r="R9" s="400">
        <f>IF(AND(R5&gt;=0,R8&gt;=0),(R6-R5+R8-R7)*24,0)</f>
        <v>0</v>
      </c>
      <c r="S9" s="401"/>
      <c r="T9" s="401"/>
      <c r="U9" s="401"/>
      <c r="V9" s="401"/>
      <c r="W9" s="402"/>
      <c r="X9" s="400">
        <f>IF(AND(X5&gt;=0,X8&gt;=0),(X6-X5+X8-X7)*24,0)</f>
        <v>0</v>
      </c>
      <c r="Y9" s="401"/>
      <c r="Z9" s="401"/>
      <c r="AA9" s="401"/>
      <c r="AB9" s="401"/>
      <c r="AC9" s="402"/>
      <c r="AD9" s="400">
        <f>IF(AND(AD5&gt;=0,AD8&gt;=0),(AD6-AD5+AD8-AD7)*24,0)</f>
        <v>0</v>
      </c>
      <c r="AE9" s="401"/>
      <c r="AF9" s="401"/>
      <c r="AG9" s="401"/>
      <c r="AH9" s="401"/>
      <c r="AI9" s="402"/>
      <c r="AJ9" s="400">
        <f>IF(AND(AJ5&gt;=0,AJ8&gt;=0),(AJ6-AJ5+AJ8-AJ7)*24,0)</f>
        <v>0</v>
      </c>
      <c r="AK9" s="401"/>
      <c r="AL9" s="401"/>
      <c r="AM9" s="401"/>
      <c r="AN9" s="401"/>
      <c r="AO9" s="402"/>
      <c r="AP9" s="400">
        <f>IF(AND(AP5&gt;=0,AP8&gt;=0),(AP6-AP5+AP8-AP7)*24,0)</f>
        <v>0</v>
      </c>
      <c r="AQ9" s="401"/>
      <c r="AR9" s="401"/>
      <c r="AS9" s="401"/>
      <c r="AT9" s="401"/>
      <c r="AU9" s="402"/>
      <c r="AV9" s="400">
        <f>IF(AND(AV5&gt;=0,AV8&gt;=0),(AV6-AV5+AV8-AV7)*24,0)</f>
        <v>0</v>
      </c>
      <c r="AW9" s="401"/>
      <c r="AX9" s="401"/>
      <c r="AY9" s="401"/>
      <c r="AZ9" s="401"/>
      <c r="BA9" s="402"/>
      <c r="BB9" s="400">
        <f>SUM(L9:BA9)</f>
        <v>0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0</v>
      </c>
      <c r="M10" s="407"/>
      <c r="N10" s="407"/>
      <c r="O10" s="407"/>
      <c r="P10" s="407"/>
      <c r="Q10" s="408"/>
      <c r="R10" s="406">
        <f>R24+S24+T24</f>
        <v>0</v>
      </c>
      <c r="S10" s="407"/>
      <c r="T10" s="407"/>
      <c r="U10" s="407"/>
      <c r="V10" s="407"/>
      <c r="W10" s="408"/>
      <c r="X10" s="406">
        <f>X24+Y24+Z24</f>
        <v>0</v>
      </c>
      <c r="Y10" s="407"/>
      <c r="Z10" s="407"/>
      <c r="AA10" s="407"/>
      <c r="AB10" s="407"/>
      <c r="AC10" s="408"/>
      <c r="AD10" s="406">
        <f>AD24+AE24+AF24</f>
        <v>0</v>
      </c>
      <c r="AE10" s="407"/>
      <c r="AF10" s="407"/>
      <c r="AG10" s="407"/>
      <c r="AH10" s="407"/>
      <c r="AI10" s="408"/>
      <c r="AJ10" s="406">
        <f>AJ24+AK24+AL24</f>
        <v>0</v>
      </c>
      <c r="AK10" s="407"/>
      <c r="AL10" s="407"/>
      <c r="AM10" s="407"/>
      <c r="AN10" s="407"/>
      <c r="AO10" s="408"/>
      <c r="AP10" s="406">
        <f>AP24+AQ24+AR24</f>
        <v>0</v>
      </c>
      <c r="AQ10" s="407"/>
      <c r="AR10" s="407"/>
      <c r="AS10" s="407"/>
      <c r="AT10" s="407"/>
      <c r="AU10" s="408"/>
      <c r="AV10" s="409">
        <f>AV24+AW24+AX24</f>
        <v>0</v>
      </c>
      <c r="AW10" s="410"/>
      <c r="AX10" s="410"/>
      <c r="AY10" s="410"/>
      <c r="AZ10" s="410"/>
      <c r="BA10" s="411"/>
      <c r="BB10" s="412">
        <f>SUM(L10:BA10)</f>
        <v>0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43668</v>
      </c>
      <c r="BJ11" s="389"/>
      <c r="BK11" s="389"/>
      <c r="BL11" s="389"/>
      <c r="BM11" s="389"/>
      <c r="BN11" s="390"/>
      <c r="BO11" s="388">
        <f>R3</f>
        <v>43669</v>
      </c>
      <c r="BP11" s="389"/>
      <c r="BQ11" s="389"/>
      <c r="BR11" s="389"/>
      <c r="BS11" s="389"/>
      <c r="BT11" s="390"/>
      <c r="BU11" s="388">
        <f>X3</f>
        <v>43670</v>
      </c>
      <c r="BV11" s="389"/>
      <c r="BW11" s="389"/>
      <c r="BX11" s="389"/>
      <c r="BY11" s="389"/>
      <c r="BZ11" s="390"/>
      <c r="CA11" s="388">
        <f>AD3</f>
        <v>43671</v>
      </c>
      <c r="CB11" s="389"/>
      <c r="CC11" s="389"/>
      <c r="CD11" s="389"/>
      <c r="CE11" s="389"/>
      <c r="CF11" s="390"/>
      <c r="CG11" s="388">
        <f>AJ3</f>
        <v>43672</v>
      </c>
      <c r="CH11" s="389"/>
      <c r="CI11" s="389"/>
      <c r="CJ11" s="389"/>
      <c r="CK11" s="389"/>
      <c r="CL11" s="390"/>
      <c r="CM11" s="388">
        <f>AP3</f>
        <v>43673</v>
      </c>
      <c r="CN11" s="389"/>
      <c r="CO11" s="389"/>
      <c r="CP11" s="389"/>
      <c r="CQ11" s="389"/>
      <c r="CR11" s="390"/>
      <c r="CS11" s="388">
        <f>AV3</f>
        <v>43667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105" t="s">
        <v>72</v>
      </c>
      <c r="BC12" s="106" t="s">
        <v>73</v>
      </c>
      <c r="BD12" s="106" t="s">
        <v>74</v>
      </c>
      <c r="BE12" s="107" t="s">
        <v>75</v>
      </c>
      <c r="BF12" s="107" t="s">
        <v>76</v>
      </c>
      <c r="BG12" s="108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/>
      </c>
      <c r="B13" s="110"/>
      <c r="C13" s="111"/>
      <c r="D13" s="112"/>
      <c r="E13" s="110"/>
      <c r="F13" s="110" t="str">
        <f t="shared" ref="F13:F23" si="0">IF(ISBLANK($B$4),"",$B$4)</f>
        <v/>
      </c>
      <c r="G13" s="110"/>
      <c r="H13" s="110"/>
      <c r="I13" s="139"/>
      <c r="J13" s="153" t="str">
        <f t="shared" ref="J13:J23" si="1">IF($K13=0,"",IF($K13&lt;10,"0"&amp;$K13,$K13))</f>
        <v/>
      </c>
      <c r="K13" s="150"/>
      <c r="L13" s="118"/>
      <c r="M13" s="113"/>
      <c r="N13" s="113"/>
      <c r="O13" s="113"/>
      <c r="P13" s="113"/>
      <c r="Q13" s="114"/>
      <c r="R13" s="117"/>
      <c r="S13" s="115"/>
      <c r="T13" s="115"/>
      <c r="U13" s="115"/>
      <c r="V13" s="115"/>
      <c r="W13" s="116"/>
      <c r="X13" s="118"/>
      <c r="Y13" s="113"/>
      <c r="Z13" s="113"/>
      <c r="AA13" s="113"/>
      <c r="AB13" s="113"/>
      <c r="AC13" s="114"/>
      <c r="AD13" s="117"/>
      <c r="AE13" s="115"/>
      <c r="AF13" s="115"/>
      <c r="AG13" s="115"/>
      <c r="AH13" s="115"/>
      <c r="AI13" s="116"/>
      <c r="AJ13" s="118"/>
      <c r="AK13" s="113"/>
      <c r="AL13" s="113"/>
      <c r="AM13" s="113"/>
      <c r="AN13" s="113"/>
      <c r="AO13" s="114"/>
      <c r="AP13" s="117"/>
      <c r="AQ13" s="115"/>
      <c r="AR13" s="115"/>
      <c r="AS13" s="115"/>
      <c r="AT13" s="115"/>
      <c r="AU13" s="116"/>
      <c r="AV13" s="118"/>
      <c r="AW13" s="113"/>
      <c r="AX13" s="113"/>
      <c r="AY13" s="113"/>
      <c r="AZ13" s="113"/>
      <c r="BA13" s="114"/>
      <c r="BB13" s="119">
        <f t="shared" ref="BB13:BG23" si="2">SUM(AV13,AP13,AJ13,AD13,X13,R13,L13)</f>
        <v>0</v>
      </c>
      <c r="BC13" s="120">
        <f t="shared" si="2"/>
        <v>0</v>
      </c>
      <c r="BD13" s="120">
        <f t="shared" si="2"/>
        <v>0</v>
      </c>
      <c r="BE13" s="120">
        <f t="shared" si="2"/>
        <v>0</v>
      </c>
      <c r="BF13" s="120">
        <f t="shared" si="2"/>
        <v>0</v>
      </c>
      <c r="BG13" s="154">
        <f t="shared" si="2"/>
        <v>0</v>
      </c>
      <c r="BH13" s="123">
        <f>SUM(TimeSheet34[[#This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>IF(ISBLANK(C14),"",IF(ISBLANK($D$3),"",$D$3))</f>
        <v/>
      </c>
      <c r="B14" s="110"/>
      <c r="C14" s="111"/>
      <c r="D14" s="112"/>
      <c r="E14" s="110"/>
      <c r="F14" s="110" t="str">
        <f t="shared" si="0"/>
        <v/>
      </c>
      <c r="G14" s="110"/>
      <c r="H14" s="110"/>
      <c r="I14" s="139"/>
      <c r="J14" s="153" t="str">
        <f t="shared" si="1"/>
        <v/>
      </c>
      <c r="K14" s="150"/>
      <c r="L14" s="118"/>
      <c r="M14" s="113"/>
      <c r="N14" s="113"/>
      <c r="O14" s="113"/>
      <c r="P14" s="113"/>
      <c r="Q14" s="114"/>
      <c r="R14" s="117"/>
      <c r="S14" s="115"/>
      <c r="T14" s="115"/>
      <c r="U14" s="115"/>
      <c r="V14" s="115"/>
      <c r="W14" s="116"/>
      <c r="X14" s="118"/>
      <c r="Y14" s="113"/>
      <c r="Z14" s="113"/>
      <c r="AA14" s="113"/>
      <c r="AB14" s="113"/>
      <c r="AC14" s="114"/>
      <c r="AD14" s="117"/>
      <c r="AE14" s="115"/>
      <c r="AF14" s="115"/>
      <c r="AG14" s="115"/>
      <c r="AH14" s="115"/>
      <c r="AI14" s="116"/>
      <c r="AJ14" s="118"/>
      <c r="AK14" s="113"/>
      <c r="AL14" s="113"/>
      <c r="AM14" s="113"/>
      <c r="AN14" s="113"/>
      <c r="AO14" s="114"/>
      <c r="AP14" s="117"/>
      <c r="AQ14" s="115"/>
      <c r="AR14" s="115"/>
      <c r="AS14" s="115"/>
      <c r="AT14" s="115"/>
      <c r="AU14" s="116"/>
      <c r="AV14" s="118"/>
      <c r="AW14" s="113"/>
      <c r="AX14" s="113"/>
      <c r="AY14" s="113"/>
      <c r="AZ14" s="113"/>
      <c r="BA14" s="114"/>
      <c r="BB14" s="119">
        <f t="shared" si="2"/>
        <v>0</v>
      </c>
      <c r="BC14" s="120">
        <f t="shared" si="2"/>
        <v>0</v>
      </c>
      <c r="BD14" s="120">
        <f t="shared" si="2"/>
        <v>0</v>
      </c>
      <c r="BE14" s="120">
        <f t="shared" si="2"/>
        <v>0</v>
      </c>
      <c r="BF14" s="120">
        <f t="shared" si="2"/>
        <v>0</v>
      </c>
      <c r="BG14" s="154">
        <f t="shared" si="2"/>
        <v>0</v>
      </c>
      <c r="BH14" s="123">
        <f>SUM(TimeSheet34[[#This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>IF(ISBLANK(C15),"",IF(ISBLANK($D$3),"",$D$3))</f>
        <v/>
      </c>
      <c r="B15" s="110"/>
      <c r="C15" s="111"/>
      <c r="D15" s="112"/>
      <c r="E15" s="110"/>
      <c r="F15" s="110" t="str">
        <f t="shared" si="0"/>
        <v/>
      </c>
      <c r="G15" s="110"/>
      <c r="H15" s="110"/>
      <c r="I15" s="139"/>
      <c r="J15" s="153" t="str">
        <f t="shared" si="1"/>
        <v/>
      </c>
      <c r="K15" s="138"/>
      <c r="L15" s="118"/>
      <c r="M15" s="113"/>
      <c r="N15" s="113"/>
      <c r="O15" s="113"/>
      <c r="P15" s="113"/>
      <c r="Q15" s="114"/>
      <c r="R15" s="117"/>
      <c r="S15" s="115"/>
      <c r="T15" s="115"/>
      <c r="U15" s="115"/>
      <c r="V15" s="115"/>
      <c r="W15" s="116"/>
      <c r="X15" s="118"/>
      <c r="Y15" s="113"/>
      <c r="Z15" s="113"/>
      <c r="AA15" s="113"/>
      <c r="AB15" s="113"/>
      <c r="AC15" s="114"/>
      <c r="AD15" s="117"/>
      <c r="AE15" s="115"/>
      <c r="AF15" s="115"/>
      <c r="AG15" s="115"/>
      <c r="AH15" s="115"/>
      <c r="AI15" s="116"/>
      <c r="AJ15" s="118"/>
      <c r="AK15" s="113"/>
      <c r="AL15" s="113"/>
      <c r="AM15" s="113"/>
      <c r="AN15" s="113"/>
      <c r="AO15" s="114"/>
      <c r="AP15" s="117"/>
      <c r="AQ15" s="115"/>
      <c r="AR15" s="115"/>
      <c r="AS15" s="115"/>
      <c r="AT15" s="115"/>
      <c r="AU15" s="116"/>
      <c r="AV15" s="118"/>
      <c r="AW15" s="113"/>
      <c r="AX15" s="113"/>
      <c r="AY15" s="113"/>
      <c r="AZ15" s="113"/>
      <c r="BA15" s="114"/>
      <c r="BB15" s="119">
        <f t="shared" si="2"/>
        <v>0</v>
      </c>
      <c r="BC15" s="120">
        <f t="shared" si="2"/>
        <v>0</v>
      </c>
      <c r="BD15" s="120">
        <f t="shared" si="2"/>
        <v>0</v>
      </c>
      <c r="BE15" s="120">
        <f t="shared" si="2"/>
        <v>0</v>
      </c>
      <c r="BF15" s="120">
        <f t="shared" si="2"/>
        <v>0</v>
      </c>
      <c r="BG15" s="154">
        <f t="shared" si="2"/>
        <v>0</v>
      </c>
      <c r="BH15" s="123">
        <f>SUM(TimeSheet34[[#This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>IF(ISBLANK(C16),"",IF(ISBLANK($D$3),"",$D$3))</f>
        <v/>
      </c>
      <c r="B16" s="110"/>
      <c r="C16" s="111"/>
      <c r="D16" s="112"/>
      <c r="E16" s="110"/>
      <c r="F16" s="110" t="str">
        <f t="shared" si="0"/>
        <v/>
      </c>
      <c r="G16" s="110"/>
      <c r="H16" s="110"/>
      <c r="I16" s="139"/>
      <c r="J16" s="153" t="str">
        <f t="shared" si="1"/>
        <v/>
      </c>
      <c r="K16" s="138"/>
      <c r="L16" s="118"/>
      <c r="M16" s="113"/>
      <c r="N16" s="113"/>
      <c r="O16" s="113"/>
      <c r="P16" s="113"/>
      <c r="Q16" s="114"/>
      <c r="R16" s="117"/>
      <c r="S16" s="115"/>
      <c r="T16" s="115"/>
      <c r="U16" s="115"/>
      <c r="V16" s="115"/>
      <c r="W16" s="116"/>
      <c r="X16" s="118"/>
      <c r="Y16" s="113"/>
      <c r="Z16" s="113"/>
      <c r="AA16" s="113"/>
      <c r="AB16" s="113"/>
      <c r="AC16" s="114"/>
      <c r="AD16" s="117"/>
      <c r="AE16" s="115"/>
      <c r="AF16" s="115"/>
      <c r="AG16" s="115"/>
      <c r="AH16" s="115"/>
      <c r="AI16" s="116"/>
      <c r="AJ16" s="118"/>
      <c r="AK16" s="113"/>
      <c r="AL16" s="113"/>
      <c r="AM16" s="113"/>
      <c r="AN16" s="113"/>
      <c r="AO16" s="114"/>
      <c r="AP16" s="117"/>
      <c r="AQ16" s="115"/>
      <c r="AR16" s="115"/>
      <c r="AS16" s="115"/>
      <c r="AT16" s="115"/>
      <c r="AU16" s="116"/>
      <c r="AV16" s="118"/>
      <c r="AW16" s="113"/>
      <c r="AX16" s="113"/>
      <c r="AY16" s="113"/>
      <c r="AZ16" s="113"/>
      <c r="BA16" s="114"/>
      <c r="BB16" s="119">
        <f t="shared" si="2"/>
        <v>0</v>
      </c>
      <c r="BC16" s="120">
        <f t="shared" si="2"/>
        <v>0</v>
      </c>
      <c r="BD16" s="120">
        <f t="shared" si="2"/>
        <v>0</v>
      </c>
      <c r="BE16" s="120">
        <f t="shared" si="2"/>
        <v>0</v>
      </c>
      <c r="BF16" s="120">
        <f t="shared" si="2"/>
        <v>0</v>
      </c>
      <c r="BG16" s="154">
        <f t="shared" si="2"/>
        <v>0</v>
      </c>
      <c r="BH16" s="123">
        <f>SUM(TimeSheet34[[#This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/>
      </c>
      <c r="B17" s="110"/>
      <c r="C17" s="111"/>
      <c r="D17" s="112"/>
      <c r="E17" s="110"/>
      <c r="F17" s="110" t="str">
        <f t="shared" si="0"/>
        <v/>
      </c>
      <c r="G17" s="110"/>
      <c r="H17" s="110"/>
      <c r="I17" s="139"/>
      <c r="J17" s="153" t="str">
        <f t="shared" si="1"/>
        <v/>
      </c>
      <c r="K17" s="138"/>
      <c r="L17" s="118"/>
      <c r="M17" s="113"/>
      <c r="N17" s="113"/>
      <c r="O17" s="113"/>
      <c r="P17" s="113"/>
      <c r="Q17" s="114"/>
      <c r="R17" s="117"/>
      <c r="S17" s="115"/>
      <c r="T17" s="115"/>
      <c r="U17" s="115"/>
      <c r="V17" s="115"/>
      <c r="W17" s="116"/>
      <c r="X17" s="118"/>
      <c r="Y17" s="113"/>
      <c r="Z17" s="113"/>
      <c r="AA17" s="113"/>
      <c r="AB17" s="113"/>
      <c r="AC17" s="114"/>
      <c r="AD17" s="117"/>
      <c r="AE17" s="115"/>
      <c r="AF17" s="115"/>
      <c r="AG17" s="115"/>
      <c r="AH17" s="115"/>
      <c r="AI17" s="116"/>
      <c r="AJ17" s="118"/>
      <c r="AK17" s="113"/>
      <c r="AL17" s="113"/>
      <c r="AM17" s="113"/>
      <c r="AN17" s="113"/>
      <c r="AO17" s="114"/>
      <c r="AP17" s="117"/>
      <c r="AQ17" s="115"/>
      <c r="AR17" s="115"/>
      <c r="AS17" s="115"/>
      <c r="AT17" s="115"/>
      <c r="AU17" s="116"/>
      <c r="AV17" s="118"/>
      <c r="AW17" s="113"/>
      <c r="AX17" s="113"/>
      <c r="AY17" s="113"/>
      <c r="AZ17" s="113"/>
      <c r="BA17" s="114"/>
      <c r="BB17" s="119">
        <f t="shared" si="2"/>
        <v>0</v>
      </c>
      <c r="BC17" s="120">
        <f t="shared" si="2"/>
        <v>0</v>
      </c>
      <c r="BD17" s="120">
        <f t="shared" si="2"/>
        <v>0</v>
      </c>
      <c r="BE17" s="120">
        <f t="shared" si="2"/>
        <v>0</v>
      </c>
      <c r="BF17" s="120">
        <f t="shared" si="2"/>
        <v>0</v>
      </c>
      <c r="BG17" s="154">
        <f t="shared" si="2"/>
        <v>0</v>
      </c>
      <c r="BH17" s="123">
        <f>SUM(TimeSheet34[[#This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ref="A18:A23" si="3">IF(ISBLANK(C18),"",IF(ISBLANK($D$3),"",$D$3))</f>
        <v/>
      </c>
      <c r="B18" s="110"/>
      <c r="C18" s="111"/>
      <c r="D18" s="112"/>
      <c r="E18" s="110"/>
      <c r="F18" s="110" t="str">
        <f t="shared" si="0"/>
        <v/>
      </c>
      <c r="G18" s="110"/>
      <c r="H18" s="110"/>
      <c r="I18" s="139"/>
      <c r="J18" s="153" t="str">
        <f t="shared" si="1"/>
        <v/>
      </c>
      <c r="K18" s="138"/>
      <c r="L18" s="118"/>
      <c r="M18" s="113"/>
      <c r="N18" s="113"/>
      <c r="O18" s="113"/>
      <c r="P18" s="113"/>
      <c r="Q18" s="114"/>
      <c r="R18" s="117"/>
      <c r="S18" s="115"/>
      <c r="T18" s="115"/>
      <c r="U18" s="115"/>
      <c r="V18" s="115"/>
      <c r="W18" s="116"/>
      <c r="X18" s="118"/>
      <c r="Y18" s="113"/>
      <c r="Z18" s="113"/>
      <c r="AA18" s="113"/>
      <c r="AB18" s="113"/>
      <c r="AC18" s="114"/>
      <c r="AD18" s="117"/>
      <c r="AE18" s="115"/>
      <c r="AF18" s="115"/>
      <c r="AG18" s="115"/>
      <c r="AH18" s="115"/>
      <c r="AI18" s="116"/>
      <c r="AJ18" s="118"/>
      <c r="AK18" s="113"/>
      <c r="AL18" s="113"/>
      <c r="AM18" s="113"/>
      <c r="AN18" s="113"/>
      <c r="AO18" s="114"/>
      <c r="AP18" s="117"/>
      <c r="AQ18" s="115"/>
      <c r="AR18" s="115"/>
      <c r="AS18" s="115"/>
      <c r="AT18" s="115"/>
      <c r="AU18" s="116"/>
      <c r="AV18" s="118"/>
      <c r="AW18" s="113"/>
      <c r="AX18" s="113"/>
      <c r="AY18" s="113"/>
      <c r="AZ18" s="113"/>
      <c r="BA18" s="114"/>
      <c r="BB18" s="119">
        <f t="shared" si="2"/>
        <v>0</v>
      </c>
      <c r="BC18" s="120">
        <f t="shared" si="2"/>
        <v>0</v>
      </c>
      <c r="BD18" s="120">
        <f t="shared" si="2"/>
        <v>0</v>
      </c>
      <c r="BE18" s="120">
        <f t="shared" si="2"/>
        <v>0</v>
      </c>
      <c r="BF18" s="120">
        <f t="shared" si="2"/>
        <v>0</v>
      </c>
      <c r="BG18" s="154">
        <f t="shared" si="2"/>
        <v>0</v>
      </c>
      <c r="BH18" s="123">
        <f>SUM(TimeSheet34[[#This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3"/>
        <v/>
      </c>
      <c r="B19" s="110"/>
      <c r="C19" s="111"/>
      <c r="D19" s="112"/>
      <c r="E19" s="110"/>
      <c r="F19" s="110" t="str">
        <f t="shared" si="0"/>
        <v/>
      </c>
      <c r="G19" s="110"/>
      <c r="H19" s="110"/>
      <c r="I19" s="139"/>
      <c r="J19" s="153" t="str">
        <f t="shared" si="1"/>
        <v/>
      </c>
      <c r="K19" s="138"/>
      <c r="L19" s="118"/>
      <c r="M19" s="113"/>
      <c r="N19" s="113"/>
      <c r="O19" s="113"/>
      <c r="P19" s="113"/>
      <c r="Q19" s="114"/>
      <c r="R19" s="117"/>
      <c r="S19" s="115"/>
      <c r="T19" s="115"/>
      <c r="U19" s="115"/>
      <c r="V19" s="115"/>
      <c r="W19" s="116"/>
      <c r="X19" s="118"/>
      <c r="Y19" s="113"/>
      <c r="Z19" s="113"/>
      <c r="AA19" s="113"/>
      <c r="AB19" s="113"/>
      <c r="AC19" s="114"/>
      <c r="AD19" s="117"/>
      <c r="AE19" s="115"/>
      <c r="AF19" s="115"/>
      <c r="AG19" s="115"/>
      <c r="AH19" s="115"/>
      <c r="AI19" s="116"/>
      <c r="AJ19" s="118"/>
      <c r="AK19" s="113"/>
      <c r="AL19" s="113"/>
      <c r="AM19" s="113"/>
      <c r="AN19" s="113"/>
      <c r="AO19" s="114"/>
      <c r="AP19" s="117"/>
      <c r="AQ19" s="115"/>
      <c r="AR19" s="115"/>
      <c r="AS19" s="115"/>
      <c r="AT19" s="115"/>
      <c r="AU19" s="116"/>
      <c r="AV19" s="118"/>
      <c r="AW19" s="113"/>
      <c r="AX19" s="113"/>
      <c r="AY19" s="113"/>
      <c r="AZ19" s="113"/>
      <c r="BA19" s="114"/>
      <c r="BB19" s="119">
        <f t="shared" si="2"/>
        <v>0</v>
      </c>
      <c r="BC19" s="120">
        <f t="shared" si="2"/>
        <v>0</v>
      </c>
      <c r="BD19" s="120">
        <f t="shared" si="2"/>
        <v>0</v>
      </c>
      <c r="BE19" s="120">
        <f t="shared" si="2"/>
        <v>0</v>
      </c>
      <c r="BF19" s="120">
        <f t="shared" si="2"/>
        <v>0</v>
      </c>
      <c r="BG19" s="154">
        <f t="shared" si="2"/>
        <v>0</v>
      </c>
      <c r="BH19" s="123">
        <f>SUM(TimeSheet34[[#This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3"/>
        <v/>
      </c>
      <c r="B20" s="110"/>
      <c r="C20" s="111"/>
      <c r="D20" s="112"/>
      <c r="E20" s="110"/>
      <c r="F20" s="110" t="str">
        <f t="shared" si="0"/>
        <v/>
      </c>
      <c r="G20" s="110"/>
      <c r="H20" s="110"/>
      <c r="I20" s="139"/>
      <c r="J20" s="153" t="str">
        <f t="shared" si="1"/>
        <v/>
      </c>
      <c r="K20" s="138"/>
      <c r="L20" s="118"/>
      <c r="M20" s="113"/>
      <c r="N20" s="113"/>
      <c r="O20" s="113"/>
      <c r="P20" s="113"/>
      <c r="Q20" s="114"/>
      <c r="R20" s="117"/>
      <c r="S20" s="115"/>
      <c r="T20" s="115"/>
      <c r="U20" s="115"/>
      <c r="V20" s="115"/>
      <c r="W20" s="116"/>
      <c r="X20" s="118"/>
      <c r="Y20" s="113"/>
      <c r="Z20" s="113"/>
      <c r="AA20" s="113"/>
      <c r="AB20" s="113"/>
      <c r="AC20" s="114"/>
      <c r="AD20" s="117"/>
      <c r="AE20" s="115"/>
      <c r="AF20" s="115"/>
      <c r="AG20" s="115"/>
      <c r="AH20" s="115"/>
      <c r="AI20" s="116"/>
      <c r="AJ20" s="118"/>
      <c r="AK20" s="113"/>
      <c r="AL20" s="113"/>
      <c r="AM20" s="113"/>
      <c r="AN20" s="113"/>
      <c r="AO20" s="114"/>
      <c r="AP20" s="117"/>
      <c r="AQ20" s="115"/>
      <c r="AR20" s="115"/>
      <c r="AS20" s="115"/>
      <c r="AT20" s="115"/>
      <c r="AU20" s="116"/>
      <c r="AV20" s="118"/>
      <c r="AW20" s="113"/>
      <c r="AX20" s="113"/>
      <c r="AY20" s="113"/>
      <c r="AZ20" s="113"/>
      <c r="BA20" s="114"/>
      <c r="BB20" s="119">
        <f t="shared" si="2"/>
        <v>0</v>
      </c>
      <c r="BC20" s="120">
        <f t="shared" si="2"/>
        <v>0</v>
      </c>
      <c r="BD20" s="120">
        <f t="shared" si="2"/>
        <v>0</v>
      </c>
      <c r="BE20" s="120">
        <f t="shared" si="2"/>
        <v>0</v>
      </c>
      <c r="BF20" s="120">
        <f t="shared" si="2"/>
        <v>0</v>
      </c>
      <c r="BG20" s="154">
        <f t="shared" si="2"/>
        <v>0</v>
      </c>
      <c r="BH20" s="123">
        <f>SUM(TimeSheet34[[#This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3"/>
        <v/>
      </c>
      <c r="B21" s="110"/>
      <c r="C21" s="111"/>
      <c r="D21" s="112"/>
      <c r="E21" s="110"/>
      <c r="F21" s="110" t="str">
        <f t="shared" si="0"/>
        <v/>
      </c>
      <c r="G21" s="110"/>
      <c r="H21" s="110"/>
      <c r="I21" s="139"/>
      <c r="J21" s="153" t="str">
        <f t="shared" si="1"/>
        <v/>
      </c>
      <c r="K21" s="138"/>
      <c r="L21" s="118"/>
      <c r="M21" s="113"/>
      <c r="N21" s="113"/>
      <c r="O21" s="113"/>
      <c r="P21" s="113"/>
      <c r="Q21" s="114"/>
      <c r="R21" s="117"/>
      <c r="S21" s="115"/>
      <c r="T21" s="115"/>
      <c r="U21" s="115"/>
      <c r="V21" s="115"/>
      <c r="W21" s="116"/>
      <c r="X21" s="118"/>
      <c r="Y21" s="113"/>
      <c r="Z21" s="113"/>
      <c r="AA21" s="113"/>
      <c r="AB21" s="113"/>
      <c r="AC21" s="114"/>
      <c r="AD21" s="117"/>
      <c r="AE21" s="115"/>
      <c r="AF21" s="115"/>
      <c r="AG21" s="115"/>
      <c r="AH21" s="115"/>
      <c r="AI21" s="116"/>
      <c r="AJ21" s="118"/>
      <c r="AK21" s="113"/>
      <c r="AL21" s="113"/>
      <c r="AM21" s="113"/>
      <c r="AN21" s="113"/>
      <c r="AO21" s="114"/>
      <c r="AP21" s="117"/>
      <c r="AQ21" s="115"/>
      <c r="AR21" s="115"/>
      <c r="AS21" s="115"/>
      <c r="AT21" s="115"/>
      <c r="AU21" s="116"/>
      <c r="AV21" s="118"/>
      <c r="AW21" s="113"/>
      <c r="AX21" s="113"/>
      <c r="AY21" s="113"/>
      <c r="AZ21" s="113"/>
      <c r="BA21" s="114"/>
      <c r="BB21" s="119">
        <f t="shared" si="2"/>
        <v>0</v>
      </c>
      <c r="BC21" s="120">
        <f t="shared" si="2"/>
        <v>0</v>
      </c>
      <c r="BD21" s="120">
        <f t="shared" si="2"/>
        <v>0</v>
      </c>
      <c r="BE21" s="120">
        <f t="shared" si="2"/>
        <v>0</v>
      </c>
      <c r="BF21" s="120">
        <f t="shared" si="2"/>
        <v>0</v>
      </c>
      <c r="BG21" s="154">
        <f t="shared" si="2"/>
        <v>0</v>
      </c>
      <c r="BH21" s="123">
        <f>SUM(TimeSheet34[[#This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3"/>
        <v/>
      </c>
      <c r="B22" s="110"/>
      <c r="C22" s="111"/>
      <c r="D22" s="112"/>
      <c r="E22" s="110"/>
      <c r="F22" s="110" t="str">
        <f t="shared" si="0"/>
        <v/>
      </c>
      <c r="G22" s="110"/>
      <c r="H22" s="110"/>
      <c r="I22" s="139"/>
      <c r="J22" s="153" t="str">
        <f t="shared" si="1"/>
        <v/>
      </c>
      <c r="K22" s="138"/>
      <c r="L22" s="118"/>
      <c r="M22" s="113"/>
      <c r="N22" s="113"/>
      <c r="O22" s="113"/>
      <c r="P22" s="113"/>
      <c r="Q22" s="114"/>
      <c r="R22" s="117"/>
      <c r="S22" s="115"/>
      <c r="T22" s="115"/>
      <c r="U22" s="115"/>
      <c r="V22" s="115"/>
      <c r="W22" s="116"/>
      <c r="X22" s="118"/>
      <c r="Y22" s="113"/>
      <c r="Z22" s="113"/>
      <c r="AA22" s="113"/>
      <c r="AB22" s="113"/>
      <c r="AC22" s="114"/>
      <c r="AD22" s="117"/>
      <c r="AE22" s="115"/>
      <c r="AF22" s="115"/>
      <c r="AG22" s="115"/>
      <c r="AH22" s="115"/>
      <c r="AI22" s="116"/>
      <c r="AJ22" s="118"/>
      <c r="AK22" s="113"/>
      <c r="AL22" s="113"/>
      <c r="AM22" s="113"/>
      <c r="AN22" s="113"/>
      <c r="AO22" s="114"/>
      <c r="AP22" s="117"/>
      <c r="AQ22" s="115"/>
      <c r="AR22" s="115"/>
      <c r="AS22" s="115"/>
      <c r="AT22" s="115"/>
      <c r="AU22" s="116"/>
      <c r="AV22" s="118"/>
      <c r="AW22" s="113"/>
      <c r="AX22" s="113"/>
      <c r="AY22" s="113"/>
      <c r="AZ22" s="113"/>
      <c r="BA22" s="114"/>
      <c r="BB22" s="119">
        <f t="shared" si="2"/>
        <v>0</v>
      </c>
      <c r="BC22" s="120">
        <f t="shared" si="2"/>
        <v>0</v>
      </c>
      <c r="BD22" s="120">
        <f t="shared" si="2"/>
        <v>0</v>
      </c>
      <c r="BE22" s="120">
        <f t="shared" si="2"/>
        <v>0</v>
      </c>
      <c r="BF22" s="120">
        <f t="shared" si="2"/>
        <v>0</v>
      </c>
      <c r="BG22" s="154">
        <f t="shared" si="2"/>
        <v>0</v>
      </c>
      <c r="BH22" s="123">
        <f>SUM(TimeSheet34[[#This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3"/>
        <v/>
      </c>
      <c r="B23" s="110"/>
      <c r="C23" s="111"/>
      <c r="D23" s="112"/>
      <c r="E23" s="110"/>
      <c r="F23" s="110" t="str">
        <f t="shared" si="0"/>
        <v/>
      </c>
      <c r="G23" s="110"/>
      <c r="H23" s="110"/>
      <c r="I23" s="139"/>
      <c r="J23" s="153" t="str">
        <f t="shared" si="1"/>
        <v/>
      </c>
      <c r="K23" s="138"/>
      <c r="L23" s="118"/>
      <c r="M23" s="113"/>
      <c r="N23" s="113"/>
      <c r="O23" s="113"/>
      <c r="P23" s="113"/>
      <c r="Q23" s="114"/>
      <c r="R23" s="117"/>
      <c r="S23" s="115"/>
      <c r="T23" s="115"/>
      <c r="U23" s="115"/>
      <c r="V23" s="115"/>
      <c r="W23" s="116"/>
      <c r="X23" s="118"/>
      <c r="Y23" s="113"/>
      <c r="Z23" s="113"/>
      <c r="AA23" s="113"/>
      <c r="AB23" s="113"/>
      <c r="AC23" s="114"/>
      <c r="AD23" s="117"/>
      <c r="AE23" s="115"/>
      <c r="AF23" s="115"/>
      <c r="AG23" s="115"/>
      <c r="AH23" s="115"/>
      <c r="AI23" s="116"/>
      <c r="AJ23" s="118"/>
      <c r="AK23" s="113"/>
      <c r="AL23" s="113"/>
      <c r="AM23" s="113"/>
      <c r="AN23" s="113"/>
      <c r="AO23" s="114"/>
      <c r="AP23" s="117"/>
      <c r="AQ23" s="115"/>
      <c r="AR23" s="115"/>
      <c r="AS23" s="115"/>
      <c r="AT23" s="115"/>
      <c r="AU23" s="116"/>
      <c r="AV23" s="118"/>
      <c r="AW23" s="113"/>
      <c r="AX23" s="113"/>
      <c r="AY23" s="113"/>
      <c r="AZ23" s="113"/>
      <c r="BA23" s="114"/>
      <c r="BB23" s="119">
        <f t="shared" si="2"/>
        <v>0</v>
      </c>
      <c r="BC23" s="120">
        <f t="shared" si="2"/>
        <v>0</v>
      </c>
      <c r="BD23" s="120">
        <f t="shared" si="2"/>
        <v>0</v>
      </c>
      <c r="BE23" s="120">
        <f t="shared" si="2"/>
        <v>0</v>
      </c>
      <c r="BF23" s="120">
        <f t="shared" si="2"/>
        <v>0</v>
      </c>
      <c r="BG23" s="154">
        <f t="shared" si="2"/>
        <v>0</v>
      </c>
      <c r="BH23" s="123">
        <f>SUM(TimeSheet34[[#This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156"/>
      <c r="B24" s="157"/>
      <c r="C24" s="158"/>
      <c r="D24" s="159"/>
      <c r="E24" s="157"/>
      <c r="F24" s="157"/>
      <c r="G24" s="157"/>
      <c r="H24" s="157"/>
      <c r="I24" s="157"/>
      <c r="J24" s="157"/>
      <c r="K24" s="157"/>
      <c r="L24" s="160">
        <f>SUBTOTAL(109,TimeSheet34[RT1])</f>
        <v>0</v>
      </c>
      <c r="M24" s="161">
        <f>SUBTOTAL(109,TimeSheet34[OT1])</f>
        <v>0</v>
      </c>
      <c r="N24" s="161">
        <f>SUBTOTAL(109,TimeSheet34[DT1])</f>
        <v>0</v>
      </c>
      <c r="O24" s="161">
        <f>SUBTOTAL(109,TimeSheet34[PD1])</f>
        <v>0</v>
      </c>
      <c r="P24" s="161">
        <f>SUBTOTAL(109,TimeSheet34[4D1])</f>
        <v>0</v>
      </c>
      <c r="Q24" s="162">
        <f>SUBTOTAL(109,TimeSheet34[4A1])</f>
        <v>0</v>
      </c>
      <c r="R24" s="163">
        <f>SUBTOTAL(109,TimeSheet34[RT2])</f>
        <v>0</v>
      </c>
      <c r="S24" s="164">
        <f>SUBTOTAL(109,TimeSheet34[OT2])</f>
        <v>0</v>
      </c>
      <c r="T24" s="164">
        <f>SUBTOTAL(109,TimeSheet34[DT2])</f>
        <v>0</v>
      </c>
      <c r="U24" s="164">
        <f>SUBTOTAL(109,TimeSheet34[PD2])</f>
        <v>0</v>
      </c>
      <c r="V24" s="164">
        <f>SUBTOTAL(109,TimeSheet34[4D2])</f>
        <v>0</v>
      </c>
      <c r="W24" s="165">
        <f>SUBTOTAL(109,TimeSheet34[4A2])</f>
        <v>0</v>
      </c>
      <c r="X24" s="160">
        <f>SUBTOTAL(109,TimeSheet34[RT3])</f>
        <v>0</v>
      </c>
      <c r="Y24" s="161">
        <f>SUBTOTAL(109,TimeSheet34[OT3])</f>
        <v>0</v>
      </c>
      <c r="Z24" s="161">
        <f>SUBTOTAL(109,TimeSheet34[DT3])</f>
        <v>0</v>
      </c>
      <c r="AA24" s="161">
        <f>SUBTOTAL(109,TimeSheet34[PD3])</f>
        <v>0</v>
      </c>
      <c r="AB24" s="161">
        <f>SUBTOTAL(109,TimeSheet34[4D3])</f>
        <v>0</v>
      </c>
      <c r="AC24" s="162">
        <f>SUBTOTAL(109,TimeSheet34[4A3])</f>
        <v>0</v>
      </c>
      <c r="AD24" s="163">
        <f>SUBTOTAL(109,TimeSheet34[RT4])</f>
        <v>0</v>
      </c>
      <c r="AE24" s="164">
        <f>SUBTOTAL(109,TimeSheet34[OT4])</f>
        <v>0</v>
      </c>
      <c r="AF24" s="164">
        <f>SUBTOTAL(109,TimeSheet34[DT4])</f>
        <v>0</v>
      </c>
      <c r="AG24" s="164">
        <f>SUBTOTAL(109,TimeSheet34[PD4])</f>
        <v>0</v>
      </c>
      <c r="AH24" s="164">
        <f>SUBTOTAL(109,TimeSheet34[4D4])</f>
        <v>0</v>
      </c>
      <c r="AI24" s="165">
        <f>SUBTOTAL(109,TimeSheet34[4A4])</f>
        <v>0</v>
      </c>
      <c r="AJ24" s="160">
        <f>SUBTOTAL(109,TimeSheet34[RT5])</f>
        <v>0</v>
      </c>
      <c r="AK24" s="161">
        <f>SUBTOTAL(109,TimeSheet34[OT5])</f>
        <v>0</v>
      </c>
      <c r="AL24" s="161">
        <f>SUBTOTAL(109,TimeSheet34[DT5])</f>
        <v>0</v>
      </c>
      <c r="AM24" s="161">
        <f>SUBTOTAL(109,TimeSheet34[PD5])</f>
        <v>0</v>
      </c>
      <c r="AN24" s="161">
        <f>SUBTOTAL(109,TimeSheet34[4D5])</f>
        <v>0</v>
      </c>
      <c r="AO24" s="162">
        <f>SUBTOTAL(109,TimeSheet34[4A5])</f>
        <v>0</v>
      </c>
      <c r="AP24" s="163">
        <f>SUBTOTAL(109,TimeSheet34[RT6])</f>
        <v>0</v>
      </c>
      <c r="AQ24" s="164">
        <f>SUBTOTAL(109,TimeSheet34[OT6])</f>
        <v>0</v>
      </c>
      <c r="AR24" s="164">
        <f>SUBTOTAL(109,TimeSheet34[DT6])</f>
        <v>0</v>
      </c>
      <c r="AS24" s="164">
        <f>SUBTOTAL(109,TimeSheet34[PD6])</f>
        <v>0</v>
      </c>
      <c r="AT24" s="164">
        <f>SUBTOTAL(109,TimeSheet34[4D6])</f>
        <v>0</v>
      </c>
      <c r="AU24" s="165">
        <f>SUBTOTAL(109,TimeSheet34[4A6])</f>
        <v>0</v>
      </c>
      <c r="AV24" s="160">
        <f>SUBTOTAL(109,TimeSheet34[RT7])</f>
        <v>0</v>
      </c>
      <c r="AW24" s="161">
        <f>SUBTOTAL(109,TimeSheet34[OT7])</f>
        <v>0</v>
      </c>
      <c r="AX24" s="161">
        <f>SUBTOTAL(109,TimeSheet34[DT7])</f>
        <v>0</v>
      </c>
      <c r="AY24" s="161">
        <f>SUBTOTAL(109,TimeSheet34[PD7])</f>
        <v>0</v>
      </c>
      <c r="AZ24" s="161">
        <f>SUBTOTAL(109,TimeSheet34[4D7])</f>
        <v>0</v>
      </c>
      <c r="BA24" s="162">
        <f>SUBTOTAL(109,TimeSheet34[4A7])</f>
        <v>0</v>
      </c>
      <c r="BB24" s="166">
        <f>SUBTOTAL(109,TimeSheet34[1])</f>
        <v>0</v>
      </c>
      <c r="BC24" s="167">
        <f>SUBTOTAL(109,TimeSheet34[3])</f>
        <v>0</v>
      </c>
      <c r="BD24" s="167">
        <f>SUBTOTAL(109,TimeSheet34[2])</f>
        <v>0</v>
      </c>
      <c r="BE24" s="167">
        <f>SUBTOTAL(109,TimeSheet34[4])</f>
        <v>0</v>
      </c>
      <c r="BF24" s="167">
        <f>SUBTOTAL(109,TimeSheet34[4D])</f>
        <v>0</v>
      </c>
      <c r="BG24" s="168">
        <f>SUBTOTAL(109,TimeSheet34[4A])</f>
        <v>0</v>
      </c>
      <c r="BH24" s="169">
        <f>SUBTOTAL(109,TimeSheet34[Total])-SUM(TimeSheet34[[#Totals],[RT1]:[4A7]])</f>
        <v>0</v>
      </c>
      <c r="BI24" s="170"/>
      <c r="BJ24" s="171"/>
      <c r="BK24" s="171"/>
      <c r="BL24" s="171"/>
      <c r="BM24" s="171"/>
      <c r="BN24" s="172"/>
      <c r="BO24" s="170"/>
      <c r="BP24" s="171"/>
      <c r="BQ24" s="171"/>
      <c r="BR24" s="171"/>
      <c r="BS24" s="171"/>
      <c r="BT24" s="172"/>
      <c r="BU24" s="170"/>
      <c r="BV24" s="171"/>
      <c r="BW24" s="171"/>
      <c r="BX24" s="171"/>
      <c r="BY24" s="171"/>
      <c r="BZ24" s="172"/>
      <c r="CA24" s="170"/>
      <c r="CB24" s="171"/>
      <c r="CC24" s="171"/>
      <c r="CD24" s="171"/>
      <c r="CE24" s="171"/>
      <c r="CF24" s="172"/>
      <c r="CG24" s="170"/>
      <c r="CH24" s="171"/>
      <c r="CI24" s="171"/>
      <c r="CJ24" s="171"/>
      <c r="CK24" s="171"/>
      <c r="CL24" s="172"/>
      <c r="CM24" s="170"/>
      <c r="CN24" s="171"/>
      <c r="CO24" s="171"/>
      <c r="CP24" s="171"/>
      <c r="CQ24" s="171"/>
      <c r="CR24" s="172"/>
      <c r="CS24" s="170"/>
      <c r="CT24" s="171"/>
      <c r="CU24" s="171"/>
      <c r="CV24" s="171"/>
      <c r="CW24" s="171"/>
      <c r="CX24" s="172"/>
    </row>
    <row r="25" spans="1:102" ht="39" customHeight="1" x14ac:dyDescent="0.4">
      <c r="A25" s="173"/>
      <c r="B25" s="28" t="s">
        <v>356</v>
      </c>
      <c r="C25" s="28"/>
      <c r="D25" s="28"/>
      <c r="E25" s="28"/>
    </row>
    <row r="26" spans="1:102" ht="39" customHeight="1" x14ac:dyDescent="0.4">
      <c r="A26" s="174" t="str">
        <f>IF(ISBLANK('Job Details'!A5),"",'Job Details'!A5)</f>
        <v xml:space="preserve">Hours </v>
      </c>
      <c r="B26" s="175"/>
      <c r="C26" s="176" t="str">
        <f>IF(ISBLANK('Job Details'!B5),"",'Job Details'!B5)</f>
        <v>8ST, then everything else DT</v>
      </c>
      <c r="D26" s="174" t="str">
        <f>IF(ISBLANK('Job Details'!C5),"",'Job Details'!C5)</f>
        <v/>
      </c>
      <c r="E26" s="177" t="str">
        <f>IF(ISBLANK('Job Details'!D5),"",'Job Details'!D5)</f>
        <v/>
      </c>
      <c r="F26" s="178" t="str">
        <f>IF(ISBLANK('Job Details'!E5),"",'Job Details'!E5)</f>
        <v/>
      </c>
      <c r="G26"/>
      <c r="H26"/>
    </row>
    <row r="27" spans="1:102" ht="39" customHeight="1" x14ac:dyDescent="0.4">
      <c r="A27" s="179" t="str">
        <f>IF(ISBLANK('Job Details'!A6),"",'Job Details'!A6)</f>
        <v>PD</v>
      </c>
      <c r="B27" s="180"/>
      <c r="C27" s="181" t="str">
        <f>IF(ISBLANK('Job Details'!B6),"",'Job Details'!B6)</f>
        <v>$50/day (must work 4 hours or until noon, whichever is later)</v>
      </c>
      <c r="D27" s="182" t="str">
        <f>IF(ISBLANK('Job Details'!C6),"",'Job Details'!C6)</f>
        <v/>
      </c>
      <c r="E27" s="181" t="str">
        <f>IF(ISBLANK('Job Details'!D6),"",'Job Details'!D6)</f>
        <v/>
      </c>
      <c r="F27" s="183" t="str">
        <f>IF(ISBLANK('Job Details'!E6),"",'Job Details'!E6)</f>
        <v/>
      </c>
      <c r="G27"/>
      <c r="H27"/>
    </row>
    <row r="28" spans="1:102" ht="39" customHeight="1" x14ac:dyDescent="0.4">
      <c r="A28" s="179" t="str">
        <f>IF(ISBLANK('Job Details'!A7),"",'Job Details'!A7)</f>
        <v>Meal</v>
      </c>
      <c r="B28" s="180"/>
      <c r="C28" s="181" t="str">
        <f>IF(ISBLANK('Job Details'!B7),"",'Job Details'!B7)</f>
        <v>$15 after 10.5 hours (then after every 4.5 hours)</v>
      </c>
      <c r="D28" s="179" t="str">
        <f>IF(ISBLANK('Job Details'!C7),"",'Job Details'!C7)</f>
        <v/>
      </c>
      <c r="E28" s="181" t="str">
        <f>IF(ISBLANK('Job Details'!D7),"",'Job Details'!D7)</f>
        <v/>
      </c>
      <c r="F28" s="183" t="str">
        <f>IF(ISBLANK('Job Details'!E7),"",'Job Details'!E7)</f>
        <v/>
      </c>
      <c r="G28"/>
      <c r="H28"/>
    </row>
    <row r="29" spans="1:102" ht="39" customHeight="1" x14ac:dyDescent="0.4">
      <c r="A29" s="184" t="str">
        <f>IF(ISBLANK('Job Details'!A8),"",'Job Details'!A8)</f>
        <v>In Lieu</v>
      </c>
      <c r="B29" s="185"/>
      <c r="C29" s="186" t="str">
        <f>IF(ISBLANK('Job Details'!B8),"",'Job Details'!B8)</f>
        <v>0.5DT after 10.5 hours (then after every 4.5 hours)</v>
      </c>
      <c r="D29" s="179" t="str">
        <f>IF(ISBLANK('Job Details'!C8),"",'Job Details'!C8)</f>
        <v/>
      </c>
      <c r="E29" s="181" t="str">
        <f>IF(ISBLANK('Job Details'!D8),"",'Job Details'!D8)</f>
        <v/>
      </c>
      <c r="F29" s="187" t="str">
        <f>IF(ISBLANK('Job Details'!E8),"",'Job Details'!E8)</f>
        <v/>
      </c>
      <c r="G29"/>
      <c r="H29"/>
    </row>
    <row r="30" spans="1:102" ht="39" customHeight="1" x14ac:dyDescent="0.4">
      <c r="A30" s="188" t="str">
        <f>IF(ISBLANK('Job Details'!A9),"",'Job Details'!A9)</f>
        <v>Job Details</v>
      </c>
      <c r="B30" s="175"/>
      <c r="C30" s="189" t="str">
        <f>IF(ISBLANK('Job Details'!B9),"",'Job Details'!B9)</f>
        <v/>
      </c>
      <c r="D30" s="190" t="str">
        <f>IF(ISBLANK('Job Details'!C9),"",'Job Details'!C9)</f>
        <v/>
      </c>
      <c r="E30" s="176" t="str">
        <f>IF(ISBLANK('Job Details'!D9),"",'Job Details'!D9)</f>
        <v/>
      </c>
      <c r="F30" s="183" t="str">
        <f>IF(ISBLANK('Job Details'!E9),"",'Job Details'!E9)</f>
        <v/>
      </c>
      <c r="G30"/>
      <c r="H30"/>
    </row>
    <row r="31" spans="1:102" ht="39" customHeight="1" x14ac:dyDescent="0.4">
      <c r="A31" s="179" t="str">
        <f>IF(ISBLANK('Job Details'!A10),"",'Job Details'!A10)</f>
        <v>Extra</v>
      </c>
      <c r="B31" s="180"/>
      <c r="C31" s="181" t="str">
        <f>IF(ISBLANK('Job Details'!B10),"",'Job Details'!B10)</f>
        <v>Phase</v>
      </c>
      <c r="D31" s="191" t="str">
        <f>IF(ISBLANK('Job Details'!C10),"",'Job Details'!C10)</f>
        <v>Phase Description</v>
      </c>
      <c r="E31" s="181" t="str">
        <f>IF(ISBLANK('Job Details'!D10),"",'Job Details'!D10)</f>
        <v>Category</v>
      </c>
      <c r="F31" s="187" t="str">
        <f>IF(ISBLANK('Job Details'!E10),"",'Job Details'!E10)</f>
        <v>Description</v>
      </c>
      <c r="G31"/>
      <c r="H31"/>
    </row>
    <row r="32" spans="1:102" ht="39" customHeight="1" x14ac:dyDescent="0.4">
      <c r="A32" s="184" t="str">
        <f>IF(ISBLANK('Job Details'!A11),"",'Job Details'!A11)</f>
        <v/>
      </c>
      <c r="B32" s="185"/>
      <c r="C32" s="186" t="str">
        <f>IF(ISBLANK('Job Details'!B11),"",'Job Details'!B11)</f>
        <v>1-001</v>
      </c>
      <c r="D32" s="192" t="str">
        <f>IF(ISBLANK('Job Details'!C11),"",'Job Details'!C11)</f>
        <v>Project Superintendent (Hrs)</v>
      </c>
      <c r="E32" s="186" t="str">
        <f>IF(ISBLANK('Job Details'!D11),"",'Job Details'!D11)</f>
        <v>DT</v>
      </c>
      <c r="F32" s="193" t="str">
        <f>IF(ISBLANK('Job Details'!E11),"",'Job Details'!E11)</f>
        <v>Double Time - Jobs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7">
    <mergeCell ref="BB1:BG1"/>
    <mergeCell ref="L3:Q3"/>
    <mergeCell ref="R3:W3"/>
    <mergeCell ref="X3:AC3"/>
    <mergeCell ref="AD3:AI3"/>
    <mergeCell ref="AJ3:AO3"/>
    <mergeCell ref="AP3:AU3"/>
    <mergeCell ref="AV3:BA3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</mergeCells>
  <conditionalFormatting sqref="D3 A13:A23">
    <cfRule type="expression" dxfId="3699" priority="34">
      <formula>ISBLANK(A3)</formula>
    </cfRule>
  </conditionalFormatting>
  <conditionalFormatting sqref="A1:K1">
    <cfRule type="expression" dxfId="3698" priority="32">
      <formula>$A$1="Input Employee Number"</formula>
    </cfRule>
  </conditionalFormatting>
  <conditionalFormatting sqref="BB1:BG1">
    <cfRule type="expression" dxfId="3697" priority="31">
      <formula>ISBLANK(BB1)</formula>
    </cfRule>
  </conditionalFormatting>
  <conditionalFormatting sqref="BH24">
    <cfRule type="expression" dxfId="3696" priority="29">
      <formula>$BH24&lt;&gt;0</formula>
    </cfRule>
    <cfRule type="expression" dxfId="3695" priority="30">
      <formula>$BH24=0</formula>
    </cfRule>
  </conditionalFormatting>
  <conditionalFormatting sqref="L11:BG11">
    <cfRule type="expression" dxfId="3694" priority="28">
      <formula>L11&lt;&gt;0</formula>
    </cfRule>
  </conditionalFormatting>
  <conditionalFormatting sqref="E13:F13 E15:F21 G13:H21 F14 E24:H24">
    <cfRule type="expression" dxfId="3693" priority="27">
      <formula>AND($BH13&lt;&gt;0,ISBLANK(E13))</formula>
    </cfRule>
  </conditionalFormatting>
  <conditionalFormatting sqref="B2">
    <cfRule type="cellIs" dxfId="3692" priority="26" operator="equal">
      <formula>0</formula>
    </cfRule>
  </conditionalFormatting>
  <conditionalFormatting sqref="B3">
    <cfRule type="containsBlanks" dxfId="3691" priority="25">
      <formula>LEN(TRIM(B3))=0</formula>
    </cfRule>
  </conditionalFormatting>
  <conditionalFormatting sqref="D3 A13:A23">
    <cfRule type="cellIs" dxfId="3690" priority="33" operator="equal">
      <formula>"x"</formula>
    </cfRule>
  </conditionalFormatting>
  <conditionalFormatting sqref="B4">
    <cfRule type="containsBlanks" dxfId="3689" priority="24">
      <formula>LEN(TRIM(B4))=0</formula>
    </cfRule>
  </conditionalFormatting>
  <conditionalFormatting sqref="E14:E16">
    <cfRule type="expression" dxfId="3688" priority="23">
      <formula>AND($BH14&lt;&gt;0,ISBLANK(E14))</formula>
    </cfRule>
  </conditionalFormatting>
  <conditionalFormatting sqref="E13:E23">
    <cfRule type="expression" dxfId="3687" priority="22">
      <formula>AND($C13&gt;0,ISBLANK($E13))</formula>
    </cfRule>
  </conditionalFormatting>
  <conditionalFormatting sqref="C13:C24">
    <cfRule type="expression" dxfId="3686" priority="35">
      <formula>AND($C13=0,BH13&lt;&gt;0)</formula>
    </cfRule>
  </conditionalFormatting>
  <conditionalFormatting sqref="Q12">
    <cfRule type="expression" dxfId="3685" priority="19">
      <formula>AND(L$9&gt;10.5,Q$24=0)</formula>
    </cfRule>
  </conditionalFormatting>
  <conditionalFormatting sqref="P12">
    <cfRule type="expression" dxfId="3684" priority="20">
      <formula>AND(L$9&gt;10.5,P$24=0)</formula>
    </cfRule>
  </conditionalFormatting>
  <conditionalFormatting sqref="O12">
    <cfRule type="expression" dxfId="3683" priority="21">
      <formula>AND(L$10&gt;0,O$24=0)</formula>
    </cfRule>
  </conditionalFormatting>
  <conditionalFormatting sqref="W12">
    <cfRule type="expression" dxfId="3682" priority="17">
      <formula>AND(R$9&gt;10.5,W$24=0)</formula>
    </cfRule>
  </conditionalFormatting>
  <conditionalFormatting sqref="V12">
    <cfRule type="expression" dxfId="3681" priority="18">
      <formula>AND(R$9&gt;10.5,V$24=0)</formula>
    </cfRule>
  </conditionalFormatting>
  <conditionalFormatting sqref="U12">
    <cfRule type="expression" dxfId="3680" priority="16">
      <formula>AND(R$10&gt;0,U$24=0)</formula>
    </cfRule>
  </conditionalFormatting>
  <conditionalFormatting sqref="AC12">
    <cfRule type="expression" dxfId="3679" priority="13">
      <formula>AND(X$9&gt;10.5,AC$24=0)</formula>
    </cfRule>
  </conditionalFormatting>
  <conditionalFormatting sqref="AB12">
    <cfRule type="expression" dxfId="3678" priority="14">
      <formula>AND(X$9&gt;10.5,AB$24=0)</formula>
    </cfRule>
  </conditionalFormatting>
  <conditionalFormatting sqref="AA12">
    <cfRule type="expression" dxfId="3677" priority="15">
      <formula>AND(X$10&gt;0,AA$24=0)</formula>
    </cfRule>
  </conditionalFormatting>
  <conditionalFormatting sqref="AI12">
    <cfRule type="expression" dxfId="3676" priority="11">
      <formula>AND(AD$9&gt;10.5,AI$24=0)</formula>
    </cfRule>
  </conditionalFormatting>
  <conditionalFormatting sqref="AH12">
    <cfRule type="expression" dxfId="3675" priority="12">
      <formula>AND(AD$9&gt;10.5,AH$24=0)</formula>
    </cfRule>
  </conditionalFormatting>
  <conditionalFormatting sqref="AG12">
    <cfRule type="expression" dxfId="3674" priority="10">
      <formula>AND(AD$10&gt;0,AG$24=0)</formula>
    </cfRule>
  </conditionalFormatting>
  <conditionalFormatting sqref="AO12">
    <cfRule type="expression" dxfId="3673" priority="7">
      <formula>AND(AJ$9&gt;10.5,AO$24=0)</formula>
    </cfRule>
  </conditionalFormatting>
  <conditionalFormatting sqref="AN12">
    <cfRule type="expression" dxfId="3672" priority="8">
      <formula>AND(AJ$9&gt;10.5,AN$24=0)</formula>
    </cfRule>
  </conditionalFormatting>
  <conditionalFormatting sqref="AM12">
    <cfRule type="expression" dxfId="3671" priority="9">
      <formula>AND(AJ$10&gt;0,AM$24=0)</formula>
    </cfRule>
  </conditionalFormatting>
  <conditionalFormatting sqref="AU12">
    <cfRule type="expression" dxfId="3670" priority="5">
      <formula>AND(AP$9&gt;10.5,AU$24=0)</formula>
    </cfRule>
  </conditionalFormatting>
  <conditionalFormatting sqref="AT12">
    <cfRule type="expression" dxfId="3669" priority="6">
      <formula>AND(AP$9&gt;10.5,AT$24=0)</formula>
    </cfRule>
  </conditionalFormatting>
  <conditionalFormatting sqref="AS12">
    <cfRule type="expression" dxfId="3668" priority="4">
      <formula>AND(AP$10&gt;0,AS$24=0)</formula>
    </cfRule>
  </conditionalFormatting>
  <conditionalFormatting sqref="BA12">
    <cfRule type="expression" dxfId="3667" priority="1">
      <formula>AND(AV$9&gt;10.5,BA$24=0)</formula>
    </cfRule>
  </conditionalFormatting>
  <conditionalFormatting sqref="AZ12">
    <cfRule type="expression" dxfId="3666" priority="2">
      <formula>AND(AV$9&gt;10.5,AZ$24=0)</formula>
    </cfRule>
  </conditionalFormatting>
  <conditionalFormatting sqref="AY12">
    <cfRule type="expression" dxfId="3665" priority="3">
      <formula>AND(AV$10&gt;0,AY$24=0)</formula>
    </cfRule>
  </conditionalFormatting>
  <dataValidations count="2">
    <dataValidation type="textLength" allowBlank="1" showInputMessage="1" showErrorMessage="1" errorTitle="Digits" error="The EE# must be between 4 ad 5 digits" sqref="B2" xr:uid="{00000000-0002-0000-0000-000000000000}">
      <formula1>4</formula1>
      <formula2>5</formula2>
    </dataValidation>
    <dataValidation allowBlank="1" showInputMessage="1" showErrorMessage="1" sqref="E13:H23" xr:uid="{00000000-0002-0000-0000-000001000000}"/>
  </dataValidations>
  <pageMargins left="0.25" right="0.25" top="0.75" bottom="0.75" header="0.3" footer="0.3"/>
  <pageSetup paperSize="5" scale="34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000-000002000000}">
          <x14:formula1>
            <xm:f>'Job List'!$A:$A</xm:f>
          </x14:formula1>
          <xm:sqref>C13:C23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 tint="-0.249977111117893"/>
  </sheetPr>
  <dimension ref="A1:I83"/>
  <sheetViews>
    <sheetView workbookViewId="0">
      <selection activeCell="A157" sqref="A157"/>
    </sheetView>
  </sheetViews>
  <sheetFormatPr defaultRowHeight="15" x14ac:dyDescent="0.25"/>
  <cols>
    <col min="1" max="1" width="13.5703125" bestFit="1" customWidth="1"/>
    <col min="2" max="2" width="26.7109375" bestFit="1" customWidth="1"/>
    <col min="3" max="3" width="15.140625" bestFit="1" customWidth="1"/>
    <col min="4" max="4" width="11.140625" bestFit="1" customWidth="1"/>
  </cols>
  <sheetData>
    <row r="1" spans="1:9" ht="23.25" x14ac:dyDescent="0.35">
      <c r="A1" s="35" t="s">
        <v>519</v>
      </c>
      <c r="B1" s="35"/>
      <c r="C1" s="36"/>
      <c r="D1" s="36"/>
      <c r="E1" s="36"/>
      <c r="F1" s="37"/>
      <c r="G1" s="37"/>
      <c r="H1" s="37"/>
      <c r="I1" s="37"/>
    </row>
    <row r="2" spans="1:9" x14ac:dyDescent="0.25">
      <c r="A2" s="3" t="s">
        <v>520</v>
      </c>
      <c r="B2" s="3" t="s">
        <v>21</v>
      </c>
      <c r="C2" s="3" t="s">
        <v>521</v>
      </c>
      <c r="D2" s="3" t="s">
        <v>522</v>
      </c>
    </row>
    <row r="3" spans="1:9" x14ac:dyDescent="0.25">
      <c r="A3" t="s">
        <v>75</v>
      </c>
      <c r="B3" t="s">
        <v>523</v>
      </c>
      <c r="C3" t="s">
        <v>524</v>
      </c>
      <c r="D3" s="140">
        <v>40805</v>
      </c>
    </row>
    <row r="4" spans="1:9" x14ac:dyDescent="0.25">
      <c r="A4" t="s">
        <v>525</v>
      </c>
      <c r="B4" t="s">
        <v>526</v>
      </c>
      <c r="C4" t="s">
        <v>527</v>
      </c>
      <c r="D4" s="140">
        <v>37167</v>
      </c>
    </row>
    <row r="5" spans="1:9" x14ac:dyDescent="0.25">
      <c r="A5" t="s">
        <v>528</v>
      </c>
      <c r="B5" t="s">
        <v>529</v>
      </c>
      <c r="C5" t="s">
        <v>530</v>
      </c>
      <c r="D5" s="140">
        <v>40786</v>
      </c>
    </row>
    <row r="6" spans="1:9" x14ac:dyDescent="0.25">
      <c r="A6" t="s">
        <v>531</v>
      </c>
      <c r="B6" t="s">
        <v>532</v>
      </c>
      <c r="C6" t="s">
        <v>524</v>
      </c>
      <c r="D6" s="140">
        <v>40805</v>
      </c>
    </row>
    <row r="7" spans="1:9" x14ac:dyDescent="0.25">
      <c r="A7" t="s">
        <v>533</v>
      </c>
      <c r="B7" t="s">
        <v>529</v>
      </c>
      <c r="C7" t="s">
        <v>524</v>
      </c>
      <c r="D7" s="140">
        <v>38874</v>
      </c>
    </row>
    <row r="8" spans="1:9" x14ac:dyDescent="0.25">
      <c r="A8" t="s">
        <v>534</v>
      </c>
      <c r="B8" t="s">
        <v>535</v>
      </c>
      <c r="C8" t="s">
        <v>527</v>
      </c>
      <c r="D8" s="140">
        <v>35607</v>
      </c>
    </row>
    <row r="9" spans="1:9" x14ac:dyDescent="0.25">
      <c r="A9" t="s">
        <v>536</v>
      </c>
      <c r="B9" t="s">
        <v>537</v>
      </c>
      <c r="C9" t="s">
        <v>527</v>
      </c>
      <c r="D9" s="140">
        <v>35607</v>
      </c>
    </row>
    <row r="10" spans="1:9" x14ac:dyDescent="0.25">
      <c r="A10" t="s">
        <v>538</v>
      </c>
      <c r="B10" t="s">
        <v>378</v>
      </c>
      <c r="C10" t="s">
        <v>527</v>
      </c>
      <c r="D10" s="140">
        <v>35607</v>
      </c>
    </row>
    <row r="11" spans="1:9" x14ac:dyDescent="0.25">
      <c r="A11" t="s">
        <v>539</v>
      </c>
      <c r="B11" t="s">
        <v>540</v>
      </c>
      <c r="C11" t="s">
        <v>527</v>
      </c>
      <c r="D11" s="140">
        <v>35607</v>
      </c>
    </row>
    <row r="12" spans="1:9" x14ac:dyDescent="0.25">
      <c r="A12" t="s">
        <v>23</v>
      </c>
      <c r="B12" t="s">
        <v>541</v>
      </c>
      <c r="C12" t="s">
        <v>527</v>
      </c>
      <c r="D12" s="140">
        <v>35607</v>
      </c>
    </row>
    <row r="13" spans="1:9" x14ac:dyDescent="0.25">
      <c r="A13" t="s">
        <v>24</v>
      </c>
      <c r="B13" t="s">
        <v>542</v>
      </c>
      <c r="C13" t="s">
        <v>527</v>
      </c>
      <c r="D13" s="140">
        <v>35607</v>
      </c>
    </row>
    <row r="14" spans="1:9" x14ac:dyDescent="0.25">
      <c r="A14" t="s">
        <v>25</v>
      </c>
      <c r="B14" t="s">
        <v>543</v>
      </c>
      <c r="C14" t="s">
        <v>527</v>
      </c>
      <c r="D14" s="140">
        <v>35607</v>
      </c>
    </row>
    <row r="15" spans="1:9" x14ac:dyDescent="0.25">
      <c r="A15" t="s">
        <v>26</v>
      </c>
      <c r="B15" t="s">
        <v>544</v>
      </c>
      <c r="C15" t="s">
        <v>527</v>
      </c>
      <c r="D15" s="140">
        <v>35607</v>
      </c>
    </row>
    <row r="16" spans="1:9" x14ac:dyDescent="0.25">
      <c r="A16" t="s">
        <v>27</v>
      </c>
      <c r="B16" t="s">
        <v>545</v>
      </c>
      <c r="C16" t="s">
        <v>527</v>
      </c>
      <c r="D16" s="140">
        <v>35607</v>
      </c>
    </row>
    <row r="17" spans="1:4" x14ac:dyDescent="0.25">
      <c r="A17" t="s">
        <v>28</v>
      </c>
      <c r="B17" t="s">
        <v>546</v>
      </c>
      <c r="C17" t="s">
        <v>527</v>
      </c>
      <c r="D17" s="140">
        <v>35607</v>
      </c>
    </row>
    <row r="18" spans="1:4" x14ac:dyDescent="0.25">
      <c r="A18" t="s">
        <v>29</v>
      </c>
      <c r="B18" t="s">
        <v>547</v>
      </c>
      <c r="C18" t="s">
        <v>548</v>
      </c>
      <c r="D18" s="140">
        <v>42055</v>
      </c>
    </row>
    <row r="19" spans="1:4" x14ac:dyDescent="0.25">
      <c r="A19" t="s">
        <v>312</v>
      </c>
      <c r="B19" t="s">
        <v>382</v>
      </c>
      <c r="C19" t="s">
        <v>527</v>
      </c>
      <c r="D19" s="140">
        <v>35607</v>
      </c>
    </row>
    <row r="20" spans="1:4" x14ac:dyDescent="0.25">
      <c r="A20" t="s">
        <v>313</v>
      </c>
      <c r="B20" t="s">
        <v>549</v>
      </c>
      <c r="C20" t="s">
        <v>527</v>
      </c>
      <c r="D20" s="140">
        <v>35607</v>
      </c>
    </row>
    <row r="21" spans="1:4" x14ac:dyDescent="0.25">
      <c r="A21" t="s">
        <v>550</v>
      </c>
      <c r="B21" t="s">
        <v>991</v>
      </c>
      <c r="C21" t="s">
        <v>626</v>
      </c>
      <c r="D21" s="140">
        <v>42849</v>
      </c>
    </row>
    <row r="22" spans="1:4" x14ac:dyDescent="0.25">
      <c r="A22" t="s">
        <v>314</v>
      </c>
      <c r="B22" t="s">
        <v>405</v>
      </c>
      <c r="C22" t="s">
        <v>2844</v>
      </c>
      <c r="D22" s="140">
        <v>43277</v>
      </c>
    </row>
    <row r="23" spans="1:4" x14ac:dyDescent="0.25">
      <c r="A23" t="s">
        <v>315</v>
      </c>
      <c r="B23" t="s">
        <v>551</v>
      </c>
      <c r="C23" t="s">
        <v>527</v>
      </c>
      <c r="D23" s="140">
        <v>35607</v>
      </c>
    </row>
    <row r="24" spans="1:4" x14ac:dyDescent="0.25">
      <c r="A24" t="s">
        <v>316</v>
      </c>
      <c r="B24" t="s">
        <v>552</v>
      </c>
      <c r="C24" t="s">
        <v>553</v>
      </c>
      <c r="D24" s="140">
        <v>40616</v>
      </c>
    </row>
    <row r="25" spans="1:4" x14ac:dyDescent="0.25">
      <c r="A25" t="s">
        <v>554</v>
      </c>
      <c r="B25" t="s">
        <v>555</v>
      </c>
      <c r="C25" t="s">
        <v>527</v>
      </c>
      <c r="D25" s="140">
        <v>36475</v>
      </c>
    </row>
    <row r="26" spans="1:4" x14ac:dyDescent="0.25">
      <c r="A26" t="s">
        <v>556</v>
      </c>
      <c r="B26" t="s">
        <v>557</v>
      </c>
      <c r="C26" t="s">
        <v>527</v>
      </c>
      <c r="D26" s="140">
        <v>35607</v>
      </c>
    </row>
    <row r="27" spans="1:4" x14ac:dyDescent="0.25">
      <c r="A27" t="s">
        <v>558</v>
      </c>
      <c r="B27" t="s">
        <v>559</v>
      </c>
      <c r="C27" t="s">
        <v>524</v>
      </c>
      <c r="D27" s="140">
        <v>40795</v>
      </c>
    </row>
    <row r="28" spans="1:4" x14ac:dyDescent="0.25">
      <c r="A28" t="s">
        <v>1669</v>
      </c>
      <c r="B28" t="s">
        <v>1670</v>
      </c>
      <c r="C28" t="s">
        <v>626</v>
      </c>
      <c r="D28" s="140">
        <v>43130</v>
      </c>
    </row>
    <row r="29" spans="1:4" x14ac:dyDescent="0.25">
      <c r="A29" t="s">
        <v>1671</v>
      </c>
      <c r="B29" t="s">
        <v>1672</v>
      </c>
      <c r="C29" t="s">
        <v>626</v>
      </c>
      <c r="D29" s="140">
        <v>43130</v>
      </c>
    </row>
    <row r="30" spans="1:4" x14ac:dyDescent="0.25">
      <c r="A30" t="s">
        <v>560</v>
      </c>
      <c r="B30" t="s">
        <v>1673</v>
      </c>
      <c r="C30" t="s">
        <v>626</v>
      </c>
      <c r="D30" s="140">
        <v>43130</v>
      </c>
    </row>
    <row r="31" spans="1:4" x14ac:dyDescent="0.25">
      <c r="A31" t="s">
        <v>561</v>
      </c>
      <c r="B31" t="s">
        <v>562</v>
      </c>
      <c r="C31" t="s">
        <v>527</v>
      </c>
      <c r="D31" s="140">
        <v>35607</v>
      </c>
    </row>
    <row r="32" spans="1:4" x14ac:dyDescent="0.25">
      <c r="A32" t="s">
        <v>563</v>
      </c>
      <c r="B32" t="s">
        <v>564</v>
      </c>
      <c r="C32" t="s">
        <v>527</v>
      </c>
      <c r="D32" s="140">
        <v>35607</v>
      </c>
    </row>
    <row r="33" spans="1:4" x14ac:dyDescent="0.25">
      <c r="A33" t="s">
        <v>565</v>
      </c>
      <c r="B33" t="s">
        <v>566</v>
      </c>
      <c r="C33" t="s">
        <v>527</v>
      </c>
      <c r="D33" s="140">
        <v>35607</v>
      </c>
    </row>
    <row r="34" spans="1:4" x14ac:dyDescent="0.25">
      <c r="A34" t="s">
        <v>317</v>
      </c>
      <c r="B34" t="s">
        <v>567</v>
      </c>
      <c r="C34" t="s">
        <v>527</v>
      </c>
      <c r="D34" s="140">
        <v>35607</v>
      </c>
    </row>
    <row r="35" spans="1:4" x14ac:dyDescent="0.25">
      <c r="A35" t="s">
        <v>568</v>
      </c>
      <c r="B35" t="s">
        <v>569</v>
      </c>
      <c r="C35" t="s">
        <v>527</v>
      </c>
      <c r="D35" s="140">
        <v>35607</v>
      </c>
    </row>
    <row r="36" spans="1:4" x14ac:dyDescent="0.25">
      <c r="A36" t="s">
        <v>570</v>
      </c>
      <c r="B36" t="s">
        <v>571</v>
      </c>
      <c r="C36" t="s">
        <v>572</v>
      </c>
      <c r="D36" s="140">
        <v>41506</v>
      </c>
    </row>
    <row r="37" spans="1:4" x14ac:dyDescent="0.25">
      <c r="A37" t="s">
        <v>573</v>
      </c>
      <c r="B37" t="s">
        <v>574</v>
      </c>
      <c r="C37" t="s">
        <v>81</v>
      </c>
      <c r="D37" s="140">
        <v>35709</v>
      </c>
    </row>
    <row r="38" spans="1:4" x14ac:dyDescent="0.25">
      <c r="A38" t="s">
        <v>575</v>
      </c>
      <c r="B38" t="s">
        <v>576</v>
      </c>
      <c r="C38" t="s">
        <v>527</v>
      </c>
      <c r="D38" s="140">
        <v>36038</v>
      </c>
    </row>
    <row r="39" spans="1:4" x14ac:dyDescent="0.25">
      <c r="A39" t="s">
        <v>577</v>
      </c>
      <c r="B39" t="s">
        <v>578</v>
      </c>
      <c r="C39" t="s">
        <v>527</v>
      </c>
      <c r="D39" s="140">
        <v>36038</v>
      </c>
    </row>
    <row r="40" spans="1:4" x14ac:dyDescent="0.25">
      <c r="A40" t="s">
        <v>579</v>
      </c>
      <c r="B40" t="s">
        <v>580</v>
      </c>
      <c r="C40" t="s">
        <v>548</v>
      </c>
      <c r="D40" s="140">
        <v>42055</v>
      </c>
    </row>
    <row r="41" spans="1:4" x14ac:dyDescent="0.25">
      <c r="A41" t="s">
        <v>581</v>
      </c>
      <c r="B41" t="s">
        <v>582</v>
      </c>
      <c r="C41" t="s">
        <v>81</v>
      </c>
      <c r="D41" s="140">
        <v>35709</v>
      </c>
    </row>
    <row r="42" spans="1:4" x14ac:dyDescent="0.25">
      <c r="A42" t="s">
        <v>583</v>
      </c>
      <c r="B42" t="s">
        <v>584</v>
      </c>
      <c r="C42" t="s">
        <v>81</v>
      </c>
      <c r="D42" s="140">
        <v>35709</v>
      </c>
    </row>
    <row r="43" spans="1:4" x14ac:dyDescent="0.25">
      <c r="A43" t="s">
        <v>585</v>
      </c>
      <c r="B43" t="s">
        <v>586</v>
      </c>
      <c r="C43" t="s">
        <v>527</v>
      </c>
      <c r="D43" s="140">
        <v>36038</v>
      </c>
    </row>
    <row r="44" spans="1:4" x14ac:dyDescent="0.25">
      <c r="A44" t="s">
        <v>318</v>
      </c>
      <c r="B44" t="s">
        <v>587</v>
      </c>
      <c r="C44" t="s">
        <v>527</v>
      </c>
      <c r="D44" s="140">
        <v>36038</v>
      </c>
    </row>
    <row r="45" spans="1:4" x14ac:dyDescent="0.25">
      <c r="A45" t="s">
        <v>588</v>
      </c>
      <c r="B45" t="s">
        <v>589</v>
      </c>
      <c r="C45" t="s">
        <v>527</v>
      </c>
      <c r="D45" s="140">
        <v>36038</v>
      </c>
    </row>
    <row r="46" spans="1:4" x14ac:dyDescent="0.25">
      <c r="A46" t="s">
        <v>590</v>
      </c>
      <c r="B46" t="s">
        <v>591</v>
      </c>
      <c r="C46" t="s">
        <v>527</v>
      </c>
      <c r="D46" s="140">
        <v>36038</v>
      </c>
    </row>
    <row r="47" spans="1:4" x14ac:dyDescent="0.25">
      <c r="A47" t="s">
        <v>592</v>
      </c>
      <c r="B47" t="s">
        <v>593</v>
      </c>
      <c r="C47" t="s">
        <v>527</v>
      </c>
      <c r="D47" s="140">
        <v>36038</v>
      </c>
    </row>
    <row r="48" spans="1:4" x14ac:dyDescent="0.25">
      <c r="A48" t="s">
        <v>594</v>
      </c>
      <c r="B48" t="s">
        <v>595</v>
      </c>
      <c r="C48" t="s">
        <v>527</v>
      </c>
      <c r="D48" s="140">
        <v>36038</v>
      </c>
    </row>
    <row r="49" spans="1:4" x14ac:dyDescent="0.25">
      <c r="A49" t="s">
        <v>596</v>
      </c>
      <c r="B49" t="s">
        <v>597</v>
      </c>
      <c r="C49" t="s">
        <v>527</v>
      </c>
      <c r="D49" s="140">
        <v>38231</v>
      </c>
    </row>
    <row r="50" spans="1:4" x14ac:dyDescent="0.25">
      <c r="A50" t="s">
        <v>598</v>
      </c>
      <c r="B50" t="s">
        <v>599</v>
      </c>
      <c r="C50" t="s">
        <v>527</v>
      </c>
      <c r="D50" s="140">
        <v>38261</v>
      </c>
    </row>
    <row r="51" spans="1:4" x14ac:dyDescent="0.25">
      <c r="A51" t="s">
        <v>600</v>
      </c>
      <c r="B51" t="s">
        <v>601</v>
      </c>
      <c r="C51" t="s">
        <v>527</v>
      </c>
      <c r="D51" s="140">
        <v>36000</v>
      </c>
    </row>
    <row r="52" spans="1:4" x14ac:dyDescent="0.25">
      <c r="A52" t="s">
        <v>602</v>
      </c>
      <c r="B52" t="s">
        <v>603</v>
      </c>
      <c r="C52" t="s">
        <v>527</v>
      </c>
      <c r="D52" s="140">
        <v>38446</v>
      </c>
    </row>
    <row r="53" spans="1:4" x14ac:dyDescent="0.25">
      <c r="A53" t="s">
        <v>349</v>
      </c>
      <c r="B53" t="s">
        <v>604</v>
      </c>
      <c r="C53" t="s">
        <v>530</v>
      </c>
      <c r="D53" s="140">
        <v>41306</v>
      </c>
    </row>
    <row r="54" spans="1:4" x14ac:dyDescent="0.25">
      <c r="A54" t="s">
        <v>346</v>
      </c>
      <c r="B54" t="s">
        <v>380</v>
      </c>
      <c r="C54" t="s">
        <v>626</v>
      </c>
      <c r="D54" s="140">
        <v>43201</v>
      </c>
    </row>
    <row r="55" spans="1:4" x14ac:dyDescent="0.25">
      <c r="A55" t="s">
        <v>605</v>
      </c>
      <c r="B55" t="s">
        <v>606</v>
      </c>
      <c r="C55" t="s">
        <v>524</v>
      </c>
      <c r="D55" s="140">
        <v>39881</v>
      </c>
    </row>
    <row r="56" spans="1:4" x14ac:dyDescent="0.25">
      <c r="A56" t="s">
        <v>607</v>
      </c>
      <c r="B56" t="s">
        <v>608</v>
      </c>
      <c r="C56" t="s">
        <v>524</v>
      </c>
      <c r="D56" s="140">
        <v>39881</v>
      </c>
    </row>
    <row r="57" spans="1:4" x14ac:dyDescent="0.25">
      <c r="A57" t="s">
        <v>609</v>
      </c>
      <c r="B57" t="s">
        <v>610</v>
      </c>
      <c r="C57" t="s">
        <v>524</v>
      </c>
      <c r="D57" s="140">
        <v>39881</v>
      </c>
    </row>
    <row r="58" spans="1:4" x14ac:dyDescent="0.25">
      <c r="A58" t="s">
        <v>611</v>
      </c>
      <c r="B58" t="s">
        <v>612</v>
      </c>
      <c r="C58" t="s">
        <v>524</v>
      </c>
      <c r="D58" s="140">
        <v>39881</v>
      </c>
    </row>
    <row r="59" spans="1:4" x14ac:dyDescent="0.25">
      <c r="A59" t="s">
        <v>613</v>
      </c>
      <c r="B59" t="s">
        <v>614</v>
      </c>
      <c r="C59" t="s">
        <v>524</v>
      </c>
      <c r="D59" s="140">
        <v>39881</v>
      </c>
    </row>
    <row r="60" spans="1:4" x14ac:dyDescent="0.25">
      <c r="A60" t="s">
        <v>615</v>
      </c>
      <c r="B60" t="s">
        <v>616</v>
      </c>
      <c r="C60" t="s">
        <v>530</v>
      </c>
      <c r="D60" s="140">
        <v>40598</v>
      </c>
    </row>
    <row r="61" spans="1:4" x14ac:dyDescent="0.25">
      <c r="A61" t="s">
        <v>617</v>
      </c>
      <c r="B61" t="s">
        <v>618</v>
      </c>
      <c r="C61" t="s">
        <v>530</v>
      </c>
      <c r="D61" s="140">
        <v>40602</v>
      </c>
    </row>
    <row r="62" spans="1:4" x14ac:dyDescent="0.25">
      <c r="A62" t="s">
        <v>619</v>
      </c>
      <c r="B62" t="s">
        <v>620</v>
      </c>
      <c r="C62" t="s">
        <v>530</v>
      </c>
      <c r="D62" s="140">
        <v>40609</v>
      </c>
    </row>
    <row r="63" spans="1:4" x14ac:dyDescent="0.25">
      <c r="A63" t="s">
        <v>467</v>
      </c>
      <c r="B63" t="s">
        <v>621</v>
      </c>
      <c r="C63" t="s">
        <v>530</v>
      </c>
      <c r="D63" s="140">
        <v>40794</v>
      </c>
    </row>
    <row r="64" spans="1:4" x14ac:dyDescent="0.25">
      <c r="A64" t="s">
        <v>622</v>
      </c>
      <c r="B64" t="s">
        <v>623</v>
      </c>
      <c r="C64" t="s">
        <v>530</v>
      </c>
      <c r="D64" s="140">
        <v>41372</v>
      </c>
    </row>
    <row r="65" spans="1:4" x14ac:dyDescent="0.25">
      <c r="A65" t="s">
        <v>624</v>
      </c>
      <c r="B65" t="s">
        <v>625</v>
      </c>
      <c r="C65" t="s">
        <v>626</v>
      </c>
      <c r="D65" s="140">
        <v>42068</v>
      </c>
    </row>
    <row r="66" spans="1:4" x14ac:dyDescent="0.25">
      <c r="A66" t="s">
        <v>627</v>
      </c>
      <c r="B66" t="s">
        <v>380</v>
      </c>
      <c r="C66" t="s">
        <v>626</v>
      </c>
      <c r="D66" s="140">
        <v>42072</v>
      </c>
    </row>
    <row r="67" spans="1:4" x14ac:dyDescent="0.25">
      <c r="A67" t="s">
        <v>1742</v>
      </c>
      <c r="B67" t="s">
        <v>389</v>
      </c>
      <c r="C67" t="s">
        <v>626</v>
      </c>
      <c r="D67" s="140">
        <v>43181</v>
      </c>
    </row>
    <row r="68" spans="1:4" x14ac:dyDescent="0.25">
      <c r="A68" t="s">
        <v>3265</v>
      </c>
      <c r="B68" t="s">
        <v>392</v>
      </c>
      <c r="C68" t="s">
        <v>626</v>
      </c>
      <c r="D68" s="140">
        <v>43692</v>
      </c>
    </row>
    <row r="69" spans="1:4" x14ac:dyDescent="0.25">
      <c r="A69" t="s">
        <v>4130</v>
      </c>
      <c r="B69" t="s">
        <v>4131</v>
      </c>
      <c r="C69" t="s">
        <v>626</v>
      </c>
      <c r="D69" s="140">
        <v>44414</v>
      </c>
    </row>
    <row r="70" spans="1:4" x14ac:dyDescent="0.25">
      <c r="A70" t="s">
        <v>992</v>
      </c>
      <c r="B70" t="s">
        <v>993</v>
      </c>
      <c r="C70" t="s">
        <v>626</v>
      </c>
      <c r="D70" s="140">
        <v>42948</v>
      </c>
    </row>
    <row r="71" spans="1:4" x14ac:dyDescent="0.25">
      <c r="A71" t="s">
        <v>994</v>
      </c>
      <c r="B71" t="s">
        <v>995</v>
      </c>
      <c r="C71" t="s">
        <v>626</v>
      </c>
      <c r="D71" s="140">
        <v>42948</v>
      </c>
    </row>
    <row r="72" spans="1:4" x14ac:dyDescent="0.25">
      <c r="A72" t="s">
        <v>996</v>
      </c>
      <c r="B72" t="s">
        <v>997</v>
      </c>
      <c r="C72" t="s">
        <v>626</v>
      </c>
      <c r="D72" s="140">
        <v>42948</v>
      </c>
    </row>
    <row r="73" spans="1:4" x14ac:dyDescent="0.25">
      <c r="A73" t="s">
        <v>998</v>
      </c>
      <c r="B73" t="s">
        <v>999</v>
      </c>
      <c r="C73" t="s">
        <v>626</v>
      </c>
      <c r="D73" s="140">
        <v>42948</v>
      </c>
    </row>
    <row r="74" spans="1:4" x14ac:dyDescent="0.25">
      <c r="A74" t="s">
        <v>1000</v>
      </c>
      <c r="B74" t="s">
        <v>1001</v>
      </c>
      <c r="C74" t="s">
        <v>626</v>
      </c>
      <c r="D74" s="140">
        <v>42948</v>
      </c>
    </row>
    <row r="75" spans="1:4" x14ac:dyDescent="0.25">
      <c r="A75" t="s">
        <v>4132</v>
      </c>
      <c r="B75" t="s">
        <v>4133</v>
      </c>
      <c r="C75" t="s">
        <v>626</v>
      </c>
      <c r="D75" s="140">
        <v>44448</v>
      </c>
    </row>
    <row r="76" spans="1:4" x14ac:dyDescent="0.25">
      <c r="A76" t="s">
        <v>1002</v>
      </c>
      <c r="B76" t="s">
        <v>1003</v>
      </c>
      <c r="C76" t="s">
        <v>626</v>
      </c>
      <c r="D76" s="140">
        <v>42948</v>
      </c>
    </row>
    <row r="77" spans="1:4" x14ac:dyDescent="0.25">
      <c r="A77" t="s">
        <v>1743</v>
      </c>
      <c r="B77" t="s">
        <v>1744</v>
      </c>
      <c r="C77" t="s">
        <v>626</v>
      </c>
      <c r="D77" s="140">
        <v>43180</v>
      </c>
    </row>
    <row r="78" spans="1:4" x14ac:dyDescent="0.25">
      <c r="A78" t="s">
        <v>1004</v>
      </c>
      <c r="B78" t="s">
        <v>1005</v>
      </c>
      <c r="C78" t="s">
        <v>626</v>
      </c>
      <c r="D78" s="140">
        <v>42787</v>
      </c>
    </row>
    <row r="79" spans="1:4" x14ac:dyDescent="0.25">
      <c r="A79" t="s">
        <v>1006</v>
      </c>
      <c r="B79" t="s">
        <v>1007</v>
      </c>
      <c r="C79" t="s">
        <v>626</v>
      </c>
      <c r="D79" s="140">
        <v>42787</v>
      </c>
    </row>
    <row r="80" spans="1:4" x14ac:dyDescent="0.25">
      <c r="A80" t="s">
        <v>628</v>
      </c>
      <c r="B80" t="s">
        <v>629</v>
      </c>
      <c r="C80" t="s">
        <v>524</v>
      </c>
      <c r="D80" s="140">
        <v>40816</v>
      </c>
    </row>
    <row r="81" spans="1:4" x14ac:dyDescent="0.25">
      <c r="A81" t="s">
        <v>3237</v>
      </c>
      <c r="B81" t="s">
        <v>3238</v>
      </c>
      <c r="C81" t="s">
        <v>626</v>
      </c>
      <c r="D81" s="140">
        <v>43664</v>
      </c>
    </row>
    <row r="82" spans="1:4" x14ac:dyDescent="0.25">
      <c r="A82" t="s">
        <v>1008</v>
      </c>
      <c r="B82" t="s">
        <v>1009</v>
      </c>
      <c r="C82" t="s">
        <v>626</v>
      </c>
      <c r="D82" s="140">
        <v>42948</v>
      </c>
    </row>
    <row r="83" spans="1:4" x14ac:dyDescent="0.25">
      <c r="A83" t="s">
        <v>2976</v>
      </c>
      <c r="B83" t="s">
        <v>630</v>
      </c>
      <c r="C83" t="s">
        <v>626</v>
      </c>
      <c r="D83" s="140">
        <v>43384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A1:I1725"/>
  <sheetViews>
    <sheetView topLeftCell="B1" workbookViewId="0">
      <pane ySplit="2" topLeftCell="A3" activePane="bottomLeft" state="frozen"/>
      <selection activeCell="A157" sqref="A157"/>
      <selection pane="bottomLeft" activeCell="A157" sqref="A157"/>
    </sheetView>
  </sheetViews>
  <sheetFormatPr defaultRowHeight="15" x14ac:dyDescent="0.25"/>
  <cols>
    <col min="1" max="1" width="9.85546875" hidden="1" customWidth="1"/>
    <col min="2" max="2" width="7.140625" customWidth="1"/>
    <col min="3" max="3" width="30.140625" customWidth="1"/>
    <col min="4" max="4" width="10.140625" bestFit="1" customWidth="1"/>
    <col min="5" max="5" width="9.28515625" bestFit="1" customWidth="1"/>
    <col min="6" max="6" width="11.85546875" bestFit="1" customWidth="1"/>
    <col min="7" max="7" width="11.28515625" bestFit="1" customWidth="1"/>
    <col min="8" max="9" width="24.42578125" customWidth="1"/>
  </cols>
  <sheetData>
    <row r="1" spans="1:9" ht="24" thickBot="1" x14ac:dyDescent="0.4">
      <c r="A1" s="29"/>
      <c r="B1" s="35" t="s">
        <v>122</v>
      </c>
      <c r="C1" s="36"/>
      <c r="D1" s="36"/>
      <c r="E1" s="36"/>
      <c r="F1" s="37"/>
      <c r="G1" s="37"/>
      <c r="H1" s="37"/>
      <c r="I1" s="37"/>
    </row>
    <row r="2" spans="1:9" ht="15.75" thickTop="1" x14ac:dyDescent="0.25">
      <c r="A2" s="3" t="s">
        <v>319</v>
      </c>
      <c r="B2" s="3" t="s">
        <v>333</v>
      </c>
      <c r="C2" s="3" t="s">
        <v>320</v>
      </c>
      <c r="D2" s="3" t="s">
        <v>321</v>
      </c>
      <c r="E2" s="3" t="s">
        <v>121</v>
      </c>
      <c r="F2" s="3" t="s">
        <v>117</v>
      </c>
      <c r="G2" s="3" t="s">
        <v>322</v>
      </c>
      <c r="H2" s="3" t="s">
        <v>332</v>
      </c>
      <c r="I2" s="3" t="s">
        <v>375</v>
      </c>
    </row>
    <row r="3" spans="1:9" x14ac:dyDescent="0.25">
      <c r="A3" t="s">
        <v>862</v>
      </c>
      <c r="B3">
        <f>_xlfn.NUMBERVALUE(A3,"#####")</f>
        <v>1025</v>
      </c>
      <c r="C3" t="s">
        <v>863</v>
      </c>
      <c r="D3" t="s">
        <v>72</v>
      </c>
      <c r="E3" t="s">
        <v>119</v>
      </c>
      <c r="F3" t="s">
        <v>327</v>
      </c>
      <c r="G3" t="s">
        <v>72</v>
      </c>
      <c r="H3">
        <v>0</v>
      </c>
      <c r="I3" t="s">
        <v>390</v>
      </c>
    </row>
    <row r="4" spans="1:9" x14ac:dyDescent="0.25">
      <c r="A4" t="s">
        <v>4431</v>
      </c>
      <c r="B4">
        <f t="shared" ref="B4:B67" si="0">_xlfn.NUMBERVALUE(A4,"#####")</f>
        <v>1027</v>
      </c>
      <c r="C4" t="s">
        <v>4432</v>
      </c>
      <c r="D4" t="s">
        <v>72</v>
      </c>
      <c r="E4" t="s">
        <v>81</v>
      </c>
      <c r="F4" t="s">
        <v>81</v>
      </c>
      <c r="G4" t="s">
        <v>81</v>
      </c>
      <c r="H4">
        <v>0</v>
      </c>
      <c r="I4" t="s">
        <v>79</v>
      </c>
    </row>
    <row r="5" spans="1:9" x14ac:dyDescent="0.25">
      <c r="A5" t="s">
        <v>123</v>
      </c>
      <c r="B5">
        <f t="shared" si="0"/>
        <v>1038</v>
      </c>
      <c r="C5" t="s">
        <v>124</v>
      </c>
      <c r="D5" t="s">
        <v>72</v>
      </c>
      <c r="E5" t="s">
        <v>81</v>
      </c>
      <c r="F5" t="s">
        <v>81</v>
      </c>
      <c r="G5" t="s">
        <v>81</v>
      </c>
      <c r="H5">
        <v>0</v>
      </c>
      <c r="I5" t="s">
        <v>661</v>
      </c>
    </row>
    <row r="6" spans="1:9" x14ac:dyDescent="0.25">
      <c r="A6" t="s">
        <v>1310</v>
      </c>
      <c r="B6">
        <f t="shared" si="0"/>
        <v>1043</v>
      </c>
      <c r="C6" t="s">
        <v>1311</v>
      </c>
      <c r="D6" t="s">
        <v>364</v>
      </c>
      <c r="E6" t="s">
        <v>119</v>
      </c>
      <c r="F6" t="s">
        <v>327</v>
      </c>
      <c r="G6" t="s">
        <v>324</v>
      </c>
      <c r="H6">
        <v>0</v>
      </c>
      <c r="I6" t="s">
        <v>379</v>
      </c>
    </row>
    <row r="7" spans="1:9" x14ac:dyDescent="0.25">
      <c r="A7" t="s">
        <v>1745</v>
      </c>
      <c r="B7">
        <f t="shared" si="0"/>
        <v>1046</v>
      </c>
      <c r="C7" t="s">
        <v>1746</v>
      </c>
      <c r="D7" t="s">
        <v>364</v>
      </c>
      <c r="E7" t="s">
        <v>119</v>
      </c>
      <c r="F7" t="s">
        <v>318</v>
      </c>
      <c r="G7" t="s">
        <v>329</v>
      </c>
      <c r="H7">
        <v>0</v>
      </c>
      <c r="I7" t="s">
        <v>377</v>
      </c>
    </row>
    <row r="8" spans="1:9" x14ac:dyDescent="0.25">
      <c r="A8" t="s">
        <v>2869</v>
      </c>
      <c r="B8">
        <f t="shared" si="0"/>
        <v>1055</v>
      </c>
      <c r="C8" t="s">
        <v>2870</v>
      </c>
      <c r="D8" t="s">
        <v>72</v>
      </c>
      <c r="E8" t="s">
        <v>119</v>
      </c>
      <c r="F8" t="s">
        <v>328</v>
      </c>
      <c r="G8" t="s">
        <v>317</v>
      </c>
      <c r="H8">
        <v>0</v>
      </c>
      <c r="I8" t="s">
        <v>384</v>
      </c>
    </row>
    <row r="9" spans="1:9" x14ac:dyDescent="0.25">
      <c r="A9" t="s">
        <v>1747</v>
      </c>
      <c r="B9">
        <f t="shared" si="0"/>
        <v>1056</v>
      </c>
      <c r="C9" t="s">
        <v>1748</v>
      </c>
      <c r="D9" t="s">
        <v>364</v>
      </c>
      <c r="E9" t="s">
        <v>119</v>
      </c>
      <c r="F9" t="s">
        <v>330</v>
      </c>
      <c r="G9" t="s">
        <v>324</v>
      </c>
      <c r="H9">
        <v>0</v>
      </c>
      <c r="I9" t="s">
        <v>379</v>
      </c>
    </row>
    <row r="10" spans="1:9" x14ac:dyDescent="0.25">
      <c r="A10" t="s">
        <v>1312</v>
      </c>
      <c r="B10">
        <f t="shared" si="0"/>
        <v>1059</v>
      </c>
      <c r="C10" t="s">
        <v>1313</v>
      </c>
      <c r="D10" t="s">
        <v>364</v>
      </c>
      <c r="E10" t="s">
        <v>119</v>
      </c>
      <c r="F10" t="s">
        <v>327</v>
      </c>
      <c r="G10" t="s">
        <v>24</v>
      </c>
      <c r="H10">
        <v>0</v>
      </c>
      <c r="I10" t="s">
        <v>383</v>
      </c>
    </row>
    <row r="11" spans="1:9" x14ac:dyDescent="0.25">
      <c r="A11" t="s">
        <v>1749</v>
      </c>
      <c r="B11">
        <f t="shared" si="0"/>
        <v>1061</v>
      </c>
      <c r="C11" t="s">
        <v>1750</v>
      </c>
      <c r="D11" t="s">
        <v>364</v>
      </c>
      <c r="E11" t="s">
        <v>119</v>
      </c>
      <c r="F11" t="s">
        <v>327</v>
      </c>
      <c r="G11" t="s">
        <v>324</v>
      </c>
      <c r="H11">
        <v>0</v>
      </c>
      <c r="I11" t="s">
        <v>379</v>
      </c>
    </row>
    <row r="12" spans="1:9" x14ac:dyDescent="0.25">
      <c r="A12" t="s">
        <v>2940</v>
      </c>
      <c r="B12">
        <f t="shared" si="0"/>
        <v>1064</v>
      </c>
      <c r="C12" t="s">
        <v>2941</v>
      </c>
      <c r="D12" t="s">
        <v>364</v>
      </c>
      <c r="E12" t="s">
        <v>119</v>
      </c>
      <c r="F12" t="s">
        <v>327</v>
      </c>
      <c r="G12" t="s">
        <v>312</v>
      </c>
      <c r="H12">
        <v>0</v>
      </c>
      <c r="I12" t="s">
        <v>382</v>
      </c>
    </row>
    <row r="13" spans="1:9" x14ac:dyDescent="0.25">
      <c r="A13" t="s">
        <v>1751</v>
      </c>
      <c r="B13">
        <f t="shared" si="0"/>
        <v>1085</v>
      </c>
      <c r="C13" t="s">
        <v>1752</v>
      </c>
      <c r="D13" t="s">
        <v>364</v>
      </c>
      <c r="E13" t="s">
        <v>119</v>
      </c>
      <c r="F13" t="s">
        <v>327</v>
      </c>
      <c r="G13" t="s">
        <v>324</v>
      </c>
      <c r="H13">
        <v>0</v>
      </c>
      <c r="I13" t="s">
        <v>379</v>
      </c>
    </row>
    <row r="14" spans="1:9" x14ac:dyDescent="0.25">
      <c r="A14" t="s">
        <v>4134</v>
      </c>
      <c r="B14">
        <f t="shared" si="0"/>
        <v>1091</v>
      </c>
      <c r="C14" t="s">
        <v>4135</v>
      </c>
      <c r="D14" t="s">
        <v>364</v>
      </c>
      <c r="E14" t="s">
        <v>119</v>
      </c>
      <c r="F14" t="s">
        <v>328</v>
      </c>
      <c r="G14" t="s">
        <v>324</v>
      </c>
      <c r="H14">
        <v>0</v>
      </c>
      <c r="I14" t="s">
        <v>379</v>
      </c>
    </row>
    <row r="15" spans="1:9" x14ac:dyDescent="0.25">
      <c r="A15" t="s">
        <v>1314</v>
      </c>
      <c r="B15">
        <f t="shared" si="0"/>
        <v>1095</v>
      </c>
      <c r="C15" t="s">
        <v>1315</v>
      </c>
      <c r="D15" t="s">
        <v>364</v>
      </c>
      <c r="E15" t="s">
        <v>119</v>
      </c>
      <c r="F15" t="s">
        <v>318</v>
      </c>
      <c r="G15" t="s">
        <v>324</v>
      </c>
      <c r="H15">
        <v>0</v>
      </c>
      <c r="I15" t="s">
        <v>1339</v>
      </c>
    </row>
    <row r="16" spans="1:9" x14ac:dyDescent="0.25">
      <c r="A16" t="s">
        <v>1753</v>
      </c>
      <c r="B16">
        <f t="shared" si="0"/>
        <v>1103</v>
      </c>
      <c r="C16" t="s">
        <v>1754</v>
      </c>
      <c r="D16" t="s">
        <v>364</v>
      </c>
      <c r="E16" t="s">
        <v>119</v>
      </c>
      <c r="F16" t="s">
        <v>327</v>
      </c>
      <c r="G16" t="s">
        <v>329</v>
      </c>
      <c r="H16">
        <v>0</v>
      </c>
      <c r="I16" t="s">
        <v>377</v>
      </c>
    </row>
    <row r="17" spans="1:9" x14ac:dyDescent="0.25">
      <c r="A17" t="s">
        <v>1316</v>
      </c>
      <c r="B17">
        <f t="shared" si="0"/>
        <v>1104</v>
      </c>
      <c r="C17" t="s">
        <v>1317</v>
      </c>
      <c r="D17" t="s">
        <v>364</v>
      </c>
      <c r="E17" t="s">
        <v>119</v>
      </c>
      <c r="F17" t="s">
        <v>323</v>
      </c>
      <c r="G17" t="s">
        <v>324</v>
      </c>
      <c r="H17">
        <v>0</v>
      </c>
      <c r="I17" t="s">
        <v>379</v>
      </c>
    </row>
    <row r="18" spans="1:9" x14ac:dyDescent="0.25">
      <c r="A18" t="s">
        <v>4136</v>
      </c>
      <c r="B18">
        <f t="shared" si="0"/>
        <v>1105</v>
      </c>
      <c r="C18" t="s">
        <v>4137</v>
      </c>
      <c r="D18" t="s">
        <v>72</v>
      </c>
      <c r="E18" t="s">
        <v>81</v>
      </c>
      <c r="F18" t="s">
        <v>81</v>
      </c>
      <c r="G18" t="s">
        <v>81</v>
      </c>
      <c r="H18">
        <v>0</v>
      </c>
      <c r="I18" t="s">
        <v>4138</v>
      </c>
    </row>
    <row r="19" spans="1:9" x14ac:dyDescent="0.25">
      <c r="A19" t="s">
        <v>3477</v>
      </c>
      <c r="B19">
        <f t="shared" si="0"/>
        <v>1106</v>
      </c>
      <c r="C19" t="s">
        <v>3478</v>
      </c>
      <c r="D19" t="s">
        <v>364</v>
      </c>
      <c r="E19" t="s">
        <v>119</v>
      </c>
      <c r="F19" t="s">
        <v>325</v>
      </c>
      <c r="G19" t="s">
        <v>29</v>
      </c>
      <c r="H19">
        <v>0</v>
      </c>
      <c r="I19" t="s">
        <v>391</v>
      </c>
    </row>
    <row r="20" spans="1:9" x14ac:dyDescent="0.25">
      <c r="A20" t="s">
        <v>1755</v>
      </c>
      <c r="B20">
        <f t="shared" si="0"/>
        <v>1108</v>
      </c>
      <c r="C20" t="s">
        <v>1756</v>
      </c>
      <c r="D20" t="s">
        <v>364</v>
      </c>
      <c r="E20" t="s">
        <v>119</v>
      </c>
      <c r="F20" t="s">
        <v>328</v>
      </c>
      <c r="G20" t="s">
        <v>329</v>
      </c>
      <c r="H20">
        <v>0</v>
      </c>
      <c r="I20" t="s">
        <v>377</v>
      </c>
    </row>
    <row r="21" spans="1:9" x14ac:dyDescent="0.25">
      <c r="A21" t="s">
        <v>1757</v>
      </c>
      <c r="B21">
        <f t="shared" si="0"/>
        <v>1109</v>
      </c>
      <c r="C21" t="s">
        <v>1758</v>
      </c>
      <c r="D21" t="s">
        <v>364</v>
      </c>
      <c r="E21" t="s">
        <v>119</v>
      </c>
      <c r="F21" t="s">
        <v>323</v>
      </c>
      <c r="G21" t="s">
        <v>316</v>
      </c>
      <c r="H21">
        <v>0</v>
      </c>
      <c r="I21" t="s">
        <v>1759</v>
      </c>
    </row>
    <row r="22" spans="1:9" x14ac:dyDescent="0.25">
      <c r="A22" t="s">
        <v>1760</v>
      </c>
      <c r="B22">
        <f t="shared" si="0"/>
        <v>1110</v>
      </c>
      <c r="C22" t="s">
        <v>1761</v>
      </c>
      <c r="D22" t="s">
        <v>364</v>
      </c>
      <c r="E22" t="s">
        <v>119</v>
      </c>
      <c r="F22" t="s">
        <v>318</v>
      </c>
      <c r="G22" t="s">
        <v>346</v>
      </c>
      <c r="H22">
        <v>0</v>
      </c>
      <c r="I22" t="s">
        <v>380</v>
      </c>
    </row>
    <row r="23" spans="1:9" x14ac:dyDescent="0.25">
      <c r="A23" t="s">
        <v>1762</v>
      </c>
      <c r="B23">
        <f t="shared" si="0"/>
        <v>1111</v>
      </c>
      <c r="C23" t="s">
        <v>1763</v>
      </c>
      <c r="D23" t="s">
        <v>364</v>
      </c>
      <c r="E23" t="s">
        <v>119</v>
      </c>
      <c r="F23" t="s">
        <v>323</v>
      </c>
      <c r="G23" t="s">
        <v>324</v>
      </c>
      <c r="H23">
        <v>0</v>
      </c>
      <c r="I23" t="s">
        <v>379</v>
      </c>
    </row>
    <row r="24" spans="1:9" x14ac:dyDescent="0.25">
      <c r="A24" t="s">
        <v>3051</v>
      </c>
      <c r="B24">
        <f t="shared" si="0"/>
        <v>1112</v>
      </c>
      <c r="C24" t="s">
        <v>3052</v>
      </c>
      <c r="D24" t="s">
        <v>364</v>
      </c>
      <c r="E24" t="s">
        <v>119</v>
      </c>
      <c r="F24" t="s">
        <v>1022</v>
      </c>
      <c r="G24" t="s">
        <v>28</v>
      </c>
      <c r="H24">
        <v>0</v>
      </c>
      <c r="I24" t="s">
        <v>376</v>
      </c>
    </row>
    <row r="25" spans="1:9" x14ac:dyDescent="0.25">
      <c r="A25" t="s">
        <v>1764</v>
      </c>
      <c r="B25">
        <f t="shared" si="0"/>
        <v>1114</v>
      </c>
      <c r="C25" t="s">
        <v>1765</v>
      </c>
      <c r="D25" t="s">
        <v>364</v>
      </c>
      <c r="E25" t="s">
        <v>119</v>
      </c>
      <c r="F25" t="s">
        <v>325</v>
      </c>
      <c r="G25" t="s">
        <v>23</v>
      </c>
      <c r="H25">
        <v>0</v>
      </c>
      <c r="I25" t="s">
        <v>397</v>
      </c>
    </row>
    <row r="26" spans="1:9" x14ac:dyDescent="0.25">
      <c r="A26" t="s">
        <v>1766</v>
      </c>
      <c r="B26">
        <f t="shared" si="0"/>
        <v>1115</v>
      </c>
      <c r="C26" t="s">
        <v>1767</v>
      </c>
      <c r="D26" t="s">
        <v>364</v>
      </c>
      <c r="E26" t="s">
        <v>119</v>
      </c>
      <c r="F26" t="s">
        <v>327</v>
      </c>
      <c r="G26" t="s">
        <v>312</v>
      </c>
      <c r="H26">
        <v>0</v>
      </c>
      <c r="I26" t="s">
        <v>382</v>
      </c>
    </row>
    <row r="27" spans="1:9" x14ac:dyDescent="0.25">
      <c r="A27" t="s">
        <v>4139</v>
      </c>
      <c r="B27">
        <f t="shared" si="0"/>
        <v>1119</v>
      </c>
      <c r="C27" t="s">
        <v>4140</v>
      </c>
      <c r="D27" t="s">
        <v>364</v>
      </c>
      <c r="E27" t="s">
        <v>119</v>
      </c>
      <c r="F27" t="s">
        <v>325</v>
      </c>
      <c r="G27" t="s">
        <v>27</v>
      </c>
      <c r="H27">
        <v>0</v>
      </c>
      <c r="I27" t="s">
        <v>387</v>
      </c>
    </row>
    <row r="28" spans="1:9" x14ac:dyDescent="0.25">
      <c r="A28" t="s">
        <v>1768</v>
      </c>
      <c r="B28">
        <f t="shared" si="0"/>
        <v>1130</v>
      </c>
      <c r="C28" t="s">
        <v>1769</v>
      </c>
      <c r="D28" t="s">
        <v>364</v>
      </c>
      <c r="E28" t="s">
        <v>119</v>
      </c>
      <c r="F28" t="s">
        <v>327</v>
      </c>
      <c r="G28" t="s">
        <v>324</v>
      </c>
      <c r="H28">
        <v>0</v>
      </c>
      <c r="I28" t="s">
        <v>379</v>
      </c>
    </row>
    <row r="29" spans="1:9" x14ac:dyDescent="0.25">
      <c r="A29" t="s">
        <v>1770</v>
      </c>
      <c r="B29">
        <f t="shared" si="0"/>
        <v>1180</v>
      </c>
      <c r="C29" t="s">
        <v>1771</v>
      </c>
      <c r="D29" t="s">
        <v>364</v>
      </c>
      <c r="E29" t="s">
        <v>119</v>
      </c>
      <c r="F29" t="s">
        <v>323</v>
      </c>
      <c r="G29" t="s">
        <v>316</v>
      </c>
      <c r="H29">
        <v>0</v>
      </c>
      <c r="I29" t="s">
        <v>1759</v>
      </c>
    </row>
    <row r="30" spans="1:9" x14ac:dyDescent="0.25">
      <c r="A30" t="s">
        <v>1010</v>
      </c>
      <c r="B30">
        <f t="shared" si="0"/>
        <v>1192</v>
      </c>
      <c r="C30" t="s">
        <v>1011</v>
      </c>
      <c r="D30" t="s">
        <v>364</v>
      </c>
      <c r="E30" t="s">
        <v>81</v>
      </c>
      <c r="F30" t="s">
        <v>81</v>
      </c>
      <c r="G30" t="s">
        <v>81</v>
      </c>
      <c r="H30">
        <v>0</v>
      </c>
      <c r="I30" t="s">
        <v>791</v>
      </c>
    </row>
    <row r="31" spans="1:9" x14ac:dyDescent="0.25">
      <c r="A31" t="s">
        <v>1772</v>
      </c>
      <c r="B31">
        <f t="shared" si="0"/>
        <v>1193</v>
      </c>
      <c r="C31" t="s">
        <v>1773</v>
      </c>
      <c r="D31" t="s">
        <v>364</v>
      </c>
      <c r="E31" t="s">
        <v>119</v>
      </c>
      <c r="F31" t="s">
        <v>323</v>
      </c>
      <c r="G31" t="s">
        <v>324</v>
      </c>
      <c r="H31">
        <v>0</v>
      </c>
      <c r="I31" t="s">
        <v>379</v>
      </c>
    </row>
    <row r="32" spans="1:9" x14ac:dyDescent="0.25">
      <c r="A32" t="s">
        <v>864</v>
      </c>
      <c r="B32">
        <f t="shared" si="0"/>
        <v>1194</v>
      </c>
      <c r="C32" t="s">
        <v>865</v>
      </c>
      <c r="D32" t="s">
        <v>364</v>
      </c>
      <c r="E32" t="s">
        <v>119</v>
      </c>
      <c r="F32" t="s">
        <v>318</v>
      </c>
      <c r="G32" t="s">
        <v>312</v>
      </c>
      <c r="H32">
        <v>0</v>
      </c>
      <c r="I32" t="s">
        <v>382</v>
      </c>
    </row>
    <row r="33" spans="1:9" x14ac:dyDescent="0.25">
      <c r="A33" t="s">
        <v>1318</v>
      </c>
      <c r="B33">
        <f t="shared" si="0"/>
        <v>1197</v>
      </c>
      <c r="C33" t="s">
        <v>1319</v>
      </c>
      <c r="D33" t="s">
        <v>364</v>
      </c>
      <c r="E33" t="s">
        <v>119</v>
      </c>
      <c r="F33" t="s">
        <v>326</v>
      </c>
      <c r="G33" t="s">
        <v>28</v>
      </c>
      <c r="H33">
        <v>0</v>
      </c>
      <c r="I33" t="s">
        <v>376</v>
      </c>
    </row>
    <row r="34" spans="1:9" x14ac:dyDescent="0.25">
      <c r="A34" t="s">
        <v>3319</v>
      </c>
      <c r="B34">
        <f t="shared" si="0"/>
        <v>1199</v>
      </c>
      <c r="C34" t="s">
        <v>3320</v>
      </c>
      <c r="D34" t="s">
        <v>364</v>
      </c>
      <c r="E34" t="s">
        <v>119</v>
      </c>
      <c r="F34" t="s">
        <v>326</v>
      </c>
      <c r="G34" t="s">
        <v>324</v>
      </c>
      <c r="H34">
        <v>0</v>
      </c>
      <c r="I34" t="s">
        <v>379</v>
      </c>
    </row>
    <row r="35" spans="1:9" x14ac:dyDescent="0.25">
      <c r="A35" t="s">
        <v>1774</v>
      </c>
      <c r="B35">
        <f t="shared" si="0"/>
        <v>1202</v>
      </c>
      <c r="C35" t="s">
        <v>1775</v>
      </c>
      <c r="D35" t="s">
        <v>364</v>
      </c>
      <c r="E35" t="s">
        <v>81</v>
      </c>
      <c r="F35" t="s">
        <v>81</v>
      </c>
      <c r="G35" t="s">
        <v>81</v>
      </c>
      <c r="H35">
        <v>1</v>
      </c>
      <c r="I35" t="s">
        <v>381</v>
      </c>
    </row>
    <row r="36" spans="1:9" x14ac:dyDescent="0.25">
      <c r="A36" t="s">
        <v>125</v>
      </c>
      <c r="B36">
        <f t="shared" si="0"/>
        <v>1203</v>
      </c>
      <c r="C36" t="s">
        <v>126</v>
      </c>
      <c r="D36" t="s">
        <v>364</v>
      </c>
      <c r="E36" t="s">
        <v>81</v>
      </c>
      <c r="F36" t="s">
        <v>81</v>
      </c>
      <c r="G36" t="s">
        <v>81</v>
      </c>
      <c r="H36">
        <v>1</v>
      </c>
      <c r="I36" t="s">
        <v>381</v>
      </c>
    </row>
    <row r="37" spans="1:9" x14ac:dyDescent="0.25">
      <c r="A37" t="s">
        <v>4004</v>
      </c>
      <c r="B37">
        <f t="shared" si="0"/>
        <v>1206</v>
      </c>
      <c r="C37" t="s">
        <v>4005</v>
      </c>
      <c r="D37" t="s">
        <v>72</v>
      </c>
      <c r="E37" t="s">
        <v>119</v>
      </c>
      <c r="F37" t="s">
        <v>327</v>
      </c>
      <c r="G37" t="s">
        <v>331</v>
      </c>
      <c r="H37">
        <v>0</v>
      </c>
      <c r="I37" t="s">
        <v>410</v>
      </c>
    </row>
    <row r="38" spans="1:9" x14ac:dyDescent="0.25">
      <c r="A38" t="s">
        <v>4044</v>
      </c>
      <c r="B38">
        <f t="shared" si="0"/>
        <v>1207</v>
      </c>
      <c r="C38" t="s">
        <v>4045</v>
      </c>
      <c r="D38" t="s">
        <v>72</v>
      </c>
      <c r="E38" t="s">
        <v>119</v>
      </c>
      <c r="F38" t="s">
        <v>326</v>
      </c>
      <c r="G38" t="s">
        <v>26</v>
      </c>
      <c r="H38">
        <v>0</v>
      </c>
      <c r="I38" t="s">
        <v>394</v>
      </c>
    </row>
    <row r="39" spans="1:9" x14ac:dyDescent="0.25">
      <c r="A39" t="s">
        <v>4141</v>
      </c>
      <c r="B39">
        <f t="shared" si="0"/>
        <v>1209</v>
      </c>
      <c r="C39" t="s">
        <v>4142</v>
      </c>
      <c r="D39" t="s">
        <v>72</v>
      </c>
      <c r="E39" t="s">
        <v>119</v>
      </c>
      <c r="F39" t="s">
        <v>318</v>
      </c>
      <c r="G39" t="s">
        <v>331</v>
      </c>
      <c r="H39">
        <v>0</v>
      </c>
      <c r="I39" t="s">
        <v>410</v>
      </c>
    </row>
    <row r="40" spans="1:9" x14ac:dyDescent="0.25">
      <c r="A40" t="s">
        <v>4433</v>
      </c>
      <c r="B40">
        <f t="shared" si="0"/>
        <v>1210</v>
      </c>
      <c r="C40" t="s">
        <v>4434</v>
      </c>
      <c r="D40" t="s">
        <v>72</v>
      </c>
      <c r="E40" t="s">
        <v>119</v>
      </c>
      <c r="F40" t="s">
        <v>327</v>
      </c>
      <c r="G40" t="s">
        <v>324</v>
      </c>
      <c r="H40">
        <v>0</v>
      </c>
      <c r="I40" t="s">
        <v>379</v>
      </c>
    </row>
    <row r="41" spans="1:9" x14ac:dyDescent="0.25">
      <c r="A41" t="s">
        <v>1320</v>
      </c>
      <c r="B41">
        <f t="shared" si="0"/>
        <v>1217</v>
      </c>
      <c r="C41" t="s">
        <v>1321</v>
      </c>
      <c r="D41" t="s">
        <v>364</v>
      </c>
      <c r="E41" t="s">
        <v>119</v>
      </c>
      <c r="F41" t="s">
        <v>328</v>
      </c>
      <c r="G41" t="s">
        <v>324</v>
      </c>
      <c r="H41">
        <v>0</v>
      </c>
      <c r="I41" t="s">
        <v>379</v>
      </c>
    </row>
    <row r="42" spans="1:9" x14ac:dyDescent="0.25">
      <c r="A42" t="s">
        <v>4143</v>
      </c>
      <c r="B42">
        <f t="shared" si="0"/>
        <v>1219</v>
      </c>
      <c r="C42" t="s">
        <v>4144</v>
      </c>
      <c r="D42" t="s">
        <v>364</v>
      </c>
      <c r="E42" t="s">
        <v>119</v>
      </c>
      <c r="F42" t="s">
        <v>327</v>
      </c>
      <c r="G42" t="s">
        <v>324</v>
      </c>
      <c r="H42">
        <v>0</v>
      </c>
      <c r="I42" t="s">
        <v>379</v>
      </c>
    </row>
    <row r="43" spans="1:9" x14ac:dyDescent="0.25">
      <c r="A43" t="s">
        <v>3867</v>
      </c>
      <c r="B43">
        <f t="shared" si="0"/>
        <v>1221</v>
      </c>
      <c r="C43" t="s">
        <v>3868</v>
      </c>
      <c r="D43" t="s">
        <v>364</v>
      </c>
      <c r="E43" t="s">
        <v>119</v>
      </c>
      <c r="F43" t="s">
        <v>323</v>
      </c>
      <c r="G43" t="s">
        <v>331</v>
      </c>
      <c r="H43">
        <v>0</v>
      </c>
      <c r="I43" t="s">
        <v>410</v>
      </c>
    </row>
    <row r="44" spans="1:9" x14ac:dyDescent="0.25">
      <c r="A44" t="s">
        <v>2977</v>
      </c>
      <c r="B44">
        <f t="shared" si="0"/>
        <v>1223</v>
      </c>
      <c r="C44" t="s">
        <v>2978</v>
      </c>
      <c r="D44" t="s">
        <v>364</v>
      </c>
      <c r="E44" t="s">
        <v>119</v>
      </c>
      <c r="F44" t="s">
        <v>318</v>
      </c>
      <c r="G44" t="s">
        <v>312</v>
      </c>
      <c r="H44">
        <v>0</v>
      </c>
      <c r="I44" t="s">
        <v>382</v>
      </c>
    </row>
    <row r="45" spans="1:9" x14ac:dyDescent="0.25">
      <c r="A45" t="s">
        <v>4046</v>
      </c>
      <c r="B45">
        <f t="shared" si="0"/>
        <v>1224</v>
      </c>
      <c r="C45" t="s">
        <v>4047</v>
      </c>
      <c r="D45" t="s">
        <v>72</v>
      </c>
      <c r="E45" t="s">
        <v>119</v>
      </c>
      <c r="F45" t="s">
        <v>328</v>
      </c>
      <c r="G45" t="s">
        <v>27</v>
      </c>
      <c r="H45">
        <v>0</v>
      </c>
      <c r="I45" t="s">
        <v>387</v>
      </c>
    </row>
    <row r="46" spans="1:9" x14ac:dyDescent="0.25">
      <c r="A46" t="s">
        <v>4145</v>
      </c>
      <c r="B46">
        <f t="shared" si="0"/>
        <v>1225</v>
      </c>
      <c r="C46" t="s">
        <v>4146</v>
      </c>
      <c r="D46" t="s">
        <v>72</v>
      </c>
      <c r="E46" t="s">
        <v>119</v>
      </c>
      <c r="F46" t="s">
        <v>325</v>
      </c>
      <c r="G46" t="s">
        <v>312</v>
      </c>
      <c r="H46">
        <v>0</v>
      </c>
      <c r="I46" t="s">
        <v>382</v>
      </c>
    </row>
    <row r="47" spans="1:9" x14ac:dyDescent="0.25">
      <c r="A47" t="s">
        <v>3697</v>
      </c>
      <c r="B47">
        <f t="shared" si="0"/>
        <v>1228</v>
      </c>
      <c r="C47" t="s">
        <v>3698</v>
      </c>
      <c r="D47" t="s">
        <v>72</v>
      </c>
      <c r="E47" t="s">
        <v>119</v>
      </c>
      <c r="F47" t="s">
        <v>327</v>
      </c>
      <c r="G47" t="s">
        <v>24</v>
      </c>
      <c r="H47">
        <v>0</v>
      </c>
      <c r="I47" t="s">
        <v>383</v>
      </c>
    </row>
    <row r="48" spans="1:9" x14ac:dyDescent="0.25">
      <c r="A48" t="s">
        <v>3378</v>
      </c>
      <c r="B48">
        <f t="shared" si="0"/>
        <v>1229</v>
      </c>
      <c r="C48" t="s">
        <v>3379</v>
      </c>
      <c r="D48" t="s">
        <v>364</v>
      </c>
      <c r="E48" t="s">
        <v>119</v>
      </c>
      <c r="F48" t="s">
        <v>3380</v>
      </c>
      <c r="G48" t="s">
        <v>29</v>
      </c>
      <c r="H48">
        <v>0</v>
      </c>
      <c r="I48" t="s">
        <v>391</v>
      </c>
    </row>
    <row r="49" spans="1:9" x14ac:dyDescent="0.25">
      <c r="A49" t="s">
        <v>1776</v>
      </c>
      <c r="B49">
        <f t="shared" si="0"/>
        <v>1231</v>
      </c>
      <c r="C49" t="s">
        <v>1777</v>
      </c>
      <c r="D49" t="s">
        <v>364</v>
      </c>
      <c r="E49" t="s">
        <v>119</v>
      </c>
      <c r="F49" t="s">
        <v>327</v>
      </c>
      <c r="G49" t="s">
        <v>27</v>
      </c>
      <c r="H49">
        <v>0</v>
      </c>
      <c r="I49" t="s">
        <v>387</v>
      </c>
    </row>
    <row r="50" spans="1:9" x14ac:dyDescent="0.25">
      <c r="A50" t="s">
        <v>1012</v>
      </c>
      <c r="B50">
        <f t="shared" si="0"/>
        <v>1232</v>
      </c>
      <c r="C50" t="s">
        <v>1013</v>
      </c>
      <c r="D50" t="s">
        <v>364</v>
      </c>
      <c r="E50" t="s">
        <v>698</v>
      </c>
      <c r="F50" t="s">
        <v>1014</v>
      </c>
      <c r="G50" t="s">
        <v>605</v>
      </c>
      <c r="H50">
        <v>0</v>
      </c>
      <c r="I50" t="s">
        <v>699</v>
      </c>
    </row>
    <row r="51" spans="1:9" x14ac:dyDescent="0.25">
      <c r="A51" t="s">
        <v>1778</v>
      </c>
      <c r="B51">
        <f t="shared" si="0"/>
        <v>1234</v>
      </c>
      <c r="C51" t="s">
        <v>1779</v>
      </c>
      <c r="D51" t="s">
        <v>364</v>
      </c>
      <c r="E51" t="s">
        <v>119</v>
      </c>
      <c r="F51" t="s">
        <v>328</v>
      </c>
      <c r="G51" t="s">
        <v>312</v>
      </c>
      <c r="H51">
        <v>0</v>
      </c>
      <c r="I51" t="s">
        <v>382</v>
      </c>
    </row>
    <row r="52" spans="1:9" x14ac:dyDescent="0.25">
      <c r="A52" t="s">
        <v>1780</v>
      </c>
      <c r="B52">
        <f t="shared" si="0"/>
        <v>1236</v>
      </c>
      <c r="C52" t="s">
        <v>1781</v>
      </c>
      <c r="D52" t="s">
        <v>364</v>
      </c>
      <c r="E52" t="s">
        <v>119</v>
      </c>
      <c r="F52" t="s">
        <v>327</v>
      </c>
      <c r="G52" t="s">
        <v>312</v>
      </c>
      <c r="H52">
        <v>0</v>
      </c>
      <c r="I52" t="s">
        <v>382</v>
      </c>
    </row>
    <row r="53" spans="1:9" x14ac:dyDescent="0.25">
      <c r="A53" t="s">
        <v>1782</v>
      </c>
      <c r="B53">
        <f t="shared" si="0"/>
        <v>1238</v>
      </c>
      <c r="C53" t="s">
        <v>1783</v>
      </c>
      <c r="D53" t="s">
        <v>364</v>
      </c>
      <c r="E53" t="s">
        <v>119</v>
      </c>
      <c r="F53" t="s">
        <v>318</v>
      </c>
      <c r="G53" t="s">
        <v>324</v>
      </c>
      <c r="H53">
        <v>0</v>
      </c>
      <c r="I53" t="s">
        <v>379</v>
      </c>
    </row>
    <row r="54" spans="1:9" x14ac:dyDescent="0.25">
      <c r="A54" t="s">
        <v>1015</v>
      </c>
      <c r="B54">
        <f t="shared" si="0"/>
        <v>1240</v>
      </c>
      <c r="C54" t="s">
        <v>1016</v>
      </c>
      <c r="D54" t="s">
        <v>364</v>
      </c>
      <c r="E54" t="s">
        <v>119</v>
      </c>
      <c r="F54" t="s">
        <v>326</v>
      </c>
      <c r="G54" t="s">
        <v>324</v>
      </c>
      <c r="H54">
        <v>0</v>
      </c>
      <c r="I54" t="s">
        <v>379</v>
      </c>
    </row>
    <row r="55" spans="1:9" x14ac:dyDescent="0.25">
      <c r="A55" t="s">
        <v>1784</v>
      </c>
      <c r="B55">
        <f t="shared" si="0"/>
        <v>1241</v>
      </c>
      <c r="C55" t="s">
        <v>1785</v>
      </c>
      <c r="D55" t="s">
        <v>364</v>
      </c>
      <c r="E55" t="s">
        <v>119</v>
      </c>
      <c r="F55" t="s">
        <v>327</v>
      </c>
      <c r="G55" t="s">
        <v>23</v>
      </c>
      <c r="H55">
        <v>0</v>
      </c>
      <c r="I55" t="s">
        <v>397</v>
      </c>
    </row>
    <row r="56" spans="1:9" x14ac:dyDescent="0.25">
      <c r="A56" t="s">
        <v>127</v>
      </c>
      <c r="B56">
        <f t="shared" si="0"/>
        <v>1242</v>
      </c>
      <c r="C56" t="s">
        <v>128</v>
      </c>
      <c r="D56" t="s">
        <v>72</v>
      </c>
      <c r="E56" t="s">
        <v>119</v>
      </c>
      <c r="F56" t="s">
        <v>318</v>
      </c>
      <c r="G56" t="s">
        <v>329</v>
      </c>
      <c r="H56">
        <v>0</v>
      </c>
      <c r="I56" t="s">
        <v>377</v>
      </c>
    </row>
    <row r="57" spans="1:9" x14ac:dyDescent="0.25">
      <c r="A57" t="s">
        <v>327</v>
      </c>
      <c r="B57">
        <f t="shared" si="0"/>
        <v>1245</v>
      </c>
      <c r="C57" t="s">
        <v>1786</v>
      </c>
      <c r="D57" t="s">
        <v>364</v>
      </c>
      <c r="E57" t="s">
        <v>119</v>
      </c>
      <c r="F57" t="s">
        <v>326</v>
      </c>
      <c r="G57" t="s">
        <v>324</v>
      </c>
      <c r="H57">
        <v>0</v>
      </c>
      <c r="I57" t="s">
        <v>379</v>
      </c>
    </row>
    <row r="58" spans="1:9" x14ac:dyDescent="0.25">
      <c r="A58" t="s">
        <v>1322</v>
      </c>
      <c r="B58">
        <f t="shared" si="0"/>
        <v>1247</v>
      </c>
      <c r="C58" t="s">
        <v>1323</v>
      </c>
      <c r="D58" t="s">
        <v>364</v>
      </c>
      <c r="E58" t="s">
        <v>119</v>
      </c>
      <c r="F58" t="s">
        <v>318</v>
      </c>
      <c r="G58" t="s">
        <v>26</v>
      </c>
      <c r="H58">
        <v>0</v>
      </c>
      <c r="I58" t="s">
        <v>394</v>
      </c>
    </row>
    <row r="59" spans="1:9" x14ac:dyDescent="0.25">
      <c r="A59" t="s">
        <v>2845</v>
      </c>
      <c r="B59">
        <f t="shared" si="0"/>
        <v>1255</v>
      </c>
      <c r="C59" t="s">
        <v>2846</v>
      </c>
      <c r="D59" t="s">
        <v>364</v>
      </c>
      <c r="E59" t="s">
        <v>119</v>
      </c>
      <c r="F59" t="s">
        <v>325</v>
      </c>
      <c r="G59" t="s">
        <v>324</v>
      </c>
      <c r="H59">
        <v>0</v>
      </c>
      <c r="I59" t="s">
        <v>379</v>
      </c>
    </row>
    <row r="60" spans="1:9" x14ac:dyDescent="0.25">
      <c r="A60" t="s">
        <v>129</v>
      </c>
      <c r="B60">
        <f t="shared" si="0"/>
        <v>1260</v>
      </c>
      <c r="C60" t="s">
        <v>130</v>
      </c>
      <c r="D60" t="s">
        <v>364</v>
      </c>
      <c r="E60" t="s">
        <v>81</v>
      </c>
      <c r="F60" t="s">
        <v>81</v>
      </c>
      <c r="G60" t="s">
        <v>81</v>
      </c>
      <c r="H60">
        <v>1</v>
      </c>
      <c r="I60" t="s">
        <v>385</v>
      </c>
    </row>
    <row r="61" spans="1:9" x14ac:dyDescent="0.25">
      <c r="A61" t="s">
        <v>1787</v>
      </c>
      <c r="B61">
        <f t="shared" si="0"/>
        <v>1261</v>
      </c>
      <c r="C61" t="s">
        <v>1788</v>
      </c>
      <c r="D61" t="s">
        <v>364</v>
      </c>
      <c r="E61" t="s">
        <v>119</v>
      </c>
      <c r="F61" t="s">
        <v>318</v>
      </c>
      <c r="G61" t="s">
        <v>324</v>
      </c>
      <c r="H61">
        <v>0</v>
      </c>
      <c r="I61" t="s">
        <v>379</v>
      </c>
    </row>
    <row r="62" spans="1:9" x14ac:dyDescent="0.25">
      <c r="A62" t="s">
        <v>4367</v>
      </c>
      <c r="B62">
        <f t="shared" si="0"/>
        <v>1264</v>
      </c>
      <c r="C62" t="s">
        <v>4368</v>
      </c>
      <c r="D62" t="s">
        <v>72</v>
      </c>
      <c r="E62" t="s">
        <v>119</v>
      </c>
      <c r="F62" t="s">
        <v>318</v>
      </c>
      <c r="G62" t="s">
        <v>324</v>
      </c>
      <c r="H62">
        <v>0</v>
      </c>
      <c r="I62" t="s">
        <v>379</v>
      </c>
    </row>
    <row r="63" spans="1:9" x14ac:dyDescent="0.25">
      <c r="A63" t="s">
        <v>662</v>
      </c>
      <c r="B63">
        <f t="shared" si="0"/>
        <v>1270</v>
      </c>
      <c r="C63" t="s">
        <v>663</v>
      </c>
      <c r="D63" t="s">
        <v>364</v>
      </c>
      <c r="E63" t="s">
        <v>119</v>
      </c>
      <c r="F63" t="s">
        <v>323</v>
      </c>
      <c r="G63" t="s">
        <v>28</v>
      </c>
      <c r="H63">
        <v>0</v>
      </c>
      <c r="I63" t="s">
        <v>376</v>
      </c>
    </row>
    <row r="64" spans="1:9" x14ac:dyDescent="0.25">
      <c r="A64" t="s">
        <v>4048</v>
      </c>
      <c r="B64">
        <f t="shared" si="0"/>
        <v>1274</v>
      </c>
      <c r="C64" t="s">
        <v>4049</v>
      </c>
      <c r="D64" t="s">
        <v>72</v>
      </c>
      <c r="E64" t="s">
        <v>119</v>
      </c>
      <c r="F64" t="s">
        <v>323</v>
      </c>
      <c r="G64" t="s">
        <v>28</v>
      </c>
      <c r="H64">
        <v>0</v>
      </c>
      <c r="I64" t="s">
        <v>376</v>
      </c>
    </row>
    <row r="65" spans="1:9" x14ac:dyDescent="0.25">
      <c r="A65" t="s">
        <v>1017</v>
      </c>
      <c r="B65">
        <f t="shared" si="0"/>
        <v>1275</v>
      </c>
      <c r="C65" t="s">
        <v>1018</v>
      </c>
      <c r="D65" t="s">
        <v>364</v>
      </c>
      <c r="E65" t="s">
        <v>81</v>
      </c>
      <c r="F65" t="s">
        <v>81</v>
      </c>
      <c r="G65" t="s">
        <v>81</v>
      </c>
      <c r="H65">
        <v>0</v>
      </c>
      <c r="I65" t="s">
        <v>1019</v>
      </c>
    </row>
    <row r="66" spans="1:9" x14ac:dyDescent="0.25">
      <c r="A66" t="s">
        <v>4435</v>
      </c>
      <c r="B66">
        <f t="shared" si="0"/>
        <v>1276</v>
      </c>
      <c r="C66" t="s">
        <v>4436</v>
      </c>
      <c r="D66" t="s">
        <v>364</v>
      </c>
      <c r="E66" t="s">
        <v>119</v>
      </c>
      <c r="F66" t="s">
        <v>327</v>
      </c>
      <c r="G66" t="s">
        <v>312</v>
      </c>
      <c r="H66">
        <v>0</v>
      </c>
      <c r="I66" t="s">
        <v>382</v>
      </c>
    </row>
    <row r="67" spans="1:9" x14ac:dyDescent="0.25">
      <c r="A67" t="s">
        <v>1789</v>
      </c>
      <c r="B67">
        <f t="shared" si="0"/>
        <v>1283</v>
      </c>
      <c r="C67" t="s">
        <v>1790</v>
      </c>
      <c r="D67" t="s">
        <v>364</v>
      </c>
      <c r="E67" t="s">
        <v>119</v>
      </c>
      <c r="F67" t="s">
        <v>327</v>
      </c>
      <c r="G67" t="s">
        <v>24</v>
      </c>
      <c r="H67">
        <v>0</v>
      </c>
      <c r="I67" t="s">
        <v>383</v>
      </c>
    </row>
    <row r="68" spans="1:9" x14ac:dyDescent="0.25">
      <c r="A68" t="s">
        <v>1324</v>
      </c>
      <c r="B68">
        <f t="shared" ref="B68:B131" si="1">_xlfn.NUMBERVALUE(A68,"#####")</f>
        <v>1331</v>
      </c>
      <c r="C68" t="s">
        <v>1325</v>
      </c>
      <c r="D68" t="s">
        <v>364</v>
      </c>
      <c r="E68" t="s">
        <v>119</v>
      </c>
      <c r="F68" t="s">
        <v>327</v>
      </c>
      <c r="G68" t="s">
        <v>324</v>
      </c>
      <c r="H68">
        <v>0</v>
      </c>
      <c r="I68" t="s">
        <v>379</v>
      </c>
    </row>
    <row r="69" spans="1:9" x14ac:dyDescent="0.25">
      <c r="A69" t="s">
        <v>4147</v>
      </c>
      <c r="B69">
        <f t="shared" si="1"/>
        <v>1332</v>
      </c>
      <c r="C69" t="s">
        <v>4148</v>
      </c>
      <c r="D69" t="s">
        <v>72</v>
      </c>
      <c r="E69" t="s">
        <v>119</v>
      </c>
      <c r="F69" t="s">
        <v>326</v>
      </c>
      <c r="G69" t="s">
        <v>329</v>
      </c>
      <c r="H69">
        <v>0</v>
      </c>
      <c r="I69" t="s">
        <v>377</v>
      </c>
    </row>
    <row r="70" spans="1:9" x14ac:dyDescent="0.25">
      <c r="A70" t="s">
        <v>1020</v>
      </c>
      <c r="B70">
        <f t="shared" si="1"/>
        <v>1335</v>
      </c>
      <c r="C70" t="s">
        <v>1021</v>
      </c>
      <c r="D70" t="s">
        <v>364</v>
      </c>
      <c r="E70" t="s">
        <v>119</v>
      </c>
      <c r="F70" t="s">
        <v>1022</v>
      </c>
      <c r="G70" t="s">
        <v>28</v>
      </c>
      <c r="H70">
        <v>0</v>
      </c>
      <c r="I70" t="s">
        <v>376</v>
      </c>
    </row>
    <row r="71" spans="1:9" x14ac:dyDescent="0.25">
      <c r="A71" t="s">
        <v>866</v>
      </c>
      <c r="B71">
        <f t="shared" si="1"/>
        <v>1353</v>
      </c>
      <c r="C71" t="s">
        <v>867</v>
      </c>
      <c r="D71" t="s">
        <v>72</v>
      </c>
      <c r="E71" t="s">
        <v>119</v>
      </c>
      <c r="F71" t="s">
        <v>327</v>
      </c>
      <c r="G71" t="s">
        <v>329</v>
      </c>
      <c r="H71">
        <v>0</v>
      </c>
      <c r="I71" t="s">
        <v>377</v>
      </c>
    </row>
    <row r="72" spans="1:9" x14ac:dyDescent="0.25">
      <c r="A72" t="s">
        <v>1023</v>
      </c>
      <c r="B72">
        <f t="shared" si="1"/>
        <v>1358</v>
      </c>
      <c r="C72" t="s">
        <v>1024</v>
      </c>
      <c r="D72" t="s">
        <v>364</v>
      </c>
      <c r="E72" t="s">
        <v>119</v>
      </c>
      <c r="F72" t="s">
        <v>1022</v>
      </c>
      <c r="G72" t="s">
        <v>324</v>
      </c>
      <c r="H72">
        <v>0</v>
      </c>
      <c r="I72" t="s">
        <v>379</v>
      </c>
    </row>
    <row r="73" spans="1:9" x14ac:dyDescent="0.25">
      <c r="A73" t="s">
        <v>1326</v>
      </c>
      <c r="B73">
        <f t="shared" si="1"/>
        <v>1359</v>
      </c>
      <c r="C73" t="s">
        <v>1327</v>
      </c>
      <c r="D73" t="s">
        <v>364</v>
      </c>
      <c r="E73" t="s">
        <v>119</v>
      </c>
      <c r="F73" t="s">
        <v>872</v>
      </c>
      <c r="G73" t="s">
        <v>1002</v>
      </c>
      <c r="H73">
        <v>0</v>
      </c>
      <c r="I73" t="s">
        <v>1328</v>
      </c>
    </row>
    <row r="74" spans="1:9" x14ac:dyDescent="0.25">
      <c r="A74" t="s">
        <v>1791</v>
      </c>
      <c r="B74">
        <f t="shared" si="1"/>
        <v>1361</v>
      </c>
      <c r="C74" t="s">
        <v>1792</v>
      </c>
      <c r="D74" t="s">
        <v>364</v>
      </c>
      <c r="E74" t="s">
        <v>119</v>
      </c>
      <c r="F74" t="s">
        <v>1793</v>
      </c>
      <c r="G74" t="s">
        <v>324</v>
      </c>
      <c r="H74">
        <v>0</v>
      </c>
      <c r="I74" t="s">
        <v>379</v>
      </c>
    </row>
    <row r="75" spans="1:9" x14ac:dyDescent="0.25">
      <c r="A75" t="s">
        <v>3742</v>
      </c>
      <c r="B75">
        <f t="shared" si="1"/>
        <v>1365</v>
      </c>
      <c r="C75" t="s">
        <v>3743</v>
      </c>
      <c r="D75" t="s">
        <v>72</v>
      </c>
      <c r="E75" t="s">
        <v>119</v>
      </c>
      <c r="F75" t="s">
        <v>325</v>
      </c>
      <c r="G75" t="s">
        <v>29</v>
      </c>
      <c r="H75">
        <v>0</v>
      </c>
      <c r="I75" t="s">
        <v>391</v>
      </c>
    </row>
    <row r="76" spans="1:9" x14ac:dyDescent="0.25">
      <c r="A76" t="s">
        <v>1329</v>
      </c>
      <c r="B76">
        <f t="shared" si="1"/>
        <v>1371</v>
      </c>
      <c r="C76" t="s">
        <v>1330</v>
      </c>
      <c r="D76" t="s">
        <v>364</v>
      </c>
      <c r="E76" t="s">
        <v>119</v>
      </c>
      <c r="F76" t="s">
        <v>326</v>
      </c>
      <c r="G76" t="s">
        <v>312</v>
      </c>
      <c r="H76">
        <v>0</v>
      </c>
      <c r="I76" t="s">
        <v>382</v>
      </c>
    </row>
    <row r="77" spans="1:9" x14ac:dyDescent="0.25">
      <c r="A77" t="s">
        <v>2812</v>
      </c>
      <c r="B77">
        <f t="shared" si="1"/>
        <v>1372</v>
      </c>
      <c r="C77" t="s">
        <v>2813</v>
      </c>
      <c r="D77" t="s">
        <v>364</v>
      </c>
      <c r="E77" t="s">
        <v>119</v>
      </c>
      <c r="F77" t="s">
        <v>326</v>
      </c>
      <c r="G77" t="s">
        <v>329</v>
      </c>
      <c r="H77">
        <v>0</v>
      </c>
      <c r="I77" t="s">
        <v>377</v>
      </c>
    </row>
    <row r="78" spans="1:9" x14ac:dyDescent="0.25">
      <c r="A78" t="s">
        <v>3053</v>
      </c>
      <c r="B78">
        <f t="shared" si="1"/>
        <v>1374</v>
      </c>
      <c r="C78" t="s">
        <v>3054</v>
      </c>
      <c r="D78" t="s">
        <v>364</v>
      </c>
      <c r="E78" t="s">
        <v>119</v>
      </c>
      <c r="F78" t="s">
        <v>318</v>
      </c>
      <c r="G78" t="s">
        <v>324</v>
      </c>
      <c r="H78">
        <v>0</v>
      </c>
      <c r="I78" t="s">
        <v>379</v>
      </c>
    </row>
    <row r="79" spans="1:9" x14ac:dyDescent="0.25">
      <c r="A79" t="s">
        <v>3381</v>
      </c>
      <c r="B79">
        <f t="shared" si="1"/>
        <v>1377</v>
      </c>
      <c r="C79" t="s">
        <v>3382</v>
      </c>
      <c r="D79" t="s">
        <v>364</v>
      </c>
      <c r="E79" t="s">
        <v>119</v>
      </c>
      <c r="F79" t="s">
        <v>3380</v>
      </c>
      <c r="G79" t="s">
        <v>313</v>
      </c>
      <c r="H79">
        <v>0</v>
      </c>
      <c r="I79" t="s">
        <v>3393</v>
      </c>
    </row>
    <row r="80" spans="1:9" x14ac:dyDescent="0.25">
      <c r="A80" t="s">
        <v>3321</v>
      </c>
      <c r="B80">
        <f t="shared" si="1"/>
        <v>1475</v>
      </c>
      <c r="C80" t="s">
        <v>3322</v>
      </c>
      <c r="D80" t="s">
        <v>364</v>
      </c>
      <c r="E80" t="s">
        <v>119</v>
      </c>
      <c r="F80" t="s">
        <v>327</v>
      </c>
      <c r="G80" t="s">
        <v>312</v>
      </c>
      <c r="H80">
        <v>0</v>
      </c>
      <c r="I80" t="s">
        <v>382</v>
      </c>
    </row>
    <row r="81" spans="1:9" x14ac:dyDescent="0.25">
      <c r="A81" t="s">
        <v>1025</v>
      </c>
      <c r="B81">
        <f t="shared" si="1"/>
        <v>1482</v>
      </c>
      <c r="C81" t="s">
        <v>1026</v>
      </c>
      <c r="D81" t="s">
        <v>364</v>
      </c>
      <c r="E81" t="s">
        <v>119</v>
      </c>
      <c r="F81" t="s">
        <v>318</v>
      </c>
      <c r="G81" t="s">
        <v>312</v>
      </c>
      <c r="H81">
        <v>0</v>
      </c>
      <c r="I81" t="s">
        <v>382</v>
      </c>
    </row>
    <row r="82" spans="1:9" x14ac:dyDescent="0.25">
      <c r="A82" t="s">
        <v>1794</v>
      </c>
      <c r="B82">
        <f t="shared" si="1"/>
        <v>1485</v>
      </c>
      <c r="C82" t="s">
        <v>1795</v>
      </c>
      <c r="D82" t="s">
        <v>364</v>
      </c>
      <c r="E82" t="s">
        <v>119</v>
      </c>
      <c r="F82" t="s">
        <v>326</v>
      </c>
      <c r="G82" t="s">
        <v>25</v>
      </c>
      <c r="H82">
        <v>0</v>
      </c>
      <c r="I82" t="s">
        <v>386</v>
      </c>
    </row>
    <row r="83" spans="1:9" x14ac:dyDescent="0.25">
      <c r="A83" t="s">
        <v>1796</v>
      </c>
      <c r="B83">
        <f t="shared" si="1"/>
        <v>1490</v>
      </c>
      <c r="C83" t="s">
        <v>1797</v>
      </c>
      <c r="D83" t="s">
        <v>364</v>
      </c>
      <c r="E83" t="s">
        <v>119</v>
      </c>
      <c r="F83" t="s">
        <v>318</v>
      </c>
      <c r="G83" t="s">
        <v>312</v>
      </c>
      <c r="H83">
        <v>0</v>
      </c>
      <c r="I83" t="s">
        <v>382</v>
      </c>
    </row>
    <row r="84" spans="1:9" x14ac:dyDescent="0.25">
      <c r="A84" t="s">
        <v>3869</v>
      </c>
      <c r="B84">
        <f t="shared" si="1"/>
        <v>1491</v>
      </c>
      <c r="C84" t="s">
        <v>3870</v>
      </c>
      <c r="D84" t="s">
        <v>72</v>
      </c>
      <c r="E84" t="s">
        <v>119</v>
      </c>
      <c r="F84" t="s">
        <v>318</v>
      </c>
      <c r="G84" t="s">
        <v>324</v>
      </c>
      <c r="H84">
        <v>0</v>
      </c>
      <c r="I84" t="s">
        <v>379</v>
      </c>
    </row>
    <row r="85" spans="1:9" x14ac:dyDescent="0.25">
      <c r="A85" t="s">
        <v>3323</v>
      </c>
      <c r="B85">
        <f t="shared" si="1"/>
        <v>1500</v>
      </c>
      <c r="C85" t="s">
        <v>3324</v>
      </c>
      <c r="D85" t="s">
        <v>364</v>
      </c>
      <c r="E85" t="s">
        <v>119</v>
      </c>
      <c r="F85" t="s">
        <v>326</v>
      </c>
      <c r="G85" t="s">
        <v>329</v>
      </c>
      <c r="H85">
        <v>0</v>
      </c>
      <c r="I85" t="s">
        <v>377</v>
      </c>
    </row>
    <row r="86" spans="1:9" x14ac:dyDescent="0.25">
      <c r="A86" t="s">
        <v>1798</v>
      </c>
      <c r="B86">
        <f t="shared" si="1"/>
        <v>1506</v>
      </c>
      <c r="C86" t="s">
        <v>1799</v>
      </c>
      <c r="D86" t="s">
        <v>364</v>
      </c>
      <c r="E86" t="s">
        <v>119</v>
      </c>
      <c r="F86" t="s">
        <v>318</v>
      </c>
      <c r="G86" t="s">
        <v>324</v>
      </c>
      <c r="H86">
        <v>0</v>
      </c>
      <c r="I86" t="s">
        <v>379</v>
      </c>
    </row>
    <row r="87" spans="1:9" x14ac:dyDescent="0.25">
      <c r="A87" t="s">
        <v>1800</v>
      </c>
      <c r="B87">
        <f t="shared" si="1"/>
        <v>1527</v>
      </c>
      <c r="C87" t="s">
        <v>1801</v>
      </c>
      <c r="D87" t="s">
        <v>364</v>
      </c>
      <c r="E87" t="s">
        <v>119</v>
      </c>
      <c r="F87" t="s">
        <v>323</v>
      </c>
      <c r="G87" t="s">
        <v>27</v>
      </c>
      <c r="H87">
        <v>0</v>
      </c>
      <c r="I87" t="s">
        <v>1802</v>
      </c>
    </row>
    <row r="88" spans="1:9" x14ac:dyDescent="0.25">
      <c r="A88" t="s">
        <v>1027</v>
      </c>
      <c r="B88">
        <f t="shared" si="1"/>
        <v>1530</v>
      </c>
      <c r="C88" t="s">
        <v>1028</v>
      </c>
      <c r="D88" t="s">
        <v>364</v>
      </c>
      <c r="E88" t="s">
        <v>119</v>
      </c>
      <c r="F88" t="s">
        <v>872</v>
      </c>
      <c r="G88" t="s">
        <v>313</v>
      </c>
      <c r="H88">
        <v>0</v>
      </c>
      <c r="I88" t="s">
        <v>382</v>
      </c>
    </row>
    <row r="89" spans="1:9" x14ac:dyDescent="0.25">
      <c r="A89" t="s">
        <v>733</v>
      </c>
      <c r="B89">
        <f t="shared" si="1"/>
        <v>1532</v>
      </c>
      <c r="C89" t="s">
        <v>734</v>
      </c>
      <c r="D89" t="s">
        <v>364</v>
      </c>
      <c r="E89" t="s">
        <v>119</v>
      </c>
      <c r="F89" t="s">
        <v>318</v>
      </c>
      <c r="G89" t="s">
        <v>324</v>
      </c>
      <c r="H89">
        <v>0</v>
      </c>
      <c r="I89" t="s">
        <v>379</v>
      </c>
    </row>
    <row r="90" spans="1:9" x14ac:dyDescent="0.25">
      <c r="A90" t="s">
        <v>1331</v>
      </c>
      <c r="B90">
        <f t="shared" si="1"/>
        <v>1533</v>
      </c>
      <c r="C90" t="s">
        <v>1332</v>
      </c>
      <c r="D90" t="s">
        <v>364</v>
      </c>
      <c r="E90" t="s">
        <v>119</v>
      </c>
      <c r="F90" t="s">
        <v>872</v>
      </c>
      <c r="G90" t="s">
        <v>1000</v>
      </c>
      <c r="H90">
        <v>0</v>
      </c>
      <c r="I90" t="s">
        <v>1205</v>
      </c>
    </row>
    <row r="91" spans="1:9" x14ac:dyDescent="0.25">
      <c r="A91" t="s">
        <v>2979</v>
      </c>
      <c r="B91">
        <f t="shared" si="1"/>
        <v>1536</v>
      </c>
      <c r="C91" t="s">
        <v>2980</v>
      </c>
      <c r="D91" t="s">
        <v>72</v>
      </c>
      <c r="E91" t="s">
        <v>119</v>
      </c>
      <c r="F91" t="s">
        <v>318</v>
      </c>
      <c r="G91" t="s">
        <v>29</v>
      </c>
      <c r="H91">
        <v>0</v>
      </c>
      <c r="I91" t="s">
        <v>391</v>
      </c>
    </row>
    <row r="92" spans="1:9" x14ac:dyDescent="0.25">
      <c r="A92" t="s">
        <v>4149</v>
      </c>
      <c r="B92">
        <f t="shared" si="1"/>
        <v>1541</v>
      </c>
      <c r="C92" t="s">
        <v>4150</v>
      </c>
      <c r="D92" t="s">
        <v>364</v>
      </c>
      <c r="E92" t="s">
        <v>698</v>
      </c>
      <c r="F92" t="s">
        <v>4151</v>
      </c>
      <c r="G92" t="s">
        <v>577</v>
      </c>
      <c r="H92">
        <v>0</v>
      </c>
      <c r="I92" t="s">
        <v>699</v>
      </c>
    </row>
    <row r="93" spans="1:9" x14ac:dyDescent="0.25">
      <c r="A93" t="s">
        <v>1333</v>
      </c>
      <c r="B93">
        <f t="shared" si="1"/>
        <v>1554</v>
      </c>
      <c r="C93" t="s">
        <v>1334</v>
      </c>
      <c r="D93" t="s">
        <v>364</v>
      </c>
      <c r="E93" t="s">
        <v>119</v>
      </c>
      <c r="F93" t="s">
        <v>328</v>
      </c>
      <c r="G93" t="s">
        <v>324</v>
      </c>
      <c r="H93">
        <v>0</v>
      </c>
      <c r="I93" t="s">
        <v>379</v>
      </c>
    </row>
    <row r="94" spans="1:9" x14ac:dyDescent="0.25">
      <c r="A94" t="s">
        <v>4152</v>
      </c>
      <c r="B94">
        <f t="shared" si="1"/>
        <v>1555</v>
      </c>
      <c r="C94" t="s">
        <v>4153</v>
      </c>
      <c r="D94" t="s">
        <v>72</v>
      </c>
      <c r="E94" t="s">
        <v>119</v>
      </c>
      <c r="F94" t="s">
        <v>328</v>
      </c>
      <c r="G94" t="s">
        <v>26</v>
      </c>
      <c r="H94">
        <v>0</v>
      </c>
      <c r="I94" t="s">
        <v>394</v>
      </c>
    </row>
    <row r="95" spans="1:9" x14ac:dyDescent="0.25">
      <c r="A95" t="s">
        <v>1803</v>
      </c>
      <c r="B95">
        <f t="shared" si="1"/>
        <v>1556</v>
      </c>
      <c r="C95" t="s">
        <v>1804</v>
      </c>
      <c r="D95" t="s">
        <v>364</v>
      </c>
      <c r="E95" t="s">
        <v>119</v>
      </c>
      <c r="F95" t="s">
        <v>327</v>
      </c>
      <c r="G95" t="s">
        <v>324</v>
      </c>
      <c r="H95">
        <v>0</v>
      </c>
      <c r="I95" t="s">
        <v>379</v>
      </c>
    </row>
    <row r="96" spans="1:9" x14ac:dyDescent="0.25">
      <c r="A96" t="s">
        <v>4437</v>
      </c>
      <c r="B96">
        <f t="shared" si="1"/>
        <v>1559</v>
      </c>
      <c r="C96" t="s">
        <v>4438</v>
      </c>
      <c r="D96" t="s">
        <v>72</v>
      </c>
      <c r="E96" t="s">
        <v>119</v>
      </c>
      <c r="F96" t="s">
        <v>323</v>
      </c>
      <c r="G96" t="s">
        <v>312</v>
      </c>
      <c r="H96">
        <v>0</v>
      </c>
      <c r="I96" t="s">
        <v>4439</v>
      </c>
    </row>
    <row r="97" spans="1:9" x14ac:dyDescent="0.25">
      <c r="A97" t="s">
        <v>4154</v>
      </c>
      <c r="B97">
        <f t="shared" si="1"/>
        <v>1562</v>
      </c>
      <c r="C97" t="s">
        <v>4155</v>
      </c>
      <c r="D97" t="s">
        <v>72</v>
      </c>
      <c r="E97" t="s">
        <v>119</v>
      </c>
      <c r="F97" t="s">
        <v>323</v>
      </c>
      <c r="G97" t="s">
        <v>4132</v>
      </c>
      <c r="H97">
        <v>0</v>
      </c>
      <c r="I97" t="s">
        <v>4369</v>
      </c>
    </row>
    <row r="98" spans="1:9" x14ac:dyDescent="0.25">
      <c r="A98" t="s">
        <v>1805</v>
      </c>
      <c r="B98">
        <f t="shared" si="1"/>
        <v>1565</v>
      </c>
      <c r="C98" t="s">
        <v>1806</v>
      </c>
      <c r="D98" t="s">
        <v>364</v>
      </c>
      <c r="E98" t="s">
        <v>119</v>
      </c>
      <c r="F98" t="s">
        <v>323</v>
      </c>
      <c r="G98" t="s">
        <v>324</v>
      </c>
      <c r="H98">
        <v>0</v>
      </c>
      <c r="I98" t="s">
        <v>379</v>
      </c>
    </row>
    <row r="99" spans="1:9" x14ac:dyDescent="0.25">
      <c r="A99" t="s">
        <v>3055</v>
      </c>
      <c r="B99">
        <f t="shared" si="1"/>
        <v>1568</v>
      </c>
      <c r="C99" t="s">
        <v>3056</v>
      </c>
      <c r="D99" t="s">
        <v>364</v>
      </c>
      <c r="E99" t="s">
        <v>81</v>
      </c>
      <c r="F99" t="s">
        <v>81</v>
      </c>
      <c r="G99" t="s">
        <v>81</v>
      </c>
      <c r="H99">
        <v>1</v>
      </c>
      <c r="I99" t="s">
        <v>392</v>
      </c>
    </row>
    <row r="100" spans="1:9" x14ac:dyDescent="0.25">
      <c r="A100" t="s">
        <v>1807</v>
      </c>
      <c r="B100">
        <f t="shared" si="1"/>
        <v>1572</v>
      </c>
      <c r="C100" t="s">
        <v>1808</v>
      </c>
      <c r="D100" t="s">
        <v>364</v>
      </c>
      <c r="E100" t="s">
        <v>119</v>
      </c>
      <c r="F100" t="s">
        <v>318</v>
      </c>
      <c r="G100" t="s">
        <v>324</v>
      </c>
      <c r="H100">
        <v>0</v>
      </c>
      <c r="I100" t="s">
        <v>379</v>
      </c>
    </row>
    <row r="101" spans="1:9" x14ac:dyDescent="0.25">
      <c r="A101" t="s">
        <v>3285</v>
      </c>
      <c r="B101">
        <f t="shared" si="1"/>
        <v>1574</v>
      </c>
      <c r="C101" t="s">
        <v>3286</v>
      </c>
      <c r="D101" t="s">
        <v>72</v>
      </c>
      <c r="E101" t="s">
        <v>119</v>
      </c>
      <c r="F101" t="s">
        <v>326</v>
      </c>
      <c r="G101" t="s">
        <v>72</v>
      </c>
      <c r="H101">
        <v>0</v>
      </c>
      <c r="I101" t="s">
        <v>390</v>
      </c>
    </row>
    <row r="102" spans="1:9" x14ac:dyDescent="0.25">
      <c r="A102" t="s">
        <v>2814</v>
      </c>
      <c r="B102">
        <f t="shared" si="1"/>
        <v>1579</v>
      </c>
      <c r="C102" t="s">
        <v>2815</v>
      </c>
      <c r="D102" t="s">
        <v>364</v>
      </c>
      <c r="E102" t="s">
        <v>119</v>
      </c>
      <c r="F102" t="s">
        <v>1717</v>
      </c>
      <c r="G102" t="s">
        <v>324</v>
      </c>
      <c r="H102">
        <v>0</v>
      </c>
      <c r="I102" t="s">
        <v>377</v>
      </c>
    </row>
    <row r="103" spans="1:9" x14ac:dyDescent="0.25">
      <c r="A103" t="s">
        <v>1809</v>
      </c>
      <c r="B103">
        <f t="shared" si="1"/>
        <v>1580</v>
      </c>
      <c r="C103" t="s">
        <v>1810</v>
      </c>
      <c r="D103" t="s">
        <v>364</v>
      </c>
      <c r="E103" t="s">
        <v>119</v>
      </c>
      <c r="F103" t="s">
        <v>327</v>
      </c>
      <c r="G103" t="s">
        <v>324</v>
      </c>
      <c r="H103">
        <v>0</v>
      </c>
      <c r="I103" t="s">
        <v>379</v>
      </c>
    </row>
    <row r="104" spans="1:9" x14ac:dyDescent="0.25">
      <c r="A104" t="s">
        <v>1029</v>
      </c>
      <c r="B104">
        <f t="shared" si="1"/>
        <v>1581</v>
      </c>
      <c r="C104" t="s">
        <v>1030</v>
      </c>
      <c r="D104" t="s">
        <v>364</v>
      </c>
      <c r="E104" t="s">
        <v>119</v>
      </c>
      <c r="F104" t="s">
        <v>327</v>
      </c>
      <c r="G104" t="s">
        <v>324</v>
      </c>
      <c r="H104">
        <v>0</v>
      </c>
      <c r="I104" t="s">
        <v>379</v>
      </c>
    </row>
    <row r="105" spans="1:9" x14ac:dyDescent="0.25">
      <c r="A105" t="s">
        <v>1335</v>
      </c>
      <c r="B105">
        <f t="shared" si="1"/>
        <v>1585</v>
      </c>
      <c r="C105" t="s">
        <v>1336</v>
      </c>
      <c r="D105" t="s">
        <v>364</v>
      </c>
      <c r="E105" t="s">
        <v>119</v>
      </c>
      <c r="F105" t="s">
        <v>326</v>
      </c>
      <c r="G105" t="s">
        <v>25</v>
      </c>
      <c r="H105">
        <v>0</v>
      </c>
      <c r="I105" t="s">
        <v>386</v>
      </c>
    </row>
    <row r="106" spans="1:9" x14ac:dyDescent="0.25">
      <c r="A106" t="s">
        <v>2896</v>
      </c>
      <c r="B106">
        <f t="shared" si="1"/>
        <v>1586</v>
      </c>
      <c r="C106" t="s">
        <v>2897</v>
      </c>
      <c r="D106" t="s">
        <v>72</v>
      </c>
      <c r="E106" t="s">
        <v>81</v>
      </c>
      <c r="F106" t="s">
        <v>81</v>
      </c>
      <c r="G106" t="s">
        <v>81</v>
      </c>
      <c r="H106">
        <v>0</v>
      </c>
      <c r="I106" t="s">
        <v>403</v>
      </c>
    </row>
    <row r="107" spans="1:9" x14ac:dyDescent="0.25">
      <c r="A107" t="s">
        <v>1337</v>
      </c>
      <c r="B107">
        <f t="shared" si="1"/>
        <v>1595</v>
      </c>
      <c r="C107" t="s">
        <v>1338</v>
      </c>
      <c r="D107" t="s">
        <v>364</v>
      </c>
      <c r="E107" t="s">
        <v>119</v>
      </c>
      <c r="F107" t="s">
        <v>318</v>
      </c>
      <c r="G107" t="s">
        <v>324</v>
      </c>
      <c r="H107">
        <v>0</v>
      </c>
      <c r="I107" t="s">
        <v>379</v>
      </c>
    </row>
    <row r="108" spans="1:9" x14ac:dyDescent="0.25">
      <c r="A108" t="s">
        <v>2847</v>
      </c>
      <c r="B108">
        <f t="shared" si="1"/>
        <v>1598</v>
      </c>
      <c r="C108" t="s">
        <v>2848</v>
      </c>
      <c r="D108" t="s">
        <v>364</v>
      </c>
      <c r="E108" t="s">
        <v>81</v>
      </c>
      <c r="F108" t="s">
        <v>81</v>
      </c>
      <c r="G108" t="s">
        <v>81</v>
      </c>
      <c r="H108">
        <v>0</v>
      </c>
      <c r="I108" t="s">
        <v>672</v>
      </c>
    </row>
    <row r="109" spans="1:9" x14ac:dyDescent="0.25">
      <c r="A109" t="s">
        <v>2898</v>
      </c>
      <c r="B109">
        <f t="shared" si="1"/>
        <v>1599</v>
      </c>
      <c r="C109" t="s">
        <v>3119</v>
      </c>
      <c r="D109" t="s">
        <v>364</v>
      </c>
      <c r="E109" t="s">
        <v>119</v>
      </c>
      <c r="F109" t="s">
        <v>327</v>
      </c>
      <c r="G109" t="s">
        <v>312</v>
      </c>
      <c r="H109">
        <v>0</v>
      </c>
      <c r="I109" t="s">
        <v>382</v>
      </c>
    </row>
    <row r="110" spans="1:9" x14ac:dyDescent="0.25">
      <c r="A110" t="s">
        <v>1811</v>
      </c>
      <c r="B110">
        <f t="shared" si="1"/>
        <v>1604</v>
      </c>
      <c r="C110" t="s">
        <v>1812</v>
      </c>
      <c r="D110" t="s">
        <v>364</v>
      </c>
      <c r="E110" t="s">
        <v>119</v>
      </c>
      <c r="F110" t="s">
        <v>664</v>
      </c>
      <c r="G110" t="s">
        <v>357</v>
      </c>
      <c r="H110">
        <v>0</v>
      </c>
      <c r="I110" t="s">
        <v>1813</v>
      </c>
    </row>
    <row r="111" spans="1:9" x14ac:dyDescent="0.25">
      <c r="A111" t="s">
        <v>1814</v>
      </c>
      <c r="B111">
        <f t="shared" si="1"/>
        <v>1606</v>
      </c>
      <c r="C111" t="s">
        <v>1815</v>
      </c>
      <c r="D111" t="s">
        <v>364</v>
      </c>
      <c r="E111" t="s">
        <v>119</v>
      </c>
      <c r="F111" t="s">
        <v>326</v>
      </c>
      <c r="G111" t="s">
        <v>324</v>
      </c>
      <c r="H111">
        <v>0</v>
      </c>
      <c r="I111" t="s">
        <v>379</v>
      </c>
    </row>
    <row r="112" spans="1:9" x14ac:dyDescent="0.25">
      <c r="A112" t="s">
        <v>1031</v>
      </c>
      <c r="B112">
        <f t="shared" si="1"/>
        <v>1608</v>
      </c>
      <c r="C112" t="s">
        <v>1032</v>
      </c>
      <c r="D112" t="s">
        <v>72</v>
      </c>
      <c r="E112" t="s">
        <v>119</v>
      </c>
      <c r="F112" t="s">
        <v>327</v>
      </c>
      <c r="G112" t="s">
        <v>324</v>
      </c>
      <c r="H112">
        <v>0</v>
      </c>
      <c r="I112" t="s">
        <v>379</v>
      </c>
    </row>
    <row r="113" spans="1:9" x14ac:dyDescent="0.25">
      <c r="A113" t="s">
        <v>1816</v>
      </c>
      <c r="B113">
        <f t="shared" si="1"/>
        <v>1610</v>
      </c>
      <c r="C113" t="s">
        <v>1817</v>
      </c>
      <c r="D113" t="s">
        <v>364</v>
      </c>
      <c r="E113" t="s">
        <v>119</v>
      </c>
      <c r="F113" t="s">
        <v>664</v>
      </c>
      <c r="G113" t="s">
        <v>26</v>
      </c>
      <c r="H113">
        <v>0</v>
      </c>
      <c r="I113" t="s">
        <v>394</v>
      </c>
    </row>
    <row r="114" spans="1:9" x14ac:dyDescent="0.25">
      <c r="A114" t="s">
        <v>1340</v>
      </c>
      <c r="B114">
        <f t="shared" si="1"/>
        <v>1614</v>
      </c>
      <c r="C114" t="s">
        <v>1341</v>
      </c>
      <c r="D114" t="s">
        <v>364</v>
      </c>
      <c r="E114" t="s">
        <v>119</v>
      </c>
      <c r="F114" t="s">
        <v>326</v>
      </c>
      <c r="G114" t="s">
        <v>324</v>
      </c>
      <c r="H114">
        <v>0</v>
      </c>
      <c r="I114" t="s">
        <v>379</v>
      </c>
    </row>
    <row r="115" spans="1:9" x14ac:dyDescent="0.25">
      <c r="A115" t="s">
        <v>3989</v>
      </c>
      <c r="B115">
        <f t="shared" si="1"/>
        <v>1619</v>
      </c>
      <c r="C115" t="s">
        <v>3990</v>
      </c>
      <c r="D115" t="s">
        <v>72</v>
      </c>
      <c r="E115" t="s">
        <v>119</v>
      </c>
      <c r="F115" t="s">
        <v>326</v>
      </c>
      <c r="G115" t="s">
        <v>329</v>
      </c>
      <c r="H115">
        <v>0</v>
      </c>
      <c r="I115" t="s">
        <v>377</v>
      </c>
    </row>
    <row r="116" spans="1:9" x14ac:dyDescent="0.25">
      <c r="A116" t="s">
        <v>4370</v>
      </c>
      <c r="B116">
        <f t="shared" si="1"/>
        <v>1623</v>
      </c>
      <c r="C116" t="s">
        <v>4371</v>
      </c>
      <c r="D116" t="s">
        <v>72</v>
      </c>
      <c r="E116" t="s">
        <v>119</v>
      </c>
      <c r="F116" t="s">
        <v>318</v>
      </c>
      <c r="G116" t="s">
        <v>312</v>
      </c>
      <c r="H116">
        <v>0</v>
      </c>
      <c r="I116" t="s">
        <v>382</v>
      </c>
    </row>
    <row r="117" spans="1:9" x14ac:dyDescent="0.25">
      <c r="A117" t="s">
        <v>4440</v>
      </c>
      <c r="B117">
        <f t="shared" si="1"/>
        <v>1625</v>
      </c>
      <c r="C117" t="s">
        <v>4441</v>
      </c>
      <c r="D117" t="s">
        <v>364</v>
      </c>
      <c r="E117" t="s">
        <v>119</v>
      </c>
      <c r="F117" t="s">
        <v>327</v>
      </c>
      <c r="G117" t="s">
        <v>324</v>
      </c>
      <c r="H117">
        <v>0</v>
      </c>
      <c r="I117" t="s">
        <v>379</v>
      </c>
    </row>
    <row r="118" spans="1:9" x14ac:dyDescent="0.25">
      <c r="A118" t="s">
        <v>868</v>
      </c>
      <c r="B118">
        <f t="shared" si="1"/>
        <v>1647</v>
      </c>
      <c r="C118" t="s">
        <v>869</v>
      </c>
      <c r="D118" t="s">
        <v>72</v>
      </c>
      <c r="E118" t="s">
        <v>81</v>
      </c>
      <c r="F118" t="s">
        <v>81</v>
      </c>
      <c r="G118" t="s">
        <v>81</v>
      </c>
      <c r="H118">
        <v>0</v>
      </c>
      <c r="I118" t="s">
        <v>618</v>
      </c>
    </row>
    <row r="119" spans="1:9" x14ac:dyDescent="0.25">
      <c r="A119" t="s">
        <v>1818</v>
      </c>
      <c r="B119">
        <f t="shared" si="1"/>
        <v>1720</v>
      </c>
      <c r="C119" t="s">
        <v>1819</v>
      </c>
      <c r="D119" t="s">
        <v>72</v>
      </c>
      <c r="E119" t="s">
        <v>119</v>
      </c>
      <c r="F119" t="s">
        <v>318</v>
      </c>
      <c r="G119" t="s">
        <v>329</v>
      </c>
      <c r="H119">
        <v>0</v>
      </c>
      <c r="I119" t="s">
        <v>377</v>
      </c>
    </row>
    <row r="120" spans="1:9" x14ac:dyDescent="0.25">
      <c r="A120" t="s">
        <v>1033</v>
      </c>
      <c r="B120">
        <f t="shared" si="1"/>
        <v>1738</v>
      </c>
      <c r="C120" t="s">
        <v>1034</v>
      </c>
      <c r="D120" t="s">
        <v>364</v>
      </c>
      <c r="E120" t="s">
        <v>119</v>
      </c>
      <c r="F120" t="s">
        <v>318</v>
      </c>
      <c r="G120" t="s">
        <v>324</v>
      </c>
      <c r="H120">
        <v>0</v>
      </c>
      <c r="I120" t="s">
        <v>379</v>
      </c>
    </row>
    <row r="121" spans="1:9" x14ac:dyDescent="0.25">
      <c r="A121" t="s">
        <v>3325</v>
      </c>
      <c r="B121">
        <f t="shared" si="1"/>
        <v>1755</v>
      </c>
      <c r="C121" t="s">
        <v>3326</v>
      </c>
      <c r="D121" t="s">
        <v>364</v>
      </c>
      <c r="E121" t="s">
        <v>119</v>
      </c>
      <c r="F121" t="s">
        <v>325</v>
      </c>
      <c r="G121" t="s">
        <v>324</v>
      </c>
      <c r="H121">
        <v>0</v>
      </c>
      <c r="I121" t="s">
        <v>379</v>
      </c>
    </row>
    <row r="122" spans="1:9" x14ac:dyDescent="0.25">
      <c r="A122" t="s">
        <v>2871</v>
      </c>
      <c r="B122">
        <f t="shared" si="1"/>
        <v>1763</v>
      </c>
      <c r="C122" t="s">
        <v>2872</v>
      </c>
      <c r="D122" t="s">
        <v>364</v>
      </c>
      <c r="E122" t="s">
        <v>119</v>
      </c>
      <c r="F122" t="s">
        <v>327</v>
      </c>
      <c r="G122" t="s">
        <v>324</v>
      </c>
      <c r="H122">
        <v>0</v>
      </c>
      <c r="I122" t="s">
        <v>379</v>
      </c>
    </row>
    <row r="123" spans="1:9" x14ac:dyDescent="0.25">
      <c r="A123" t="s">
        <v>1674</v>
      </c>
      <c r="B123">
        <f t="shared" si="1"/>
        <v>1769</v>
      </c>
      <c r="C123" t="s">
        <v>1675</v>
      </c>
      <c r="D123" t="s">
        <v>364</v>
      </c>
      <c r="E123" t="s">
        <v>119</v>
      </c>
      <c r="F123" t="s">
        <v>327</v>
      </c>
      <c r="G123" t="s">
        <v>312</v>
      </c>
      <c r="H123">
        <v>0</v>
      </c>
      <c r="I123" t="s">
        <v>382</v>
      </c>
    </row>
    <row r="124" spans="1:9" x14ac:dyDescent="0.25">
      <c r="A124" t="s">
        <v>1342</v>
      </c>
      <c r="B124">
        <f t="shared" si="1"/>
        <v>1770</v>
      </c>
      <c r="C124" t="s">
        <v>1343</v>
      </c>
      <c r="D124" t="s">
        <v>364</v>
      </c>
      <c r="E124" t="s">
        <v>119</v>
      </c>
      <c r="F124" t="s">
        <v>323</v>
      </c>
      <c r="G124" t="s">
        <v>312</v>
      </c>
      <c r="H124">
        <v>0</v>
      </c>
      <c r="I124" t="s">
        <v>1344</v>
      </c>
    </row>
    <row r="125" spans="1:9" x14ac:dyDescent="0.25">
      <c r="A125" t="s">
        <v>4156</v>
      </c>
      <c r="B125">
        <f t="shared" si="1"/>
        <v>1773</v>
      </c>
      <c r="C125" t="s">
        <v>4157</v>
      </c>
      <c r="D125" t="s">
        <v>72</v>
      </c>
      <c r="E125" t="s">
        <v>119</v>
      </c>
      <c r="F125" t="s">
        <v>327</v>
      </c>
      <c r="G125" t="s">
        <v>26</v>
      </c>
      <c r="H125">
        <v>0</v>
      </c>
      <c r="I125" t="s">
        <v>394</v>
      </c>
    </row>
    <row r="126" spans="1:9" x14ac:dyDescent="0.25">
      <c r="A126" t="s">
        <v>1820</v>
      </c>
      <c r="B126">
        <f t="shared" si="1"/>
        <v>1774</v>
      </c>
      <c r="C126" t="s">
        <v>1821</v>
      </c>
      <c r="D126" t="s">
        <v>364</v>
      </c>
      <c r="E126" t="s">
        <v>119</v>
      </c>
      <c r="F126" t="s">
        <v>327</v>
      </c>
      <c r="G126" t="s">
        <v>324</v>
      </c>
      <c r="H126">
        <v>0</v>
      </c>
      <c r="I126" t="s">
        <v>379</v>
      </c>
    </row>
    <row r="127" spans="1:9" x14ac:dyDescent="0.25">
      <c r="A127" t="s">
        <v>1345</v>
      </c>
      <c r="B127">
        <f t="shared" si="1"/>
        <v>1775</v>
      </c>
      <c r="C127" t="s">
        <v>1346</v>
      </c>
      <c r="D127" t="s">
        <v>364</v>
      </c>
      <c r="E127" t="s">
        <v>119</v>
      </c>
      <c r="F127" t="s">
        <v>326</v>
      </c>
      <c r="G127" t="s">
        <v>554</v>
      </c>
      <c r="H127">
        <v>0</v>
      </c>
      <c r="I127" t="s">
        <v>1822</v>
      </c>
    </row>
    <row r="128" spans="1:9" x14ac:dyDescent="0.25">
      <c r="A128" t="s">
        <v>1823</v>
      </c>
      <c r="B128">
        <f t="shared" si="1"/>
        <v>1778</v>
      </c>
      <c r="C128" t="s">
        <v>1824</v>
      </c>
      <c r="D128" t="s">
        <v>364</v>
      </c>
      <c r="E128" t="s">
        <v>119</v>
      </c>
      <c r="F128" t="s">
        <v>330</v>
      </c>
      <c r="G128" t="s">
        <v>324</v>
      </c>
      <c r="H128">
        <v>0</v>
      </c>
      <c r="I128" t="s">
        <v>379</v>
      </c>
    </row>
    <row r="129" spans="1:9" x14ac:dyDescent="0.25">
      <c r="A129" t="s">
        <v>1035</v>
      </c>
      <c r="B129">
        <f t="shared" si="1"/>
        <v>1780</v>
      </c>
      <c r="C129" t="s">
        <v>1036</v>
      </c>
      <c r="D129" t="s">
        <v>364</v>
      </c>
      <c r="E129" t="s">
        <v>119</v>
      </c>
      <c r="F129" t="s">
        <v>345</v>
      </c>
      <c r="G129" t="s">
        <v>324</v>
      </c>
      <c r="H129">
        <v>0</v>
      </c>
      <c r="I129" t="s">
        <v>379</v>
      </c>
    </row>
    <row r="130" spans="1:9" x14ac:dyDescent="0.25">
      <c r="A130" t="s">
        <v>4442</v>
      </c>
      <c r="B130">
        <f t="shared" si="1"/>
        <v>1829</v>
      </c>
      <c r="C130" t="s">
        <v>4443</v>
      </c>
      <c r="D130" t="s">
        <v>72</v>
      </c>
      <c r="E130" t="s">
        <v>119</v>
      </c>
      <c r="F130" t="s">
        <v>327</v>
      </c>
      <c r="G130" t="s">
        <v>28</v>
      </c>
      <c r="H130">
        <v>0</v>
      </c>
      <c r="I130" t="s">
        <v>4444</v>
      </c>
    </row>
    <row r="131" spans="1:9" x14ac:dyDescent="0.25">
      <c r="A131" t="s">
        <v>3239</v>
      </c>
      <c r="B131">
        <f t="shared" si="1"/>
        <v>1830</v>
      </c>
      <c r="C131" t="s">
        <v>3240</v>
      </c>
      <c r="D131" t="s">
        <v>72</v>
      </c>
      <c r="E131" t="s">
        <v>119</v>
      </c>
      <c r="F131" t="s">
        <v>318</v>
      </c>
      <c r="G131" t="s">
        <v>324</v>
      </c>
      <c r="H131">
        <v>0</v>
      </c>
      <c r="I131" t="s">
        <v>379</v>
      </c>
    </row>
    <row r="132" spans="1:9" x14ac:dyDescent="0.25">
      <c r="A132" t="s">
        <v>1825</v>
      </c>
      <c r="B132">
        <f t="shared" ref="B132:B195" si="2">_xlfn.NUMBERVALUE(A132,"#####")</f>
        <v>1831</v>
      </c>
      <c r="C132" t="s">
        <v>1826</v>
      </c>
      <c r="D132" t="s">
        <v>364</v>
      </c>
      <c r="E132" t="s">
        <v>119</v>
      </c>
      <c r="F132" t="s">
        <v>318</v>
      </c>
      <c r="G132" t="s">
        <v>312</v>
      </c>
      <c r="H132">
        <v>0</v>
      </c>
      <c r="I132" t="s">
        <v>382</v>
      </c>
    </row>
    <row r="133" spans="1:9" x14ac:dyDescent="0.25">
      <c r="A133" t="s">
        <v>1827</v>
      </c>
      <c r="B133">
        <f t="shared" si="2"/>
        <v>1835</v>
      </c>
      <c r="C133" t="s">
        <v>1828</v>
      </c>
      <c r="D133" t="s">
        <v>364</v>
      </c>
      <c r="E133" t="s">
        <v>119</v>
      </c>
      <c r="F133" t="s">
        <v>323</v>
      </c>
      <c r="G133" t="s">
        <v>324</v>
      </c>
      <c r="H133">
        <v>0</v>
      </c>
      <c r="I133" t="s">
        <v>379</v>
      </c>
    </row>
    <row r="134" spans="1:9" x14ac:dyDescent="0.25">
      <c r="A134" t="s">
        <v>1037</v>
      </c>
      <c r="B134">
        <f t="shared" si="2"/>
        <v>1839</v>
      </c>
      <c r="C134" t="s">
        <v>1038</v>
      </c>
      <c r="D134" t="s">
        <v>364</v>
      </c>
      <c r="E134" t="s">
        <v>119</v>
      </c>
      <c r="F134" t="s">
        <v>872</v>
      </c>
      <c r="G134" t="s">
        <v>324</v>
      </c>
      <c r="H134">
        <v>0</v>
      </c>
      <c r="I134" t="s">
        <v>379</v>
      </c>
    </row>
    <row r="135" spans="1:9" x14ac:dyDescent="0.25">
      <c r="A135" t="s">
        <v>735</v>
      </c>
      <c r="B135">
        <f t="shared" si="2"/>
        <v>1846</v>
      </c>
      <c r="C135" t="s">
        <v>736</v>
      </c>
      <c r="D135" t="s">
        <v>364</v>
      </c>
      <c r="E135" t="s">
        <v>119</v>
      </c>
      <c r="F135" t="s">
        <v>323</v>
      </c>
      <c r="G135" t="s">
        <v>324</v>
      </c>
      <c r="H135">
        <v>0</v>
      </c>
      <c r="I135" t="s">
        <v>379</v>
      </c>
    </row>
    <row r="136" spans="1:9" x14ac:dyDescent="0.25">
      <c r="A136" t="s">
        <v>1829</v>
      </c>
      <c r="B136">
        <f t="shared" si="2"/>
        <v>1849</v>
      </c>
      <c r="C136" t="s">
        <v>1830</v>
      </c>
      <c r="D136" t="s">
        <v>364</v>
      </c>
      <c r="E136" t="s">
        <v>119</v>
      </c>
      <c r="F136" t="s">
        <v>323</v>
      </c>
      <c r="G136" t="s">
        <v>316</v>
      </c>
      <c r="H136">
        <v>0</v>
      </c>
      <c r="I136" t="s">
        <v>1831</v>
      </c>
    </row>
    <row r="137" spans="1:9" x14ac:dyDescent="0.25">
      <c r="A137" t="s">
        <v>1039</v>
      </c>
      <c r="B137">
        <f t="shared" si="2"/>
        <v>1851</v>
      </c>
      <c r="C137" t="s">
        <v>1040</v>
      </c>
      <c r="D137" t="s">
        <v>364</v>
      </c>
      <c r="E137" t="s">
        <v>698</v>
      </c>
      <c r="F137" t="s">
        <v>1014</v>
      </c>
      <c r="G137" t="s">
        <v>1041</v>
      </c>
      <c r="H137">
        <v>0</v>
      </c>
      <c r="I137" t="s">
        <v>1042</v>
      </c>
    </row>
    <row r="138" spans="1:9" x14ac:dyDescent="0.25">
      <c r="A138" t="s">
        <v>1832</v>
      </c>
      <c r="B138">
        <f t="shared" si="2"/>
        <v>1860</v>
      </c>
      <c r="C138" t="s">
        <v>1833</v>
      </c>
      <c r="D138" t="s">
        <v>364</v>
      </c>
      <c r="E138" t="s">
        <v>119</v>
      </c>
      <c r="F138" t="s">
        <v>318</v>
      </c>
      <c r="G138" t="s">
        <v>324</v>
      </c>
      <c r="H138">
        <v>0</v>
      </c>
      <c r="I138" t="s">
        <v>379</v>
      </c>
    </row>
    <row r="139" spans="1:9" x14ac:dyDescent="0.25">
      <c r="A139" t="s">
        <v>2899</v>
      </c>
      <c r="B139">
        <f t="shared" si="2"/>
        <v>1871</v>
      </c>
      <c r="C139" t="s">
        <v>2900</v>
      </c>
      <c r="D139" t="s">
        <v>364</v>
      </c>
      <c r="E139" t="s">
        <v>119</v>
      </c>
      <c r="F139" t="s">
        <v>1022</v>
      </c>
      <c r="G139" t="s">
        <v>312</v>
      </c>
      <c r="H139">
        <v>0</v>
      </c>
      <c r="I139" t="s">
        <v>382</v>
      </c>
    </row>
    <row r="140" spans="1:9" x14ac:dyDescent="0.25">
      <c r="A140" t="s">
        <v>2775</v>
      </c>
      <c r="B140">
        <f t="shared" si="2"/>
        <v>1940</v>
      </c>
      <c r="C140" t="s">
        <v>2776</v>
      </c>
      <c r="D140" t="s">
        <v>364</v>
      </c>
      <c r="E140" t="s">
        <v>119</v>
      </c>
      <c r="F140" t="s">
        <v>326</v>
      </c>
      <c r="G140" t="s">
        <v>324</v>
      </c>
      <c r="H140">
        <v>0</v>
      </c>
      <c r="I140" t="s">
        <v>379</v>
      </c>
    </row>
    <row r="141" spans="1:9" x14ac:dyDescent="0.25">
      <c r="A141" t="s">
        <v>2816</v>
      </c>
      <c r="B141">
        <f t="shared" si="2"/>
        <v>1962</v>
      </c>
      <c r="C141" t="s">
        <v>2817</v>
      </c>
      <c r="D141" t="s">
        <v>364</v>
      </c>
      <c r="E141" t="s">
        <v>119</v>
      </c>
      <c r="F141" t="s">
        <v>327</v>
      </c>
      <c r="G141" t="s">
        <v>324</v>
      </c>
      <c r="H141">
        <v>0</v>
      </c>
      <c r="I141" t="s">
        <v>379</v>
      </c>
    </row>
    <row r="142" spans="1:9" x14ac:dyDescent="0.25">
      <c r="A142" t="s">
        <v>1834</v>
      </c>
      <c r="B142">
        <f t="shared" si="2"/>
        <v>1970</v>
      </c>
      <c r="C142" t="s">
        <v>1835</v>
      </c>
      <c r="D142" t="s">
        <v>364</v>
      </c>
      <c r="E142" t="s">
        <v>119</v>
      </c>
      <c r="F142" t="s">
        <v>327</v>
      </c>
      <c r="G142" t="s">
        <v>26</v>
      </c>
      <c r="H142">
        <v>0</v>
      </c>
      <c r="I142" t="s">
        <v>394</v>
      </c>
    </row>
    <row r="143" spans="1:9" x14ac:dyDescent="0.25">
      <c r="A143" t="s">
        <v>1836</v>
      </c>
      <c r="B143">
        <f t="shared" si="2"/>
        <v>1980</v>
      </c>
      <c r="C143" t="s">
        <v>1837</v>
      </c>
      <c r="D143" t="s">
        <v>364</v>
      </c>
      <c r="E143" t="s">
        <v>119</v>
      </c>
      <c r="F143" t="s">
        <v>323</v>
      </c>
      <c r="G143" t="s">
        <v>314</v>
      </c>
      <c r="H143">
        <v>0</v>
      </c>
      <c r="I143" t="s">
        <v>468</v>
      </c>
    </row>
    <row r="144" spans="1:9" x14ac:dyDescent="0.25">
      <c r="A144" t="s">
        <v>131</v>
      </c>
      <c r="B144">
        <f t="shared" si="2"/>
        <v>2068</v>
      </c>
      <c r="C144" t="s">
        <v>132</v>
      </c>
      <c r="D144" t="s">
        <v>72</v>
      </c>
      <c r="E144" t="s">
        <v>81</v>
      </c>
      <c r="F144" t="s">
        <v>81</v>
      </c>
      <c r="G144" t="s">
        <v>81</v>
      </c>
      <c r="H144">
        <v>1</v>
      </c>
      <c r="I144" t="s">
        <v>388</v>
      </c>
    </row>
    <row r="145" spans="1:9" x14ac:dyDescent="0.25">
      <c r="A145" t="s">
        <v>4098</v>
      </c>
      <c r="B145">
        <f t="shared" si="2"/>
        <v>2084</v>
      </c>
      <c r="C145" t="s">
        <v>4099</v>
      </c>
      <c r="D145" t="s">
        <v>72</v>
      </c>
      <c r="E145" t="s">
        <v>119</v>
      </c>
      <c r="F145" t="s">
        <v>323</v>
      </c>
      <c r="G145" t="s">
        <v>27</v>
      </c>
      <c r="H145">
        <v>0</v>
      </c>
      <c r="I145" t="s">
        <v>387</v>
      </c>
    </row>
    <row r="146" spans="1:9" x14ac:dyDescent="0.25">
      <c r="A146" t="s">
        <v>2873</v>
      </c>
      <c r="B146">
        <f t="shared" si="2"/>
        <v>2086</v>
      </c>
      <c r="C146" t="s">
        <v>2874</v>
      </c>
      <c r="D146" t="s">
        <v>364</v>
      </c>
      <c r="E146" t="s">
        <v>119</v>
      </c>
      <c r="F146" t="s">
        <v>327</v>
      </c>
      <c r="G146" t="s">
        <v>312</v>
      </c>
      <c r="H146">
        <v>0</v>
      </c>
      <c r="I146" t="s">
        <v>382</v>
      </c>
    </row>
    <row r="147" spans="1:9" x14ac:dyDescent="0.25">
      <c r="A147" t="s">
        <v>1347</v>
      </c>
      <c r="B147">
        <f t="shared" si="2"/>
        <v>2090</v>
      </c>
      <c r="C147" t="s">
        <v>1348</v>
      </c>
      <c r="D147" t="s">
        <v>364</v>
      </c>
      <c r="E147" t="s">
        <v>119</v>
      </c>
      <c r="F147" t="s">
        <v>326</v>
      </c>
      <c r="G147" t="s">
        <v>324</v>
      </c>
      <c r="H147">
        <v>0</v>
      </c>
      <c r="I147" t="s">
        <v>379</v>
      </c>
    </row>
    <row r="148" spans="1:9" x14ac:dyDescent="0.25">
      <c r="A148" t="s">
        <v>4445</v>
      </c>
      <c r="B148">
        <f t="shared" si="2"/>
        <v>2092</v>
      </c>
      <c r="C148" t="s">
        <v>4446</v>
      </c>
      <c r="D148" t="s">
        <v>72</v>
      </c>
      <c r="E148" t="s">
        <v>119</v>
      </c>
      <c r="F148" t="s">
        <v>327</v>
      </c>
      <c r="G148" t="s">
        <v>324</v>
      </c>
      <c r="H148">
        <v>0</v>
      </c>
      <c r="I148" t="s">
        <v>379</v>
      </c>
    </row>
    <row r="149" spans="1:9" x14ac:dyDescent="0.25">
      <c r="A149" t="s">
        <v>1043</v>
      </c>
      <c r="B149">
        <f t="shared" si="2"/>
        <v>2114</v>
      </c>
      <c r="C149" t="s">
        <v>1044</v>
      </c>
      <c r="D149" t="s">
        <v>364</v>
      </c>
      <c r="E149" t="s">
        <v>119</v>
      </c>
      <c r="F149" t="s">
        <v>1022</v>
      </c>
      <c r="G149" t="s">
        <v>324</v>
      </c>
      <c r="H149">
        <v>0</v>
      </c>
      <c r="I149" t="s">
        <v>379</v>
      </c>
    </row>
    <row r="150" spans="1:9" x14ac:dyDescent="0.25">
      <c r="A150" t="s">
        <v>4447</v>
      </c>
      <c r="B150">
        <f t="shared" si="2"/>
        <v>2115</v>
      </c>
      <c r="C150" t="s">
        <v>4448</v>
      </c>
      <c r="D150" t="s">
        <v>364</v>
      </c>
      <c r="E150" t="s">
        <v>119</v>
      </c>
      <c r="F150" t="s">
        <v>325</v>
      </c>
      <c r="G150" t="s">
        <v>324</v>
      </c>
      <c r="H150">
        <v>0</v>
      </c>
      <c r="I150" t="s">
        <v>379</v>
      </c>
    </row>
    <row r="151" spans="1:9" x14ac:dyDescent="0.25">
      <c r="A151" t="s">
        <v>1838</v>
      </c>
      <c r="B151">
        <f t="shared" si="2"/>
        <v>2118</v>
      </c>
      <c r="C151" t="s">
        <v>1839</v>
      </c>
      <c r="D151" t="s">
        <v>364</v>
      </c>
      <c r="E151" t="s">
        <v>119</v>
      </c>
      <c r="F151" t="s">
        <v>330</v>
      </c>
      <c r="G151" t="s">
        <v>324</v>
      </c>
      <c r="H151">
        <v>0</v>
      </c>
      <c r="I151" t="s">
        <v>379</v>
      </c>
    </row>
    <row r="152" spans="1:9" x14ac:dyDescent="0.25">
      <c r="A152" t="s">
        <v>3681</v>
      </c>
      <c r="B152">
        <f t="shared" si="2"/>
        <v>2119</v>
      </c>
      <c r="C152" t="s">
        <v>3682</v>
      </c>
      <c r="D152" t="s">
        <v>72</v>
      </c>
      <c r="E152" t="s">
        <v>119</v>
      </c>
      <c r="F152" t="s">
        <v>318</v>
      </c>
      <c r="G152" t="s">
        <v>329</v>
      </c>
      <c r="H152">
        <v>0</v>
      </c>
      <c r="I152" t="s">
        <v>377</v>
      </c>
    </row>
    <row r="153" spans="1:9" x14ac:dyDescent="0.25">
      <c r="A153" t="s">
        <v>870</v>
      </c>
      <c r="B153">
        <f t="shared" si="2"/>
        <v>2128</v>
      </c>
      <c r="C153" t="s">
        <v>871</v>
      </c>
      <c r="D153" t="s">
        <v>364</v>
      </c>
      <c r="E153" t="s">
        <v>119</v>
      </c>
      <c r="F153" t="s">
        <v>327</v>
      </c>
      <c r="G153" t="s">
        <v>324</v>
      </c>
      <c r="H153">
        <v>0</v>
      </c>
      <c r="I153" t="s">
        <v>379</v>
      </c>
    </row>
    <row r="154" spans="1:9" x14ac:dyDescent="0.25">
      <c r="A154" t="s">
        <v>1840</v>
      </c>
      <c r="B154">
        <f t="shared" si="2"/>
        <v>2129</v>
      </c>
      <c r="C154" t="s">
        <v>1841</v>
      </c>
      <c r="D154" t="s">
        <v>364</v>
      </c>
      <c r="E154" t="s">
        <v>119</v>
      </c>
      <c r="F154" t="s">
        <v>872</v>
      </c>
      <c r="G154" t="s">
        <v>329</v>
      </c>
      <c r="H154">
        <v>0</v>
      </c>
      <c r="I154" t="s">
        <v>377</v>
      </c>
    </row>
    <row r="155" spans="1:9" x14ac:dyDescent="0.25">
      <c r="A155" t="s">
        <v>3057</v>
      </c>
      <c r="B155">
        <f t="shared" si="2"/>
        <v>2131</v>
      </c>
      <c r="C155" t="s">
        <v>3058</v>
      </c>
      <c r="D155" t="s">
        <v>364</v>
      </c>
      <c r="E155" t="s">
        <v>119</v>
      </c>
      <c r="F155" t="s">
        <v>327</v>
      </c>
      <c r="G155" t="s">
        <v>324</v>
      </c>
      <c r="H155">
        <v>0</v>
      </c>
      <c r="I155" t="s">
        <v>379</v>
      </c>
    </row>
    <row r="156" spans="1:9" x14ac:dyDescent="0.25">
      <c r="A156" t="s">
        <v>1842</v>
      </c>
      <c r="B156">
        <f t="shared" si="2"/>
        <v>2136</v>
      </c>
      <c r="C156" t="s">
        <v>1843</v>
      </c>
      <c r="D156" t="s">
        <v>364</v>
      </c>
      <c r="E156" t="s">
        <v>119</v>
      </c>
      <c r="F156" t="s">
        <v>327</v>
      </c>
      <c r="G156" t="s">
        <v>324</v>
      </c>
      <c r="H156">
        <v>0</v>
      </c>
      <c r="I156" t="s">
        <v>379</v>
      </c>
    </row>
    <row r="157" spans="1:9" x14ac:dyDescent="0.25">
      <c r="A157" t="s">
        <v>3528</v>
      </c>
      <c r="B157">
        <f t="shared" si="2"/>
        <v>2137</v>
      </c>
      <c r="C157" t="s">
        <v>3529</v>
      </c>
      <c r="D157" t="s">
        <v>72</v>
      </c>
      <c r="E157" t="s">
        <v>119</v>
      </c>
      <c r="F157" t="s">
        <v>326</v>
      </c>
      <c r="G157" t="s">
        <v>24</v>
      </c>
      <c r="H157">
        <v>0</v>
      </c>
      <c r="I157" t="s">
        <v>383</v>
      </c>
    </row>
    <row r="158" spans="1:9" x14ac:dyDescent="0.25">
      <c r="A158" t="s">
        <v>4158</v>
      </c>
      <c r="B158">
        <f t="shared" si="2"/>
        <v>2138</v>
      </c>
      <c r="C158" t="s">
        <v>4159</v>
      </c>
      <c r="D158" t="s">
        <v>72</v>
      </c>
      <c r="E158" t="s">
        <v>119</v>
      </c>
      <c r="F158" t="s">
        <v>326</v>
      </c>
      <c r="G158" t="s">
        <v>28</v>
      </c>
      <c r="H158">
        <v>0</v>
      </c>
      <c r="I158" t="s">
        <v>376</v>
      </c>
    </row>
    <row r="159" spans="1:9" x14ac:dyDescent="0.25">
      <c r="A159" t="s">
        <v>1349</v>
      </c>
      <c r="B159">
        <f t="shared" si="2"/>
        <v>2140</v>
      </c>
      <c r="C159" t="s">
        <v>1350</v>
      </c>
      <c r="D159" t="s">
        <v>364</v>
      </c>
      <c r="E159" t="s">
        <v>81</v>
      </c>
      <c r="F159" t="s">
        <v>81</v>
      </c>
      <c r="G159" t="s">
        <v>81</v>
      </c>
      <c r="H159">
        <v>0</v>
      </c>
      <c r="I159" t="s">
        <v>418</v>
      </c>
    </row>
    <row r="160" spans="1:9" x14ac:dyDescent="0.25">
      <c r="A160" t="s">
        <v>1844</v>
      </c>
      <c r="B160">
        <f t="shared" si="2"/>
        <v>2141</v>
      </c>
      <c r="C160" t="s">
        <v>1845</v>
      </c>
      <c r="D160" t="s">
        <v>72</v>
      </c>
      <c r="E160" t="s">
        <v>119</v>
      </c>
      <c r="F160" t="s">
        <v>327</v>
      </c>
      <c r="G160" t="s">
        <v>324</v>
      </c>
      <c r="H160">
        <v>0</v>
      </c>
      <c r="I160" t="s">
        <v>4449</v>
      </c>
    </row>
    <row r="161" spans="1:9" x14ac:dyDescent="0.25">
      <c r="A161" t="s">
        <v>3120</v>
      </c>
      <c r="B161">
        <f t="shared" si="2"/>
        <v>2144</v>
      </c>
      <c r="C161" t="s">
        <v>3121</v>
      </c>
      <c r="D161" t="s">
        <v>364</v>
      </c>
      <c r="E161" t="s">
        <v>119</v>
      </c>
      <c r="F161" t="s">
        <v>327</v>
      </c>
      <c r="G161" t="s">
        <v>324</v>
      </c>
      <c r="H161">
        <v>0</v>
      </c>
      <c r="I161" t="s">
        <v>379</v>
      </c>
    </row>
    <row r="162" spans="1:9" x14ac:dyDescent="0.25">
      <c r="A162" t="s">
        <v>3388</v>
      </c>
      <c r="B162">
        <f t="shared" si="2"/>
        <v>2174</v>
      </c>
      <c r="C162" t="s">
        <v>3389</v>
      </c>
      <c r="D162" t="s">
        <v>72</v>
      </c>
      <c r="E162" t="s">
        <v>81</v>
      </c>
      <c r="F162" t="s">
        <v>81</v>
      </c>
      <c r="G162" t="s">
        <v>81</v>
      </c>
      <c r="H162">
        <v>0</v>
      </c>
      <c r="I162" t="s">
        <v>618</v>
      </c>
    </row>
    <row r="163" spans="1:9" x14ac:dyDescent="0.25">
      <c r="A163" t="s">
        <v>831</v>
      </c>
      <c r="B163">
        <f t="shared" si="2"/>
        <v>2188</v>
      </c>
      <c r="C163" t="s">
        <v>832</v>
      </c>
      <c r="D163" t="s">
        <v>72</v>
      </c>
      <c r="E163" t="s">
        <v>119</v>
      </c>
      <c r="F163" t="s">
        <v>325</v>
      </c>
      <c r="G163" t="s">
        <v>329</v>
      </c>
      <c r="H163">
        <v>0</v>
      </c>
      <c r="I163" t="s">
        <v>377</v>
      </c>
    </row>
    <row r="164" spans="1:9" x14ac:dyDescent="0.25">
      <c r="A164" t="s">
        <v>3271</v>
      </c>
      <c r="B164">
        <f t="shared" si="2"/>
        <v>2203</v>
      </c>
      <c r="C164" t="s">
        <v>3272</v>
      </c>
      <c r="D164" t="s">
        <v>364</v>
      </c>
      <c r="E164" t="s">
        <v>119</v>
      </c>
      <c r="F164" t="s">
        <v>327</v>
      </c>
      <c r="G164" t="s">
        <v>324</v>
      </c>
      <c r="H164">
        <v>0</v>
      </c>
      <c r="I164" t="s">
        <v>379</v>
      </c>
    </row>
    <row r="165" spans="1:9" x14ac:dyDescent="0.25">
      <c r="A165" t="s">
        <v>1711</v>
      </c>
      <c r="B165">
        <f t="shared" si="2"/>
        <v>2205</v>
      </c>
      <c r="C165" t="s">
        <v>1712</v>
      </c>
      <c r="D165" t="s">
        <v>72</v>
      </c>
      <c r="E165" t="s">
        <v>81</v>
      </c>
      <c r="F165" t="s">
        <v>81</v>
      </c>
      <c r="G165" t="s">
        <v>81</v>
      </c>
      <c r="H165">
        <v>1</v>
      </c>
      <c r="I165" t="s">
        <v>3327</v>
      </c>
    </row>
    <row r="166" spans="1:9" x14ac:dyDescent="0.25">
      <c r="A166" t="s">
        <v>4372</v>
      </c>
      <c r="B166">
        <f t="shared" si="2"/>
        <v>2206</v>
      </c>
      <c r="C166" t="s">
        <v>4373</v>
      </c>
      <c r="D166" t="s">
        <v>72</v>
      </c>
      <c r="E166" t="s">
        <v>119</v>
      </c>
      <c r="F166" t="s">
        <v>327</v>
      </c>
      <c r="G166" t="s">
        <v>324</v>
      </c>
      <c r="H166">
        <v>0</v>
      </c>
      <c r="I166" t="s">
        <v>379</v>
      </c>
    </row>
    <row r="167" spans="1:9" x14ac:dyDescent="0.25">
      <c r="A167" t="s">
        <v>1846</v>
      </c>
      <c r="B167">
        <f t="shared" si="2"/>
        <v>2210</v>
      </c>
      <c r="C167" t="s">
        <v>1847</v>
      </c>
      <c r="D167" t="s">
        <v>364</v>
      </c>
      <c r="E167" t="s">
        <v>119</v>
      </c>
      <c r="F167" t="s">
        <v>325</v>
      </c>
      <c r="G167" t="s">
        <v>24</v>
      </c>
      <c r="H167">
        <v>0</v>
      </c>
      <c r="I167" t="s">
        <v>383</v>
      </c>
    </row>
    <row r="168" spans="1:9" x14ac:dyDescent="0.25">
      <c r="A168" t="s">
        <v>133</v>
      </c>
      <c r="B168">
        <f t="shared" si="2"/>
        <v>2213</v>
      </c>
      <c r="C168" t="s">
        <v>134</v>
      </c>
      <c r="D168" t="s">
        <v>72</v>
      </c>
      <c r="E168" t="s">
        <v>119</v>
      </c>
      <c r="F168" t="s">
        <v>328</v>
      </c>
      <c r="G168" t="s">
        <v>72</v>
      </c>
      <c r="H168">
        <v>1</v>
      </c>
      <c r="I168" t="s">
        <v>390</v>
      </c>
    </row>
    <row r="169" spans="1:9" x14ac:dyDescent="0.25">
      <c r="A169" t="s">
        <v>3617</v>
      </c>
      <c r="B169">
        <f t="shared" si="2"/>
        <v>2221</v>
      </c>
      <c r="C169" t="s">
        <v>3618</v>
      </c>
      <c r="D169" t="s">
        <v>72</v>
      </c>
      <c r="E169" t="s">
        <v>119</v>
      </c>
      <c r="F169" t="s">
        <v>327</v>
      </c>
      <c r="G169" t="s">
        <v>29</v>
      </c>
      <c r="H169">
        <v>0</v>
      </c>
      <c r="I169" t="s">
        <v>391</v>
      </c>
    </row>
    <row r="170" spans="1:9" x14ac:dyDescent="0.25">
      <c r="A170" t="s">
        <v>1351</v>
      </c>
      <c r="B170">
        <f t="shared" si="2"/>
        <v>2223</v>
      </c>
      <c r="C170" t="s">
        <v>1352</v>
      </c>
      <c r="D170" t="s">
        <v>364</v>
      </c>
      <c r="E170" t="s">
        <v>119</v>
      </c>
      <c r="F170" t="s">
        <v>326</v>
      </c>
      <c r="G170" t="s">
        <v>324</v>
      </c>
      <c r="H170">
        <v>0</v>
      </c>
      <c r="I170" t="s">
        <v>379</v>
      </c>
    </row>
    <row r="171" spans="1:9" x14ac:dyDescent="0.25">
      <c r="A171" t="s">
        <v>1848</v>
      </c>
      <c r="B171">
        <f t="shared" si="2"/>
        <v>2243</v>
      </c>
      <c r="C171" t="s">
        <v>1849</v>
      </c>
      <c r="D171" t="s">
        <v>364</v>
      </c>
      <c r="E171" t="s">
        <v>119</v>
      </c>
      <c r="F171" t="s">
        <v>327</v>
      </c>
      <c r="G171" t="s">
        <v>329</v>
      </c>
      <c r="H171">
        <v>0</v>
      </c>
      <c r="I171" t="s">
        <v>377</v>
      </c>
    </row>
    <row r="172" spans="1:9" x14ac:dyDescent="0.25">
      <c r="A172" t="s">
        <v>4050</v>
      </c>
      <c r="B172">
        <f t="shared" si="2"/>
        <v>2262</v>
      </c>
      <c r="C172" t="s">
        <v>4051</v>
      </c>
      <c r="D172" t="s">
        <v>72</v>
      </c>
      <c r="E172" t="s">
        <v>119</v>
      </c>
      <c r="F172" t="s">
        <v>326</v>
      </c>
      <c r="G172" t="s">
        <v>26</v>
      </c>
      <c r="H172">
        <v>0</v>
      </c>
      <c r="I172" t="s">
        <v>394</v>
      </c>
    </row>
    <row r="173" spans="1:9" x14ac:dyDescent="0.25">
      <c r="A173" t="s">
        <v>665</v>
      </c>
      <c r="B173">
        <f t="shared" si="2"/>
        <v>2265</v>
      </c>
      <c r="C173" t="s">
        <v>666</v>
      </c>
      <c r="D173" t="s">
        <v>72</v>
      </c>
      <c r="E173" t="s">
        <v>81</v>
      </c>
      <c r="F173" t="s">
        <v>81</v>
      </c>
      <c r="G173" t="s">
        <v>81</v>
      </c>
      <c r="H173">
        <v>0</v>
      </c>
      <c r="I173" t="s">
        <v>667</v>
      </c>
    </row>
    <row r="174" spans="1:9" x14ac:dyDescent="0.25">
      <c r="A174" t="s">
        <v>1353</v>
      </c>
      <c r="B174">
        <f t="shared" si="2"/>
        <v>2268</v>
      </c>
      <c r="C174" t="s">
        <v>1354</v>
      </c>
      <c r="D174" t="s">
        <v>364</v>
      </c>
      <c r="E174" t="s">
        <v>119</v>
      </c>
      <c r="F174" t="s">
        <v>664</v>
      </c>
      <c r="G174" t="s">
        <v>29</v>
      </c>
      <c r="H174">
        <v>0</v>
      </c>
      <c r="I174" t="s">
        <v>391</v>
      </c>
    </row>
    <row r="175" spans="1:9" x14ac:dyDescent="0.25">
      <c r="A175" t="s">
        <v>3085</v>
      </c>
      <c r="B175">
        <f t="shared" si="2"/>
        <v>2270</v>
      </c>
      <c r="C175" t="s">
        <v>3086</v>
      </c>
      <c r="D175" t="s">
        <v>364</v>
      </c>
      <c r="E175" t="s">
        <v>119</v>
      </c>
      <c r="F175" t="s">
        <v>323</v>
      </c>
      <c r="G175" t="s">
        <v>324</v>
      </c>
      <c r="H175">
        <v>0</v>
      </c>
      <c r="I175" t="s">
        <v>379</v>
      </c>
    </row>
    <row r="176" spans="1:9" x14ac:dyDescent="0.25">
      <c r="A176" t="s">
        <v>4160</v>
      </c>
      <c r="B176">
        <f t="shared" si="2"/>
        <v>2273</v>
      </c>
      <c r="C176" t="s">
        <v>4161</v>
      </c>
      <c r="D176" t="s">
        <v>72</v>
      </c>
      <c r="E176" t="s">
        <v>119</v>
      </c>
      <c r="F176" t="s">
        <v>326</v>
      </c>
      <c r="G176" t="s">
        <v>324</v>
      </c>
      <c r="H176">
        <v>0</v>
      </c>
      <c r="I176" t="s">
        <v>379</v>
      </c>
    </row>
    <row r="177" spans="1:9" x14ac:dyDescent="0.25">
      <c r="A177" t="s">
        <v>4374</v>
      </c>
      <c r="B177">
        <f t="shared" si="2"/>
        <v>2274</v>
      </c>
      <c r="C177" t="s">
        <v>4375</v>
      </c>
      <c r="D177" t="s">
        <v>72</v>
      </c>
      <c r="E177" t="s">
        <v>119</v>
      </c>
      <c r="F177" t="s">
        <v>327</v>
      </c>
      <c r="G177" t="s">
        <v>329</v>
      </c>
      <c r="H177">
        <v>0</v>
      </c>
      <c r="I177" t="s">
        <v>377</v>
      </c>
    </row>
    <row r="178" spans="1:9" x14ac:dyDescent="0.25">
      <c r="A178" t="s">
        <v>2901</v>
      </c>
      <c r="B178">
        <f t="shared" si="2"/>
        <v>2279</v>
      </c>
      <c r="C178" t="s">
        <v>2902</v>
      </c>
      <c r="D178" t="s">
        <v>364</v>
      </c>
      <c r="E178" t="s">
        <v>119</v>
      </c>
      <c r="F178" t="s">
        <v>327</v>
      </c>
      <c r="G178" t="s">
        <v>329</v>
      </c>
      <c r="H178">
        <v>0</v>
      </c>
      <c r="I178" t="s">
        <v>377</v>
      </c>
    </row>
    <row r="179" spans="1:9" x14ac:dyDescent="0.25">
      <c r="A179" t="s">
        <v>1355</v>
      </c>
      <c r="B179">
        <f t="shared" si="2"/>
        <v>2341</v>
      </c>
      <c r="C179" t="s">
        <v>1356</v>
      </c>
      <c r="D179" t="s">
        <v>364</v>
      </c>
      <c r="E179" t="s">
        <v>119</v>
      </c>
      <c r="F179" t="s">
        <v>328</v>
      </c>
      <c r="G179" t="s">
        <v>24</v>
      </c>
      <c r="H179">
        <v>0</v>
      </c>
      <c r="I179" t="s">
        <v>383</v>
      </c>
    </row>
    <row r="180" spans="1:9" x14ac:dyDescent="0.25">
      <c r="A180" t="s">
        <v>4450</v>
      </c>
      <c r="B180">
        <f t="shared" si="2"/>
        <v>2344</v>
      </c>
      <c r="C180" t="s">
        <v>4451</v>
      </c>
      <c r="D180" t="s">
        <v>72</v>
      </c>
      <c r="E180" t="s">
        <v>119</v>
      </c>
      <c r="F180" t="s">
        <v>327</v>
      </c>
      <c r="G180" t="s">
        <v>324</v>
      </c>
      <c r="H180">
        <v>0</v>
      </c>
      <c r="I180" t="s">
        <v>379</v>
      </c>
    </row>
    <row r="181" spans="1:9" x14ac:dyDescent="0.25">
      <c r="A181" t="s">
        <v>4162</v>
      </c>
      <c r="B181">
        <f t="shared" si="2"/>
        <v>2357</v>
      </c>
      <c r="C181" t="s">
        <v>4163</v>
      </c>
      <c r="D181" t="s">
        <v>72</v>
      </c>
      <c r="E181" t="s">
        <v>119</v>
      </c>
      <c r="F181" t="s">
        <v>326</v>
      </c>
      <c r="G181" t="s">
        <v>324</v>
      </c>
      <c r="H181">
        <v>0</v>
      </c>
      <c r="I181" t="s">
        <v>379</v>
      </c>
    </row>
    <row r="182" spans="1:9" x14ac:dyDescent="0.25">
      <c r="A182" t="s">
        <v>1850</v>
      </c>
      <c r="B182">
        <f t="shared" si="2"/>
        <v>2360</v>
      </c>
      <c r="C182" t="s">
        <v>1851</v>
      </c>
      <c r="D182" t="s">
        <v>364</v>
      </c>
      <c r="E182" t="s">
        <v>119</v>
      </c>
      <c r="F182" t="s">
        <v>327</v>
      </c>
      <c r="G182" t="s">
        <v>324</v>
      </c>
      <c r="H182">
        <v>0</v>
      </c>
      <c r="I182" t="s">
        <v>379</v>
      </c>
    </row>
    <row r="183" spans="1:9" x14ac:dyDescent="0.25">
      <c r="A183" t="s">
        <v>3296</v>
      </c>
      <c r="B183">
        <f t="shared" si="2"/>
        <v>2365</v>
      </c>
      <c r="C183" t="s">
        <v>3297</v>
      </c>
      <c r="D183" t="s">
        <v>72</v>
      </c>
      <c r="E183" t="s">
        <v>119</v>
      </c>
      <c r="F183" t="s">
        <v>325</v>
      </c>
      <c r="G183" t="s">
        <v>72</v>
      </c>
      <c r="H183">
        <v>0</v>
      </c>
      <c r="I183" t="s">
        <v>390</v>
      </c>
    </row>
    <row r="184" spans="1:9" x14ac:dyDescent="0.25">
      <c r="A184" t="s">
        <v>1852</v>
      </c>
      <c r="B184">
        <f t="shared" si="2"/>
        <v>2366</v>
      </c>
      <c r="C184" t="s">
        <v>1853</v>
      </c>
      <c r="D184" t="s">
        <v>364</v>
      </c>
      <c r="E184" t="s">
        <v>119</v>
      </c>
      <c r="F184" t="s">
        <v>323</v>
      </c>
      <c r="G184" t="s">
        <v>28</v>
      </c>
      <c r="H184">
        <v>0</v>
      </c>
      <c r="I184" t="s">
        <v>376</v>
      </c>
    </row>
    <row r="185" spans="1:9" x14ac:dyDescent="0.25">
      <c r="A185" t="s">
        <v>1854</v>
      </c>
      <c r="B185">
        <f t="shared" si="2"/>
        <v>2380</v>
      </c>
      <c r="C185" t="s">
        <v>1855</v>
      </c>
      <c r="D185" t="s">
        <v>364</v>
      </c>
      <c r="E185" t="s">
        <v>119</v>
      </c>
      <c r="F185" t="s">
        <v>323</v>
      </c>
      <c r="G185" t="s">
        <v>29</v>
      </c>
      <c r="H185">
        <v>0</v>
      </c>
      <c r="I185" t="s">
        <v>391</v>
      </c>
    </row>
    <row r="186" spans="1:9" x14ac:dyDescent="0.25">
      <c r="A186" t="s">
        <v>135</v>
      </c>
      <c r="B186">
        <f t="shared" si="2"/>
        <v>2388</v>
      </c>
      <c r="C186" t="s">
        <v>136</v>
      </c>
      <c r="D186" t="s">
        <v>72</v>
      </c>
      <c r="E186" t="s">
        <v>81</v>
      </c>
      <c r="F186" t="s">
        <v>81</v>
      </c>
      <c r="G186" t="s">
        <v>81</v>
      </c>
      <c r="H186">
        <v>1</v>
      </c>
      <c r="I186" t="s">
        <v>393</v>
      </c>
    </row>
    <row r="187" spans="1:9" x14ac:dyDescent="0.25">
      <c r="A187" t="s">
        <v>3699</v>
      </c>
      <c r="B187">
        <f t="shared" si="2"/>
        <v>2389</v>
      </c>
      <c r="C187" t="s">
        <v>3700</v>
      </c>
      <c r="D187" t="s">
        <v>72</v>
      </c>
      <c r="E187" t="s">
        <v>119</v>
      </c>
      <c r="F187" t="s">
        <v>325</v>
      </c>
      <c r="G187" t="s">
        <v>324</v>
      </c>
      <c r="H187">
        <v>0</v>
      </c>
      <c r="I187" t="s">
        <v>379</v>
      </c>
    </row>
    <row r="188" spans="1:9" x14ac:dyDescent="0.25">
      <c r="A188" t="s">
        <v>3619</v>
      </c>
      <c r="B188">
        <f t="shared" si="2"/>
        <v>2402</v>
      </c>
      <c r="C188" t="s">
        <v>3620</v>
      </c>
      <c r="D188" t="s">
        <v>364</v>
      </c>
      <c r="E188" t="s">
        <v>119</v>
      </c>
      <c r="F188" t="s">
        <v>318</v>
      </c>
      <c r="G188" t="s">
        <v>324</v>
      </c>
      <c r="H188">
        <v>0</v>
      </c>
      <c r="I188" t="s">
        <v>379</v>
      </c>
    </row>
    <row r="189" spans="1:9" x14ac:dyDescent="0.25">
      <c r="A189" t="s">
        <v>3144</v>
      </c>
      <c r="B189">
        <f t="shared" si="2"/>
        <v>2408</v>
      </c>
      <c r="C189" t="s">
        <v>3145</v>
      </c>
      <c r="D189" t="s">
        <v>364</v>
      </c>
      <c r="E189" t="s">
        <v>119</v>
      </c>
      <c r="F189" t="s">
        <v>318</v>
      </c>
      <c r="G189" t="s">
        <v>312</v>
      </c>
      <c r="H189">
        <v>0</v>
      </c>
      <c r="I189" t="s">
        <v>382</v>
      </c>
    </row>
    <row r="190" spans="1:9" x14ac:dyDescent="0.25">
      <c r="A190" t="s">
        <v>1856</v>
      </c>
      <c r="B190">
        <f t="shared" si="2"/>
        <v>2420</v>
      </c>
      <c r="C190" t="s">
        <v>1857</v>
      </c>
      <c r="D190" t="s">
        <v>364</v>
      </c>
      <c r="E190" t="s">
        <v>119</v>
      </c>
      <c r="F190" t="s">
        <v>345</v>
      </c>
      <c r="G190" t="s">
        <v>25</v>
      </c>
      <c r="H190">
        <v>0</v>
      </c>
      <c r="I190" t="s">
        <v>386</v>
      </c>
    </row>
    <row r="191" spans="1:9" x14ac:dyDescent="0.25">
      <c r="A191" t="s">
        <v>4164</v>
      </c>
      <c r="B191">
        <f t="shared" si="2"/>
        <v>2425</v>
      </c>
      <c r="C191" t="s">
        <v>4165</v>
      </c>
      <c r="D191" t="s">
        <v>72</v>
      </c>
      <c r="E191" t="s">
        <v>119</v>
      </c>
      <c r="F191" t="s">
        <v>327</v>
      </c>
      <c r="G191" t="s">
        <v>324</v>
      </c>
      <c r="H191">
        <v>0</v>
      </c>
      <c r="I191" t="s">
        <v>379</v>
      </c>
    </row>
    <row r="192" spans="1:9" x14ac:dyDescent="0.25">
      <c r="A192" t="s">
        <v>3701</v>
      </c>
      <c r="B192">
        <f t="shared" si="2"/>
        <v>2551</v>
      </c>
      <c r="C192" t="s">
        <v>3702</v>
      </c>
      <c r="D192" t="s">
        <v>72</v>
      </c>
      <c r="E192" t="s">
        <v>119</v>
      </c>
      <c r="F192" t="s">
        <v>318</v>
      </c>
      <c r="G192" t="s">
        <v>312</v>
      </c>
      <c r="H192">
        <v>0</v>
      </c>
      <c r="I192" t="s">
        <v>382</v>
      </c>
    </row>
    <row r="193" spans="1:9" x14ac:dyDescent="0.25">
      <c r="A193" t="s">
        <v>1858</v>
      </c>
      <c r="B193">
        <f t="shared" si="2"/>
        <v>2555</v>
      </c>
      <c r="C193" t="s">
        <v>1859</v>
      </c>
      <c r="D193" t="s">
        <v>364</v>
      </c>
      <c r="E193" t="s">
        <v>119</v>
      </c>
      <c r="F193" t="s">
        <v>327</v>
      </c>
      <c r="G193" t="s">
        <v>324</v>
      </c>
      <c r="H193">
        <v>0</v>
      </c>
      <c r="I193" t="s">
        <v>379</v>
      </c>
    </row>
    <row r="194" spans="1:9" x14ac:dyDescent="0.25">
      <c r="A194" t="s">
        <v>1860</v>
      </c>
      <c r="B194">
        <f t="shared" si="2"/>
        <v>2556</v>
      </c>
      <c r="C194" t="s">
        <v>1861</v>
      </c>
      <c r="D194" t="s">
        <v>364</v>
      </c>
      <c r="E194" t="s">
        <v>119</v>
      </c>
      <c r="F194" t="s">
        <v>327</v>
      </c>
      <c r="G194" t="s">
        <v>324</v>
      </c>
      <c r="H194">
        <v>0</v>
      </c>
      <c r="I194" t="s">
        <v>379</v>
      </c>
    </row>
    <row r="195" spans="1:9" x14ac:dyDescent="0.25">
      <c r="A195" t="s">
        <v>873</v>
      </c>
      <c r="B195">
        <f t="shared" si="2"/>
        <v>2558</v>
      </c>
      <c r="C195" t="s">
        <v>874</v>
      </c>
      <c r="D195" t="s">
        <v>364</v>
      </c>
      <c r="E195" t="s">
        <v>119</v>
      </c>
      <c r="F195" t="s">
        <v>318</v>
      </c>
      <c r="G195" t="s">
        <v>312</v>
      </c>
      <c r="H195">
        <v>0</v>
      </c>
      <c r="I195" t="s">
        <v>382</v>
      </c>
    </row>
    <row r="196" spans="1:9" x14ac:dyDescent="0.25">
      <c r="A196" t="s">
        <v>1357</v>
      </c>
      <c r="B196">
        <f t="shared" ref="B196:B259" si="3">_xlfn.NUMBERVALUE(A196,"#####")</f>
        <v>2559</v>
      </c>
      <c r="C196" t="s">
        <v>1358</v>
      </c>
      <c r="D196" t="s">
        <v>364</v>
      </c>
      <c r="E196" t="s">
        <v>119</v>
      </c>
      <c r="F196" t="s">
        <v>1359</v>
      </c>
      <c r="G196" t="s">
        <v>324</v>
      </c>
      <c r="H196">
        <v>0</v>
      </c>
      <c r="I196" t="s">
        <v>379</v>
      </c>
    </row>
    <row r="197" spans="1:9" x14ac:dyDescent="0.25">
      <c r="A197" t="s">
        <v>2875</v>
      </c>
      <c r="B197">
        <f t="shared" si="3"/>
        <v>2560</v>
      </c>
      <c r="C197" t="s">
        <v>2876</v>
      </c>
      <c r="D197" t="s">
        <v>364</v>
      </c>
      <c r="E197" t="s">
        <v>119</v>
      </c>
      <c r="F197" t="s">
        <v>327</v>
      </c>
      <c r="G197" t="s">
        <v>324</v>
      </c>
      <c r="H197">
        <v>0</v>
      </c>
      <c r="I197" t="s">
        <v>379</v>
      </c>
    </row>
    <row r="198" spans="1:9" x14ac:dyDescent="0.25">
      <c r="A198" t="s">
        <v>2903</v>
      </c>
      <c r="B198">
        <f t="shared" si="3"/>
        <v>2561</v>
      </c>
      <c r="C198" t="s">
        <v>2904</v>
      </c>
      <c r="D198" t="s">
        <v>364</v>
      </c>
      <c r="E198" t="s">
        <v>119</v>
      </c>
      <c r="F198" t="s">
        <v>327</v>
      </c>
      <c r="G198" t="s">
        <v>324</v>
      </c>
      <c r="H198">
        <v>0</v>
      </c>
      <c r="I198" t="s">
        <v>379</v>
      </c>
    </row>
    <row r="199" spans="1:9" x14ac:dyDescent="0.25">
      <c r="A199" t="s">
        <v>3703</v>
      </c>
      <c r="B199">
        <f t="shared" si="3"/>
        <v>2563</v>
      </c>
      <c r="C199" t="s">
        <v>3704</v>
      </c>
      <c r="D199" t="s">
        <v>364</v>
      </c>
      <c r="E199" t="s">
        <v>119</v>
      </c>
      <c r="F199" t="s">
        <v>327</v>
      </c>
      <c r="G199" t="s">
        <v>312</v>
      </c>
      <c r="H199">
        <v>0</v>
      </c>
      <c r="I199" t="s">
        <v>382</v>
      </c>
    </row>
    <row r="200" spans="1:9" x14ac:dyDescent="0.25">
      <c r="A200" t="s">
        <v>4166</v>
      </c>
      <c r="B200">
        <f t="shared" si="3"/>
        <v>2565</v>
      </c>
      <c r="C200" t="s">
        <v>4167</v>
      </c>
      <c r="D200" t="s">
        <v>72</v>
      </c>
      <c r="E200" t="s">
        <v>119</v>
      </c>
      <c r="F200" t="s">
        <v>318</v>
      </c>
      <c r="G200" t="s">
        <v>324</v>
      </c>
      <c r="H200">
        <v>0</v>
      </c>
      <c r="I200" t="s">
        <v>379</v>
      </c>
    </row>
    <row r="201" spans="1:9" x14ac:dyDescent="0.25">
      <c r="A201" t="s">
        <v>4452</v>
      </c>
      <c r="B201">
        <f t="shared" si="3"/>
        <v>2566</v>
      </c>
      <c r="C201" t="s">
        <v>4453</v>
      </c>
      <c r="D201" t="s">
        <v>364</v>
      </c>
      <c r="E201" t="s">
        <v>119</v>
      </c>
      <c r="F201" t="s">
        <v>318</v>
      </c>
      <c r="G201" t="s">
        <v>312</v>
      </c>
      <c r="H201">
        <v>0</v>
      </c>
      <c r="I201" t="s">
        <v>382</v>
      </c>
    </row>
    <row r="202" spans="1:9" x14ac:dyDescent="0.25">
      <c r="A202" t="s">
        <v>1862</v>
      </c>
      <c r="B202">
        <f t="shared" si="3"/>
        <v>2572</v>
      </c>
      <c r="C202" t="s">
        <v>1863</v>
      </c>
      <c r="D202" t="s">
        <v>364</v>
      </c>
      <c r="E202" t="s">
        <v>119</v>
      </c>
      <c r="F202" t="s">
        <v>318</v>
      </c>
      <c r="G202" t="s">
        <v>324</v>
      </c>
      <c r="H202">
        <v>0</v>
      </c>
      <c r="I202" t="s">
        <v>379</v>
      </c>
    </row>
    <row r="203" spans="1:9" x14ac:dyDescent="0.25">
      <c r="A203" t="s">
        <v>1864</v>
      </c>
      <c r="B203">
        <f t="shared" si="3"/>
        <v>2575</v>
      </c>
      <c r="C203" t="s">
        <v>1865</v>
      </c>
      <c r="D203" t="s">
        <v>364</v>
      </c>
      <c r="E203" t="s">
        <v>119</v>
      </c>
      <c r="F203" t="s">
        <v>323</v>
      </c>
      <c r="G203" t="s">
        <v>314</v>
      </c>
      <c r="H203">
        <v>0</v>
      </c>
      <c r="I203" t="s">
        <v>468</v>
      </c>
    </row>
    <row r="204" spans="1:9" x14ac:dyDescent="0.25">
      <c r="A204" t="s">
        <v>1866</v>
      </c>
      <c r="B204">
        <f t="shared" si="3"/>
        <v>2584</v>
      </c>
      <c r="C204" t="s">
        <v>1867</v>
      </c>
      <c r="D204" t="s">
        <v>364</v>
      </c>
      <c r="E204" t="s">
        <v>119</v>
      </c>
      <c r="F204" t="s">
        <v>323</v>
      </c>
      <c r="G204" t="s">
        <v>26</v>
      </c>
      <c r="H204">
        <v>0</v>
      </c>
      <c r="I204" t="s">
        <v>394</v>
      </c>
    </row>
    <row r="205" spans="1:9" x14ac:dyDescent="0.25">
      <c r="A205" t="s">
        <v>1360</v>
      </c>
      <c r="B205">
        <f t="shared" si="3"/>
        <v>2591</v>
      </c>
      <c r="C205" t="s">
        <v>1361</v>
      </c>
      <c r="D205" t="s">
        <v>364</v>
      </c>
      <c r="E205" t="s">
        <v>119</v>
      </c>
      <c r="F205" t="s">
        <v>318</v>
      </c>
      <c r="G205" t="s">
        <v>26</v>
      </c>
      <c r="H205">
        <v>0</v>
      </c>
      <c r="I205" t="s">
        <v>394</v>
      </c>
    </row>
    <row r="206" spans="1:9" x14ac:dyDescent="0.25">
      <c r="A206" t="s">
        <v>1868</v>
      </c>
      <c r="B206">
        <f t="shared" si="3"/>
        <v>2597</v>
      </c>
      <c r="C206" t="s">
        <v>1869</v>
      </c>
      <c r="D206" t="s">
        <v>364</v>
      </c>
      <c r="E206" t="s">
        <v>119</v>
      </c>
      <c r="F206" t="s">
        <v>323</v>
      </c>
      <c r="G206" t="s">
        <v>29</v>
      </c>
      <c r="H206">
        <v>0</v>
      </c>
      <c r="I206" t="s">
        <v>391</v>
      </c>
    </row>
    <row r="207" spans="1:9" x14ac:dyDescent="0.25">
      <c r="A207" t="s">
        <v>2877</v>
      </c>
      <c r="B207">
        <f t="shared" si="3"/>
        <v>2616</v>
      </c>
      <c r="C207" t="s">
        <v>2878</v>
      </c>
      <c r="D207" t="s">
        <v>364</v>
      </c>
      <c r="E207" t="s">
        <v>119</v>
      </c>
      <c r="F207" t="s">
        <v>327</v>
      </c>
      <c r="G207" t="s">
        <v>331</v>
      </c>
      <c r="H207">
        <v>0</v>
      </c>
      <c r="I207" t="s">
        <v>410</v>
      </c>
    </row>
    <row r="208" spans="1:9" x14ac:dyDescent="0.25">
      <c r="A208" t="s">
        <v>3191</v>
      </c>
      <c r="B208">
        <f t="shared" si="3"/>
        <v>2617</v>
      </c>
      <c r="C208" t="s">
        <v>3192</v>
      </c>
      <c r="D208" t="s">
        <v>72</v>
      </c>
      <c r="E208" t="s">
        <v>81</v>
      </c>
      <c r="F208" t="s">
        <v>81</v>
      </c>
      <c r="G208" t="s">
        <v>81</v>
      </c>
      <c r="H208">
        <v>1</v>
      </c>
      <c r="I208" t="s">
        <v>3193</v>
      </c>
    </row>
    <row r="209" spans="1:9" x14ac:dyDescent="0.25">
      <c r="A209" t="s">
        <v>3275</v>
      </c>
      <c r="B209">
        <f t="shared" si="3"/>
        <v>2621</v>
      </c>
      <c r="C209" t="s">
        <v>3276</v>
      </c>
      <c r="D209" t="s">
        <v>364</v>
      </c>
      <c r="E209" t="s">
        <v>119</v>
      </c>
      <c r="F209" t="s">
        <v>326</v>
      </c>
      <c r="G209" t="s">
        <v>324</v>
      </c>
      <c r="H209">
        <v>0</v>
      </c>
      <c r="I209" t="s">
        <v>379</v>
      </c>
    </row>
    <row r="210" spans="1:9" x14ac:dyDescent="0.25">
      <c r="A210" t="s">
        <v>3455</v>
      </c>
      <c r="B210">
        <f t="shared" si="3"/>
        <v>2622</v>
      </c>
      <c r="C210" t="s">
        <v>3456</v>
      </c>
      <c r="D210" t="s">
        <v>364</v>
      </c>
      <c r="E210" t="s">
        <v>119</v>
      </c>
      <c r="F210" t="s">
        <v>327</v>
      </c>
      <c r="G210" t="s">
        <v>312</v>
      </c>
      <c r="H210">
        <v>0</v>
      </c>
      <c r="I210" t="s">
        <v>382</v>
      </c>
    </row>
    <row r="211" spans="1:9" x14ac:dyDescent="0.25">
      <c r="A211" t="s">
        <v>1870</v>
      </c>
      <c r="B211">
        <f t="shared" si="3"/>
        <v>2623</v>
      </c>
      <c r="C211" t="s">
        <v>1871</v>
      </c>
      <c r="D211" t="s">
        <v>364</v>
      </c>
      <c r="E211" t="s">
        <v>81</v>
      </c>
      <c r="F211" t="s">
        <v>81</v>
      </c>
      <c r="G211" t="s">
        <v>81</v>
      </c>
      <c r="H211">
        <v>0</v>
      </c>
      <c r="I211" t="s">
        <v>1872</v>
      </c>
    </row>
    <row r="212" spans="1:9" x14ac:dyDescent="0.25">
      <c r="A212" t="s">
        <v>737</v>
      </c>
      <c r="B212">
        <f t="shared" si="3"/>
        <v>2626</v>
      </c>
      <c r="C212" t="s">
        <v>738</v>
      </c>
      <c r="D212" t="s">
        <v>364</v>
      </c>
      <c r="E212" t="s">
        <v>119</v>
      </c>
      <c r="F212" t="s">
        <v>323</v>
      </c>
      <c r="G212" t="s">
        <v>324</v>
      </c>
      <c r="H212">
        <v>0</v>
      </c>
      <c r="I212" t="s">
        <v>379</v>
      </c>
    </row>
    <row r="213" spans="1:9" x14ac:dyDescent="0.25">
      <c r="A213" t="s">
        <v>1873</v>
      </c>
      <c r="B213">
        <f t="shared" si="3"/>
        <v>2627</v>
      </c>
      <c r="C213" t="s">
        <v>1874</v>
      </c>
      <c r="D213" t="s">
        <v>364</v>
      </c>
      <c r="E213" t="s">
        <v>81</v>
      </c>
      <c r="F213" t="s">
        <v>81</v>
      </c>
      <c r="G213" t="s">
        <v>81</v>
      </c>
      <c r="H213">
        <v>0</v>
      </c>
      <c r="I213" t="s">
        <v>1875</v>
      </c>
    </row>
    <row r="214" spans="1:9" x14ac:dyDescent="0.25">
      <c r="A214" t="s">
        <v>1362</v>
      </c>
      <c r="B214">
        <f t="shared" si="3"/>
        <v>2628</v>
      </c>
      <c r="C214" t="s">
        <v>1363</v>
      </c>
      <c r="D214" t="s">
        <v>364</v>
      </c>
      <c r="E214" t="s">
        <v>119</v>
      </c>
      <c r="F214" t="s">
        <v>872</v>
      </c>
      <c r="G214" t="s">
        <v>992</v>
      </c>
      <c r="H214">
        <v>0</v>
      </c>
      <c r="I214" t="s">
        <v>1364</v>
      </c>
    </row>
    <row r="215" spans="1:9" x14ac:dyDescent="0.25">
      <c r="A215" t="s">
        <v>4168</v>
      </c>
      <c r="B215">
        <f t="shared" si="3"/>
        <v>2629</v>
      </c>
      <c r="C215" t="s">
        <v>4169</v>
      </c>
      <c r="D215" t="s">
        <v>72</v>
      </c>
      <c r="E215" t="s">
        <v>119</v>
      </c>
      <c r="F215" t="s">
        <v>323</v>
      </c>
      <c r="G215" t="s">
        <v>25</v>
      </c>
      <c r="H215">
        <v>0</v>
      </c>
      <c r="I215" t="s">
        <v>386</v>
      </c>
    </row>
    <row r="216" spans="1:9" x14ac:dyDescent="0.25">
      <c r="A216" t="s">
        <v>3871</v>
      </c>
      <c r="B216">
        <f t="shared" si="3"/>
        <v>2630</v>
      </c>
      <c r="C216" t="s">
        <v>3872</v>
      </c>
      <c r="D216" t="s">
        <v>72</v>
      </c>
      <c r="E216" t="s">
        <v>119</v>
      </c>
      <c r="F216" t="s">
        <v>318</v>
      </c>
      <c r="G216" t="s">
        <v>312</v>
      </c>
      <c r="H216">
        <v>0</v>
      </c>
      <c r="I216" t="s">
        <v>382</v>
      </c>
    </row>
    <row r="217" spans="1:9" x14ac:dyDescent="0.25">
      <c r="A217" t="s">
        <v>137</v>
      </c>
      <c r="B217">
        <f t="shared" si="3"/>
        <v>2631</v>
      </c>
      <c r="C217" t="s">
        <v>138</v>
      </c>
      <c r="D217" t="s">
        <v>72</v>
      </c>
      <c r="E217" t="s">
        <v>81</v>
      </c>
      <c r="F217" t="s">
        <v>81</v>
      </c>
      <c r="G217" t="s">
        <v>81</v>
      </c>
      <c r="H217">
        <v>0</v>
      </c>
      <c r="I217" t="s">
        <v>395</v>
      </c>
    </row>
    <row r="218" spans="1:9" x14ac:dyDescent="0.25">
      <c r="A218" t="s">
        <v>739</v>
      </c>
      <c r="B218">
        <f t="shared" si="3"/>
        <v>2634</v>
      </c>
      <c r="C218" t="s">
        <v>740</v>
      </c>
      <c r="D218" t="s">
        <v>72</v>
      </c>
      <c r="E218" t="s">
        <v>119</v>
      </c>
      <c r="F218" t="s">
        <v>327</v>
      </c>
      <c r="G218" t="s">
        <v>72</v>
      </c>
      <c r="H218">
        <v>0</v>
      </c>
      <c r="I218" t="s">
        <v>390</v>
      </c>
    </row>
    <row r="219" spans="1:9" x14ac:dyDescent="0.25">
      <c r="A219" t="s">
        <v>1365</v>
      </c>
      <c r="B219">
        <f t="shared" si="3"/>
        <v>2635</v>
      </c>
      <c r="C219" t="s">
        <v>1366</v>
      </c>
      <c r="D219" t="s">
        <v>364</v>
      </c>
      <c r="E219" t="s">
        <v>119</v>
      </c>
      <c r="F219" t="s">
        <v>318</v>
      </c>
      <c r="G219" t="s">
        <v>324</v>
      </c>
      <c r="H219">
        <v>0</v>
      </c>
      <c r="I219" t="s">
        <v>379</v>
      </c>
    </row>
    <row r="220" spans="1:9" x14ac:dyDescent="0.25">
      <c r="A220" t="s">
        <v>1045</v>
      </c>
      <c r="B220">
        <f t="shared" si="3"/>
        <v>2637</v>
      </c>
      <c r="C220" t="s">
        <v>1046</v>
      </c>
      <c r="D220" t="s">
        <v>364</v>
      </c>
      <c r="E220" t="s">
        <v>119</v>
      </c>
      <c r="F220" t="s">
        <v>327</v>
      </c>
      <c r="G220" t="s">
        <v>25</v>
      </c>
      <c r="H220">
        <v>0</v>
      </c>
      <c r="I220" t="s">
        <v>386</v>
      </c>
    </row>
    <row r="221" spans="1:9" x14ac:dyDescent="0.25">
      <c r="A221" t="s">
        <v>741</v>
      </c>
      <c r="B221">
        <f t="shared" si="3"/>
        <v>2638</v>
      </c>
      <c r="C221" t="s">
        <v>742</v>
      </c>
      <c r="D221" t="s">
        <v>364</v>
      </c>
      <c r="E221" t="s">
        <v>81</v>
      </c>
      <c r="F221" t="s">
        <v>81</v>
      </c>
      <c r="G221" t="s">
        <v>81</v>
      </c>
      <c r="H221">
        <v>0</v>
      </c>
      <c r="I221" t="s">
        <v>743</v>
      </c>
    </row>
    <row r="222" spans="1:9" x14ac:dyDescent="0.25">
      <c r="A222" t="s">
        <v>1367</v>
      </c>
      <c r="B222">
        <f t="shared" si="3"/>
        <v>2640</v>
      </c>
      <c r="C222" t="s">
        <v>1368</v>
      </c>
      <c r="D222" t="s">
        <v>364</v>
      </c>
      <c r="E222" t="s">
        <v>119</v>
      </c>
      <c r="F222" t="s">
        <v>1359</v>
      </c>
      <c r="G222" t="s">
        <v>317</v>
      </c>
      <c r="H222">
        <v>0</v>
      </c>
      <c r="I222" t="s">
        <v>391</v>
      </c>
    </row>
    <row r="223" spans="1:9" x14ac:dyDescent="0.25">
      <c r="A223" t="s">
        <v>1047</v>
      </c>
      <c r="B223">
        <f t="shared" si="3"/>
        <v>2641</v>
      </c>
      <c r="C223" t="s">
        <v>1048</v>
      </c>
      <c r="D223" t="s">
        <v>364</v>
      </c>
      <c r="E223" t="s">
        <v>119</v>
      </c>
      <c r="F223" t="s">
        <v>872</v>
      </c>
      <c r="G223" t="s">
        <v>324</v>
      </c>
      <c r="H223">
        <v>0</v>
      </c>
      <c r="I223" t="s">
        <v>379</v>
      </c>
    </row>
    <row r="224" spans="1:9" x14ac:dyDescent="0.25">
      <c r="A224" t="s">
        <v>1050</v>
      </c>
      <c r="B224">
        <f t="shared" si="3"/>
        <v>2643</v>
      </c>
      <c r="C224" t="s">
        <v>1051</v>
      </c>
      <c r="D224" t="s">
        <v>364</v>
      </c>
      <c r="E224" t="s">
        <v>119</v>
      </c>
      <c r="F224" t="s">
        <v>318</v>
      </c>
      <c r="G224" t="s">
        <v>28</v>
      </c>
      <c r="H224">
        <v>0</v>
      </c>
      <c r="I224" t="s">
        <v>376</v>
      </c>
    </row>
    <row r="225" spans="1:9" x14ac:dyDescent="0.25">
      <c r="A225" t="s">
        <v>4170</v>
      </c>
      <c r="B225">
        <f t="shared" si="3"/>
        <v>2645</v>
      </c>
      <c r="C225" t="s">
        <v>4171</v>
      </c>
      <c r="D225" t="s">
        <v>72</v>
      </c>
      <c r="E225" t="s">
        <v>119</v>
      </c>
      <c r="F225" t="s">
        <v>327</v>
      </c>
      <c r="G225" t="s">
        <v>27</v>
      </c>
      <c r="H225">
        <v>0</v>
      </c>
      <c r="I225" t="s">
        <v>387</v>
      </c>
    </row>
    <row r="226" spans="1:9" x14ac:dyDescent="0.25">
      <c r="A226" t="s">
        <v>1876</v>
      </c>
      <c r="B226">
        <f t="shared" si="3"/>
        <v>2646</v>
      </c>
      <c r="C226" t="s">
        <v>1877</v>
      </c>
      <c r="D226" t="s">
        <v>364</v>
      </c>
      <c r="E226" t="s">
        <v>119</v>
      </c>
      <c r="F226" t="s">
        <v>318</v>
      </c>
      <c r="G226" t="s">
        <v>324</v>
      </c>
      <c r="H226">
        <v>0</v>
      </c>
      <c r="I226" t="s">
        <v>379</v>
      </c>
    </row>
    <row r="227" spans="1:9" x14ac:dyDescent="0.25">
      <c r="A227" t="s">
        <v>2981</v>
      </c>
      <c r="B227">
        <f t="shared" si="3"/>
        <v>2647</v>
      </c>
      <c r="C227" t="s">
        <v>2982</v>
      </c>
      <c r="D227" t="s">
        <v>364</v>
      </c>
      <c r="E227" t="s">
        <v>119</v>
      </c>
      <c r="F227" t="s">
        <v>327</v>
      </c>
      <c r="G227" t="s">
        <v>312</v>
      </c>
      <c r="H227">
        <v>0</v>
      </c>
      <c r="I227" t="s">
        <v>382</v>
      </c>
    </row>
    <row r="228" spans="1:9" x14ac:dyDescent="0.25">
      <c r="A228" t="s">
        <v>1369</v>
      </c>
      <c r="B228">
        <f t="shared" si="3"/>
        <v>2652</v>
      </c>
      <c r="C228" t="s">
        <v>1370</v>
      </c>
      <c r="D228" t="s">
        <v>364</v>
      </c>
      <c r="E228" t="s">
        <v>119</v>
      </c>
      <c r="F228" t="s">
        <v>327</v>
      </c>
      <c r="G228" t="s">
        <v>29</v>
      </c>
      <c r="H228">
        <v>0</v>
      </c>
      <c r="I228" t="s">
        <v>391</v>
      </c>
    </row>
    <row r="229" spans="1:9" x14ac:dyDescent="0.25">
      <c r="A229" t="s">
        <v>1371</v>
      </c>
      <c r="B229">
        <f t="shared" si="3"/>
        <v>2653</v>
      </c>
      <c r="C229" t="s">
        <v>1372</v>
      </c>
      <c r="D229" t="s">
        <v>364</v>
      </c>
      <c r="E229" t="s">
        <v>119</v>
      </c>
      <c r="F229" t="s">
        <v>326</v>
      </c>
      <c r="G229" t="s">
        <v>324</v>
      </c>
      <c r="H229">
        <v>0</v>
      </c>
      <c r="I229" t="s">
        <v>379</v>
      </c>
    </row>
    <row r="230" spans="1:9" x14ac:dyDescent="0.25">
      <c r="A230" t="s">
        <v>1878</v>
      </c>
      <c r="B230">
        <f t="shared" si="3"/>
        <v>2658</v>
      </c>
      <c r="C230" t="s">
        <v>1879</v>
      </c>
      <c r="D230" t="s">
        <v>364</v>
      </c>
      <c r="E230" t="s">
        <v>81</v>
      </c>
      <c r="F230" t="s">
        <v>81</v>
      </c>
      <c r="G230" t="s">
        <v>81</v>
      </c>
      <c r="H230">
        <v>1</v>
      </c>
      <c r="I230" t="s">
        <v>396</v>
      </c>
    </row>
    <row r="231" spans="1:9" x14ac:dyDescent="0.25">
      <c r="A231" t="s">
        <v>1880</v>
      </c>
      <c r="B231">
        <f t="shared" si="3"/>
        <v>2662</v>
      </c>
      <c r="C231" t="s">
        <v>1881</v>
      </c>
      <c r="D231" t="s">
        <v>364</v>
      </c>
      <c r="E231" t="s">
        <v>119</v>
      </c>
      <c r="F231" t="s">
        <v>318</v>
      </c>
      <c r="G231" t="s">
        <v>324</v>
      </c>
      <c r="H231">
        <v>0</v>
      </c>
      <c r="I231" t="s">
        <v>379</v>
      </c>
    </row>
    <row r="232" spans="1:9" x14ac:dyDescent="0.25">
      <c r="A232" t="s">
        <v>4172</v>
      </c>
      <c r="B232">
        <f t="shared" si="3"/>
        <v>2663</v>
      </c>
      <c r="C232" t="s">
        <v>4173</v>
      </c>
      <c r="D232" t="s">
        <v>72</v>
      </c>
      <c r="E232" t="s">
        <v>119</v>
      </c>
      <c r="F232" t="s">
        <v>326</v>
      </c>
      <c r="G232" t="s">
        <v>329</v>
      </c>
      <c r="H232">
        <v>0</v>
      </c>
      <c r="I232" t="s">
        <v>377</v>
      </c>
    </row>
    <row r="233" spans="1:9" x14ac:dyDescent="0.25">
      <c r="A233" t="s">
        <v>4174</v>
      </c>
      <c r="B233">
        <f t="shared" si="3"/>
        <v>2664</v>
      </c>
      <c r="C233" t="s">
        <v>4175</v>
      </c>
      <c r="D233" t="s">
        <v>72</v>
      </c>
      <c r="E233" t="s">
        <v>119</v>
      </c>
      <c r="F233" t="s">
        <v>323</v>
      </c>
      <c r="G233" t="s">
        <v>314</v>
      </c>
      <c r="H233">
        <v>0</v>
      </c>
      <c r="I233" t="s">
        <v>405</v>
      </c>
    </row>
    <row r="234" spans="1:9" x14ac:dyDescent="0.25">
      <c r="A234" t="s">
        <v>4454</v>
      </c>
      <c r="B234">
        <f t="shared" si="3"/>
        <v>2665</v>
      </c>
      <c r="C234" t="s">
        <v>4455</v>
      </c>
      <c r="D234" t="s">
        <v>364</v>
      </c>
      <c r="E234" t="s">
        <v>119</v>
      </c>
      <c r="F234" t="s">
        <v>327</v>
      </c>
      <c r="G234" t="s">
        <v>312</v>
      </c>
      <c r="H234">
        <v>0</v>
      </c>
      <c r="I234" t="s">
        <v>382</v>
      </c>
    </row>
    <row r="235" spans="1:9" x14ac:dyDescent="0.25">
      <c r="A235" t="s">
        <v>4456</v>
      </c>
      <c r="B235">
        <f t="shared" si="3"/>
        <v>2666</v>
      </c>
      <c r="C235" t="s">
        <v>4457</v>
      </c>
      <c r="D235" t="s">
        <v>72</v>
      </c>
      <c r="E235" t="s">
        <v>119</v>
      </c>
      <c r="F235" t="s">
        <v>318</v>
      </c>
      <c r="G235" t="s">
        <v>324</v>
      </c>
      <c r="H235">
        <v>0</v>
      </c>
      <c r="I235" t="s">
        <v>379</v>
      </c>
    </row>
    <row r="236" spans="1:9" x14ac:dyDescent="0.25">
      <c r="A236" t="s">
        <v>1676</v>
      </c>
      <c r="B236">
        <f t="shared" si="3"/>
        <v>2670</v>
      </c>
      <c r="C236" t="s">
        <v>1677</v>
      </c>
      <c r="D236" t="s">
        <v>364</v>
      </c>
      <c r="E236" t="s">
        <v>119</v>
      </c>
      <c r="F236" t="s">
        <v>327</v>
      </c>
      <c r="G236" t="s">
        <v>324</v>
      </c>
      <c r="H236">
        <v>0</v>
      </c>
      <c r="I236" t="s">
        <v>379</v>
      </c>
    </row>
    <row r="237" spans="1:9" x14ac:dyDescent="0.25">
      <c r="A237" t="s">
        <v>4176</v>
      </c>
      <c r="B237">
        <f t="shared" si="3"/>
        <v>2688</v>
      </c>
      <c r="C237" t="s">
        <v>4177</v>
      </c>
      <c r="D237" t="s">
        <v>72</v>
      </c>
      <c r="E237" t="s">
        <v>119</v>
      </c>
      <c r="F237" t="s">
        <v>323</v>
      </c>
      <c r="G237" t="s">
        <v>329</v>
      </c>
      <c r="H237">
        <v>0</v>
      </c>
      <c r="I237" t="s">
        <v>377</v>
      </c>
    </row>
    <row r="238" spans="1:9" x14ac:dyDescent="0.25">
      <c r="A238" t="s">
        <v>1882</v>
      </c>
      <c r="B238">
        <f t="shared" si="3"/>
        <v>2707</v>
      </c>
      <c r="C238" t="s">
        <v>1883</v>
      </c>
      <c r="D238" t="s">
        <v>364</v>
      </c>
      <c r="E238" t="s">
        <v>119</v>
      </c>
      <c r="F238" t="s">
        <v>318</v>
      </c>
      <c r="G238" t="s">
        <v>312</v>
      </c>
      <c r="H238">
        <v>0</v>
      </c>
      <c r="I238" t="s">
        <v>382</v>
      </c>
    </row>
    <row r="239" spans="1:9" x14ac:dyDescent="0.25">
      <c r="A239" t="s">
        <v>1373</v>
      </c>
      <c r="B239">
        <f t="shared" si="3"/>
        <v>2709</v>
      </c>
      <c r="C239" t="s">
        <v>1374</v>
      </c>
      <c r="D239" t="s">
        <v>364</v>
      </c>
      <c r="E239" t="s">
        <v>119</v>
      </c>
      <c r="F239" t="s">
        <v>318</v>
      </c>
      <c r="G239" t="s">
        <v>324</v>
      </c>
      <c r="H239">
        <v>0</v>
      </c>
      <c r="I239" t="s">
        <v>379</v>
      </c>
    </row>
    <row r="240" spans="1:9" x14ac:dyDescent="0.25">
      <c r="A240" t="s">
        <v>1884</v>
      </c>
      <c r="B240">
        <f t="shared" si="3"/>
        <v>2715</v>
      </c>
      <c r="C240" t="s">
        <v>1885</v>
      </c>
      <c r="D240" t="s">
        <v>364</v>
      </c>
      <c r="E240" t="s">
        <v>119</v>
      </c>
      <c r="F240" t="s">
        <v>318</v>
      </c>
      <c r="G240" t="s">
        <v>324</v>
      </c>
      <c r="H240">
        <v>0</v>
      </c>
      <c r="I240" t="s">
        <v>379</v>
      </c>
    </row>
    <row r="241" spans="1:9" x14ac:dyDescent="0.25">
      <c r="A241" t="s">
        <v>1886</v>
      </c>
      <c r="B241">
        <f t="shared" si="3"/>
        <v>2718</v>
      </c>
      <c r="C241" t="s">
        <v>1887</v>
      </c>
      <c r="D241" t="s">
        <v>364</v>
      </c>
      <c r="E241" t="s">
        <v>119</v>
      </c>
      <c r="F241" t="s">
        <v>327</v>
      </c>
      <c r="G241" t="s">
        <v>324</v>
      </c>
      <c r="H241">
        <v>0</v>
      </c>
      <c r="I241" t="s">
        <v>379</v>
      </c>
    </row>
    <row r="242" spans="1:9" x14ac:dyDescent="0.25">
      <c r="A242" t="s">
        <v>1888</v>
      </c>
      <c r="B242">
        <f t="shared" si="3"/>
        <v>2722</v>
      </c>
      <c r="C242" t="s">
        <v>1889</v>
      </c>
      <c r="D242" t="s">
        <v>364</v>
      </c>
      <c r="E242" t="s">
        <v>119</v>
      </c>
      <c r="F242" t="s">
        <v>327</v>
      </c>
      <c r="G242" t="s">
        <v>324</v>
      </c>
      <c r="H242">
        <v>0</v>
      </c>
      <c r="I242" t="s">
        <v>379</v>
      </c>
    </row>
    <row r="243" spans="1:9" x14ac:dyDescent="0.25">
      <c r="A243" t="s">
        <v>1052</v>
      </c>
      <c r="B243">
        <f t="shared" si="3"/>
        <v>2724</v>
      </c>
      <c r="C243" t="s">
        <v>1053</v>
      </c>
      <c r="D243" t="s">
        <v>364</v>
      </c>
      <c r="E243" t="s">
        <v>119</v>
      </c>
      <c r="F243" t="s">
        <v>327</v>
      </c>
      <c r="G243" t="s">
        <v>324</v>
      </c>
      <c r="H243">
        <v>0</v>
      </c>
      <c r="I243" t="s">
        <v>379</v>
      </c>
    </row>
    <row r="244" spans="1:9" x14ac:dyDescent="0.25">
      <c r="A244" t="s">
        <v>875</v>
      </c>
      <c r="B244">
        <f t="shared" si="3"/>
        <v>2726</v>
      </c>
      <c r="C244" t="s">
        <v>948</v>
      </c>
      <c r="D244" t="s">
        <v>364</v>
      </c>
      <c r="E244" t="s">
        <v>119</v>
      </c>
      <c r="F244" t="s">
        <v>325</v>
      </c>
      <c r="G244" t="s">
        <v>72</v>
      </c>
      <c r="H244">
        <v>0</v>
      </c>
      <c r="I244" t="s">
        <v>390</v>
      </c>
    </row>
    <row r="245" spans="1:9" x14ac:dyDescent="0.25">
      <c r="A245" t="s">
        <v>1375</v>
      </c>
      <c r="B245">
        <f t="shared" si="3"/>
        <v>2751</v>
      </c>
      <c r="C245" t="s">
        <v>1376</v>
      </c>
      <c r="D245" t="s">
        <v>364</v>
      </c>
      <c r="E245" t="s">
        <v>119</v>
      </c>
      <c r="F245" t="s">
        <v>327</v>
      </c>
      <c r="G245" t="s">
        <v>324</v>
      </c>
      <c r="H245">
        <v>0</v>
      </c>
      <c r="I245" t="s">
        <v>379</v>
      </c>
    </row>
    <row r="246" spans="1:9" x14ac:dyDescent="0.25">
      <c r="A246" t="s">
        <v>949</v>
      </c>
      <c r="B246">
        <f t="shared" si="3"/>
        <v>2753</v>
      </c>
      <c r="C246" t="s">
        <v>950</v>
      </c>
      <c r="D246" t="s">
        <v>364</v>
      </c>
      <c r="E246" t="s">
        <v>119</v>
      </c>
      <c r="F246" t="s">
        <v>872</v>
      </c>
      <c r="G246" t="s">
        <v>324</v>
      </c>
      <c r="H246">
        <v>0</v>
      </c>
      <c r="I246" t="s">
        <v>379</v>
      </c>
    </row>
    <row r="247" spans="1:9" x14ac:dyDescent="0.25">
      <c r="A247" t="s">
        <v>3675</v>
      </c>
      <c r="B247">
        <f t="shared" si="3"/>
        <v>2757</v>
      </c>
      <c r="C247" t="s">
        <v>3676</v>
      </c>
      <c r="D247" t="s">
        <v>72</v>
      </c>
      <c r="E247" t="s">
        <v>119</v>
      </c>
      <c r="F247" t="s">
        <v>318</v>
      </c>
      <c r="G247" t="s">
        <v>72</v>
      </c>
      <c r="H247">
        <v>0</v>
      </c>
      <c r="I247" t="s">
        <v>390</v>
      </c>
    </row>
    <row r="248" spans="1:9" x14ac:dyDescent="0.25">
      <c r="A248" t="s">
        <v>3621</v>
      </c>
      <c r="B248">
        <f t="shared" si="3"/>
        <v>2761</v>
      </c>
      <c r="C248" t="s">
        <v>3622</v>
      </c>
      <c r="D248" t="s">
        <v>72</v>
      </c>
      <c r="E248" t="s">
        <v>119</v>
      </c>
      <c r="F248" t="s">
        <v>318</v>
      </c>
      <c r="G248" t="s">
        <v>329</v>
      </c>
      <c r="H248">
        <v>0</v>
      </c>
      <c r="I248" t="s">
        <v>377</v>
      </c>
    </row>
    <row r="249" spans="1:9" x14ac:dyDescent="0.25">
      <c r="A249" t="s">
        <v>1890</v>
      </c>
      <c r="B249">
        <f t="shared" si="3"/>
        <v>2790</v>
      </c>
      <c r="C249" t="s">
        <v>1891</v>
      </c>
      <c r="D249" t="s">
        <v>364</v>
      </c>
      <c r="E249" t="s">
        <v>119</v>
      </c>
      <c r="F249" t="s">
        <v>327</v>
      </c>
      <c r="G249" t="s">
        <v>324</v>
      </c>
      <c r="H249">
        <v>0</v>
      </c>
      <c r="I249" t="s">
        <v>379</v>
      </c>
    </row>
    <row r="250" spans="1:9" x14ac:dyDescent="0.25">
      <c r="A250" t="s">
        <v>1377</v>
      </c>
      <c r="B250">
        <f t="shared" si="3"/>
        <v>2796</v>
      </c>
      <c r="C250" t="s">
        <v>1378</v>
      </c>
      <c r="D250" t="s">
        <v>364</v>
      </c>
      <c r="E250" t="s">
        <v>119</v>
      </c>
      <c r="F250" t="s">
        <v>318</v>
      </c>
      <c r="G250" t="s">
        <v>324</v>
      </c>
      <c r="H250">
        <v>0</v>
      </c>
      <c r="I250" t="s">
        <v>379</v>
      </c>
    </row>
    <row r="251" spans="1:9" x14ac:dyDescent="0.25">
      <c r="A251" t="s">
        <v>3488</v>
      </c>
      <c r="B251">
        <f t="shared" si="3"/>
        <v>2798</v>
      </c>
      <c r="C251" t="s">
        <v>3489</v>
      </c>
      <c r="D251" t="s">
        <v>72</v>
      </c>
      <c r="E251" t="s">
        <v>119</v>
      </c>
      <c r="F251" t="s">
        <v>467</v>
      </c>
      <c r="G251" t="s">
        <v>329</v>
      </c>
      <c r="H251">
        <v>0</v>
      </c>
      <c r="I251" t="s">
        <v>377</v>
      </c>
    </row>
    <row r="252" spans="1:9" x14ac:dyDescent="0.25">
      <c r="A252" t="s">
        <v>1892</v>
      </c>
      <c r="B252">
        <f t="shared" si="3"/>
        <v>2802</v>
      </c>
      <c r="C252" t="s">
        <v>1893</v>
      </c>
      <c r="D252" t="s">
        <v>72</v>
      </c>
      <c r="E252" t="s">
        <v>119</v>
      </c>
      <c r="F252" t="s">
        <v>326</v>
      </c>
      <c r="G252" t="s">
        <v>329</v>
      </c>
      <c r="H252">
        <v>0</v>
      </c>
      <c r="I252" t="s">
        <v>377</v>
      </c>
    </row>
    <row r="253" spans="1:9" x14ac:dyDescent="0.25">
      <c r="A253" t="s">
        <v>1894</v>
      </c>
      <c r="B253">
        <f t="shared" si="3"/>
        <v>2803</v>
      </c>
      <c r="C253" t="s">
        <v>1895</v>
      </c>
      <c r="D253" t="s">
        <v>72</v>
      </c>
      <c r="E253" t="s">
        <v>119</v>
      </c>
      <c r="F253" t="s">
        <v>326</v>
      </c>
      <c r="G253" t="s">
        <v>554</v>
      </c>
      <c r="H253">
        <v>0</v>
      </c>
      <c r="I253" t="s">
        <v>4458</v>
      </c>
    </row>
    <row r="254" spans="1:9" x14ac:dyDescent="0.25">
      <c r="A254" t="s">
        <v>951</v>
      </c>
      <c r="B254">
        <f t="shared" si="3"/>
        <v>2805</v>
      </c>
      <c r="C254" t="s">
        <v>952</v>
      </c>
      <c r="D254" t="s">
        <v>364</v>
      </c>
      <c r="E254" t="s">
        <v>119</v>
      </c>
      <c r="F254" t="s">
        <v>325</v>
      </c>
      <c r="G254" t="s">
        <v>312</v>
      </c>
      <c r="H254">
        <v>0</v>
      </c>
      <c r="I254" t="s">
        <v>382</v>
      </c>
    </row>
    <row r="255" spans="1:9" x14ac:dyDescent="0.25">
      <c r="A255" t="s">
        <v>876</v>
      </c>
      <c r="B255">
        <f t="shared" si="3"/>
        <v>2807</v>
      </c>
      <c r="C255" t="s">
        <v>877</v>
      </c>
      <c r="D255" t="s">
        <v>364</v>
      </c>
      <c r="E255" t="s">
        <v>81</v>
      </c>
      <c r="F255" t="s">
        <v>81</v>
      </c>
      <c r="G255" t="s">
        <v>81</v>
      </c>
      <c r="H255">
        <v>0</v>
      </c>
      <c r="I255" t="s">
        <v>878</v>
      </c>
    </row>
    <row r="256" spans="1:9" x14ac:dyDescent="0.25">
      <c r="A256" t="s">
        <v>4459</v>
      </c>
      <c r="B256">
        <f t="shared" si="3"/>
        <v>2810</v>
      </c>
      <c r="C256" t="s">
        <v>4460</v>
      </c>
      <c r="D256" t="s">
        <v>364</v>
      </c>
      <c r="E256" t="s">
        <v>119</v>
      </c>
      <c r="F256" t="s">
        <v>318</v>
      </c>
      <c r="G256" t="s">
        <v>324</v>
      </c>
      <c r="H256">
        <v>0</v>
      </c>
      <c r="I256" t="s">
        <v>379</v>
      </c>
    </row>
    <row r="257" spans="1:9" x14ac:dyDescent="0.25">
      <c r="A257" t="s">
        <v>3961</v>
      </c>
      <c r="B257">
        <f t="shared" si="3"/>
        <v>2811</v>
      </c>
      <c r="C257" t="s">
        <v>3962</v>
      </c>
      <c r="D257" t="s">
        <v>72</v>
      </c>
      <c r="E257" t="s">
        <v>119</v>
      </c>
      <c r="F257" t="s">
        <v>326</v>
      </c>
      <c r="G257" t="s">
        <v>324</v>
      </c>
      <c r="H257">
        <v>0</v>
      </c>
      <c r="I257" t="s">
        <v>379</v>
      </c>
    </row>
    <row r="258" spans="1:9" x14ac:dyDescent="0.25">
      <c r="A258" t="s">
        <v>2983</v>
      </c>
      <c r="B258">
        <f t="shared" si="3"/>
        <v>2815</v>
      </c>
      <c r="C258" t="s">
        <v>2984</v>
      </c>
      <c r="D258" t="s">
        <v>72</v>
      </c>
      <c r="E258" t="s">
        <v>81</v>
      </c>
      <c r="F258" t="s">
        <v>81</v>
      </c>
      <c r="G258" t="s">
        <v>81</v>
      </c>
      <c r="H258">
        <v>1</v>
      </c>
      <c r="I258" t="s">
        <v>2985</v>
      </c>
    </row>
    <row r="259" spans="1:9" x14ac:dyDescent="0.25">
      <c r="A259" t="s">
        <v>1054</v>
      </c>
      <c r="B259">
        <f t="shared" si="3"/>
        <v>2816</v>
      </c>
      <c r="C259" t="s">
        <v>1055</v>
      </c>
      <c r="D259" t="s">
        <v>72</v>
      </c>
      <c r="E259" t="s">
        <v>119</v>
      </c>
      <c r="F259" t="s">
        <v>318</v>
      </c>
      <c r="G259" t="s">
        <v>72</v>
      </c>
      <c r="H259">
        <v>0</v>
      </c>
      <c r="I259" t="s">
        <v>390</v>
      </c>
    </row>
    <row r="260" spans="1:9" x14ac:dyDescent="0.25">
      <c r="A260" t="s">
        <v>1896</v>
      </c>
      <c r="B260">
        <f t="shared" ref="B260:B323" si="4">_xlfn.NUMBERVALUE(A260,"#####")</f>
        <v>2817</v>
      </c>
      <c r="C260" t="s">
        <v>1897</v>
      </c>
      <c r="D260" t="s">
        <v>364</v>
      </c>
      <c r="E260" t="s">
        <v>119</v>
      </c>
      <c r="F260" t="s">
        <v>323</v>
      </c>
      <c r="G260" t="s">
        <v>324</v>
      </c>
      <c r="H260">
        <v>0</v>
      </c>
      <c r="I260" t="s">
        <v>379</v>
      </c>
    </row>
    <row r="261" spans="1:9" x14ac:dyDescent="0.25">
      <c r="A261" t="s">
        <v>2986</v>
      </c>
      <c r="B261">
        <f t="shared" si="4"/>
        <v>2822</v>
      </c>
      <c r="C261" t="s">
        <v>2987</v>
      </c>
      <c r="D261" t="s">
        <v>364</v>
      </c>
      <c r="E261" t="s">
        <v>119</v>
      </c>
      <c r="F261" t="s">
        <v>318</v>
      </c>
      <c r="G261" t="s">
        <v>312</v>
      </c>
      <c r="H261">
        <v>0</v>
      </c>
      <c r="I261" t="s">
        <v>382</v>
      </c>
    </row>
    <row r="262" spans="1:9" x14ac:dyDescent="0.25">
      <c r="A262" t="s">
        <v>4461</v>
      </c>
      <c r="B262">
        <f t="shared" si="4"/>
        <v>2828</v>
      </c>
      <c r="C262" t="s">
        <v>4462</v>
      </c>
      <c r="D262" t="s">
        <v>72</v>
      </c>
      <c r="E262" t="s">
        <v>81</v>
      </c>
      <c r="F262" t="s">
        <v>81</v>
      </c>
      <c r="G262" t="s">
        <v>81</v>
      </c>
      <c r="H262">
        <v>0</v>
      </c>
      <c r="I262" t="s">
        <v>409</v>
      </c>
    </row>
    <row r="263" spans="1:9" x14ac:dyDescent="0.25">
      <c r="A263" t="s">
        <v>3255</v>
      </c>
      <c r="B263">
        <f t="shared" si="4"/>
        <v>2830</v>
      </c>
      <c r="C263" t="s">
        <v>3256</v>
      </c>
      <c r="D263" t="s">
        <v>72</v>
      </c>
      <c r="E263" t="s">
        <v>119</v>
      </c>
      <c r="F263" t="s">
        <v>318</v>
      </c>
      <c r="G263" t="s">
        <v>72</v>
      </c>
      <c r="H263">
        <v>0</v>
      </c>
      <c r="I263" t="s">
        <v>390</v>
      </c>
    </row>
    <row r="264" spans="1:9" x14ac:dyDescent="0.25">
      <c r="A264" t="s">
        <v>1898</v>
      </c>
      <c r="B264">
        <f t="shared" si="4"/>
        <v>2834</v>
      </c>
      <c r="C264" t="s">
        <v>1899</v>
      </c>
      <c r="D264" t="s">
        <v>364</v>
      </c>
      <c r="E264" t="s">
        <v>119</v>
      </c>
      <c r="F264" t="s">
        <v>327</v>
      </c>
      <c r="G264" t="s">
        <v>324</v>
      </c>
      <c r="H264">
        <v>0</v>
      </c>
      <c r="I264" t="s">
        <v>379</v>
      </c>
    </row>
    <row r="265" spans="1:9" x14ac:dyDescent="0.25">
      <c r="A265" t="s">
        <v>1379</v>
      </c>
      <c r="B265">
        <f t="shared" si="4"/>
        <v>2856</v>
      </c>
      <c r="C265" t="s">
        <v>1380</v>
      </c>
      <c r="D265" t="s">
        <v>364</v>
      </c>
      <c r="E265" t="s">
        <v>81</v>
      </c>
      <c r="F265" t="s">
        <v>81</v>
      </c>
      <c r="G265" t="s">
        <v>81</v>
      </c>
      <c r="H265">
        <v>0</v>
      </c>
      <c r="I265" t="s">
        <v>409</v>
      </c>
    </row>
    <row r="266" spans="1:9" x14ac:dyDescent="0.25">
      <c r="A266" t="s">
        <v>744</v>
      </c>
      <c r="B266">
        <f t="shared" si="4"/>
        <v>2881</v>
      </c>
      <c r="C266" t="s">
        <v>745</v>
      </c>
      <c r="D266" t="s">
        <v>364</v>
      </c>
      <c r="E266" t="s">
        <v>119</v>
      </c>
      <c r="F266" t="s">
        <v>318</v>
      </c>
      <c r="G266" t="s">
        <v>29</v>
      </c>
      <c r="H266">
        <v>0</v>
      </c>
      <c r="I266" t="s">
        <v>391</v>
      </c>
    </row>
    <row r="267" spans="1:9" x14ac:dyDescent="0.25">
      <c r="A267" t="s">
        <v>3122</v>
      </c>
      <c r="B267">
        <f t="shared" si="4"/>
        <v>2884</v>
      </c>
      <c r="C267" t="s">
        <v>3123</v>
      </c>
      <c r="D267" t="s">
        <v>364</v>
      </c>
      <c r="E267" t="s">
        <v>3124</v>
      </c>
      <c r="F267" t="s">
        <v>3125</v>
      </c>
      <c r="G267" t="s">
        <v>568</v>
      </c>
      <c r="H267">
        <v>0</v>
      </c>
      <c r="I267" t="s">
        <v>3126</v>
      </c>
    </row>
    <row r="268" spans="1:9" x14ac:dyDescent="0.25">
      <c r="A268" t="s">
        <v>1900</v>
      </c>
      <c r="B268">
        <f t="shared" si="4"/>
        <v>2885</v>
      </c>
      <c r="C268" t="s">
        <v>1901</v>
      </c>
      <c r="D268" t="s">
        <v>364</v>
      </c>
      <c r="E268" t="s">
        <v>119</v>
      </c>
      <c r="F268" t="s">
        <v>327</v>
      </c>
      <c r="G268" t="s">
        <v>329</v>
      </c>
      <c r="H268">
        <v>0</v>
      </c>
      <c r="I268" t="s">
        <v>377</v>
      </c>
    </row>
    <row r="269" spans="1:9" x14ac:dyDescent="0.25">
      <c r="A269" t="s">
        <v>1902</v>
      </c>
      <c r="B269">
        <f t="shared" si="4"/>
        <v>2886</v>
      </c>
      <c r="C269" t="s">
        <v>1903</v>
      </c>
      <c r="D269" t="s">
        <v>364</v>
      </c>
      <c r="E269" t="s">
        <v>119</v>
      </c>
      <c r="F269" t="s">
        <v>323</v>
      </c>
      <c r="G269" t="s">
        <v>29</v>
      </c>
      <c r="H269">
        <v>0</v>
      </c>
      <c r="I269" t="s">
        <v>391</v>
      </c>
    </row>
    <row r="270" spans="1:9" x14ac:dyDescent="0.25">
      <c r="A270" t="s">
        <v>1904</v>
      </c>
      <c r="B270">
        <f t="shared" si="4"/>
        <v>2889</v>
      </c>
      <c r="C270" t="s">
        <v>1905</v>
      </c>
      <c r="D270" t="s">
        <v>364</v>
      </c>
      <c r="E270" t="s">
        <v>119</v>
      </c>
      <c r="F270" t="s">
        <v>323</v>
      </c>
      <c r="G270" t="s">
        <v>324</v>
      </c>
      <c r="H270">
        <v>0</v>
      </c>
      <c r="I270" t="s">
        <v>379</v>
      </c>
    </row>
    <row r="271" spans="1:9" x14ac:dyDescent="0.25">
      <c r="A271" t="s">
        <v>139</v>
      </c>
      <c r="B271">
        <f t="shared" si="4"/>
        <v>2890</v>
      </c>
      <c r="C271" t="s">
        <v>140</v>
      </c>
      <c r="D271" t="s">
        <v>72</v>
      </c>
      <c r="E271" t="s">
        <v>81</v>
      </c>
      <c r="F271" t="s">
        <v>81</v>
      </c>
      <c r="G271" t="s">
        <v>81</v>
      </c>
      <c r="H271">
        <v>1</v>
      </c>
      <c r="I271" t="s">
        <v>398</v>
      </c>
    </row>
    <row r="272" spans="1:9" x14ac:dyDescent="0.25">
      <c r="A272" t="s">
        <v>746</v>
      </c>
      <c r="B272">
        <f t="shared" si="4"/>
        <v>2893</v>
      </c>
      <c r="C272" t="s">
        <v>747</v>
      </c>
      <c r="D272" t="s">
        <v>364</v>
      </c>
      <c r="E272" t="s">
        <v>119</v>
      </c>
      <c r="F272" t="s">
        <v>326</v>
      </c>
      <c r="G272" t="s">
        <v>24</v>
      </c>
      <c r="H272">
        <v>0</v>
      </c>
      <c r="I272" t="s">
        <v>383</v>
      </c>
    </row>
    <row r="273" spans="1:9" x14ac:dyDescent="0.25">
      <c r="A273" t="s">
        <v>1678</v>
      </c>
      <c r="B273">
        <f t="shared" si="4"/>
        <v>2894</v>
      </c>
      <c r="C273" t="s">
        <v>1679</v>
      </c>
      <c r="D273" t="s">
        <v>364</v>
      </c>
      <c r="E273" t="s">
        <v>81</v>
      </c>
      <c r="F273" t="s">
        <v>81</v>
      </c>
      <c r="G273" t="s">
        <v>81</v>
      </c>
      <c r="H273">
        <v>0</v>
      </c>
      <c r="I273" t="s">
        <v>618</v>
      </c>
    </row>
    <row r="274" spans="1:9" x14ac:dyDescent="0.25">
      <c r="A274" t="s">
        <v>1906</v>
      </c>
      <c r="B274">
        <f t="shared" si="4"/>
        <v>2897</v>
      </c>
      <c r="C274" t="s">
        <v>1907</v>
      </c>
      <c r="D274" t="s">
        <v>364</v>
      </c>
      <c r="E274" t="s">
        <v>119</v>
      </c>
      <c r="F274" t="s">
        <v>323</v>
      </c>
      <c r="G274" t="s">
        <v>329</v>
      </c>
      <c r="H274">
        <v>0</v>
      </c>
      <c r="I274" t="s">
        <v>377</v>
      </c>
    </row>
    <row r="275" spans="1:9" x14ac:dyDescent="0.25">
      <c r="A275" t="s">
        <v>1908</v>
      </c>
      <c r="B275">
        <f t="shared" si="4"/>
        <v>2899</v>
      </c>
      <c r="C275" t="s">
        <v>1909</v>
      </c>
      <c r="D275" t="s">
        <v>364</v>
      </c>
      <c r="E275" t="s">
        <v>119</v>
      </c>
      <c r="F275" t="s">
        <v>323</v>
      </c>
      <c r="G275" t="s">
        <v>329</v>
      </c>
      <c r="H275">
        <v>0</v>
      </c>
      <c r="I275" t="s">
        <v>377</v>
      </c>
    </row>
    <row r="276" spans="1:9" x14ac:dyDescent="0.25">
      <c r="A276" t="s">
        <v>1056</v>
      </c>
      <c r="B276">
        <f t="shared" si="4"/>
        <v>2902</v>
      </c>
      <c r="C276" t="s">
        <v>1057</v>
      </c>
      <c r="D276" t="s">
        <v>364</v>
      </c>
      <c r="E276" t="s">
        <v>119</v>
      </c>
      <c r="F276" t="s">
        <v>327</v>
      </c>
      <c r="G276" t="s">
        <v>324</v>
      </c>
      <c r="H276">
        <v>0</v>
      </c>
      <c r="I276" t="s">
        <v>379</v>
      </c>
    </row>
    <row r="277" spans="1:9" x14ac:dyDescent="0.25">
      <c r="A277" t="s">
        <v>1910</v>
      </c>
      <c r="B277">
        <f t="shared" si="4"/>
        <v>2903</v>
      </c>
      <c r="C277" t="s">
        <v>1911</v>
      </c>
      <c r="D277" t="s">
        <v>364</v>
      </c>
      <c r="E277" t="s">
        <v>119</v>
      </c>
      <c r="F277" t="s">
        <v>323</v>
      </c>
      <c r="G277" t="s">
        <v>316</v>
      </c>
      <c r="H277">
        <v>0</v>
      </c>
      <c r="I277" t="s">
        <v>1912</v>
      </c>
    </row>
    <row r="278" spans="1:9" x14ac:dyDescent="0.25">
      <c r="A278" t="s">
        <v>1913</v>
      </c>
      <c r="B278">
        <f t="shared" si="4"/>
        <v>2904</v>
      </c>
      <c r="C278" t="s">
        <v>1914</v>
      </c>
      <c r="D278" t="s">
        <v>364</v>
      </c>
      <c r="E278" t="s">
        <v>81</v>
      </c>
      <c r="F278" t="s">
        <v>81</v>
      </c>
      <c r="G278" t="s">
        <v>81</v>
      </c>
      <c r="H278">
        <v>0</v>
      </c>
      <c r="I278" t="s">
        <v>399</v>
      </c>
    </row>
    <row r="279" spans="1:9" x14ac:dyDescent="0.25">
      <c r="A279" t="s">
        <v>1915</v>
      </c>
      <c r="B279">
        <f t="shared" si="4"/>
        <v>2905</v>
      </c>
      <c r="C279" t="s">
        <v>1916</v>
      </c>
      <c r="D279" t="s">
        <v>364</v>
      </c>
      <c r="E279" t="s">
        <v>119</v>
      </c>
      <c r="F279" t="s">
        <v>327</v>
      </c>
      <c r="G279" t="s">
        <v>27</v>
      </c>
      <c r="H279">
        <v>0</v>
      </c>
      <c r="I279" t="s">
        <v>387</v>
      </c>
    </row>
    <row r="280" spans="1:9" x14ac:dyDescent="0.25">
      <c r="A280" t="s">
        <v>2777</v>
      </c>
      <c r="B280">
        <f t="shared" si="4"/>
        <v>2909</v>
      </c>
      <c r="C280" t="s">
        <v>2778</v>
      </c>
      <c r="D280" t="s">
        <v>364</v>
      </c>
      <c r="E280" t="s">
        <v>119</v>
      </c>
      <c r="F280" t="s">
        <v>1022</v>
      </c>
      <c r="G280" t="s">
        <v>324</v>
      </c>
      <c r="H280">
        <v>0</v>
      </c>
      <c r="I280" t="s">
        <v>379</v>
      </c>
    </row>
    <row r="281" spans="1:9" x14ac:dyDescent="0.25">
      <c r="A281" t="s">
        <v>4178</v>
      </c>
      <c r="B281">
        <f t="shared" si="4"/>
        <v>2916</v>
      </c>
      <c r="C281" t="s">
        <v>4179</v>
      </c>
      <c r="D281" t="s">
        <v>72</v>
      </c>
      <c r="E281" t="s">
        <v>119</v>
      </c>
      <c r="F281" t="s">
        <v>327</v>
      </c>
      <c r="G281" t="s">
        <v>324</v>
      </c>
      <c r="H281">
        <v>0</v>
      </c>
      <c r="I281" t="s">
        <v>379</v>
      </c>
    </row>
    <row r="282" spans="1:9" x14ac:dyDescent="0.25">
      <c r="A282" t="s">
        <v>1917</v>
      </c>
      <c r="B282">
        <f t="shared" si="4"/>
        <v>2975</v>
      </c>
      <c r="C282" t="s">
        <v>1918</v>
      </c>
      <c r="D282" t="s">
        <v>364</v>
      </c>
      <c r="E282" t="s">
        <v>119</v>
      </c>
      <c r="F282" t="s">
        <v>345</v>
      </c>
      <c r="G282" t="s">
        <v>25</v>
      </c>
      <c r="H282">
        <v>0</v>
      </c>
      <c r="I282" t="s">
        <v>386</v>
      </c>
    </row>
    <row r="283" spans="1:9" x14ac:dyDescent="0.25">
      <c r="A283" t="s">
        <v>141</v>
      </c>
      <c r="B283">
        <f t="shared" si="4"/>
        <v>3002</v>
      </c>
      <c r="C283" t="s">
        <v>142</v>
      </c>
      <c r="D283" t="s">
        <v>72</v>
      </c>
      <c r="E283" t="s">
        <v>81</v>
      </c>
      <c r="F283" t="s">
        <v>81</v>
      </c>
      <c r="G283" t="s">
        <v>81</v>
      </c>
      <c r="H283">
        <v>1</v>
      </c>
      <c r="I283" t="s">
        <v>400</v>
      </c>
    </row>
    <row r="284" spans="1:9" x14ac:dyDescent="0.25">
      <c r="A284" t="s">
        <v>1381</v>
      </c>
      <c r="B284">
        <f t="shared" si="4"/>
        <v>3004</v>
      </c>
      <c r="C284" t="s">
        <v>1382</v>
      </c>
      <c r="D284" t="s">
        <v>364</v>
      </c>
      <c r="E284" t="s">
        <v>119</v>
      </c>
      <c r="F284" t="s">
        <v>327</v>
      </c>
      <c r="G284" t="s">
        <v>312</v>
      </c>
      <c r="H284">
        <v>0</v>
      </c>
      <c r="I284" t="s">
        <v>382</v>
      </c>
    </row>
    <row r="285" spans="1:9" x14ac:dyDescent="0.25">
      <c r="A285" t="s">
        <v>2942</v>
      </c>
      <c r="B285">
        <f t="shared" si="4"/>
        <v>3010</v>
      </c>
      <c r="C285" t="s">
        <v>2988</v>
      </c>
      <c r="D285" t="s">
        <v>364</v>
      </c>
      <c r="E285" t="s">
        <v>119</v>
      </c>
      <c r="F285" t="s">
        <v>327</v>
      </c>
      <c r="G285" t="s">
        <v>324</v>
      </c>
      <c r="H285">
        <v>0</v>
      </c>
      <c r="I285" t="s">
        <v>379</v>
      </c>
    </row>
    <row r="286" spans="1:9" x14ac:dyDescent="0.25">
      <c r="A286" t="s">
        <v>1919</v>
      </c>
      <c r="B286">
        <f t="shared" si="4"/>
        <v>3020</v>
      </c>
      <c r="C286" t="s">
        <v>1920</v>
      </c>
      <c r="D286" t="s">
        <v>364</v>
      </c>
      <c r="E286" t="s">
        <v>119</v>
      </c>
      <c r="F286" t="s">
        <v>327</v>
      </c>
      <c r="G286" t="s">
        <v>324</v>
      </c>
      <c r="H286">
        <v>0</v>
      </c>
      <c r="I286" t="s">
        <v>379</v>
      </c>
    </row>
    <row r="287" spans="1:9" x14ac:dyDescent="0.25">
      <c r="A287" t="s">
        <v>1921</v>
      </c>
      <c r="B287">
        <f t="shared" si="4"/>
        <v>3028</v>
      </c>
      <c r="C287" t="s">
        <v>1922</v>
      </c>
      <c r="D287" t="s">
        <v>364</v>
      </c>
      <c r="E287" t="s">
        <v>119</v>
      </c>
      <c r="F287" t="s">
        <v>318</v>
      </c>
      <c r="G287" t="s">
        <v>312</v>
      </c>
      <c r="H287">
        <v>0</v>
      </c>
      <c r="I287" t="s">
        <v>382</v>
      </c>
    </row>
    <row r="288" spans="1:9" x14ac:dyDescent="0.25">
      <c r="A288" t="s">
        <v>3873</v>
      </c>
      <c r="B288">
        <f t="shared" si="4"/>
        <v>3029</v>
      </c>
      <c r="C288" t="s">
        <v>3874</v>
      </c>
      <c r="D288" t="s">
        <v>364</v>
      </c>
      <c r="E288" t="s">
        <v>119</v>
      </c>
      <c r="F288" t="s">
        <v>327</v>
      </c>
      <c r="G288" t="s">
        <v>324</v>
      </c>
      <c r="H288">
        <v>0</v>
      </c>
      <c r="I288" t="s">
        <v>379</v>
      </c>
    </row>
    <row r="289" spans="1:9" x14ac:dyDescent="0.25">
      <c r="A289" t="s">
        <v>1383</v>
      </c>
      <c r="B289">
        <f t="shared" si="4"/>
        <v>3030</v>
      </c>
      <c r="C289" t="s">
        <v>1384</v>
      </c>
      <c r="D289" t="s">
        <v>364</v>
      </c>
      <c r="E289" t="s">
        <v>119</v>
      </c>
      <c r="F289" t="s">
        <v>872</v>
      </c>
      <c r="G289" t="s">
        <v>324</v>
      </c>
      <c r="H289">
        <v>0</v>
      </c>
      <c r="I289" t="s">
        <v>379</v>
      </c>
    </row>
    <row r="290" spans="1:9" x14ac:dyDescent="0.25">
      <c r="A290" t="s">
        <v>748</v>
      </c>
      <c r="B290">
        <f t="shared" si="4"/>
        <v>3034</v>
      </c>
      <c r="C290" t="s">
        <v>749</v>
      </c>
      <c r="D290" t="s">
        <v>364</v>
      </c>
      <c r="E290" t="s">
        <v>119</v>
      </c>
      <c r="F290" t="s">
        <v>664</v>
      </c>
      <c r="G290" t="s">
        <v>317</v>
      </c>
      <c r="H290">
        <v>0</v>
      </c>
      <c r="I290" t="s">
        <v>750</v>
      </c>
    </row>
    <row r="291" spans="1:9" x14ac:dyDescent="0.25">
      <c r="A291" t="s">
        <v>4463</v>
      </c>
      <c r="B291">
        <f t="shared" si="4"/>
        <v>3035</v>
      </c>
      <c r="C291" t="s">
        <v>4464</v>
      </c>
      <c r="D291" t="s">
        <v>72</v>
      </c>
      <c r="E291" t="s">
        <v>119</v>
      </c>
      <c r="F291" t="s">
        <v>325</v>
      </c>
      <c r="G291" t="s">
        <v>324</v>
      </c>
      <c r="H291">
        <v>0</v>
      </c>
      <c r="I291" t="s">
        <v>379</v>
      </c>
    </row>
    <row r="292" spans="1:9" x14ac:dyDescent="0.25">
      <c r="A292" t="s">
        <v>4465</v>
      </c>
      <c r="B292">
        <f t="shared" si="4"/>
        <v>3036</v>
      </c>
      <c r="C292" t="s">
        <v>4466</v>
      </c>
      <c r="D292" t="s">
        <v>364</v>
      </c>
      <c r="E292" t="s">
        <v>119</v>
      </c>
      <c r="F292" t="s">
        <v>327</v>
      </c>
      <c r="G292" t="s">
        <v>324</v>
      </c>
      <c r="H292">
        <v>0</v>
      </c>
      <c r="I292" t="s">
        <v>379</v>
      </c>
    </row>
    <row r="293" spans="1:9" x14ac:dyDescent="0.25">
      <c r="A293" t="s">
        <v>460</v>
      </c>
      <c r="B293">
        <f t="shared" si="4"/>
        <v>3045</v>
      </c>
      <c r="C293" t="s">
        <v>461</v>
      </c>
      <c r="D293" t="s">
        <v>364</v>
      </c>
      <c r="E293" t="s">
        <v>119</v>
      </c>
      <c r="F293" t="s">
        <v>327</v>
      </c>
      <c r="G293" t="s">
        <v>72</v>
      </c>
      <c r="H293">
        <v>0</v>
      </c>
      <c r="I293" t="s">
        <v>390</v>
      </c>
    </row>
    <row r="294" spans="1:9" x14ac:dyDescent="0.25">
      <c r="A294" t="s">
        <v>3875</v>
      </c>
      <c r="B294">
        <f t="shared" si="4"/>
        <v>3046</v>
      </c>
      <c r="C294" t="s">
        <v>3876</v>
      </c>
      <c r="D294" t="s">
        <v>364</v>
      </c>
      <c r="E294" t="s">
        <v>119</v>
      </c>
      <c r="F294" t="s">
        <v>327</v>
      </c>
      <c r="G294" t="s">
        <v>324</v>
      </c>
      <c r="H294">
        <v>0</v>
      </c>
      <c r="I294" t="s">
        <v>379</v>
      </c>
    </row>
    <row r="295" spans="1:9" x14ac:dyDescent="0.25">
      <c r="A295" t="s">
        <v>3164</v>
      </c>
      <c r="B295">
        <f t="shared" si="4"/>
        <v>3047</v>
      </c>
      <c r="C295" t="s">
        <v>3165</v>
      </c>
      <c r="D295" t="s">
        <v>72</v>
      </c>
      <c r="E295" t="s">
        <v>81</v>
      </c>
      <c r="F295" t="s">
        <v>81</v>
      </c>
      <c r="G295" t="s">
        <v>81</v>
      </c>
      <c r="H295">
        <v>0</v>
      </c>
      <c r="I295" t="s">
        <v>3166</v>
      </c>
    </row>
    <row r="296" spans="1:9" x14ac:dyDescent="0.25">
      <c r="A296" t="s">
        <v>2752</v>
      </c>
      <c r="B296">
        <f t="shared" si="4"/>
        <v>3048</v>
      </c>
      <c r="C296" t="s">
        <v>2753</v>
      </c>
      <c r="D296" t="s">
        <v>364</v>
      </c>
      <c r="E296" t="s">
        <v>119</v>
      </c>
      <c r="F296" t="s">
        <v>326</v>
      </c>
      <c r="G296" t="s">
        <v>324</v>
      </c>
      <c r="H296">
        <v>0</v>
      </c>
      <c r="I296" t="s">
        <v>379</v>
      </c>
    </row>
    <row r="297" spans="1:9" x14ac:dyDescent="0.25">
      <c r="A297" t="s">
        <v>1923</v>
      </c>
      <c r="B297">
        <f t="shared" si="4"/>
        <v>3049</v>
      </c>
      <c r="C297" t="s">
        <v>1924</v>
      </c>
      <c r="D297" t="s">
        <v>364</v>
      </c>
      <c r="E297" t="s">
        <v>119</v>
      </c>
      <c r="F297" t="s">
        <v>327</v>
      </c>
      <c r="G297" t="s">
        <v>324</v>
      </c>
      <c r="H297">
        <v>0</v>
      </c>
      <c r="I297" t="s">
        <v>379</v>
      </c>
    </row>
    <row r="298" spans="1:9" x14ac:dyDescent="0.25">
      <c r="A298" t="s">
        <v>1385</v>
      </c>
      <c r="B298">
        <f t="shared" si="4"/>
        <v>3050</v>
      </c>
      <c r="C298" t="s">
        <v>1386</v>
      </c>
      <c r="D298" t="s">
        <v>72</v>
      </c>
      <c r="E298" t="s">
        <v>119</v>
      </c>
      <c r="F298" t="s">
        <v>318</v>
      </c>
      <c r="G298" t="s">
        <v>324</v>
      </c>
      <c r="H298">
        <v>0</v>
      </c>
      <c r="I298" t="s">
        <v>379</v>
      </c>
    </row>
    <row r="299" spans="1:9" x14ac:dyDescent="0.25">
      <c r="A299" t="s">
        <v>143</v>
      </c>
      <c r="B299">
        <f t="shared" si="4"/>
        <v>3051</v>
      </c>
      <c r="C299" t="s">
        <v>144</v>
      </c>
      <c r="D299" t="s">
        <v>72</v>
      </c>
      <c r="E299" t="s">
        <v>119</v>
      </c>
      <c r="F299" t="s">
        <v>318</v>
      </c>
      <c r="G299" t="s">
        <v>72</v>
      </c>
      <c r="H299">
        <v>0</v>
      </c>
      <c r="I299" t="s">
        <v>390</v>
      </c>
    </row>
    <row r="300" spans="1:9" x14ac:dyDescent="0.25">
      <c r="A300" t="s">
        <v>3059</v>
      </c>
      <c r="B300">
        <f t="shared" si="4"/>
        <v>3052</v>
      </c>
      <c r="C300" t="s">
        <v>3060</v>
      </c>
      <c r="D300" t="s">
        <v>364</v>
      </c>
      <c r="E300" t="s">
        <v>119</v>
      </c>
      <c r="F300" t="s">
        <v>318</v>
      </c>
      <c r="G300" t="s">
        <v>324</v>
      </c>
      <c r="H300">
        <v>0</v>
      </c>
      <c r="I300" t="s">
        <v>379</v>
      </c>
    </row>
    <row r="301" spans="1:9" x14ac:dyDescent="0.25">
      <c r="A301" t="s">
        <v>4467</v>
      </c>
      <c r="B301">
        <f t="shared" si="4"/>
        <v>3059</v>
      </c>
      <c r="C301" t="s">
        <v>4468</v>
      </c>
      <c r="D301" t="s">
        <v>72</v>
      </c>
      <c r="E301" t="s">
        <v>119</v>
      </c>
      <c r="F301" t="s">
        <v>327</v>
      </c>
      <c r="G301" t="s">
        <v>27</v>
      </c>
      <c r="H301">
        <v>0</v>
      </c>
      <c r="I301" t="s">
        <v>387</v>
      </c>
    </row>
    <row r="302" spans="1:9" x14ac:dyDescent="0.25">
      <c r="A302" t="s">
        <v>1058</v>
      </c>
      <c r="B302">
        <f t="shared" si="4"/>
        <v>3062</v>
      </c>
      <c r="C302" t="s">
        <v>1059</v>
      </c>
      <c r="D302" t="s">
        <v>364</v>
      </c>
      <c r="E302" t="s">
        <v>119</v>
      </c>
      <c r="F302" t="s">
        <v>318</v>
      </c>
      <c r="G302" t="s">
        <v>329</v>
      </c>
      <c r="H302">
        <v>0</v>
      </c>
      <c r="I302" t="s">
        <v>377</v>
      </c>
    </row>
    <row r="303" spans="1:9" x14ac:dyDescent="0.25">
      <c r="A303" t="s">
        <v>1925</v>
      </c>
      <c r="B303">
        <f t="shared" si="4"/>
        <v>3068</v>
      </c>
      <c r="C303" t="s">
        <v>1926</v>
      </c>
      <c r="D303" t="s">
        <v>364</v>
      </c>
      <c r="E303" t="s">
        <v>81</v>
      </c>
      <c r="F303" t="s">
        <v>81</v>
      </c>
      <c r="G303" t="s">
        <v>81</v>
      </c>
      <c r="H303">
        <v>0</v>
      </c>
      <c r="I303" t="s">
        <v>401</v>
      </c>
    </row>
    <row r="304" spans="1:9" x14ac:dyDescent="0.25">
      <c r="A304" t="s">
        <v>3287</v>
      </c>
      <c r="B304">
        <f t="shared" si="4"/>
        <v>3075</v>
      </c>
      <c r="C304" t="s">
        <v>3288</v>
      </c>
      <c r="D304" t="s">
        <v>364</v>
      </c>
      <c r="E304" t="s">
        <v>119</v>
      </c>
      <c r="F304" t="s">
        <v>326</v>
      </c>
      <c r="G304" t="s">
        <v>324</v>
      </c>
      <c r="H304">
        <v>0</v>
      </c>
      <c r="I304" t="s">
        <v>379</v>
      </c>
    </row>
    <row r="305" spans="1:9" x14ac:dyDescent="0.25">
      <c r="A305" t="s">
        <v>1927</v>
      </c>
      <c r="B305">
        <f t="shared" si="4"/>
        <v>3079</v>
      </c>
      <c r="C305" t="s">
        <v>1928</v>
      </c>
      <c r="D305" t="s">
        <v>364</v>
      </c>
      <c r="E305" t="s">
        <v>119</v>
      </c>
      <c r="F305" t="s">
        <v>328</v>
      </c>
      <c r="G305" t="s">
        <v>317</v>
      </c>
      <c r="H305">
        <v>0</v>
      </c>
      <c r="I305" t="s">
        <v>384</v>
      </c>
    </row>
    <row r="306" spans="1:9" x14ac:dyDescent="0.25">
      <c r="A306" t="s">
        <v>1929</v>
      </c>
      <c r="B306">
        <f t="shared" si="4"/>
        <v>3082</v>
      </c>
      <c r="C306" t="s">
        <v>1930</v>
      </c>
      <c r="D306" t="s">
        <v>364</v>
      </c>
      <c r="E306" t="s">
        <v>119</v>
      </c>
      <c r="F306" t="s">
        <v>323</v>
      </c>
      <c r="G306" t="s">
        <v>329</v>
      </c>
      <c r="H306">
        <v>0</v>
      </c>
      <c r="I306" t="s">
        <v>377</v>
      </c>
    </row>
    <row r="307" spans="1:9" x14ac:dyDescent="0.25">
      <c r="A307" t="s">
        <v>1931</v>
      </c>
      <c r="B307">
        <f t="shared" si="4"/>
        <v>3084</v>
      </c>
      <c r="C307" t="s">
        <v>1932</v>
      </c>
      <c r="D307" t="s">
        <v>364</v>
      </c>
      <c r="E307" t="s">
        <v>119</v>
      </c>
      <c r="F307" t="s">
        <v>318</v>
      </c>
      <c r="G307" t="s">
        <v>29</v>
      </c>
      <c r="H307">
        <v>0</v>
      </c>
      <c r="I307" t="s">
        <v>391</v>
      </c>
    </row>
    <row r="308" spans="1:9" x14ac:dyDescent="0.25">
      <c r="A308" t="s">
        <v>1387</v>
      </c>
      <c r="B308">
        <f t="shared" si="4"/>
        <v>3085</v>
      </c>
      <c r="C308" t="s">
        <v>1388</v>
      </c>
      <c r="D308" t="s">
        <v>364</v>
      </c>
      <c r="E308" t="s">
        <v>119</v>
      </c>
      <c r="F308" t="s">
        <v>326</v>
      </c>
      <c r="G308" t="s">
        <v>324</v>
      </c>
      <c r="H308">
        <v>0</v>
      </c>
      <c r="I308" t="s">
        <v>379</v>
      </c>
    </row>
    <row r="309" spans="1:9" x14ac:dyDescent="0.25">
      <c r="A309" t="s">
        <v>4469</v>
      </c>
      <c r="B309">
        <f t="shared" si="4"/>
        <v>3089</v>
      </c>
      <c r="C309" t="s">
        <v>4470</v>
      </c>
      <c r="D309" t="s">
        <v>364</v>
      </c>
      <c r="E309" t="s">
        <v>119</v>
      </c>
      <c r="F309" t="s">
        <v>327</v>
      </c>
      <c r="G309" t="s">
        <v>312</v>
      </c>
      <c r="H309">
        <v>0</v>
      </c>
      <c r="I309" t="s">
        <v>382</v>
      </c>
    </row>
    <row r="310" spans="1:9" x14ac:dyDescent="0.25">
      <c r="A310" t="s">
        <v>3860</v>
      </c>
      <c r="B310">
        <f t="shared" si="4"/>
        <v>3090</v>
      </c>
      <c r="C310" t="s">
        <v>3861</v>
      </c>
      <c r="D310" t="s">
        <v>364</v>
      </c>
      <c r="E310" t="s">
        <v>119</v>
      </c>
      <c r="F310" t="s">
        <v>467</v>
      </c>
      <c r="G310" t="s">
        <v>28</v>
      </c>
      <c r="H310">
        <v>0</v>
      </c>
      <c r="I310" t="s">
        <v>376</v>
      </c>
    </row>
    <row r="311" spans="1:9" x14ac:dyDescent="0.25">
      <c r="A311" t="s">
        <v>1933</v>
      </c>
      <c r="B311">
        <f t="shared" si="4"/>
        <v>3095</v>
      </c>
      <c r="C311" t="s">
        <v>1934</v>
      </c>
      <c r="D311" t="s">
        <v>364</v>
      </c>
      <c r="E311" t="s">
        <v>119</v>
      </c>
      <c r="F311" t="s">
        <v>327</v>
      </c>
      <c r="G311" t="s">
        <v>346</v>
      </c>
      <c r="H311">
        <v>0</v>
      </c>
      <c r="I311" t="s">
        <v>380</v>
      </c>
    </row>
    <row r="312" spans="1:9" x14ac:dyDescent="0.25">
      <c r="A312" t="s">
        <v>1935</v>
      </c>
      <c r="B312">
        <f t="shared" si="4"/>
        <v>3113</v>
      </c>
      <c r="C312" t="s">
        <v>1936</v>
      </c>
      <c r="D312" t="s">
        <v>364</v>
      </c>
      <c r="E312" t="s">
        <v>119</v>
      </c>
      <c r="F312" t="s">
        <v>326</v>
      </c>
      <c r="G312" t="s">
        <v>324</v>
      </c>
      <c r="H312">
        <v>0</v>
      </c>
      <c r="I312" t="s">
        <v>379</v>
      </c>
    </row>
    <row r="313" spans="1:9" x14ac:dyDescent="0.25">
      <c r="A313" t="s">
        <v>4180</v>
      </c>
      <c r="B313">
        <f t="shared" si="4"/>
        <v>3114</v>
      </c>
      <c r="C313" t="s">
        <v>4181</v>
      </c>
      <c r="D313" t="s">
        <v>72</v>
      </c>
      <c r="E313" t="s">
        <v>119</v>
      </c>
      <c r="F313" t="s">
        <v>327</v>
      </c>
      <c r="G313" t="s">
        <v>72</v>
      </c>
      <c r="H313">
        <v>0</v>
      </c>
      <c r="I313" t="s">
        <v>390</v>
      </c>
    </row>
    <row r="314" spans="1:9" x14ac:dyDescent="0.25">
      <c r="A314" t="s">
        <v>4471</v>
      </c>
      <c r="B314">
        <f t="shared" si="4"/>
        <v>3115</v>
      </c>
      <c r="C314" t="s">
        <v>4472</v>
      </c>
      <c r="D314" t="s">
        <v>72</v>
      </c>
      <c r="E314" t="s">
        <v>81</v>
      </c>
      <c r="F314" t="s">
        <v>81</v>
      </c>
      <c r="G314" t="s">
        <v>81</v>
      </c>
      <c r="H314">
        <v>0</v>
      </c>
      <c r="I314" t="s">
        <v>392</v>
      </c>
    </row>
    <row r="315" spans="1:9" x14ac:dyDescent="0.25">
      <c r="A315" t="s">
        <v>1937</v>
      </c>
      <c r="B315">
        <f t="shared" si="4"/>
        <v>3118</v>
      </c>
      <c r="C315" t="s">
        <v>1938</v>
      </c>
      <c r="D315" t="s">
        <v>364</v>
      </c>
      <c r="E315" t="s">
        <v>81</v>
      </c>
      <c r="F315" t="s">
        <v>81</v>
      </c>
      <c r="G315" t="s">
        <v>81</v>
      </c>
      <c r="H315">
        <v>0</v>
      </c>
      <c r="I315" t="s">
        <v>402</v>
      </c>
    </row>
    <row r="316" spans="1:9" x14ac:dyDescent="0.25">
      <c r="A316" t="s">
        <v>1060</v>
      </c>
      <c r="B316">
        <f t="shared" si="4"/>
        <v>3124</v>
      </c>
      <c r="C316" t="s">
        <v>1061</v>
      </c>
      <c r="D316" t="s">
        <v>364</v>
      </c>
      <c r="E316" t="s">
        <v>119</v>
      </c>
      <c r="F316" t="s">
        <v>326</v>
      </c>
      <c r="G316" t="s">
        <v>324</v>
      </c>
      <c r="H316">
        <v>0</v>
      </c>
      <c r="I316" t="s">
        <v>379</v>
      </c>
    </row>
    <row r="317" spans="1:9" x14ac:dyDescent="0.25">
      <c r="A317" t="s">
        <v>1939</v>
      </c>
      <c r="B317">
        <f t="shared" si="4"/>
        <v>3125</v>
      </c>
      <c r="C317" t="s">
        <v>1940</v>
      </c>
      <c r="D317" t="s">
        <v>364</v>
      </c>
      <c r="E317" t="s">
        <v>119</v>
      </c>
      <c r="F317" t="s">
        <v>318</v>
      </c>
      <c r="G317" t="s">
        <v>324</v>
      </c>
      <c r="H317">
        <v>0</v>
      </c>
      <c r="I317" t="s">
        <v>379</v>
      </c>
    </row>
    <row r="318" spans="1:9" x14ac:dyDescent="0.25">
      <c r="A318" t="s">
        <v>1062</v>
      </c>
      <c r="B318">
        <f t="shared" si="4"/>
        <v>3127</v>
      </c>
      <c r="C318" t="s">
        <v>1063</v>
      </c>
      <c r="D318" t="s">
        <v>364</v>
      </c>
      <c r="E318" t="s">
        <v>81</v>
      </c>
      <c r="F318" t="s">
        <v>81</v>
      </c>
      <c r="G318" t="s">
        <v>81</v>
      </c>
      <c r="H318">
        <v>0</v>
      </c>
      <c r="I318" t="s">
        <v>1049</v>
      </c>
    </row>
    <row r="319" spans="1:9" x14ac:dyDescent="0.25">
      <c r="A319" t="s">
        <v>1680</v>
      </c>
      <c r="B319">
        <f t="shared" si="4"/>
        <v>3128</v>
      </c>
      <c r="C319" t="s">
        <v>1681</v>
      </c>
      <c r="D319" t="s">
        <v>364</v>
      </c>
      <c r="E319" t="s">
        <v>81</v>
      </c>
      <c r="F319" t="s">
        <v>81</v>
      </c>
      <c r="G319" t="s">
        <v>81</v>
      </c>
      <c r="H319">
        <v>1</v>
      </c>
      <c r="I319" t="s">
        <v>79</v>
      </c>
    </row>
    <row r="320" spans="1:9" x14ac:dyDescent="0.25">
      <c r="A320" t="s">
        <v>1941</v>
      </c>
      <c r="B320">
        <f t="shared" si="4"/>
        <v>3140</v>
      </c>
      <c r="C320" t="s">
        <v>1942</v>
      </c>
      <c r="D320" t="s">
        <v>364</v>
      </c>
      <c r="E320" t="s">
        <v>119</v>
      </c>
      <c r="F320" t="s">
        <v>323</v>
      </c>
      <c r="G320" t="s">
        <v>29</v>
      </c>
      <c r="H320">
        <v>0</v>
      </c>
      <c r="I320" t="s">
        <v>391</v>
      </c>
    </row>
    <row r="321" spans="1:9" x14ac:dyDescent="0.25">
      <c r="A321" t="s">
        <v>145</v>
      </c>
      <c r="B321">
        <f t="shared" si="4"/>
        <v>3301</v>
      </c>
      <c r="C321" t="s">
        <v>146</v>
      </c>
      <c r="D321" t="s">
        <v>364</v>
      </c>
      <c r="E321" t="s">
        <v>81</v>
      </c>
      <c r="F321" t="s">
        <v>81</v>
      </c>
      <c r="G321" t="s">
        <v>81</v>
      </c>
      <c r="H321">
        <v>1</v>
      </c>
      <c r="I321" t="s">
        <v>381</v>
      </c>
    </row>
    <row r="322" spans="1:9" x14ac:dyDescent="0.25">
      <c r="A322" t="s">
        <v>953</v>
      </c>
      <c r="B322">
        <f t="shared" si="4"/>
        <v>3310</v>
      </c>
      <c r="C322" t="s">
        <v>954</v>
      </c>
      <c r="D322" t="s">
        <v>364</v>
      </c>
      <c r="E322" t="s">
        <v>119</v>
      </c>
      <c r="F322" t="s">
        <v>872</v>
      </c>
      <c r="G322" t="s">
        <v>324</v>
      </c>
      <c r="H322">
        <v>0</v>
      </c>
      <c r="I322" t="s">
        <v>379</v>
      </c>
    </row>
    <row r="323" spans="1:9" x14ac:dyDescent="0.25">
      <c r="A323" t="s">
        <v>1389</v>
      </c>
      <c r="B323">
        <f t="shared" si="4"/>
        <v>3311</v>
      </c>
      <c r="C323" t="s">
        <v>1390</v>
      </c>
      <c r="D323" t="s">
        <v>364</v>
      </c>
      <c r="E323" t="s">
        <v>119</v>
      </c>
      <c r="F323" t="s">
        <v>318</v>
      </c>
      <c r="G323" t="s">
        <v>29</v>
      </c>
      <c r="H323">
        <v>0</v>
      </c>
      <c r="I323" t="s">
        <v>391</v>
      </c>
    </row>
    <row r="324" spans="1:9" x14ac:dyDescent="0.25">
      <c r="A324" t="s">
        <v>1943</v>
      </c>
      <c r="B324">
        <f t="shared" ref="B324:B387" si="5">_xlfn.NUMBERVALUE(A324,"#####")</f>
        <v>3317</v>
      </c>
      <c r="C324" t="s">
        <v>1944</v>
      </c>
      <c r="D324" t="s">
        <v>364</v>
      </c>
      <c r="E324" t="s">
        <v>119</v>
      </c>
      <c r="F324" t="s">
        <v>326</v>
      </c>
      <c r="G324" t="s">
        <v>324</v>
      </c>
      <c r="H324">
        <v>0</v>
      </c>
      <c r="I324" t="s">
        <v>379</v>
      </c>
    </row>
    <row r="325" spans="1:9" x14ac:dyDescent="0.25">
      <c r="A325" t="s">
        <v>1945</v>
      </c>
      <c r="B325">
        <f t="shared" si="5"/>
        <v>3318</v>
      </c>
      <c r="C325" t="s">
        <v>1946</v>
      </c>
      <c r="D325" t="s">
        <v>364</v>
      </c>
      <c r="E325" t="s">
        <v>119</v>
      </c>
      <c r="F325" t="s">
        <v>323</v>
      </c>
      <c r="G325" t="s">
        <v>324</v>
      </c>
      <c r="H325">
        <v>0</v>
      </c>
      <c r="I325" t="s">
        <v>379</v>
      </c>
    </row>
    <row r="326" spans="1:9" x14ac:dyDescent="0.25">
      <c r="A326" t="s">
        <v>1064</v>
      </c>
      <c r="B326">
        <f t="shared" si="5"/>
        <v>3320</v>
      </c>
      <c r="C326" t="s">
        <v>1065</v>
      </c>
      <c r="D326" t="s">
        <v>364</v>
      </c>
      <c r="E326" t="s">
        <v>119</v>
      </c>
      <c r="F326" t="s">
        <v>664</v>
      </c>
      <c r="G326" t="s">
        <v>29</v>
      </c>
      <c r="H326">
        <v>0</v>
      </c>
      <c r="I326" t="s">
        <v>391</v>
      </c>
    </row>
    <row r="327" spans="1:9" x14ac:dyDescent="0.25">
      <c r="A327" t="s">
        <v>3087</v>
      </c>
      <c r="B327">
        <f t="shared" si="5"/>
        <v>3321</v>
      </c>
      <c r="C327" t="s">
        <v>3088</v>
      </c>
      <c r="D327" t="s">
        <v>364</v>
      </c>
      <c r="E327" t="s">
        <v>119</v>
      </c>
      <c r="F327" t="s">
        <v>327</v>
      </c>
      <c r="G327" t="s">
        <v>324</v>
      </c>
      <c r="H327">
        <v>0</v>
      </c>
      <c r="I327" t="s">
        <v>379</v>
      </c>
    </row>
    <row r="328" spans="1:9" x14ac:dyDescent="0.25">
      <c r="A328" t="s">
        <v>1947</v>
      </c>
      <c r="B328">
        <f t="shared" si="5"/>
        <v>3322</v>
      </c>
      <c r="C328" t="s">
        <v>1948</v>
      </c>
      <c r="D328" t="s">
        <v>364</v>
      </c>
      <c r="E328" t="s">
        <v>119</v>
      </c>
      <c r="F328" t="s">
        <v>327</v>
      </c>
      <c r="G328" t="s">
        <v>324</v>
      </c>
      <c r="H328">
        <v>0</v>
      </c>
      <c r="I328" t="s">
        <v>379</v>
      </c>
    </row>
    <row r="329" spans="1:9" x14ac:dyDescent="0.25">
      <c r="A329" t="s">
        <v>1949</v>
      </c>
      <c r="B329">
        <f t="shared" si="5"/>
        <v>3324</v>
      </c>
      <c r="C329" t="s">
        <v>1950</v>
      </c>
      <c r="D329" t="s">
        <v>364</v>
      </c>
      <c r="E329" t="s">
        <v>119</v>
      </c>
      <c r="F329" t="s">
        <v>327</v>
      </c>
      <c r="G329" t="s">
        <v>324</v>
      </c>
      <c r="H329">
        <v>0</v>
      </c>
      <c r="I329" t="s">
        <v>379</v>
      </c>
    </row>
    <row r="330" spans="1:9" x14ac:dyDescent="0.25">
      <c r="A330" t="s">
        <v>1951</v>
      </c>
      <c r="B330">
        <f t="shared" si="5"/>
        <v>3342</v>
      </c>
      <c r="C330" t="s">
        <v>1952</v>
      </c>
      <c r="D330" t="s">
        <v>364</v>
      </c>
      <c r="E330" t="s">
        <v>119</v>
      </c>
      <c r="F330" t="s">
        <v>664</v>
      </c>
      <c r="G330" t="s">
        <v>324</v>
      </c>
      <c r="H330">
        <v>0</v>
      </c>
      <c r="I330" t="s">
        <v>377</v>
      </c>
    </row>
    <row r="331" spans="1:9" x14ac:dyDescent="0.25">
      <c r="A331" t="s">
        <v>3041</v>
      </c>
      <c r="B331">
        <f t="shared" si="5"/>
        <v>3349</v>
      </c>
      <c r="C331" t="s">
        <v>3042</v>
      </c>
      <c r="D331" t="s">
        <v>364</v>
      </c>
      <c r="E331" t="s">
        <v>119</v>
      </c>
      <c r="F331" t="s">
        <v>1717</v>
      </c>
      <c r="G331" t="s">
        <v>28</v>
      </c>
      <c r="H331">
        <v>0</v>
      </c>
      <c r="I331" t="s">
        <v>376</v>
      </c>
    </row>
    <row r="332" spans="1:9" x14ac:dyDescent="0.25">
      <c r="A332" t="s">
        <v>2849</v>
      </c>
      <c r="B332">
        <f t="shared" si="5"/>
        <v>3356</v>
      </c>
      <c r="C332" t="s">
        <v>2850</v>
      </c>
      <c r="D332" t="s">
        <v>364</v>
      </c>
      <c r="E332" t="s">
        <v>119</v>
      </c>
      <c r="F332" t="s">
        <v>327</v>
      </c>
      <c r="G332" t="s">
        <v>324</v>
      </c>
      <c r="H332">
        <v>0</v>
      </c>
      <c r="I332" t="s">
        <v>379</v>
      </c>
    </row>
    <row r="333" spans="1:9" x14ac:dyDescent="0.25">
      <c r="A333" t="s">
        <v>1953</v>
      </c>
      <c r="B333">
        <f t="shared" si="5"/>
        <v>3367</v>
      </c>
      <c r="C333" t="s">
        <v>1954</v>
      </c>
      <c r="D333" t="s">
        <v>364</v>
      </c>
      <c r="E333" t="s">
        <v>119</v>
      </c>
      <c r="F333" t="s">
        <v>318</v>
      </c>
      <c r="G333" t="s">
        <v>312</v>
      </c>
      <c r="H333">
        <v>0</v>
      </c>
      <c r="I333" t="s">
        <v>382</v>
      </c>
    </row>
    <row r="334" spans="1:9" x14ac:dyDescent="0.25">
      <c r="A334" t="s">
        <v>1955</v>
      </c>
      <c r="B334">
        <f t="shared" si="5"/>
        <v>3368</v>
      </c>
      <c r="C334" t="s">
        <v>1956</v>
      </c>
      <c r="D334" t="s">
        <v>364</v>
      </c>
      <c r="E334" t="s">
        <v>119</v>
      </c>
      <c r="F334" t="s">
        <v>327</v>
      </c>
      <c r="G334" t="s">
        <v>324</v>
      </c>
      <c r="H334">
        <v>0</v>
      </c>
      <c r="I334" t="s">
        <v>379</v>
      </c>
    </row>
    <row r="335" spans="1:9" x14ac:dyDescent="0.25">
      <c r="A335" t="s">
        <v>2943</v>
      </c>
      <c r="B335">
        <f t="shared" si="5"/>
        <v>3371</v>
      </c>
      <c r="C335" t="s">
        <v>2944</v>
      </c>
      <c r="D335" t="s">
        <v>364</v>
      </c>
      <c r="E335" t="s">
        <v>119</v>
      </c>
      <c r="F335" t="s">
        <v>327</v>
      </c>
      <c r="G335" t="s">
        <v>312</v>
      </c>
      <c r="H335">
        <v>0</v>
      </c>
      <c r="I335" t="s">
        <v>382</v>
      </c>
    </row>
    <row r="336" spans="1:9" x14ac:dyDescent="0.25">
      <c r="A336" t="s">
        <v>3061</v>
      </c>
      <c r="B336">
        <f t="shared" si="5"/>
        <v>3372</v>
      </c>
      <c r="C336" t="s">
        <v>3375</v>
      </c>
      <c r="D336" t="s">
        <v>72</v>
      </c>
      <c r="E336" t="s">
        <v>81</v>
      </c>
      <c r="F336" t="s">
        <v>81</v>
      </c>
      <c r="G336" t="s">
        <v>81</v>
      </c>
      <c r="H336">
        <v>1</v>
      </c>
      <c r="I336" t="s">
        <v>3062</v>
      </c>
    </row>
    <row r="337" spans="1:9" x14ac:dyDescent="0.25">
      <c r="A337" t="s">
        <v>3077</v>
      </c>
      <c r="B337">
        <f t="shared" si="5"/>
        <v>3373</v>
      </c>
      <c r="C337" t="s">
        <v>3078</v>
      </c>
      <c r="D337" t="s">
        <v>364</v>
      </c>
      <c r="E337" t="s">
        <v>119</v>
      </c>
      <c r="F337" t="s">
        <v>327</v>
      </c>
      <c r="G337" t="s">
        <v>72</v>
      </c>
      <c r="H337">
        <v>0</v>
      </c>
      <c r="I337" t="s">
        <v>390</v>
      </c>
    </row>
    <row r="338" spans="1:9" x14ac:dyDescent="0.25">
      <c r="A338" t="s">
        <v>1957</v>
      </c>
      <c r="B338">
        <f t="shared" si="5"/>
        <v>3377</v>
      </c>
      <c r="C338" t="s">
        <v>1958</v>
      </c>
      <c r="D338" t="s">
        <v>364</v>
      </c>
      <c r="E338" t="s">
        <v>119</v>
      </c>
      <c r="F338" t="s">
        <v>328</v>
      </c>
      <c r="G338" t="s">
        <v>25</v>
      </c>
      <c r="H338">
        <v>0</v>
      </c>
      <c r="I338" t="s">
        <v>386</v>
      </c>
    </row>
    <row r="339" spans="1:9" x14ac:dyDescent="0.25">
      <c r="A339" t="s">
        <v>1391</v>
      </c>
      <c r="B339">
        <f t="shared" si="5"/>
        <v>3382</v>
      </c>
      <c r="C339" t="s">
        <v>1392</v>
      </c>
      <c r="D339" t="s">
        <v>364</v>
      </c>
      <c r="E339" t="s">
        <v>119</v>
      </c>
      <c r="F339" t="s">
        <v>326</v>
      </c>
      <c r="G339" t="s">
        <v>29</v>
      </c>
      <c r="H339">
        <v>0</v>
      </c>
      <c r="I339" t="s">
        <v>391</v>
      </c>
    </row>
    <row r="340" spans="1:9" x14ac:dyDescent="0.25">
      <c r="A340" t="s">
        <v>147</v>
      </c>
      <c r="B340">
        <f t="shared" si="5"/>
        <v>3383</v>
      </c>
      <c r="C340" t="s">
        <v>148</v>
      </c>
      <c r="D340" t="s">
        <v>364</v>
      </c>
      <c r="E340" t="s">
        <v>81</v>
      </c>
      <c r="F340" t="s">
        <v>81</v>
      </c>
      <c r="G340" t="s">
        <v>81</v>
      </c>
      <c r="H340">
        <v>0</v>
      </c>
      <c r="I340" t="s">
        <v>403</v>
      </c>
    </row>
    <row r="341" spans="1:9" x14ac:dyDescent="0.25">
      <c r="A341" t="s">
        <v>955</v>
      </c>
      <c r="B341">
        <f t="shared" si="5"/>
        <v>3386</v>
      </c>
      <c r="C341" t="s">
        <v>956</v>
      </c>
      <c r="D341" t="s">
        <v>364</v>
      </c>
      <c r="E341" t="s">
        <v>119</v>
      </c>
      <c r="F341" t="s">
        <v>872</v>
      </c>
      <c r="G341" t="s">
        <v>324</v>
      </c>
      <c r="H341">
        <v>0</v>
      </c>
      <c r="I341" t="s">
        <v>379</v>
      </c>
    </row>
    <row r="342" spans="1:9" x14ac:dyDescent="0.25">
      <c r="A342" t="s">
        <v>2851</v>
      </c>
      <c r="B342">
        <f t="shared" si="5"/>
        <v>3387</v>
      </c>
      <c r="C342" t="s">
        <v>2852</v>
      </c>
      <c r="D342" t="s">
        <v>72</v>
      </c>
      <c r="E342" t="s">
        <v>81</v>
      </c>
      <c r="F342" t="s">
        <v>81</v>
      </c>
      <c r="G342" t="s">
        <v>81</v>
      </c>
      <c r="H342">
        <v>1</v>
      </c>
      <c r="I342" t="s">
        <v>2503</v>
      </c>
    </row>
    <row r="343" spans="1:9" x14ac:dyDescent="0.25">
      <c r="A343" t="s">
        <v>1066</v>
      </c>
      <c r="B343">
        <f t="shared" si="5"/>
        <v>3389</v>
      </c>
      <c r="C343" t="s">
        <v>1067</v>
      </c>
      <c r="D343" t="s">
        <v>72</v>
      </c>
      <c r="E343" t="s">
        <v>81</v>
      </c>
      <c r="F343" t="s">
        <v>81</v>
      </c>
      <c r="G343" t="s">
        <v>81</v>
      </c>
      <c r="H343">
        <v>0</v>
      </c>
      <c r="I343" t="s">
        <v>409</v>
      </c>
    </row>
    <row r="344" spans="1:9" x14ac:dyDescent="0.25">
      <c r="A344" t="s">
        <v>3089</v>
      </c>
      <c r="B344">
        <f t="shared" si="5"/>
        <v>3392</v>
      </c>
      <c r="C344" t="s">
        <v>3090</v>
      </c>
      <c r="D344" t="s">
        <v>72</v>
      </c>
      <c r="E344" t="s">
        <v>119</v>
      </c>
      <c r="F344" t="s">
        <v>327</v>
      </c>
      <c r="G344" t="s">
        <v>329</v>
      </c>
      <c r="H344">
        <v>0</v>
      </c>
      <c r="I344" t="s">
        <v>377</v>
      </c>
    </row>
    <row r="345" spans="1:9" x14ac:dyDescent="0.25">
      <c r="A345" t="s">
        <v>4182</v>
      </c>
      <c r="B345">
        <f t="shared" si="5"/>
        <v>3395</v>
      </c>
      <c r="C345" t="s">
        <v>4183</v>
      </c>
      <c r="D345" t="s">
        <v>364</v>
      </c>
      <c r="E345" t="s">
        <v>119</v>
      </c>
      <c r="F345" t="s">
        <v>467</v>
      </c>
      <c r="G345" t="s">
        <v>313</v>
      </c>
      <c r="H345">
        <v>0</v>
      </c>
      <c r="I345" t="s">
        <v>382</v>
      </c>
    </row>
    <row r="346" spans="1:9" x14ac:dyDescent="0.25">
      <c r="A346" t="s">
        <v>4376</v>
      </c>
      <c r="B346">
        <f t="shared" si="5"/>
        <v>3398</v>
      </c>
      <c r="C346" t="s">
        <v>4377</v>
      </c>
      <c r="D346" t="s">
        <v>72</v>
      </c>
      <c r="E346" t="s">
        <v>119</v>
      </c>
      <c r="F346" t="s">
        <v>318</v>
      </c>
      <c r="G346" t="s">
        <v>312</v>
      </c>
      <c r="H346">
        <v>0</v>
      </c>
      <c r="I346" t="s">
        <v>382</v>
      </c>
    </row>
    <row r="347" spans="1:9" x14ac:dyDescent="0.25">
      <c r="A347" t="s">
        <v>4184</v>
      </c>
      <c r="B347">
        <f t="shared" si="5"/>
        <v>3405</v>
      </c>
      <c r="C347" t="s">
        <v>4185</v>
      </c>
      <c r="D347" t="s">
        <v>72</v>
      </c>
      <c r="E347" t="s">
        <v>119</v>
      </c>
      <c r="F347" t="s">
        <v>326</v>
      </c>
      <c r="G347" t="s">
        <v>324</v>
      </c>
      <c r="H347">
        <v>0</v>
      </c>
      <c r="I347" t="s">
        <v>379</v>
      </c>
    </row>
    <row r="348" spans="1:9" x14ac:dyDescent="0.25">
      <c r="A348" t="s">
        <v>149</v>
      </c>
      <c r="B348">
        <f t="shared" si="5"/>
        <v>3407</v>
      </c>
      <c r="C348" t="s">
        <v>150</v>
      </c>
      <c r="D348" t="s">
        <v>72</v>
      </c>
      <c r="E348" t="s">
        <v>119</v>
      </c>
      <c r="F348" t="s">
        <v>326</v>
      </c>
      <c r="G348" t="s">
        <v>72</v>
      </c>
      <c r="H348">
        <v>1</v>
      </c>
      <c r="I348" t="s">
        <v>390</v>
      </c>
    </row>
    <row r="349" spans="1:9" x14ac:dyDescent="0.25">
      <c r="A349" t="s">
        <v>3146</v>
      </c>
      <c r="B349">
        <f t="shared" si="5"/>
        <v>3408</v>
      </c>
      <c r="C349" t="s">
        <v>3147</v>
      </c>
      <c r="D349" t="s">
        <v>364</v>
      </c>
      <c r="E349" t="s">
        <v>119</v>
      </c>
      <c r="F349" t="s">
        <v>1022</v>
      </c>
      <c r="G349" t="s">
        <v>28</v>
      </c>
      <c r="H349">
        <v>0</v>
      </c>
      <c r="I349" t="s">
        <v>382</v>
      </c>
    </row>
    <row r="350" spans="1:9" x14ac:dyDescent="0.25">
      <c r="A350" t="s">
        <v>1959</v>
      </c>
      <c r="B350">
        <f t="shared" si="5"/>
        <v>3413</v>
      </c>
      <c r="C350" t="s">
        <v>1960</v>
      </c>
      <c r="D350" t="s">
        <v>364</v>
      </c>
      <c r="E350" t="s">
        <v>119</v>
      </c>
      <c r="F350" t="s">
        <v>323</v>
      </c>
      <c r="G350" t="s">
        <v>324</v>
      </c>
      <c r="H350">
        <v>0</v>
      </c>
      <c r="I350" t="s">
        <v>379</v>
      </c>
    </row>
    <row r="351" spans="1:9" x14ac:dyDescent="0.25">
      <c r="A351" t="s">
        <v>1961</v>
      </c>
      <c r="B351">
        <f t="shared" si="5"/>
        <v>3417</v>
      </c>
      <c r="C351" t="s">
        <v>1962</v>
      </c>
      <c r="D351" t="s">
        <v>364</v>
      </c>
      <c r="E351" t="s">
        <v>119</v>
      </c>
      <c r="F351" t="s">
        <v>330</v>
      </c>
      <c r="G351" t="s">
        <v>313</v>
      </c>
      <c r="H351">
        <v>0</v>
      </c>
      <c r="I351" t="s">
        <v>1963</v>
      </c>
    </row>
    <row r="352" spans="1:9" x14ac:dyDescent="0.25">
      <c r="A352" t="s">
        <v>1068</v>
      </c>
      <c r="B352">
        <f t="shared" si="5"/>
        <v>3435</v>
      </c>
      <c r="C352" t="s">
        <v>1069</v>
      </c>
      <c r="D352" t="s">
        <v>364</v>
      </c>
      <c r="E352" t="s">
        <v>119</v>
      </c>
      <c r="F352" t="s">
        <v>318</v>
      </c>
      <c r="G352" t="s">
        <v>29</v>
      </c>
      <c r="H352">
        <v>0</v>
      </c>
      <c r="I352" t="s">
        <v>391</v>
      </c>
    </row>
    <row r="353" spans="1:9" x14ac:dyDescent="0.25">
      <c r="A353" t="s">
        <v>1964</v>
      </c>
      <c r="B353">
        <f t="shared" si="5"/>
        <v>3438</v>
      </c>
      <c r="C353" t="s">
        <v>1965</v>
      </c>
      <c r="D353" t="s">
        <v>364</v>
      </c>
      <c r="E353" t="s">
        <v>119</v>
      </c>
      <c r="F353" t="s">
        <v>327</v>
      </c>
      <c r="G353" t="s">
        <v>467</v>
      </c>
      <c r="H353">
        <v>0</v>
      </c>
      <c r="I353" t="s">
        <v>1966</v>
      </c>
    </row>
    <row r="354" spans="1:9" x14ac:dyDescent="0.25">
      <c r="A354" t="s">
        <v>3877</v>
      </c>
      <c r="B354">
        <f t="shared" si="5"/>
        <v>3443</v>
      </c>
      <c r="C354" t="s">
        <v>3878</v>
      </c>
      <c r="D354" t="s">
        <v>72</v>
      </c>
      <c r="E354" t="s">
        <v>119</v>
      </c>
      <c r="F354" t="s">
        <v>318</v>
      </c>
      <c r="G354" t="s">
        <v>324</v>
      </c>
      <c r="H354">
        <v>0</v>
      </c>
      <c r="I354" t="s">
        <v>379</v>
      </c>
    </row>
    <row r="355" spans="1:9" x14ac:dyDescent="0.25">
      <c r="A355" t="s">
        <v>4473</v>
      </c>
      <c r="B355">
        <f t="shared" si="5"/>
        <v>3445</v>
      </c>
      <c r="C355" t="s">
        <v>4474</v>
      </c>
      <c r="D355" t="s">
        <v>72</v>
      </c>
      <c r="E355" t="s">
        <v>119</v>
      </c>
      <c r="F355" t="s">
        <v>327</v>
      </c>
      <c r="G355" t="s">
        <v>27</v>
      </c>
      <c r="H355">
        <v>0</v>
      </c>
      <c r="I355" t="s">
        <v>387</v>
      </c>
    </row>
    <row r="356" spans="1:9" x14ac:dyDescent="0.25">
      <c r="A356" t="s">
        <v>1967</v>
      </c>
      <c r="B356">
        <f t="shared" si="5"/>
        <v>3465</v>
      </c>
      <c r="C356" t="s">
        <v>1968</v>
      </c>
      <c r="D356" t="s">
        <v>364</v>
      </c>
      <c r="E356" t="s">
        <v>119</v>
      </c>
      <c r="F356" t="s">
        <v>345</v>
      </c>
      <c r="G356" t="s">
        <v>324</v>
      </c>
      <c r="H356">
        <v>0</v>
      </c>
      <c r="I356" t="s">
        <v>379</v>
      </c>
    </row>
    <row r="357" spans="1:9" x14ac:dyDescent="0.25">
      <c r="A357" t="s">
        <v>1969</v>
      </c>
      <c r="B357">
        <f t="shared" si="5"/>
        <v>3470</v>
      </c>
      <c r="C357" t="s">
        <v>1970</v>
      </c>
      <c r="D357" t="s">
        <v>364</v>
      </c>
      <c r="E357" t="s">
        <v>119</v>
      </c>
      <c r="F357" t="s">
        <v>327</v>
      </c>
      <c r="G357" t="s">
        <v>324</v>
      </c>
      <c r="H357">
        <v>0</v>
      </c>
      <c r="I357" t="s">
        <v>379</v>
      </c>
    </row>
    <row r="358" spans="1:9" x14ac:dyDescent="0.25">
      <c r="A358" t="s">
        <v>1070</v>
      </c>
      <c r="B358">
        <f t="shared" si="5"/>
        <v>3532</v>
      </c>
      <c r="C358" t="s">
        <v>1071</v>
      </c>
      <c r="D358" t="s">
        <v>364</v>
      </c>
      <c r="E358" t="s">
        <v>119</v>
      </c>
      <c r="F358" t="s">
        <v>326</v>
      </c>
      <c r="G358" t="s">
        <v>346</v>
      </c>
      <c r="H358">
        <v>0</v>
      </c>
      <c r="I358" t="s">
        <v>380</v>
      </c>
    </row>
    <row r="359" spans="1:9" x14ac:dyDescent="0.25">
      <c r="A359" t="s">
        <v>1971</v>
      </c>
      <c r="B359">
        <f t="shared" si="5"/>
        <v>3537</v>
      </c>
      <c r="C359" t="s">
        <v>1972</v>
      </c>
      <c r="D359" t="s">
        <v>364</v>
      </c>
      <c r="E359" t="s">
        <v>81</v>
      </c>
      <c r="F359" t="s">
        <v>81</v>
      </c>
      <c r="G359" t="s">
        <v>81</v>
      </c>
      <c r="H359">
        <v>0</v>
      </c>
      <c r="I359" t="s">
        <v>667</v>
      </c>
    </row>
    <row r="360" spans="1:9" x14ac:dyDescent="0.25">
      <c r="A360" t="s">
        <v>151</v>
      </c>
      <c r="B360">
        <f t="shared" si="5"/>
        <v>3548</v>
      </c>
      <c r="C360" t="s">
        <v>152</v>
      </c>
      <c r="D360" t="s">
        <v>72</v>
      </c>
      <c r="E360" t="s">
        <v>119</v>
      </c>
      <c r="F360" t="s">
        <v>4186</v>
      </c>
      <c r="G360" t="s">
        <v>315</v>
      </c>
      <c r="H360">
        <v>0</v>
      </c>
      <c r="I360" t="s">
        <v>4187</v>
      </c>
    </row>
    <row r="361" spans="1:9" x14ac:dyDescent="0.25">
      <c r="A361" t="s">
        <v>1973</v>
      </c>
      <c r="B361">
        <f t="shared" si="5"/>
        <v>3549</v>
      </c>
      <c r="C361" t="s">
        <v>1974</v>
      </c>
      <c r="D361" t="s">
        <v>364</v>
      </c>
      <c r="E361" t="s">
        <v>81</v>
      </c>
      <c r="F361" t="s">
        <v>81</v>
      </c>
      <c r="G361" t="s">
        <v>81</v>
      </c>
      <c r="H361">
        <v>0</v>
      </c>
      <c r="I361" t="s">
        <v>404</v>
      </c>
    </row>
    <row r="362" spans="1:9" x14ac:dyDescent="0.25">
      <c r="A362" t="s">
        <v>1975</v>
      </c>
      <c r="B362">
        <f t="shared" si="5"/>
        <v>3550</v>
      </c>
      <c r="C362" t="s">
        <v>1976</v>
      </c>
      <c r="D362" t="s">
        <v>364</v>
      </c>
      <c r="E362" t="s">
        <v>119</v>
      </c>
      <c r="F362" t="s">
        <v>327</v>
      </c>
      <c r="G362" t="s">
        <v>324</v>
      </c>
      <c r="H362">
        <v>0</v>
      </c>
      <c r="I362" t="s">
        <v>379</v>
      </c>
    </row>
    <row r="363" spans="1:9" x14ac:dyDescent="0.25">
      <c r="A363" t="s">
        <v>4475</v>
      </c>
      <c r="B363">
        <f t="shared" si="5"/>
        <v>3582</v>
      </c>
      <c r="C363" t="s">
        <v>4476</v>
      </c>
      <c r="D363" t="s">
        <v>364</v>
      </c>
      <c r="E363" t="s">
        <v>119</v>
      </c>
      <c r="F363" t="s">
        <v>327</v>
      </c>
      <c r="G363" t="s">
        <v>312</v>
      </c>
      <c r="H363">
        <v>0</v>
      </c>
      <c r="I363" t="s">
        <v>382</v>
      </c>
    </row>
    <row r="364" spans="1:9" x14ac:dyDescent="0.25">
      <c r="A364" t="s">
        <v>751</v>
      </c>
      <c r="B364">
        <f t="shared" si="5"/>
        <v>3585</v>
      </c>
      <c r="C364" t="s">
        <v>752</v>
      </c>
      <c r="D364" t="s">
        <v>364</v>
      </c>
      <c r="E364" t="s">
        <v>119</v>
      </c>
      <c r="F364" t="s">
        <v>328</v>
      </c>
      <c r="G364" t="s">
        <v>29</v>
      </c>
      <c r="H364">
        <v>0</v>
      </c>
      <c r="I364" t="s">
        <v>391</v>
      </c>
    </row>
    <row r="365" spans="1:9" x14ac:dyDescent="0.25">
      <c r="A365" t="s">
        <v>1977</v>
      </c>
      <c r="B365">
        <f t="shared" si="5"/>
        <v>3588</v>
      </c>
      <c r="C365" t="s">
        <v>1978</v>
      </c>
      <c r="D365" t="s">
        <v>364</v>
      </c>
      <c r="E365" t="s">
        <v>119</v>
      </c>
      <c r="F365" t="s">
        <v>323</v>
      </c>
      <c r="G365" t="s">
        <v>324</v>
      </c>
      <c r="H365">
        <v>0</v>
      </c>
      <c r="I365" t="s">
        <v>379</v>
      </c>
    </row>
    <row r="366" spans="1:9" x14ac:dyDescent="0.25">
      <c r="A366" t="s">
        <v>1072</v>
      </c>
      <c r="B366">
        <f t="shared" si="5"/>
        <v>3594</v>
      </c>
      <c r="C366" t="s">
        <v>1073</v>
      </c>
      <c r="D366" t="s">
        <v>364</v>
      </c>
      <c r="E366" t="s">
        <v>119</v>
      </c>
      <c r="F366" t="s">
        <v>664</v>
      </c>
      <c r="G366" t="s">
        <v>324</v>
      </c>
      <c r="H366">
        <v>0</v>
      </c>
      <c r="I366" t="s">
        <v>379</v>
      </c>
    </row>
    <row r="367" spans="1:9" x14ac:dyDescent="0.25">
      <c r="A367" t="s">
        <v>1979</v>
      </c>
      <c r="B367">
        <f t="shared" si="5"/>
        <v>3595</v>
      </c>
      <c r="C367" t="s">
        <v>1980</v>
      </c>
      <c r="D367" t="s">
        <v>364</v>
      </c>
      <c r="E367" t="s">
        <v>119</v>
      </c>
      <c r="F367" t="s">
        <v>327</v>
      </c>
      <c r="G367" t="s">
        <v>324</v>
      </c>
      <c r="H367">
        <v>0</v>
      </c>
      <c r="I367" t="s">
        <v>379</v>
      </c>
    </row>
    <row r="368" spans="1:9" x14ac:dyDescent="0.25">
      <c r="A368" t="s">
        <v>1393</v>
      </c>
      <c r="B368">
        <f t="shared" si="5"/>
        <v>3596</v>
      </c>
      <c r="C368" t="s">
        <v>1394</v>
      </c>
      <c r="D368" t="s">
        <v>364</v>
      </c>
      <c r="E368" t="s">
        <v>119</v>
      </c>
      <c r="F368" t="s">
        <v>325</v>
      </c>
      <c r="G368" t="s">
        <v>28</v>
      </c>
      <c r="H368">
        <v>0</v>
      </c>
      <c r="I368" t="s">
        <v>376</v>
      </c>
    </row>
    <row r="369" spans="1:9" x14ac:dyDescent="0.25">
      <c r="A369" t="s">
        <v>1395</v>
      </c>
      <c r="B369">
        <f t="shared" si="5"/>
        <v>3597</v>
      </c>
      <c r="C369" t="s">
        <v>1396</v>
      </c>
      <c r="D369" t="s">
        <v>364</v>
      </c>
      <c r="E369" t="s">
        <v>119</v>
      </c>
      <c r="F369" t="s">
        <v>326</v>
      </c>
      <c r="G369" t="s">
        <v>324</v>
      </c>
      <c r="H369">
        <v>0</v>
      </c>
      <c r="I369" t="s">
        <v>379</v>
      </c>
    </row>
    <row r="370" spans="1:9" x14ac:dyDescent="0.25">
      <c r="A370" t="s">
        <v>2760</v>
      </c>
      <c r="B370">
        <f t="shared" si="5"/>
        <v>3600</v>
      </c>
      <c r="C370" t="s">
        <v>2761</v>
      </c>
      <c r="D370" t="s">
        <v>364</v>
      </c>
      <c r="E370" t="s">
        <v>81</v>
      </c>
      <c r="F370" t="s">
        <v>81</v>
      </c>
      <c r="G370" t="s">
        <v>81</v>
      </c>
      <c r="H370">
        <v>0</v>
      </c>
      <c r="I370" t="s">
        <v>418</v>
      </c>
    </row>
    <row r="371" spans="1:9" x14ac:dyDescent="0.25">
      <c r="A371" t="s">
        <v>153</v>
      </c>
      <c r="B371">
        <f t="shared" si="5"/>
        <v>3604</v>
      </c>
      <c r="C371" t="s">
        <v>154</v>
      </c>
      <c r="D371" t="s">
        <v>72</v>
      </c>
      <c r="E371" t="s">
        <v>119</v>
      </c>
      <c r="F371" t="s">
        <v>326</v>
      </c>
      <c r="G371" t="s">
        <v>329</v>
      </c>
      <c r="H371">
        <v>0</v>
      </c>
      <c r="I371" t="s">
        <v>377</v>
      </c>
    </row>
    <row r="372" spans="1:9" x14ac:dyDescent="0.25">
      <c r="A372" t="s">
        <v>2818</v>
      </c>
      <c r="B372">
        <f t="shared" si="5"/>
        <v>3608</v>
      </c>
      <c r="C372" t="s">
        <v>2819</v>
      </c>
      <c r="D372" t="s">
        <v>364</v>
      </c>
      <c r="E372" t="s">
        <v>119</v>
      </c>
      <c r="F372" t="s">
        <v>327</v>
      </c>
      <c r="G372" t="s">
        <v>324</v>
      </c>
      <c r="H372">
        <v>0</v>
      </c>
      <c r="I372" t="s">
        <v>379</v>
      </c>
    </row>
    <row r="373" spans="1:9" x14ac:dyDescent="0.25">
      <c r="A373" t="s">
        <v>1981</v>
      </c>
      <c r="B373">
        <f t="shared" si="5"/>
        <v>3610</v>
      </c>
      <c r="C373" t="s">
        <v>1982</v>
      </c>
      <c r="D373" t="s">
        <v>364</v>
      </c>
      <c r="E373" t="s">
        <v>119</v>
      </c>
      <c r="F373" t="s">
        <v>327</v>
      </c>
      <c r="G373" t="s">
        <v>312</v>
      </c>
      <c r="H373">
        <v>0</v>
      </c>
      <c r="I373" t="s">
        <v>382</v>
      </c>
    </row>
    <row r="374" spans="1:9" x14ac:dyDescent="0.25">
      <c r="A374" t="s">
        <v>1397</v>
      </c>
      <c r="B374">
        <f t="shared" si="5"/>
        <v>3612</v>
      </c>
      <c r="C374" t="s">
        <v>1398</v>
      </c>
      <c r="D374" t="s">
        <v>364</v>
      </c>
      <c r="E374" t="s">
        <v>119</v>
      </c>
      <c r="F374" t="s">
        <v>345</v>
      </c>
      <c r="G374" t="s">
        <v>315</v>
      </c>
      <c r="H374">
        <v>0</v>
      </c>
      <c r="I374" t="s">
        <v>1202</v>
      </c>
    </row>
    <row r="375" spans="1:9" x14ac:dyDescent="0.25">
      <c r="A375" t="s">
        <v>3351</v>
      </c>
      <c r="B375">
        <f t="shared" si="5"/>
        <v>3614</v>
      </c>
      <c r="C375" t="s">
        <v>3352</v>
      </c>
      <c r="D375" t="s">
        <v>364</v>
      </c>
      <c r="E375" t="s">
        <v>119</v>
      </c>
      <c r="F375" t="s">
        <v>326</v>
      </c>
      <c r="G375" t="s">
        <v>324</v>
      </c>
      <c r="H375">
        <v>0</v>
      </c>
      <c r="I375" t="s">
        <v>379</v>
      </c>
    </row>
    <row r="376" spans="1:9" x14ac:dyDescent="0.25">
      <c r="A376" t="s">
        <v>1399</v>
      </c>
      <c r="B376">
        <f t="shared" si="5"/>
        <v>3615</v>
      </c>
      <c r="C376" t="s">
        <v>1400</v>
      </c>
      <c r="D376" t="s">
        <v>364</v>
      </c>
      <c r="E376" t="s">
        <v>119</v>
      </c>
      <c r="F376" t="s">
        <v>1359</v>
      </c>
      <c r="G376" t="s">
        <v>28</v>
      </c>
      <c r="H376">
        <v>0</v>
      </c>
      <c r="I376" t="s">
        <v>376</v>
      </c>
    </row>
    <row r="377" spans="1:9" x14ac:dyDescent="0.25">
      <c r="A377" t="s">
        <v>1401</v>
      </c>
      <c r="B377">
        <f t="shared" si="5"/>
        <v>3616</v>
      </c>
      <c r="C377" t="s">
        <v>1402</v>
      </c>
      <c r="D377" t="s">
        <v>364</v>
      </c>
      <c r="E377" t="s">
        <v>119</v>
      </c>
      <c r="F377" t="s">
        <v>327</v>
      </c>
      <c r="G377" t="s">
        <v>329</v>
      </c>
      <c r="H377">
        <v>0</v>
      </c>
      <c r="I377" t="s">
        <v>377</v>
      </c>
    </row>
    <row r="378" spans="1:9" x14ac:dyDescent="0.25">
      <c r="A378" t="s">
        <v>1983</v>
      </c>
      <c r="B378">
        <f t="shared" si="5"/>
        <v>3618</v>
      </c>
      <c r="C378" t="s">
        <v>1984</v>
      </c>
      <c r="D378" t="s">
        <v>364</v>
      </c>
      <c r="E378" t="s">
        <v>119</v>
      </c>
      <c r="F378" t="s">
        <v>664</v>
      </c>
      <c r="G378" t="s">
        <v>317</v>
      </c>
      <c r="H378">
        <v>0</v>
      </c>
      <c r="I378" t="s">
        <v>1985</v>
      </c>
    </row>
    <row r="379" spans="1:9" x14ac:dyDescent="0.25">
      <c r="A379" t="s">
        <v>1986</v>
      </c>
      <c r="B379">
        <f t="shared" si="5"/>
        <v>3622</v>
      </c>
      <c r="C379" t="s">
        <v>1987</v>
      </c>
      <c r="D379" t="s">
        <v>364</v>
      </c>
      <c r="E379" t="s">
        <v>119</v>
      </c>
      <c r="F379" t="s">
        <v>326</v>
      </c>
      <c r="G379" t="s">
        <v>29</v>
      </c>
      <c r="H379">
        <v>0</v>
      </c>
      <c r="I379" t="s">
        <v>391</v>
      </c>
    </row>
    <row r="380" spans="1:9" x14ac:dyDescent="0.25">
      <c r="A380" t="s">
        <v>1988</v>
      </c>
      <c r="B380">
        <f t="shared" si="5"/>
        <v>3623</v>
      </c>
      <c r="C380" t="s">
        <v>1989</v>
      </c>
      <c r="D380" t="s">
        <v>364</v>
      </c>
      <c r="E380" t="s">
        <v>119</v>
      </c>
      <c r="F380" t="s">
        <v>327</v>
      </c>
      <c r="G380" t="s">
        <v>329</v>
      </c>
      <c r="H380">
        <v>0</v>
      </c>
      <c r="I380" t="s">
        <v>377</v>
      </c>
    </row>
    <row r="381" spans="1:9" x14ac:dyDescent="0.25">
      <c r="A381" t="s">
        <v>2989</v>
      </c>
      <c r="B381">
        <f t="shared" si="5"/>
        <v>3625</v>
      </c>
      <c r="C381" t="s">
        <v>2990</v>
      </c>
      <c r="D381" t="s">
        <v>364</v>
      </c>
      <c r="E381" t="s">
        <v>119</v>
      </c>
      <c r="F381" t="s">
        <v>327</v>
      </c>
      <c r="G381" t="s">
        <v>25</v>
      </c>
      <c r="H381">
        <v>0</v>
      </c>
      <c r="I381" t="s">
        <v>386</v>
      </c>
    </row>
    <row r="382" spans="1:9" x14ac:dyDescent="0.25">
      <c r="A382" t="s">
        <v>3277</v>
      </c>
      <c r="B382">
        <f t="shared" si="5"/>
        <v>3626</v>
      </c>
      <c r="C382" t="s">
        <v>3278</v>
      </c>
      <c r="D382" t="s">
        <v>72</v>
      </c>
      <c r="E382" t="s">
        <v>119</v>
      </c>
      <c r="F382" t="s">
        <v>318</v>
      </c>
      <c r="G382" t="s">
        <v>29</v>
      </c>
      <c r="H382">
        <v>0</v>
      </c>
      <c r="I382" t="s">
        <v>391</v>
      </c>
    </row>
    <row r="383" spans="1:9" x14ac:dyDescent="0.25">
      <c r="A383" t="s">
        <v>3530</v>
      </c>
      <c r="B383">
        <f t="shared" si="5"/>
        <v>3629</v>
      </c>
      <c r="C383" t="s">
        <v>3531</v>
      </c>
      <c r="D383" t="s">
        <v>364</v>
      </c>
      <c r="E383" t="s">
        <v>119</v>
      </c>
      <c r="F383" t="s">
        <v>327</v>
      </c>
      <c r="G383" t="s">
        <v>29</v>
      </c>
      <c r="H383">
        <v>0</v>
      </c>
      <c r="I383" t="s">
        <v>391</v>
      </c>
    </row>
    <row r="384" spans="1:9" x14ac:dyDescent="0.25">
      <c r="A384" t="s">
        <v>1403</v>
      </c>
      <c r="B384">
        <f t="shared" si="5"/>
        <v>3630</v>
      </c>
      <c r="C384" t="s">
        <v>1404</v>
      </c>
      <c r="D384" t="s">
        <v>364</v>
      </c>
      <c r="E384" t="s">
        <v>119</v>
      </c>
      <c r="F384" t="s">
        <v>327</v>
      </c>
      <c r="G384" t="s">
        <v>324</v>
      </c>
      <c r="H384">
        <v>0</v>
      </c>
      <c r="I384" t="s">
        <v>379</v>
      </c>
    </row>
    <row r="385" spans="1:9" x14ac:dyDescent="0.25">
      <c r="A385" t="s">
        <v>3590</v>
      </c>
      <c r="B385">
        <f t="shared" si="5"/>
        <v>3645</v>
      </c>
      <c r="C385" t="s">
        <v>3591</v>
      </c>
      <c r="D385" t="s">
        <v>72</v>
      </c>
      <c r="E385" t="s">
        <v>119</v>
      </c>
      <c r="F385" t="s">
        <v>323</v>
      </c>
      <c r="G385" t="s">
        <v>329</v>
      </c>
      <c r="H385">
        <v>0</v>
      </c>
      <c r="I385" t="s">
        <v>377</v>
      </c>
    </row>
    <row r="386" spans="1:9" x14ac:dyDescent="0.25">
      <c r="A386" t="s">
        <v>2945</v>
      </c>
      <c r="B386">
        <f t="shared" si="5"/>
        <v>3662</v>
      </c>
      <c r="C386" t="s">
        <v>2946</v>
      </c>
      <c r="D386" t="s">
        <v>364</v>
      </c>
      <c r="E386" t="s">
        <v>119</v>
      </c>
      <c r="F386" t="s">
        <v>318</v>
      </c>
      <c r="G386" t="s">
        <v>324</v>
      </c>
      <c r="H386">
        <v>0</v>
      </c>
      <c r="I386" t="s">
        <v>379</v>
      </c>
    </row>
    <row r="387" spans="1:9" x14ac:dyDescent="0.25">
      <c r="A387" t="s">
        <v>2991</v>
      </c>
      <c r="B387">
        <f t="shared" si="5"/>
        <v>3767</v>
      </c>
      <c r="C387" t="s">
        <v>2992</v>
      </c>
      <c r="D387" t="s">
        <v>364</v>
      </c>
      <c r="E387" t="s">
        <v>119</v>
      </c>
      <c r="F387" t="s">
        <v>318</v>
      </c>
      <c r="G387" t="s">
        <v>324</v>
      </c>
      <c r="H387">
        <v>0</v>
      </c>
      <c r="I387" t="s">
        <v>379</v>
      </c>
    </row>
    <row r="388" spans="1:9" x14ac:dyDescent="0.25">
      <c r="A388" t="s">
        <v>155</v>
      </c>
      <c r="B388">
        <f t="shared" ref="B388:B451" si="6">_xlfn.NUMBERVALUE(A388,"#####")</f>
        <v>3780</v>
      </c>
      <c r="C388" t="s">
        <v>156</v>
      </c>
      <c r="D388" t="s">
        <v>72</v>
      </c>
      <c r="E388" t="s">
        <v>81</v>
      </c>
      <c r="F388" t="s">
        <v>81</v>
      </c>
      <c r="G388" t="s">
        <v>81</v>
      </c>
      <c r="H388">
        <v>0</v>
      </c>
      <c r="I388" t="s">
        <v>3744</v>
      </c>
    </row>
    <row r="389" spans="1:9" x14ac:dyDescent="0.25">
      <c r="A389" t="s">
        <v>753</v>
      </c>
      <c r="B389">
        <f t="shared" si="6"/>
        <v>3785</v>
      </c>
      <c r="C389" t="s">
        <v>754</v>
      </c>
      <c r="D389" t="s">
        <v>364</v>
      </c>
      <c r="E389" t="s">
        <v>119</v>
      </c>
      <c r="F389" t="s">
        <v>326</v>
      </c>
      <c r="G389" t="s">
        <v>28</v>
      </c>
      <c r="H389">
        <v>0</v>
      </c>
      <c r="I389" t="s">
        <v>376</v>
      </c>
    </row>
    <row r="390" spans="1:9" x14ac:dyDescent="0.25">
      <c r="A390" t="s">
        <v>3279</v>
      </c>
      <c r="B390">
        <f t="shared" si="6"/>
        <v>3920</v>
      </c>
      <c r="C390" t="s">
        <v>3280</v>
      </c>
      <c r="D390" t="s">
        <v>364</v>
      </c>
      <c r="E390" t="s">
        <v>119</v>
      </c>
      <c r="F390" t="s">
        <v>318</v>
      </c>
      <c r="G390" t="s">
        <v>324</v>
      </c>
      <c r="H390">
        <v>0</v>
      </c>
      <c r="I390" t="s">
        <v>379</v>
      </c>
    </row>
    <row r="391" spans="1:9" x14ac:dyDescent="0.25">
      <c r="A391" t="s">
        <v>1074</v>
      </c>
      <c r="B391">
        <f t="shared" si="6"/>
        <v>3942</v>
      </c>
      <c r="C391" t="s">
        <v>1075</v>
      </c>
      <c r="D391" t="s">
        <v>364</v>
      </c>
      <c r="E391" t="s">
        <v>119</v>
      </c>
      <c r="F391" t="s">
        <v>327</v>
      </c>
      <c r="G391" t="s">
        <v>324</v>
      </c>
      <c r="H391">
        <v>0</v>
      </c>
      <c r="I391" t="s">
        <v>379</v>
      </c>
    </row>
    <row r="392" spans="1:9" x14ac:dyDescent="0.25">
      <c r="A392" t="s">
        <v>833</v>
      </c>
      <c r="B392">
        <f t="shared" si="6"/>
        <v>3944</v>
      </c>
      <c r="C392" t="s">
        <v>834</v>
      </c>
      <c r="D392" t="s">
        <v>364</v>
      </c>
      <c r="E392" t="s">
        <v>119</v>
      </c>
      <c r="F392" t="s">
        <v>326</v>
      </c>
      <c r="G392" t="s">
        <v>312</v>
      </c>
      <c r="H392">
        <v>0</v>
      </c>
      <c r="I392" t="s">
        <v>382</v>
      </c>
    </row>
    <row r="393" spans="1:9" x14ac:dyDescent="0.25">
      <c r="A393" t="s">
        <v>4477</v>
      </c>
      <c r="B393">
        <f t="shared" si="6"/>
        <v>3946</v>
      </c>
      <c r="C393" t="s">
        <v>4478</v>
      </c>
      <c r="D393" t="s">
        <v>72</v>
      </c>
      <c r="E393" t="s">
        <v>119</v>
      </c>
      <c r="F393" t="s">
        <v>323</v>
      </c>
      <c r="G393" t="s">
        <v>324</v>
      </c>
      <c r="H393">
        <v>0</v>
      </c>
      <c r="I393" t="s">
        <v>379</v>
      </c>
    </row>
    <row r="394" spans="1:9" x14ac:dyDescent="0.25">
      <c r="A394" t="s">
        <v>1990</v>
      </c>
      <c r="B394">
        <f t="shared" si="6"/>
        <v>3990</v>
      </c>
      <c r="C394" t="s">
        <v>1991</v>
      </c>
      <c r="D394" t="s">
        <v>364</v>
      </c>
      <c r="E394" t="s">
        <v>119</v>
      </c>
      <c r="F394" t="s">
        <v>330</v>
      </c>
      <c r="G394" t="s">
        <v>324</v>
      </c>
      <c r="H394">
        <v>0</v>
      </c>
      <c r="I394" t="s">
        <v>379</v>
      </c>
    </row>
    <row r="395" spans="1:9" x14ac:dyDescent="0.25">
      <c r="A395" t="s">
        <v>3650</v>
      </c>
      <c r="B395">
        <f t="shared" si="6"/>
        <v>3999</v>
      </c>
      <c r="C395" t="s">
        <v>3651</v>
      </c>
      <c r="D395" t="s">
        <v>364</v>
      </c>
      <c r="E395" t="s">
        <v>119</v>
      </c>
      <c r="F395" t="s">
        <v>327</v>
      </c>
      <c r="G395" t="s">
        <v>324</v>
      </c>
      <c r="H395">
        <v>0</v>
      </c>
      <c r="I395" t="s">
        <v>379</v>
      </c>
    </row>
    <row r="396" spans="1:9" x14ac:dyDescent="0.25">
      <c r="A396" t="s">
        <v>1992</v>
      </c>
      <c r="B396">
        <f t="shared" si="6"/>
        <v>4005</v>
      </c>
      <c r="C396" t="s">
        <v>1993</v>
      </c>
      <c r="D396" t="s">
        <v>364</v>
      </c>
      <c r="E396" t="s">
        <v>119</v>
      </c>
      <c r="F396" t="s">
        <v>318</v>
      </c>
      <c r="G396" t="s">
        <v>324</v>
      </c>
      <c r="H396">
        <v>0</v>
      </c>
      <c r="I396" t="s">
        <v>379</v>
      </c>
    </row>
    <row r="397" spans="1:9" x14ac:dyDescent="0.25">
      <c r="A397" t="s">
        <v>2993</v>
      </c>
      <c r="B397">
        <f t="shared" si="6"/>
        <v>4032</v>
      </c>
      <c r="C397" t="s">
        <v>2994</v>
      </c>
      <c r="D397" t="s">
        <v>364</v>
      </c>
      <c r="E397" t="s">
        <v>119</v>
      </c>
      <c r="F397" t="s">
        <v>1022</v>
      </c>
      <c r="G397" t="s">
        <v>312</v>
      </c>
      <c r="H397">
        <v>0</v>
      </c>
      <c r="I397" t="s">
        <v>382</v>
      </c>
    </row>
    <row r="398" spans="1:9" x14ac:dyDescent="0.25">
      <c r="A398" t="s">
        <v>1405</v>
      </c>
      <c r="B398">
        <f t="shared" si="6"/>
        <v>4051</v>
      </c>
      <c r="C398" t="s">
        <v>1406</v>
      </c>
      <c r="D398" t="s">
        <v>364</v>
      </c>
      <c r="E398" t="s">
        <v>119</v>
      </c>
      <c r="F398" t="s">
        <v>318</v>
      </c>
      <c r="G398" t="s">
        <v>29</v>
      </c>
      <c r="H398">
        <v>0</v>
      </c>
      <c r="I398" t="s">
        <v>391</v>
      </c>
    </row>
    <row r="399" spans="1:9" x14ac:dyDescent="0.25">
      <c r="A399" t="s">
        <v>4479</v>
      </c>
      <c r="B399">
        <f t="shared" si="6"/>
        <v>4053</v>
      </c>
      <c r="C399" t="s">
        <v>4480</v>
      </c>
      <c r="D399" t="s">
        <v>364</v>
      </c>
      <c r="E399" t="s">
        <v>119</v>
      </c>
      <c r="F399" t="s">
        <v>327</v>
      </c>
      <c r="G399" t="s">
        <v>324</v>
      </c>
      <c r="H399">
        <v>0</v>
      </c>
      <c r="I399" t="s">
        <v>379</v>
      </c>
    </row>
    <row r="400" spans="1:9" x14ac:dyDescent="0.25">
      <c r="A400" t="s">
        <v>1994</v>
      </c>
      <c r="B400">
        <f t="shared" si="6"/>
        <v>4061</v>
      </c>
      <c r="C400" t="s">
        <v>1995</v>
      </c>
      <c r="D400" t="s">
        <v>364</v>
      </c>
      <c r="E400" t="s">
        <v>119</v>
      </c>
      <c r="F400" t="s">
        <v>327</v>
      </c>
      <c r="G400" t="s">
        <v>329</v>
      </c>
      <c r="H400">
        <v>0</v>
      </c>
      <c r="I400" t="s">
        <v>377</v>
      </c>
    </row>
    <row r="401" spans="1:9" x14ac:dyDescent="0.25">
      <c r="A401" t="s">
        <v>3091</v>
      </c>
      <c r="B401">
        <f t="shared" si="6"/>
        <v>4066</v>
      </c>
      <c r="C401" t="s">
        <v>3092</v>
      </c>
      <c r="D401" t="s">
        <v>72</v>
      </c>
      <c r="E401" t="s">
        <v>119</v>
      </c>
      <c r="F401" t="s">
        <v>327</v>
      </c>
      <c r="G401" t="s">
        <v>324</v>
      </c>
      <c r="H401">
        <v>0</v>
      </c>
      <c r="I401" t="s">
        <v>379</v>
      </c>
    </row>
    <row r="402" spans="1:9" x14ac:dyDescent="0.25">
      <c r="A402" t="s">
        <v>1996</v>
      </c>
      <c r="B402">
        <f t="shared" si="6"/>
        <v>4067</v>
      </c>
      <c r="C402" t="s">
        <v>1997</v>
      </c>
      <c r="D402" t="s">
        <v>364</v>
      </c>
      <c r="E402" t="s">
        <v>81</v>
      </c>
      <c r="F402" t="s">
        <v>81</v>
      </c>
      <c r="G402" t="s">
        <v>81</v>
      </c>
      <c r="H402">
        <v>0</v>
      </c>
      <c r="I402" t="s">
        <v>1998</v>
      </c>
    </row>
    <row r="403" spans="1:9" x14ac:dyDescent="0.25">
      <c r="A403" t="s">
        <v>3364</v>
      </c>
      <c r="B403">
        <f t="shared" si="6"/>
        <v>4068</v>
      </c>
      <c r="C403" t="s">
        <v>3365</v>
      </c>
      <c r="D403" t="s">
        <v>72</v>
      </c>
      <c r="E403" t="s">
        <v>119</v>
      </c>
      <c r="F403" t="s">
        <v>327</v>
      </c>
      <c r="G403" t="s">
        <v>324</v>
      </c>
      <c r="H403">
        <v>0</v>
      </c>
      <c r="I403" t="s">
        <v>379</v>
      </c>
    </row>
    <row r="404" spans="1:9" x14ac:dyDescent="0.25">
      <c r="A404" t="s">
        <v>1407</v>
      </c>
      <c r="B404">
        <f t="shared" si="6"/>
        <v>4071</v>
      </c>
      <c r="C404" t="s">
        <v>1408</v>
      </c>
      <c r="D404" t="s">
        <v>364</v>
      </c>
      <c r="E404" t="s">
        <v>119</v>
      </c>
      <c r="F404" t="s">
        <v>326</v>
      </c>
      <c r="G404" t="s">
        <v>329</v>
      </c>
      <c r="H404">
        <v>0</v>
      </c>
      <c r="I404" t="s">
        <v>377</v>
      </c>
    </row>
    <row r="405" spans="1:9" x14ac:dyDescent="0.25">
      <c r="A405" t="s">
        <v>1999</v>
      </c>
      <c r="B405">
        <f t="shared" si="6"/>
        <v>4072</v>
      </c>
      <c r="C405" t="s">
        <v>2000</v>
      </c>
      <c r="D405" t="s">
        <v>364</v>
      </c>
      <c r="E405" t="s">
        <v>119</v>
      </c>
      <c r="F405" t="s">
        <v>318</v>
      </c>
      <c r="G405" t="s">
        <v>324</v>
      </c>
      <c r="H405">
        <v>0</v>
      </c>
      <c r="I405" t="s">
        <v>379</v>
      </c>
    </row>
    <row r="406" spans="1:9" x14ac:dyDescent="0.25">
      <c r="A406" t="s">
        <v>2001</v>
      </c>
      <c r="B406">
        <f t="shared" si="6"/>
        <v>4075</v>
      </c>
      <c r="C406" t="s">
        <v>2002</v>
      </c>
      <c r="D406" t="s">
        <v>364</v>
      </c>
      <c r="E406" t="s">
        <v>119</v>
      </c>
      <c r="F406" t="s">
        <v>318</v>
      </c>
      <c r="G406" t="s">
        <v>312</v>
      </c>
      <c r="H406">
        <v>0</v>
      </c>
      <c r="I406" t="s">
        <v>382</v>
      </c>
    </row>
    <row r="407" spans="1:9" x14ac:dyDescent="0.25">
      <c r="A407" t="s">
        <v>2003</v>
      </c>
      <c r="B407">
        <f t="shared" si="6"/>
        <v>4079</v>
      </c>
      <c r="C407" t="s">
        <v>2004</v>
      </c>
      <c r="D407" t="s">
        <v>364</v>
      </c>
      <c r="E407" t="s">
        <v>119</v>
      </c>
      <c r="F407" t="s">
        <v>318</v>
      </c>
      <c r="G407" t="s">
        <v>346</v>
      </c>
      <c r="H407">
        <v>0</v>
      </c>
      <c r="I407" t="s">
        <v>380</v>
      </c>
    </row>
    <row r="408" spans="1:9" x14ac:dyDescent="0.25">
      <c r="A408" t="s">
        <v>3745</v>
      </c>
      <c r="B408">
        <f t="shared" si="6"/>
        <v>4080</v>
      </c>
      <c r="C408" t="s">
        <v>3746</v>
      </c>
      <c r="D408" t="s">
        <v>72</v>
      </c>
      <c r="E408" t="s">
        <v>119</v>
      </c>
      <c r="F408" t="s">
        <v>318</v>
      </c>
      <c r="G408" t="s">
        <v>329</v>
      </c>
      <c r="H408">
        <v>0</v>
      </c>
      <c r="I408" t="s">
        <v>377</v>
      </c>
    </row>
    <row r="409" spans="1:9" x14ac:dyDescent="0.25">
      <c r="A409" t="s">
        <v>3683</v>
      </c>
      <c r="B409">
        <f t="shared" si="6"/>
        <v>4081</v>
      </c>
      <c r="C409" t="s">
        <v>3684</v>
      </c>
      <c r="D409" t="s">
        <v>72</v>
      </c>
      <c r="E409" t="s">
        <v>119</v>
      </c>
      <c r="F409" t="s">
        <v>318</v>
      </c>
      <c r="G409" t="s">
        <v>324</v>
      </c>
      <c r="H409">
        <v>0</v>
      </c>
      <c r="I409" t="s">
        <v>379</v>
      </c>
    </row>
    <row r="410" spans="1:9" x14ac:dyDescent="0.25">
      <c r="A410" t="s">
        <v>3219</v>
      </c>
      <c r="B410">
        <f t="shared" si="6"/>
        <v>4098</v>
      </c>
      <c r="C410" t="s">
        <v>3220</v>
      </c>
      <c r="D410" t="s">
        <v>72</v>
      </c>
      <c r="E410" t="s">
        <v>119</v>
      </c>
      <c r="F410" t="s">
        <v>326</v>
      </c>
      <c r="G410" t="s">
        <v>329</v>
      </c>
      <c r="H410">
        <v>0</v>
      </c>
      <c r="I410" t="s">
        <v>377</v>
      </c>
    </row>
    <row r="411" spans="1:9" x14ac:dyDescent="0.25">
      <c r="A411" t="s">
        <v>2005</v>
      </c>
      <c r="B411">
        <f t="shared" si="6"/>
        <v>4103</v>
      </c>
      <c r="C411" t="s">
        <v>2006</v>
      </c>
      <c r="D411" t="s">
        <v>364</v>
      </c>
      <c r="E411" t="s">
        <v>119</v>
      </c>
      <c r="F411" t="s">
        <v>327</v>
      </c>
      <c r="G411" t="s">
        <v>329</v>
      </c>
      <c r="H411">
        <v>0</v>
      </c>
      <c r="I411" t="s">
        <v>377</v>
      </c>
    </row>
    <row r="412" spans="1:9" x14ac:dyDescent="0.25">
      <c r="A412" t="s">
        <v>2905</v>
      </c>
      <c r="B412">
        <f t="shared" si="6"/>
        <v>4107</v>
      </c>
      <c r="C412" t="s">
        <v>2906</v>
      </c>
      <c r="D412" t="s">
        <v>72</v>
      </c>
      <c r="E412" t="s">
        <v>119</v>
      </c>
      <c r="F412" t="s">
        <v>326</v>
      </c>
      <c r="G412" t="s">
        <v>329</v>
      </c>
      <c r="H412">
        <v>0</v>
      </c>
      <c r="I412" t="s">
        <v>377</v>
      </c>
    </row>
    <row r="413" spans="1:9" x14ac:dyDescent="0.25">
      <c r="A413" t="s">
        <v>110</v>
      </c>
      <c r="B413">
        <f t="shared" si="6"/>
        <v>4110</v>
      </c>
      <c r="C413" t="s">
        <v>2007</v>
      </c>
      <c r="D413" t="s">
        <v>364</v>
      </c>
      <c r="E413" t="s">
        <v>119</v>
      </c>
      <c r="F413" t="s">
        <v>318</v>
      </c>
      <c r="G413" t="s">
        <v>312</v>
      </c>
      <c r="H413">
        <v>0</v>
      </c>
      <c r="I413" t="s">
        <v>382</v>
      </c>
    </row>
    <row r="414" spans="1:9" x14ac:dyDescent="0.25">
      <c r="A414" t="s">
        <v>4481</v>
      </c>
      <c r="B414">
        <f t="shared" si="6"/>
        <v>4113</v>
      </c>
      <c r="C414" t="s">
        <v>4482</v>
      </c>
      <c r="D414" t="s">
        <v>72</v>
      </c>
      <c r="E414" t="s">
        <v>119</v>
      </c>
      <c r="F414" t="s">
        <v>318</v>
      </c>
      <c r="G414" t="s">
        <v>324</v>
      </c>
      <c r="H414">
        <v>0</v>
      </c>
      <c r="I414" t="s">
        <v>379</v>
      </c>
    </row>
    <row r="415" spans="1:9" x14ac:dyDescent="0.25">
      <c r="A415" t="s">
        <v>879</v>
      </c>
      <c r="B415">
        <f t="shared" si="6"/>
        <v>4115</v>
      </c>
      <c r="C415" t="s">
        <v>880</v>
      </c>
      <c r="D415" t="s">
        <v>72</v>
      </c>
      <c r="E415" t="s">
        <v>119</v>
      </c>
      <c r="F415" t="s">
        <v>327</v>
      </c>
      <c r="G415" t="s">
        <v>324</v>
      </c>
      <c r="H415">
        <v>0</v>
      </c>
      <c r="I415" t="s">
        <v>379</v>
      </c>
    </row>
    <row r="416" spans="1:9" x14ac:dyDescent="0.25">
      <c r="A416" t="s">
        <v>3879</v>
      </c>
      <c r="B416">
        <f t="shared" si="6"/>
        <v>4119</v>
      </c>
      <c r="C416" t="s">
        <v>3880</v>
      </c>
      <c r="D416" t="s">
        <v>72</v>
      </c>
      <c r="E416" t="s">
        <v>119</v>
      </c>
      <c r="F416" t="s">
        <v>327</v>
      </c>
      <c r="G416" t="s">
        <v>24</v>
      </c>
      <c r="H416">
        <v>0</v>
      </c>
      <c r="I416" t="s">
        <v>383</v>
      </c>
    </row>
    <row r="417" spans="1:9" x14ac:dyDescent="0.25">
      <c r="A417" t="s">
        <v>1076</v>
      </c>
      <c r="B417">
        <f t="shared" si="6"/>
        <v>4122</v>
      </c>
      <c r="C417" t="s">
        <v>1077</v>
      </c>
      <c r="D417" t="s">
        <v>364</v>
      </c>
      <c r="E417" t="s">
        <v>119</v>
      </c>
      <c r="F417" t="s">
        <v>327</v>
      </c>
      <c r="G417" t="s">
        <v>324</v>
      </c>
      <c r="H417">
        <v>0</v>
      </c>
      <c r="I417" t="s">
        <v>379</v>
      </c>
    </row>
    <row r="418" spans="1:9" x14ac:dyDescent="0.25">
      <c r="A418" t="s">
        <v>1409</v>
      </c>
      <c r="B418">
        <f t="shared" si="6"/>
        <v>4123</v>
      </c>
      <c r="C418" t="s">
        <v>1410</v>
      </c>
      <c r="D418" t="s">
        <v>364</v>
      </c>
      <c r="E418" t="s">
        <v>119</v>
      </c>
      <c r="F418" t="s">
        <v>318</v>
      </c>
      <c r="G418" t="s">
        <v>324</v>
      </c>
      <c r="H418">
        <v>0</v>
      </c>
      <c r="I418" t="s">
        <v>379</v>
      </c>
    </row>
    <row r="419" spans="1:9" x14ac:dyDescent="0.25">
      <c r="A419" t="s">
        <v>1411</v>
      </c>
      <c r="B419">
        <f t="shared" si="6"/>
        <v>4127</v>
      </c>
      <c r="C419" t="s">
        <v>1412</v>
      </c>
      <c r="D419" t="s">
        <v>364</v>
      </c>
      <c r="E419" t="s">
        <v>119</v>
      </c>
      <c r="F419" t="s">
        <v>327</v>
      </c>
      <c r="G419" t="s">
        <v>324</v>
      </c>
      <c r="H419">
        <v>0</v>
      </c>
      <c r="I419" t="s">
        <v>379</v>
      </c>
    </row>
    <row r="420" spans="1:9" x14ac:dyDescent="0.25">
      <c r="A420" t="s">
        <v>1078</v>
      </c>
      <c r="B420">
        <f t="shared" si="6"/>
        <v>4129</v>
      </c>
      <c r="C420" t="s">
        <v>1079</v>
      </c>
      <c r="D420" t="s">
        <v>364</v>
      </c>
      <c r="E420" t="s">
        <v>119</v>
      </c>
      <c r="F420" t="s">
        <v>318</v>
      </c>
      <c r="G420" t="s">
        <v>324</v>
      </c>
      <c r="H420">
        <v>0</v>
      </c>
      <c r="I420" t="s">
        <v>379</v>
      </c>
    </row>
    <row r="421" spans="1:9" x14ac:dyDescent="0.25">
      <c r="A421" t="s">
        <v>2995</v>
      </c>
      <c r="B421">
        <f t="shared" si="6"/>
        <v>4130</v>
      </c>
      <c r="C421" t="s">
        <v>2996</v>
      </c>
      <c r="D421" t="s">
        <v>364</v>
      </c>
      <c r="E421" t="s">
        <v>119</v>
      </c>
      <c r="F421" t="s">
        <v>318</v>
      </c>
      <c r="G421" t="s">
        <v>28</v>
      </c>
      <c r="H421">
        <v>0</v>
      </c>
      <c r="I421" t="s">
        <v>376</v>
      </c>
    </row>
    <row r="422" spans="1:9" x14ac:dyDescent="0.25">
      <c r="A422" t="s">
        <v>2008</v>
      </c>
      <c r="B422">
        <f t="shared" si="6"/>
        <v>4135</v>
      </c>
      <c r="C422" t="s">
        <v>2009</v>
      </c>
      <c r="D422" t="s">
        <v>364</v>
      </c>
      <c r="E422" t="s">
        <v>119</v>
      </c>
      <c r="F422" t="s">
        <v>318</v>
      </c>
      <c r="G422" t="s">
        <v>324</v>
      </c>
      <c r="H422">
        <v>0</v>
      </c>
      <c r="I422" t="s">
        <v>379</v>
      </c>
    </row>
    <row r="423" spans="1:9" x14ac:dyDescent="0.25">
      <c r="A423" t="s">
        <v>2010</v>
      </c>
      <c r="B423">
        <f t="shared" si="6"/>
        <v>4141</v>
      </c>
      <c r="C423" t="s">
        <v>2011</v>
      </c>
      <c r="D423" t="s">
        <v>364</v>
      </c>
      <c r="E423" t="s">
        <v>119</v>
      </c>
      <c r="F423" t="s">
        <v>326</v>
      </c>
      <c r="G423" t="s">
        <v>23</v>
      </c>
      <c r="H423">
        <v>0</v>
      </c>
      <c r="I423" t="s">
        <v>397</v>
      </c>
    </row>
    <row r="424" spans="1:9" x14ac:dyDescent="0.25">
      <c r="A424" t="s">
        <v>1413</v>
      </c>
      <c r="B424">
        <f t="shared" si="6"/>
        <v>4142</v>
      </c>
      <c r="C424" t="s">
        <v>1414</v>
      </c>
      <c r="D424" t="s">
        <v>364</v>
      </c>
      <c r="E424" t="s">
        <v>119</v>
      </c>
      <c r="F424" t="s">
        <v>872</v>
      </c>
      <c r="G424" t="s">
        <v>313</v>
      </c>
      <c r="H424">
        <v>0</v>
      </c>
      <c r="I424" t="s">
        <v>382</v>
      </c>
    </row>
    <row r="425" spans="1:9" x14ac:dyDescent="0.25">
      <c r="A425" t="s">
        <v>4188</v>
      </c>
      <c r="B425">
        <f t="shared" si="6"/>
        <v>4145</v>
      </c>
      <c r="C425" t="s">
        <v>4189</v>
      </c>
      <c r="D425" t="s">
        <v>72</v>
      </c>
      <c r="E425" t="s">
        <v>119</v>
      </c>
      <c r="F425" t="s">
        <v>326</v>
      </c>
      <c r="G425" t="s">
        <v>27</v>
      </c>
      <c r="H425">
        <v>0</v>
      </c>
      <c r="I425" t="s">
        <v>387</v>
      </c>
    </row>
    <row r="426" spans="1:9" x14ac:dyDescent="0.25">
      <c r="A426" t="s">
        <v>4378</v>
      </c>
      <c r="B426">
        <f t="shared" si="6"/>
        <v>4147</v>
      </c>
      <c r="C426" t="s">
        <v>4379</v>
      </c>
      <c r="D426" t="s">
        <v>72</v>
      </c>
      <c r="E426" t="s">
        <v>119</v>
      </c>
      <c r="F426" t="s">
        <v>327</v>
      </c>
      <c r="G426" t="s">
        <v>324</v>
      </c>
      <c r="H426">
        <v>0</v>
      </c>
      <c r="I426" t="s">
        <v>379</v>
      </c>
    </row>
    <row r="427" spans="1:9" x14ac:dyDescent="0.25">
      <c r="A427" t="s">
        <v>2012</v>
      </c>
      <c r="B427">
        <f t="shared" si="6"/>
        <v>4153</v>
      </c>
      <c r="C427" t="s">
        <v>2013</v>
      </c>
      <c r="D427" t="s">
        <v>364</v>
      </c>
      <c r="E427" t="s">
        <v>119</v>
      </c>
      <c r="F427" t="s">
        <v>323</v>
      </c>
      <c r="G427" t="s">
        <v>331</v>
      </c>
      <c r="H427">
        <v>0</v>
      </c>
      <c r="I427" t="s">
        <v>410</v>
      </c>
    </row>
    <row r="428" spans="1:9" x14ac:dyDescent="0.25">
      <c r="A428" t="s">
        <v>4483</v>
      </c>
      <c r="B428">
        <f t="shared" si="6"/>
        <v>4154</v>
      </c>
      <c r="C428" t="s">
        <v>4484</v>
      </c>
      <c r="D428" t="s">
        <v>72</v>
      </c>
      <c r="E428" t="s">
        <v>119</v>
      </c>
      <c r="F428" t="s">
        <v>327</v>
      </c>
      <c r="G428" t="s">
        <v>324</v>
      </c>
      <c r="H428">
        <v>0</v>
      </c>
      <c r="I428" t="s">
        <v>379</v>
      </c>
    </row>
    <row r="429" spans="1:9" x14ac:dyDescent="0.25">
      <c r="A429" t="s">
        <v>881</v>
      </c>
      <c r="B429">
        <f t="shared" si="6"/>
        <v>4155</v>
      </c>
      <c r="C429" t="s">
        <v>882</v>
      </c>
      <c r="D429" t="s">
        <v>364</v>
      </c>
      <c r="E429" t="s">
        <v>119</v>
      </c>
      <c r="F429" t="s">
        <v>327</v>
      </c>
      <c r="G429" t="s">
        <v>324</v>
      </c>
      <c r="H429">
        <v>0</v>
      </c>
      <c r="I429" t="s">
        <v>379</v>
      </c>
    </row>
    <row r="430" spans="1:9" x14ac:dyDescent="0.25">
      <c r="A430" t="s">
        <v>1080</v>
      </c>
      <c r="B430">
        <f t="shared" si="6"/>
        <v>4158</v>
      </c>
      <c r="C430" t="s">
        <v>1081</v>
      </c>
      <c r="D430" t="s">
        <v>364</v>
      </c>
      <c r="E430" t="s">
        <v>119</v>
      </c>
      <c r="F430" t="s">
        <v>872</v>
      </c>
      <c r="G430" t="s">
        <v>317</v>
      </c>
      <c r="H430">
        <v>0</v>
      </c>
      <c r="I430" t="s">
        <v>384</v>
      </c>
    </row>
    <row r="431" spans="1:9" x14ac:dyDescent="0.25">
      <c r="A431" t="s">
        <v>365</v>
      </c>
      <c r="B431">
        <f t="shared" si="6"/>
        <v>4179</v>
      </c>
      <c r="C431" t="s">
        <v>366</v>
      </c>
      <c r="D431" t="s">
        <v>364</v>
      </c>
      <c r="E431" t="s">
        <v>119</v>
      </c>
      <c r="F431" t="s">
        <v>327</v>
      </c>
      <c r="G431" t="s">
        <v>312</v>
      </c>
      <c r="H431">
        <v>0</v>
      </c>
      <c r="I431" t="s">
        <v>382</v>
      </c>
    </row>
    <row r="432" spans="1:9" x14ac:dyDescent="0.25">
      <c r="A432" t="s">
        <v>2014</v>
      </c>
      <c r="B432">
        <f t="shared" si="6"/>
        <v>4194</v>
      </c>
      <c r="C432" t="s">
        <v>2015</v>
      </c>
      <c r="D432" t="s">
        <v>364</v>
      </c>
      <c r="E432" t="s">
        <v>119</v>
      </c>
      <c r="F432" t="s">
        <v>318</v>
      </c>
      <c r="G432" t="s">
        <v>329</v>
      </c>
      <c r="H432">
        <v>0</v>
      </c>
      <c r="I432" t="s">
        <v>377</v>
      </c>
    </row>
    <row r="433" spans="1:9" x14ac:dyDescent="0.25">
      <c r="A433" t="s">
        <v>756</v>
      </c>
      <c r="B433">
        <f t="shared" si="6"/>
        <v>4196</v>
      </c>
      <c r="C433" t="s">
        <v>757</v>
      </c>
      <c r="D433" t="s">
        <v>72</v>
      </c>
      <c r="E433" t="s">
        <v>81</v>
      </c>
      <c r="F433" t="s">
        <v>81</v>
      </c>
      <c r="G433" t="s">
        <v>81</v>
      </c>
      <c r="H433">
        <v>1</v>
      </c>
      <c r="I433" t="s">
        <v>418</v>
      </c>
    </row>
    <row r="434" spans="1:9" x14ac:dyDescent="0.25">
      <c r="A434" t="s">
        <v>2975</v>
      </c>
      <c r="B434">
        <f t="shared" si="6"/>
        <v>4200</v>
      </c>
      <c r="C434" t="s">
        <v>3079</v>
      </c>
      <c r="D434" t="s">
        <v>72</v>
      </c>
      <c r="E434" t="s">
        <v>119</v>
      </c>
      <c r="F434" t="s">
        <v>327</v>
      </c>
      <c r="G434" t="s">
        <v>329</v>
      </c>
      <c r="H434">
        <v>0</v>
      </c>
      <c r="I434" t="s">
        <v>377</v>
      </c>
    </row>
    <row r="435" spans="1:9" x14ac:dyDescent="0.25">
      <c r="A435" t="s">
        <v>2016</v>
      </c>
      <c r="B435">
        <f t="shared" si="6"/>
        <v>4232</v>
      </c>
      <c r="C435" t="s">
        <v>2017</v>
      </c>
      <c r="D435" t="s">
        <v>364</v>
      </c>
      <c r="E435" t="s">
        <v>119</v>
      </c>
      <c r="F435" t="s">
        <v>330</v>
      </c>
      <c r="G435" t="s">
        <v>324</v>
      </c>
      <c r="H435">
        <v>0</v>
      </c>
      <c r="I435" t="s">
        <v>379</v>
      </c>
    </row>
    <row r="436" spans="1:9" x14ac:dyDescent="0.25">
      <c r="A436" t="s">
        <v>1082</v>
      </c>
      <c r="B436">
        <f t="shared" si="6"/>
        <v>4239</v>
      </c>
      <c r="C436" t="s">
        <v>1083</v>
      </c>
      <c r="D436" t="s">
        <v>364</v>
      </c>
      <c r="E436" t="s">
        <v>119</v>
      </c>
      <c r="F436" t="s">
        <v>872</v>
      </c>
      <c r="G436" t="s">
        <v>317</v>
      </c>
      <c r="H436">
        <v>0</v>
      </c>
      <c r="I436" t="s">
        <v>384</v>
      </c>
    </row>
    <row r="437" spans="1:9" x14ac:dyDescent="0.25">
      <c r="A437" t="s">
        <v>157</v>
      </c>
      <c r="B437">
        <f t="shared" si="6"/>
        <v>4240</v>
      </c>
      <c r="C437" t="s">
        <v>158</v>
      </c>
      <c r="D437" t="s">
        <v>72</v>
      </c>
      <c r="E437" t="s">
        <v>119</v>
      </c>
      <c r="F437" t="s">
        <v>326</v>
      </c>
      <c r="G437" t="s">
        <v>72</v>
      </c>
      <c r="H437">
        <v>1</v>
      </c>
      <c r="I437" t="s">
        <v>390</v>
      </c>
    </row>
    <row r="438" spans="1:9" x14ac:dyDescent="0.25">
      <c r="A438" t="s">
        <v>1415</v>
      </c>
      <c r="B438">
        <f t="shared" si="6"/>
        <v>4241</v>
      </c>
      <c r="C438" t="s">
        <v>1416</v>
      </c>
      <c r="D438" t="s">
        <v>364</v>
      </c>
      <c r="E438" t="s">
        <v>119</v>
      </c>
      <c r="F438" t="s">
        <v>323</v>
      </c>
      <c r="G438" t="s">
        <v>324</v>
      </c>
      <c r="H438">
        <v>0</v>
      </c>
      <c r="I438" t="s">
        <v>379</v>
      </c>
    </row>
    <row r="439" spans="1:9" x14ac:dyDescent="0.25">
      <c r="A439" t="s">
        <v>4190</v>
      </c>
      <c r="B439">
        <f t="shared" si="6"/>
        <v>4242</v>
      </c>
      <c r="C439" t="s">
        <v>4191</v>
      </c>
      <c r="D439" t="s">
        <v>72</v>
      </c>
      <c r="E439" t="s">
        <v>119</v>
      </c>
      <c r="F439" t="s">
        <v>323</v>
      </c>
      <c r="G439" t="s">
        <v>329</v>
      </c>
      <c r="H439">
        <v>0</v>
      </c>
      <c r="I439" t="s">
        <v>377</v>
      </c>
    </row>
    <row r="440" spans="1:9" x14ac:dyDescent="0.25">
      <c r="A440" t="s">
        <v>2853</v>
      </c>
      <c r="B440">
        <f t="shared" si="6"/>
        <v>4243</v>
      </c>
      <c r="C440" t="s">
        <v>2854</v>
      </c>
      <c r="D440" t="s">
        <v>72</v>
      </c>
      <c r="E440" t="s">
        <v>81</v>
      </c>
      <c r="F440" t="s">
        <v>81</v>
      </c>
      <c r="G440" t="s">
        <v>81</v>
      </c>
      <c r="H440">
        <v>0</v>
      </c>
      <c r="I440" t="s">
        <v>713</v>
      </c>
    </row>
    <row r="441" spans="1:9" x14ac:dyDescent="0.25">
      <c r="A441" t="s">
        <v>4485</v>
      </c>
      <c r="B441">
        <f t="shared" si="6"/>
        <v>4244</v>
      </c>
      <c r="C441" t="s">
        <v>4486</v>
      </c>
      <c r="D441" t="s">
        <v>72</v>
      </c>
      <c r="E441" t="s">
        <v>119</v>
      </c>
      <c r="F441" t="s">
        <v>327</v>
      </c>
      <c r="G441" t="s">
        <v>324</v>
      </c>
      <c r="H441">
        <v>0</v>
      </c>
      <c r="I441" t="s">
        <v>379</v>
      </c>
    </row>
    <row r="442" spans="1:9" x14ac:dyDescent="0.25">
      <c r="A442" t="s">
        <v>2879</v>
      </c>
      <c r="B442">
        <f t="shared" si="6"/>
        <v>4249</v>
      </c>
      <c r="C442" t="s">
        <v>2880</v>
      </c>
      <c r="D442" t="s">
        <v>364</v>
      </c>
      <c r="E442" t="s">
        <v>119</v>
      </c>
      <c r="F442" t="s">
        <v>318</v>
      </c>
      <c r="G442" t="s">
        <v>324</v>
      </c>
      <c r="H442">
        <v>0</v>
      </c>
      <c r="I442" t="s">
        <v>379</v>
      </c>
    </row>
    <row r="443" spans="1:9" x14ac:dyDescent="0.25">
      <c r="A443" t="s">
        <v>1417</v>
      </c>
      <c r="B443">
        <f t="shared" si="6"/>
        <v>4251</v>
      </c>
      <c r="C443" t="s">
        <v>1418</v>
      </c>
      <c r="D443" t="s">
        <v>364</v>
      </c>
      <c r="E443" t="s">
        <v>119</v>
      </c>
      <c r="F443" t="s">
        <v>323</v>
      </c>
      <c r="G443" t="s">
        <v>324</v>
      </c>
      <c r="H443">
        <v>0</v>
      </c>
      <c r="I443" t="s">
        <v>379</v>
      </c>
    </row>
    <row r="444" spans="1:9" x14ac:dyDescent="0.25">
      <c r="A444" t="s">
        <v>3300</v>
      </c>
      <c r="B444">
        <f t="shared" si="6"/>
        <v>4254</v>
      </c>
      <c r="C444" t="s">
        <v>3301</v>
      </c>
      <c r="D444" t="s">
        <v>364</v>
      </c>
      <c r="E444" t="s">
        <v>119</v>
      </c>
      <c r="F444" t="s">
        <v>1022</v>
      </c>
      <c r="G444" t="s">
        <v>28</v>
      </c>
      <c r="H444">
        <v>0</v>
      </c>
      <c r="I444" t="s">
        <v>376</v>
      </c>
    </row>
    <row r="445" spans="1:9" x14ac:dyDescent="0.25">
      <c r="A445" t="s">
        <v>1419</v>
      </c>
      <c r="B445">
        <f t="shared" si="6"/>
        <v>4259</v>
      </c>
      <c r="C445" t="s">
        <v>1420</v>
      </c>
      <c r="D445" t="s">
        <v>364</v>
      </c>
      <c r="E445" t="s">
        <v>119</v>
      </c>
      <c r="F445" t="s">
        <v>318</v>
      </c>
      <c r="G445" t="s">
        <v>312</v>
      </c>
      <c r="H445">
        <v>0</v>
      </c>
      <c r="I445" t="s">
        <v>382</v>
      </c>
    </row>
    <row r="446" spans="1:9" x14ac:dyDescent="0.25">
      <c r="A446" t="s">
        <v>4487</v>
      </c>
      <c r="B446">
        <f t="shared" si="6"/>
        <v>4263</v>
      </c>
      <c r="C446" t="s">
        <v>4488</v>
      </c>
      <c r="D446" t="s">
        <v>364</v>
      </c>
      <c r="E446" t="s">
        <v>119</v>
      </c>
      <c r="F446" t="s">
        <v>327</v>
      </c>
      <c r="G446" t="s">
        <v>312</v>
      </c>
      <c r="H446">
        <v>0</v>
      </c>
      <c r="I446" t="s">
        <v>382</v>
      </c>
    </row>
    <row r="447" spans="1:9" x14ac:dyDescent="0.25">
      <c r="A447" t="s">
        <v>4489</v>
      </c>
      <c r="B447">
        <f t="shared" si="6"/>
        <v>4279</v>
      </c>
      <c r="C447" t="s">
        <v>4490</v>
      </c>
      <c r="D447" t="s">
        <v>72</v>
      </c>
      <c r="E447" t="s">
        <v>119</v>
      </c>
      <c r="F447" t="s">
        <v>327</v>
      </c>
      <c r="G447" t="s">
        <v>28</v>
      </c>
      <c r="H447">
        <v>0</v>
      </c>
      <c r="I447" t="s">
        <v>376</v>
      </c>
    </row>
    <row r="448" spans="1:9" x14ac:dyDescent="0.25">
      <c r="A448" t="s">
        <v>3658</v>
      </c>
      <c r="B448">
        <f t="shared" si="6"/>
        <v>4284</v>
      </c>
      <c r="C448" t="s">
        <v>3659</v>
      </c>
      <c r="D448" t="s">
        <v>72</v>
      </c>
      <c r="E448" t="s">
        <v>119</v>
      </c>
      <c r="F448" t="s">
        <v>323</v>
      </c>
      <c r="G448" t="s">
        <v>315</v>
      </c>
      <c r="H448">
        <v>0</v>
      </c>
      <c r="I448" t="s">
        <v>681</v>
      </c>
    </row>
    <row r="449" spans="1:9" x14ac:dyDescent="0.25">
      <c r="A449" t="s">
        <v>2018</v>
      </c>
      <c r="B449">
        <f t="shared" si="6"/>
        <v>4285</v>
      </c>
      <c r="C449" t="s">
        <v>2019</v>
      </c>
      <c r="D449" t="s">
        <v>364</v>
      </c>
      <c r="E449" t="s">
        <v>119</v>
      </c>
      <c r="F449" t="s">
        <v>323</v>
      </c>
      <c r="G449" t="s">
        <v>316</v>
      </c>
      <c r="H449">
        <v>0</v>
      </c>
      <c r="I449" t="s">
        <v>2020</v>
      </c>
    </row>
    <row r="450" spans="1:9" x14ac:dyDescent="0.25">
      <c r="A450" t="s">
        <v>3747</v>
      </c>
      <c r="B450">
        <f t="shared" si="6"/>
        <v>4286</v>
      </c>
      <c r="C450" t="s">
        <v>3748</v>
      </c>
      <c r="D450" t="s">
        <v>72</v>
      </c>
      <c r="E450" t="s">
        <v>81</v>
      </c>
      <c r="F450" t="s">
        <v>81</v>
      </c>
      <c r="G450" t="s">
        <v>81</v>
      </c>
      <c r="H450">
        <v>0</v>
      </c>
      <c r="I450" t="s">
        <v>2440</v>
      </c>
    </row>
    <row r="451" spans="1:9" x14ac:dyDescent="0.25">
      <c r="A451" t="s">
        <v>4491</v>
      </c>
      <c r="B451">
        <f t="shared" si="6"/>
        <v>4292</v>
      </c>
      <c r="C451" t="s">
        <v>4492</v>
      </c>
      <c r="D451" t="s">
        <v>364</v>
      </c>
      <c r="E451" t="s">
        <v>119</v>
      </c>
      <c r="F451" t="s">
        <v>318</v>
      </c>
      <c r="G451" t="s">
        <v>324</v>
      </c>
      <c r="H451">
        <v>0</v>
      </c>
      <c r="I451" t="s">
        <v>379</v>
      </c>
    </row>
    <row r="452" spans="1:9" x14ac:dyDescent="0.25">
      <c r="A452" t="s">
        <v>2021</v>
      </c>
      <c r="B452">
        <f t="shared" ref="B452:B515" si="7">_xlfn.NUMBERVALUE(A452,"#####")</f>
        <v>4330</v>
      </c>
      <c r="C452" t="s">
        <v>2022</v>
      </c>
      <c r="D452" t="s">
        <v>364</v>
      </c>
      <c r="E452" t="s">
        <v>119</v>
      </c>
      <c r="F452" t="s">
        <v>318</v>
      </c>
      <c r="G452" t="s">
        <v>346</v>
      </c>
      <c r="H452">
        <v>0</v>
      </c>
      <c r="I452" t="s">
        <v>380</v>
      </c>
    </row>
    <row r="453" spans="1:9" x14ac:dyDescent="0.25">
      <c r="A453" t="s">
        <v>4192</v>
      </c>
      <c r="B453">
        <f t="shared" si="7"/>
        <v>4331</v>
      </c>
      <c r="C453" t="s">
        <v>4193</v>
      </c>
      <c r="D453" t="s">
        <v>72</v>
      </c>
      <c r="E453" t="s">
        <v>81</v>
      </c>
      <c r="F453" t="s">
        <v>81</v>
      </c>
      <c r="G453" t="s">
        <v>81</v>
      </c>
      <c r="H453">
        <v>0</v>
      </c>
      <c r="I453" t="s">
        <v>4194</v>
      </c>
    </row>
    <row r="454" spans="1:9" x14ac:dyDescent="0.25">
      <c r="A454" t="s">
        <v>3266</v>
      </c>
      <c r="B454">
        <f t="shared" si="7"/>
        <v>4336</v>
      </c>
      <c r="C454" t="s">
        <v>3267</v>
      </c>
      <c r="D454" t="s">
        <v>72</v>
      </c>
      <c r="E454" t="s">
        <v>119</v>
      </c>
      <c r="F454" t="s">
        <v>318</v>
      </c>
      <c r="G454" t="s">
        <v>29</v>
      </c>
      <c r="H454">
        <v>0</v>
      </c>
      <c r="I454" t="s">
        <v>391</v>
      </c>
    </row>
    <row r="455" spans="1:9" x14ac:dyDescent="0.25">
      <c r="A455" t="s">
        <v>3341</v>
      </c>
      <c r="B455">
        <f t="shared" si="7"/>
        <v>4339</v>
      </c>
      <c r="C455" t="s">
        <v>3342</v>
      </c>
      <c r="D455" t="s">
        <v>72</v>
      </c>
      <c r="E455" t="s">
        <v>119</v>
      </c>
      <c r="F455" t="s">
        <v>326</v>
      </c>
      <c r="G455" t="s">
        <v>329</v>
      </c>
      <c r="H455">
        <v>0</v>
      </c>
      <c r="I455" t="s">
        <v>377</v>
      </c>
    </row>
    <row r="456" spans="1:9" x14ac:dyDescent="0.25">
      <c r="A456" t="s">
        <v>1713</v>
      </c>
      <c r="B456">
        <f t="shared" si="7"/>
        <v>4340</v>
      </c>
      <c r="C456" t="s">
        <v>1714</v>
      </c>
      <c r="D456" t="s">
        <v>364</v>
      </c>
      <c r="E456" t="s">
        <v>119</v>
      </c>
      <c r="F456" t="s">
        <v>325</v>
      </c>
      <c r="G456" t="s">
        <v>313</v>
      </c>
      <c r="H456">
        <v>0</v>
      </c>
      <c r="I456" t="s">
        <v>980</v>
      </c>
    </row>
    <row r="457" spans="1:9" x14ac:dyDescent="0.25">
      <c r="A457" t="s">
        <v>159</v>
      </c>
      <c r="B457">
        <f t="shared" si="7"/>
        <v>4341</v>
      </c>
      <c r="C457" t="s">
        <v>160</v>
      </c>
      <c r="D457" t="s">
        <v>72</v>
      </c>
      <c r="E457" t="s">
        <v>119</v>
      </c>
      <c r="F457" t="s">
        <v>318</v>
      </c>
      <c r="G457" t="s">
        <v>72</v>
      </c>
      <c r="H457">
        <v>0</v>
      </c>
      <c r="I457" t="s">
        <v>390</v>
      </c>
    </row>
    <row r="458" spans="1:9" x14ac:dyDescent="0.25">
      <c r="A458" t="s">
        <v>3093</v>
      </c>
      <c r="B458">
        <f t="shared" si="7"/>
        <v>4342</v>
      </c>
      <c r="C458" t="s">
        <v>3094</v>
      </c>
      <c r="D458" t="s">
        <v>364</v>
      </c>
      <c r="E458" t="s">
        <v>119</v>
      </c>
      <c r="F458" t="s">
        <v>327</v>
      </c>
      <c r="G458" t="s">
        <v>324</v>
      </c>
      <c r="H458">
        <v>0</v>
      </c>
      <c r="I458" t="s">
        <v>379</v>
      </c>
    </row>
    <row r="459" spans="1:9" x14ac:dyDescent="0.25">
      <c r="A459" t="s">
        <v>2023</v>
      </c>
      <c r="B459">
        <f t="shared" si="7"/>
        <v>4345</v>
      </c>
      <c r="C459" t="s">
        <v>2024</v>
      </c>
      <c r="D459" t="s">
        <v>364</v>
      </c>
      <c r="E459" t="s">
        <v>119</v>
      </c>
      <c r="F459" t="s">
        <v>318</v>
      </c>
      <c r="G459" t="s">
        <v>324</v>
      </c>
      <c r="H459">
        <v>0</v>
      </c>
      <c r="I459" t="s">
        <v>379</v>
      </c>
    </row>
    <row r="460" spans="1:9" x14ac:dyDescent="0.25">
      <c r="A460" t="s">
        <v>3251</v>
      </c>
      <c r="B460">
        <f t="shared" si="7"/>
        <v>4346</v>
      </c>
      <c r="C460" t="s">
        <v>3252</v>
      </c>
      <c r="D460" t="s">
        <v>364</v>
      </c>
      <c r="E460" t="s">
        <v>119</v>
      </c>
      <c r="F460" t="s">
        <v>327</v>
      </c>
      <c r="G460" t="s">
        <v>467</v>
      </c>
      <c r="H460">
        <v>0</v>
      </c>
      <c r="I460" t="s">
        <v>3194</v>
      </c>
    </row>
    <row r="461" spans="1:9" x14ac:dyDescent="0.25">
      <c r="A461" t="s">
        <v>758</v>
      </c>
      <c r="B461">
        <f t="shared" si="7"/>
        <v>4348</v>
      </c>
      <c r="C461" t="s">
        <v>759</v>
      </c>
      <c r="D461" t="s">
        <v>72</v>
      </c>
      <c r="E461" t="s">
        <v>81</v>
      </c>
      <c r="F461" t="s">
        <v>81</v>
      </c>
      <c r="G461" t="s">
        <v>81</v>
      </c>
      <c r="H461">
        <v>0</v>
      </c>
      <c r="I461" t="s">
        <v>760</v>
      </c>
    </row>
    <row r="462" spans="1:9" x14ac:dyDescent="0.25">
      <c r="A462" t="s">
        <v>2025</v>
      </c>
      <c r="B462">
        <f t="shared" si="7"/>
        <v>4350</v>
      </c>
      <c r="C462" t="s">
        <v>2026</v>
      </c>
      <c r="D462" t="s">
        <v>364</v>
      </c>
      <c r="E462" t="s">
        <v>119</v>
      </c>
      <c r="F462" t="s">
        <v>318</v>
      </c>
      <c r="G462" t="s">
        <v>324</v>
      </c>
      <c r="H462">
        <v>0</v>
      </c>
      <c r="I462" t="s">
        <v>379</v>
      </c>
    </row>
    <row r="463" spans="1:9" x14ac:dyDescent="0.25">
      <c r="A463" t="s">
        <v>2027</v>
      </c>
      <c r="B463">
        <f t="shared" si="7"/>
        <v>4357</v>
      </c>
      <c r="C463" t="s">
        <v>2028</v>
      </c>
      <c r="D463" t="s">
        <v>364</v>
      </c>
      <c r="E463" t="s">
        <v>119</v>
      </c>
      <c r="F463" t="s">
        <v>328</v>
      </c>
      <c r="G463" t="s">
        <v>324</v>
      </c>
      <c r="H463">
        <v>0</v>
      </c>
      <c r="I463" t="s">
        <v>379</v>
      </c>
    </row>
    <row r="464" spans="1:9" x14ac:dyDescent="0.25">
      <c r="A464" t="s">
        <v>2029</v>
      </c>
      <c r="B464">
        <f t="shared" si="7"/>
        <v>4358</v>
      </c>
      <c r="C464" t="s">
        <v>2030</v>
      </c>
      <c r="D464" t="s">
        <v>364</v>
      </c>
      <c r="E464" t="s">
        <v>119</v>
      </c>
      <c r="F464" t="s">
        <v>664</v>
      </c>
      <c r="G464" t="s">
        <v>23</v>
      </c>
      <c r="H464">
        <v>0</v>
      </c>
      <c r="I464" t="s">
        <v>397</v>
      </c>
    </row>
    <row r="465" spans="1:9" x14ac:dyDescent="0.25">
      <c r="A465" t="s">
        <v>161</v>
      </c>
      <c r="B465">
        <f t="shared" si="7"/>
        <v>4359</v>
      </c>
      <c r="C465" t="s">
        <v>162</v>
      </c>
      <c r="D465" t="s">
        <v>72</v>
      </c>
      <c r="E465" t="s">
        <v>119</v>
      </c>
      <c r="F465" t="s">
        <v>318</v>
      </c>
      <c r="G465" t="s">
        <v>72</v>
      </c>
      <c r="H465">
        <v>0</v>
      </c>
      <c r="I465" t="s">
        <v>390</v>
      </c>
    </row>
    <row r="466" spans="1:9" x14ac:dyDescent="0.25">
      <c r="A466" t="s">
        <v>2031</v>
      </c>
      <c r="B466">
        <f t="shared" si="7"/>
        <v>4370</v>
      </c>
      <c r="C466" t="s">
        <v>2032</v>
      </c>
      <c r="D466" t="s">
        <v>364</v>
      </c>
      <c r="E466" t="s">
        <v>119</v>
      </c>
      <c r="F466" t="s">
        <v>328</v>
      </c>
      <c r="G466" t="s">
        <v>317</v>
      </c>
      <c r="H466">
        <v>0</v>
      </c>
      <c r="I466" t="s">
        <v>384</v>
      </c>
    </row>
    <row r="467" spans="1:9" x14ac:dyDescent="0.25">
      <c r="A467" t="s">
        <v>2033</v>
      </c>
      <c r="B467">
        <f t="shared" si="7"/>
        <v>4371</v>
      </c>
      <c r="C467" t="s">
        <v>2034</v>
      </c>
      <c r="D467" t="s">
        <v>364</v>
      </c>
      <c r="E467" t="s">
        <v>119</v>
      </c>
      <c r="F467" t="s">
        <v>325</v>
      </c>
      <c r="G467" t="s">
        <v>312</v>
      </c>
      <c r="H467">
        <v>0</v>
      </c>
      <c r="I467" t="s">
        <v>2035</v>
      </c>
    </row>
    <row r="468" spans="1:9" x14ac:dyDescent="0.25">
      <c r="A468" t="s">
        <v>3043</v>
      </c>
      <c r="B468">
        <f t="shared" si="7"/>
        <v>4372</v>
      </c>
      <c r="C468" t="s">
        <v>3044</v>
      </c>
      <c r="D468" t="s">
        <v>364</v>
      </c>
      <c r="E468" t="s">
        <v>119</v>
      </c>
      <c r="F468" t="s">
        <v>1717</v>
      </c>
      <c r="G468" t="s">
        <v>324</v>
      </c>
      <c r="H468">
        <v>0</v>
      </c>
      <c r="I468" t="s">
        <v>379</v>
      </c>
    </row>
    <row r="469" spans="1:9" x14ac:dyDescent="0.25">
      <c r="A469" t="s">
        <v>2036</v>
      </c>
      <c r="B469">
        <f t="shared" si="7"/>
        <v>4373</v>
      </c>
      <c r="C469" t="s">
        <v>2037</v>
      </c>
      <c r="D469" t="s">
        <v>364</v>
      </c>
      <c r="E469" t="s">
        <v>119</v>
      </c>
      <c r="F469" t="s">
        <v>327</v>
      </c>
      <c r="G469" t="s">
        <v>324</v>
      </c>
      <c r="H469">
        <v>0</v>
      </c>
      <c r="I469" t="s">
        <v>379</v>
      </c>
    </row>
    <row r="470" spans="1:9" x14ac:dyDescent="0.25">
      <c r="A470" t="s">
        <v>1084</v>
      </c>
      <c r="B470">
        <f t="shared" si="7"/>
        <v>4375</v>
      </c>
      <c r="C470" t="s">
        <v>1085</v>
      </c>
      <c r="D470" t="s">
        <v>364</v>
      </c>
      <c r="E470" t="s">
        <v>119</v>
      </c>
      <c r="F470" t="s">
        <v>872</v>
      </c>
      <c r="G470" t="s">
        <v>324</v>
      </c>
      <c r="H470">
        <v>0</v>
      </c>
      <c r="I470" t="s">
        <v>379</v>
      </c>
    </row>
    <row r="471" spans="1:9" x14ac:dyDescent="0.25">
      <c r="A471" t="s">
        <v>4493</v>
      </c>
      <c r="B471">
        <f t="shared" si="7"/>
        <v>4376</v>
      </c>
      <c r="C471" t="s">
        <v>4494</v>
      </c>
      <c r="D471" t="s">
        <v>72</v>
      </c>
      <c r="E471" t="s">
        <v>119</v>
      </c>
      <c r="F471" t="s">
        <v>327</v>
      </c>
      <c r="G471" t="s">
        <v>324</v>
      </c>
      <c r="H471">
        <v>0</v>
      </c>
      <c r="I471" t="s">
        <v>379</v>
      </c>
    </row>
    <row r="472" spans="1:9" x14ac:dyDescent="0.25">
      <c r="A472" t="s">
        <v>2038</v>
      </c>
      <c r="B472">
        <f t="shared" si="7"/>
        <v>4381</v>
      </c>
      <c r="C472" t="s">
        <v>2039</v>
      </c>
      <c r="D472" t="s">
        <v>364</v>
      </c>
      <c r="E472" t="s">
        <v>119</v>
      </c>
      <c r="F472" t="s">
        <v>323</v>
      </c>
      <c r="G472" t="s">
        <v>324</v>
      </c>
      <c r="H472">
        <v>0</v>
      </c>
      <c r="I472" t="s">
        <v>379</v>
      </c>
    </row>
    <row r="473" spans="1:9" x14ac:dyDescent="0.25">
      <c r="A473" t="s">
        <v>2947</v>
      </c>
      <c r="B473">
        <f t="shared" si="7"/>
        <v>4382</v>
      </c>
      <c r="C473" t="s">
        <v>2948</v>
      </c>
      <c r="D473" t="s">
        <v>364</v>
      </c>
      <c r="E473" t="s">
        <v>119</v>
      </c>
      <c r="F473" t="s">
        <v>1717</v>
      </c>
      <c r="G473" t="s">
        <v>324</v>
      </c>
      <c r="H473">
        <v>0</v>
      </c>
      <c r="I473" t="s">
        <v>379</v>
      </c>
    </row>
    <row r="474" spans="1:9" x14ac:dyDescent="0.25">
      <c r="A474" t="s">
        <v>1421</v>
      </c>
      <c r="B474">
        <f t="shared" si="7"/>
        <v>4387</v>
      </c>
      <c r="C474" t="s">
        <v>1422</v>
      </c>
      <c r="D474" t="s">
        <v>364</v>
      </c>
      <c r="E474" t="s">
        <v>119</v>
      </c>
      <c r="F474" t="s">
        <v>872</v>
      </c>
      <c r="G474" t="s">
        <v>994</v>
      </c>
      <c r="H474">
        <v>0</v>
      </c>
      <c r="I474" t="s">
        <v>1423</v>
      </c>
    </row>
    <row r="475" spans="1:9" x14ac:dyDescent="0.25">
      <c r="A475" t="s">
        <v>2949</v>
      </c>
      <c r="B475">
        <f t="shared" si="7"/>
        <v>4389</v>
      </c>
      <c r="C475" t="s">
        <v>2950</v>
      </c>
      <c r="D475" t="s">
        <v>364</v>
      </c>
      <c r="E475" t="s">
        <v>119</v>
      </c>
      <c r="F475" t="s">
        <v>327</v>
      </c>
      <c r="G475" t="s">
        <v>324</v>
      </c>
      <c r="H475">
        <v>0</v>
      </c>
      <c r="I475" t="s">
        <v>379</v>
      </c>
    </row>
    <row r="476" spans="1:9" x14ac:dyDescent="0.25">
      <c r="A476" t="s">
        <v>2040</v>
      </c>
      <c r="B476">
        <f t="shared" si="7"/>
        <v>4390</v>
      </c>
      <c r="C476" t="s">
        <v>2041</v>
      </c>
      <c r="D476" t="s">
        <v>364</v>
      </c>
      <c r="E476" t="s">
        <v>119</v>
      </c>
      <c r="F476" t="s">
        <v>664</v>
      </c>
      <c r="G476" t="s">
        <v>324</v>
      </c>
      <c r="H476">
        <v>0</v>
      </c>
      <c r="I476" t="s">
        <v>379</v>
      </c>
    </row>
    <row r="477" spans="1:9" x14ac:dyDescent="0.25">
      <c r="A477" t="s">
        <v>883</v>
      </c>
      <c r="B477">
        <f t="shared" si="7"/>
        <v>4392</v>
      </c>
      <c r="C477" t="s">
        <v>884</v>
      </c>
      <c r="D477" t="s">
        <v>364</v>
      </c>
      <c r="E477" t="s">
        <v>119</v>
      </c>
      <c r="F477" t="s">
        <v>318</v>
      </c>
      <c r="G477" t="s">
        <v>25</v>
      </c>
      <c r="H477">
        <v>0</v>
      </c>
      <c r="I477" t="s">
        <v>386</v>
      </c>
    </row>
    <row r="478" spans="1:9" x14ac:dyDescent="0.25">
      <c r="A478" t="s">
        <v>835</v>
      </c>
      <c r="B478">
        <f t="shared" si="7"/>
        <v>4394</v>
      </c>
      <c r="C478" t="s">
        <v>836</v>
      </c>
      <c r="D478" t="s">
        <v>364</v>
      </c>
      <c r="E478" t="s">
        <v>119</v>
      </c>
      <c r="F478" t="s">
        <v>325</v>
      </c>
      <c r="G478" t="s">
        <v>23</v>
      </c>
      <c r="H478">
        <v>0</v>
      </c>
      <c r="I478" t="s">
        <v>397</v>
      </c>
    </row>
    <row r="479" spans="1:9" x14ac:dyDescent="0.25">
      <c r="A479" t="s">
        <v>668</v>
      </c>
      <c r="B479">
        <f t="shared" si="7"/>
        <v>4398</v>
      </c>
      <c r="C479" t="s">
        <v>669</v>
      </c>
      <c r="D479" t="s">
        <v>364</v>
      </c>
      <c r="E479" t="s">
        <v>119</v>
      </c>
      <c r="F479" t="s">
        <v>327</v>
      </c>
      <c r="G479" t="s">
        <v>324</v>
      </c>
      <c r="H479">
        <v>0</v>
      </c>
      <c r="I479" t="s">
        <v>379</v>
      </c>
    </row>
    <row r="480" spans="1:9" x14ac:dyDescent="0.25">
      <c r="A480" t="s">
        <v>957</v>
      </c>
      <c r="B480">
        <f t="shared" si="7"/>
        <v>4402</v>
      </c>
      <c r="C480" t="s">
        <v>958</v>
      </c>
      <c r="D480" t="s">
        <v>364</v>
      </c>
      <c r="E480" t="s">
        <v>119</v>
      </c>
      <c r="F480" t="s">
        <v>325</v>
      </c>
      <c r="G480" t="s">
        <v>26</v>
      </c>
      <c r="H480">
        <v>0</v>
      </c>
      <c r="I480" t="s">
        <v>394</v>
      </c>
    </row>
    <row r="481" spans="1:9" x14ac:dyDescent="0.25">
      <c r="A481" t="s">
        <v>4380</v>
      </c>
      <c r="B481">
        <f t="shared" si="7"/>
        <v>4418</v>
      </c>
      <c r="C481" t="s">
        <v>4381</v>
      </c>
      <c r="D481" t="s">
        <v>364</v>
      </c>
      <c r="E481" t="s">
        <v>119</v>
      </c>
      <c r="F481" t="s">
        <v>328</v>
      </c>
      <c r="G481" t="s">
        <v>313</v>
      </c>
      <c r="H481">
        <v>0</v>
      </c>
      <c r="I481" t="s">
        <v>382</v>
      </c>
    </row>
    <row r="482" spans="1:9" x14ac:dyDescent="0.25">
      <c r="A482" t="s">
        <v>2042</v>
      </c>
      <c r="B482">
        <f t="shared" si="7"/>
        <v>4420</v>
      </c>
      <c r="C482" t="s">
        <v>2043</v>
      </c>
      <c r="D482" t="s">
        <v>364</v>
      </c>
      <c r="E482" t="s">
        <v>119</v>
      </c>
      <c r="F482" t="s">
        <v>318</v>
      </c>
      <c r="G482" t="s">
        <v>324</v>
      </c>
      <c r="H482">
        <v>0</v>
      </c>
      <c r="I482" t="s">
        <v>379</v>
      </c>
    </row>
    <row r="483" spans="1:9" x14ac:dyDescent="0.25">
      <c r="A483" t="s">
        <v>3881</v>
      </c>
      <c r="B483">
        <f t="shared" si="7"/>
        <v>4423</v>
      </c>
      <c r="C483" t="s">
        <v>3882</v>
      </c>
      <c r="D483" t="s">
        <v>72</v>
      </c>
      <c r="E483" t="s">
        <v>119</v>
      </c>
      <c r="F483" t="s">
        <v>326</v>
      </c>
      <c r="G483" t="s">
        <v>27</v>
      </c>
      <c r="H483">
        <v>0</v>
      </c>
      <c r="I483" t="s">
        <v>387</v>
      </c>
    </row>
    <row r="484" spans="1:9" x14ac:dyDescent="0.25">
      <c r="A484" t="s">
        <v>1424</v>
      </c>
      <c r="B484">
        <f t="shared" si="7"/>
        <v>4424</v>
      </c>
      <c r="C484" t="s">
        <v>1425</v>
      </c>
      <c r="D484" t="s">
        <v>364</v>
      </c>
      <c r="E484" t="s">
        <v>119</v>
      </c>
      <c r="F484" t="s">
        <v>330</v>
      </c>
      <c r="G484" t="s">
        <v>324</v>
      </c>
      <c r="H484">
        <v>0</v>
      </c>
      <c r="I484" t="s">
        <v>379</v>
      </c>
    </row>
    <row r="485" spans="1:9" x14ac:dyDescent="0.25">
      <c r="A485" t="s">
        <v>959</v>
      </c>
      <c r="B485">
        <f t="shared" si="7"/>
        <v>4431</v>
      </c>
      <c r="C485" t="s">
        <v>960</v>
      </c>
      <c r="D485" t="s">
        <v>364</v>
      </c>
      <c r="E485" t="s">
        <v>119</v>
      </c>
      <c r="F485" t="s">
        <v>872</v>
      </c>
      <c r="G485" t="s">
        <v>324</v>
      </c>
      <c r="H485">
        <v>0</v>
      </c>
      <c r="I485" t="s">
        <v>379</v>
      </c>
    </row>
    <row r="486" spans="1:9" x14ac:dyDescent="0.25">
      <c r="A486" t="s">
        <v>1682</v>
      </c>
      <c r="B486">
        <f t="shared" si="7"/>
        <v>4432</v>
      </c>
      <c r="C486" t="s">
        <v>1683</v>
      </c>
      <c r="D486" t="s">
        <v>364</v>
      </c>
      <c r="E486" t="s">
        <v>119</v>
      </c>
      <c r="F486" t="s">
        <v>327</v>
      </c>
      <c r="G486" t="s">
        <v>324</v>
      </c>
      <c r="H486">
        <v>0</v>
      </c>
      <c r="I486" t="s">
        <v>379</v>
      </c>
    </row>
    <row r="487" spans="1:9" x14ac:dyDescent="0.25">
      <c r="A487" t="s">
        <v>3883</v>
      </c>
      <c r="B487">
        <f t="shared" si="7"/>
        <v>4433</v>
      </c>
      <c r="C487" t="s">
        <v>3884</v>
      </c>
      <c r="D487" t="s">
        <v>72</v>
      </c>
      <c r="E487" t="s">
        <v>119</v>
      </c>
      <c r="F487" t="s">
        <v>326</v>
      </c>
      <c r="G487" t="s">
        <v>324</v>
      </c>
      <c r="H487">
        <v>0</v>
      </c>
      <c r="I487" t="s">
        <v>379</v>
      </c>
    </row>
    <row r="488" spans="1:9" x14ac:dyDescent="0.25">
      <c r="A488" t="s">
        <v>2044</v>
      </c>
      <c r="B488">
        <f t="shared" si="7"/>
        <v>4440</v>
      </c>
      <c r="C488" t="s">
        <v>2045</v>
      </c>
      <c r="D488" t="s">
        <v>364</v>
      </c>
      <c r="E488" t="s">
        <v>119</v>
      </c>
      <c r="F488" t="s">
        <v>664</v>
      </c>
      <c r="G488" t="s">
        <v>27</v>
      </c>
      <c r="H488">
        <v>0</v>
      </c>
      <c r="I488" t="s">
        <v>387</v>
      </c>
    </row>
    <row r="489" spans="1:9" x14ac:dyDescent="0.25">
      <c r="A489" t="s">
        <v>885</v>
      </c>
      <c r="B489">
        <f t="shared" si="7"/>
        <v>4441</v>
      </c>
      <c r="C489" t="s">
        <v>886</v>
      </c>
      <c r="D489" t="s">
        <v>364</v>
      </c>
      <c r="E489" t="s">
        <v>119</v>
      </c>
      <c r="F489" t="s">
        <v>327</v>
      </c>
      <c r="G489" t="s">
        <v>29</v>
      </c>
      <c r="H489">
        <v>0</v>
      </c>
      <c r="I489" t="s">
        <v>391</v>
      </c>
    </row>
    <row r="490" spans="1:9" x14ac:dyDescent="0.25">
      <c r="A490" t="s">
        <v>2997</v>
      </c>
      <c r="B490">
        <f t="shared" si="7"/>
        <v>4442</v>
      </c>
      <c r="C490" t="s">
        <v>2998</v>
      </c>
      <c r="D490" t="s">
        <v>364</v>
      </c>
      <c r="E490" t="s">
        <v>119</v>
      </c>
      <c r="F490" t="s">
        <v>327</v>
      </c>
      <c r="G490" t="s">
        <v>324</v>
      </c>
      <c r="H490">
        <v>0</v>
      </c>
      <c r="I490" t="s">
        <v>379</v>
      </c>
    </row>
    <row r="491" spans="1:9" x14ac:dyDescent="0.25">
      <c r="A491" t="s">
        <v>2855</v>
      </c>
      <c r="B491">
        <f t="shared" si="7"/>
        <v>4445</v>
      </c>
      <c r="C491" t="s">
        <v>2856</v>
      </c>
      <c r="D491" t="s">
        <v>364</v>
      </c>
      <c r="E491" t="s">
        <v>119</v>
      </c>
      <c r="F491" t="s">
        <v>327</v>
      </c>
      <c r="G491" t="s">
        <v>324</v>
      </c>
      <c r="H491">
        <v>0</v>
      </c>
      <c r="I491" t="s">
        <v>379</v>
      </c>
    </row>
    <row r="492" spans="1:9" x14ac:dyDescent="0.25">
      <c r="A492" t="s">
        <v>2999</v>
      </c>
      <c r="B492">
        <f t="shared" si="7"/>
        <v>4500</v>
      </c>
      <c r="C492" t="s">
        <v>3000</v>
      </c>
      <c r="D492" t="s">
        <v>364</v>
      </c>
      <c r="E492" t="s">
        <v>119</v>
      </c>
      <c r="F492" t="s">
        <v>327</v>
      </c>
      <c r="G492" t="s">
        <v>324</v>
      </c>
      <c r="H492">
        <v>0</v>
      </c>
      <c r="I492" t="s">
        <v>379</v>
      </c>
    </row>
    <row r="493" spans="1:9" x14ac:dyDescent="0.25">
      <c r="A493" t="s">
        <v>4006</v>
      </c>
      <c r="B493">
        <f t="shared" si="7"/>
        <v>4521</v>
      </c>
      <c r="C493" t="s">
        <v>4007</v>
      </c>
      <c r="D493" t="s">
        <v>72</v>
      </c>
      <c r="E493" t="s">
        <v>119</v>
      </c>
      <c r="F493" t="s">
        <v>327</v>
      </c>
      <c r="G493" t="s">
        <v>28</v>
      </c>
      <c r="H493">
        <v>0</v>
      </c>
      <c r="I493" t="s">
        <v>376</v>
      </c>
    </row>
    <row r="494" spans="1:9" x14ac:dyDescent="0.25">
      <c r="A494" t="s">
        <v>3749</v>
      </c>
      <c r="B494">
        <f t="shared" si="7"/>
        <v>4522</v>
      </c>
      <c r="C494" t="s">
        <v>3750</v>
      </c>
      <c r="D494" t="s">
        <v>72</v>
      </c>
      <c r="E494" t="s">
        <v>119</v>
      </c>
      <c r="F494" t="s">
        <v>318</v>
      </c>
      <c r="G494" t="s">
        <v>25</v>
      </c>
      <c r="H494">
        <v>0</v>
      </c>
      <c r="I494" t="s">
        <v>386</v>
      </c>
    </row>
    <row r="495" spans="1:9" x14ac:dyDescent="0.25">
      <c r="A495" t="s">
        <v>1426</v>
      </c>
      <c r="B495">
        <f t="shared" si="7"/>
        <v>4525</v>
      </c>
      <c r="C495" t="s">
        <v>1427</v>
      </c>
      <c r="D495" t="s">
        <v>364</v>
      </c>
      <c r="E495" t="s">
        <v>119</v>
      </c>
      <c r="F495" t="s">
        <v>345</v>
      </c>
      <c r="G495" t="s">
        <v>324</v>
      </c>
      <c r="H495">
        <v>0</v>
      </c>
      <c r="I495" t="s">
        <v>379</v>
      </c>
    </row>
    <row r="496" spans="1:9" x14ac:dyDescent="0.25">
      <c r="A496" t="s">
        <v>2046</v>
      </c>
      <c r="B496">
        <f t="shared" si="7"/>
        <v>4526</v>
      </c>
      <c r="C496" t="s">
        <v>2047</v>
      </c>
      <c r="D496" t="s">
        <v>364</v>
      </c>
      <c r="E496" t="s">
        <v>119</v>
      </c>
      <c r="F496" t="s">
        <v>318</v>
      </c>
      <c r="G496" t="s">
        <v>346</v>
      </c>
      <c r="H496">
        <v>0</v>
      </c>
      <c r="I496" t="s">
        <v>380</v>
      </c>
    </row>
    <row r="497" spans="1:9" x14ac:dyDescent="0.25">
      <c r="A497" t="s">
        <v>3532</v>
      </c>
      <c r="B497">
        <f t="shared" si="7"/>
        <v>4528</v>
      </c>
      <c r="C497" t="s">
        <v>3533</v>
      </c>
      <c r="D497" t="s">
        <v>364</v>
      </c>
      <c r="E497" t="s">
        <v>119</v>
      </c>
      <c r="F497" t="s">
        <v>318</v>
      </c>
      <c r="G497" t="s">
        <v>26</v>
      </c>
      <c r="H497">
        <v>0</v>
      </c>
      <c r="I497" t="s">
        <v>394</v>
      </c>
    </row>
    <row r="498" spans="1:9" x14ac:dyDescent="0.25">
      <c r="A498" t="s">
        <v>2048</v>
      </c>
      <c r="B498">
        <f t="shared" si="7"/>
        <v>4535</v>
      </c>
      <c r="C498" t="s">
        <v>2049</v>
      </c>
      <c r="D498" t="s">
        <v>364</v>
      </c>
      <c r="E498" t="s">
        <v>119</v>
      </c>
      <c r="F498" t="s">
        <v>326</v>
      </c>
      <c r="G498" t="s">
        <v>312</v>
      </c>
      <c r="H498">
        <v>0</v>
      </c>
      <c r="I498" t="s">
        <v>382</v>
      </c>
    </row>
    <row r="499" spans="1:9" x14ac:dyDescent="0.25">
      <c r="A499" t="s">
        <v>4008</v>
      </c>
      <c r="B499">
        <f t="shared" si="7"/>
        <v>4538</v>
      </c>
      <c r="C499" t="s">
        <v>4009</v>
      </c>
      <c r="D499" t="s">
        <v>72</v>
      </c>
      <c r="E499" t="s">
        <v>119</v>
      </c>
      <c r="F499" t="s">
        <v>325</v>
      </c>
      <c r="G499" t="s">
        <v>324</v>
      </c>
      <c r="H499">
        <v>0</v>
      </c>
      <c r="I499" t="s">
        <v>379</v>
      </c>
    </row>
    <row r="500" spans="1:9" x14ac:dyDescent="0.25">
      <c r="A500" t="s">
        <v>2050</v>
      </c>
      <c r="B500">
        <f t="shared" si="7"/>
        <v>4542</v>
      </c>
      <c r="C500" t="s">
        <v>2051</v>
      </c>
      <c r="D500" t="s">
        <v>364</v>
      </c>
      <c r="E500" t="s">
        <v>119</v>
      </c>
      <c r="F500" t="s">
        <v>327</v>
      </c>
      <c r="G500" t="s">
        <v>312</v>
      </c>
      <c r="H500">
        <v>0</v>
      </c>
      <c r="I500" t="s">
        <v>382</v>
      </c>
    </row>
    <row r="501" spans="1:9" x14ac:dyDescent="0.25">
      <c r="A501" t="s">
        <v>2052</v>
      </c>
      <c r="B501">
        <f t="shared" si="7"/>
        <v>4556</v>
      </c>
      <c r="C501" t="s">
        <v>2053</v>
      </c>
      <c r="D501" t="s">
        <v>364</v>
      </c>
      <c r="E501" t="s">
        <v>119</v>
      </c>
      <c r="F501" t="s">
        <v>323</v>
      </c>
      <c r="G501" t="s">
        <v>27</v>
      </c>
      <c r="H501">
        <v>0</v>
      </c>
      <c r="I501" t="s">
        <v>387</v>
      </c>
    </row>
    <row r="502" spans="1:9" x14ac:dyDescent="0.25">
      <c r="A502" t="s">
        <v>961</v>
      </c>
      <c r="B502">
        <f t="shared" si="7"/>
        <v>4557</v>
      </c>
      <c r="C502" t="s">
        <v>962</v>
      </c>
      <c r="D502" t="s">
        <v>364</v>
      </c>
      <c r="E502" t="s">
        <v>81</v>
      </c>
      <c r="F502" t="s">
        <v>81</v>
      </c>
      <c r="G502" t="s">
        <v>81</v>
      </c>
      <c r="H502">
        <v>0</v>
      </c>
      <c r="I502" t="s">
        <v>963</v>
      </c>
    </row>
    <row r="503" spans="1:9" x14ac:dyDescent="0.25">
      <c r="A503" t="s">
        <v>2054</v>
      </c>
      <c r="B503">
        <f t="shared" si="7"/>
        <v>4558</v>
      </c>
      <c r="C503" t="s">
        <v>2055</v>
      </c>
      <c r="D503" t="s">
        <v>364</v>
      </c>
      <c r="E503" t="s">
        <v>119</v>
      </c>
      <c r="F503" t="s">
        <v>327</v>
      </c>
      <c r="G503" t="s">
        <v>324</v>
      </c>
      <c r="H503">
        <v>0</v>
      </c>
      <c r="I503" t="s">
        <v>379</v>
      </c>
    </row>
    <row r="504" spans="1:9" x14ac:dyDescent="0.25">
      <c r="A504" t="s">
        <v>2056</v>
      </c>
      <c r="B504">
        <f t="shared" si="7"/>
        <v>4563</v>
      </c>
      <c r="C504" t="s">
        <v>2057</v>
      </c>
      <c r="D504" t="s">
        <v>364</v>
      </c>
      <c r="E504" t="s">
        <v>81</v>
      </c>
      <c r="F504" t="s">
        <v>81</v>
      </c>
      <c r="G504" t="s">
        <v>81</v>
      </c>
      <c r="H504">
        <v>1</v>
      </c>
      <c r="I504" t="s">
        <v>411</v>
      </c>
    </row>
    <row r="505" spans="1:9" x14ac:dyDescent="0.25">
      <c r="A505" t="s">
        <v>2058</v>
      </c>
      <c r="B505">
        <f t="shared" si="7"/>
        <v>4564</v>
      </c>
      <c r="C505" t="s">
        <v>2059</v>
      </c>
      <c r="D505" t="s">
        <v>364</v>
      </c>
      <c r="E505" t="s">
        <v>119</v>
      </c>
      <c r="F505" t="s">
        <v>345</v>
      </c>
      <c r="G505" t="s">
        <v>314</v>
      </c>
      <c r="H505">
        <v>0</v>
      </c>
      <c r="I505" t="s">
        <v>2060</v>
      </c>
    </row>
    <row r="506" spans="1:9" x14ac:dyDescent="0.25">
      <c r="A506" t="s">
        <v>1428</v>
      </c>
      <c r="B506">
        <f t="shared" si="7"/>
        <v>4565</v>
      </c>
      <c r="C506" t="s">
        <v>1429</v>
      </c>
      <c r="D506" t="s">
        <v>364</v>
      </c>
      <c r="E506" t="s">
        <v>119</v>
      </c>
      <c r="F506" t="s">
        <v>327</v>
      </c>
      <c r="G506" t="s">
        <v>324</v>
      </c>
      <c r="H506">
        <v>0</v>
      </c>
      <c r="I506" t="s">
        <v>379</v>
      </c>
    </row>
    <row r="507" spans="1:9" x14ac:dyDescent="0.25">
      <c r="A507" t="s">
        <v>3167</v>
      </c>
      <c r="B507">
        <f t="shared" si="7"/>
        <v>4566</v>
      </c>
      <c r="C507" t="s">
        <v>3168</v>
      </c>
      <c r="D507" t="s">
        <v>72</v>
      </c>
      <c r="E507" t="s">
        <v>119</v>
      </c>
      <c r="F507" t="s">
        <v>318</v>
      </c>
      <c r="G507" t="s">
        <v>331</v>
      </c>
      <c r="H507">
        <v>0</v>
      </c>
      <c r="I507" t="s">
        <v>410</v>
      </c>
    </row>
    <row r="508" spans="1:9" x14ac:dyDescent="0.25">
      <c r="A508" t="s">
        <v>2061</v>
      </c>
      <c r="B508">
        <f t="shared" si="7"/>
        <v>4567</v>
      </c>
      <c r="C508" t="s">
        <v>2062</v>
      </c>
      <c r="D508" t="s">
        <v>364</v>
      </c>
      <c r="E508" t="s">
        <v>119</v>
      </c>
      <c r="F508" t="s">
        <v>323</v>
      </c>
      <c r="G508" t="s">
        <v>316</v>
      </c>
      <c r="H508">
        <v>0</v>
      </c>
      <c r="I508" t="s">
        <v>1759</v>
      </c>
    </row>
    <row r="509" spans="1:9" x14ac:dyDescent="0.25">
      <c r="A509" t="s">
        <v>2951</v>
      </c>
      <c r="B509">
        <f t="shared" si="7"/>
        <v>4568</v>
      </c>
      <c r="C509" t="s">
        <v>2952</v>
      </c>
      <c r="D509" t="s">
        <v>364</v>
      </c>
      <c r="E509" t="s">
        <v>119</v>
      </c>
      <c r="F509" t="s">
        <v>318</v>
      </c>
      <c r="G509" t="s">
        <v>312</v>
      </c>
      <c r="H509">
        <v>0</v>
      </c>
      <c r="I509" t="s">
        <v>382</v>
      </c>
    </row>
    <row r="510" spans="1:9" x14ac:dyDescent="0.25">
      <c r="A510" t="s">
        <v>3394</v>
      </c>
      <c r="B510">
        <f t="shared" si="7"/>
        <v>4571</v>
      </c>
      <c r="C510" t="s">
        <v>3395</v>
      </c>
      <c r="D510" t="s">
        <v>72</v>
      </c>
      <c r="E510" t="s">
        <v>81</v>
      </c>
      <c r="F510" t="s">
        <v>81</v>
      </c>
      <c r="G510" t="s">
        <v>81</v>
      </c>
      <c r="H510">
        <v>0</v>
      </c>
      <c r="I510" t="s">
        <v>618</v>
      </c>
    </row>
    <row r="511" spans="1:9" x14ac:dyDescent="0.25">
      <c r="A511" t="s">
        <v>3623</v>
      </c>
      <c r="B511">
        <f t="shared" si="7"/>
        <v>4576</v>
      </c>
      <c r="C511" t="s">
        <v>3624</v>
      </c>
      <c r="D511" t="s">
        <v>364</v>
      </c>
      <c r="E511" t="s">
        <v>119</v>
      </c>
      <c r="F511" t="s">
        <v>327</v>
      </c>
      <c r="G511" t="s">
        <v>324</v>
      </c>
      <c r="H511">
        <v>0</v>
      </c>
      <c r="I511" t="s">
        <v>379</v>
      </c>
    </row>
    <row r="512" spans="1:9" x14ac:dyDescent="0.25">
      <c r="A512" t="s">
        <v>2063</v>
      </c>
      <c r="B512">
        <f t="shared" si="7"/>
        <v>4590</v>
      </c>
      <c r="C512" t="s">
        <v>2064</v>
      </c>
      <c r="D512" t="s">
        <v>364</v>
      </c>
      <c r="E512" t="s">
        <v>119</v>
      </c>
      <c r="F512" t="s">
        <v>326</v>
      </c>
      <c r="G512" t="s">
        <v>317</v>
      </c>
      <c r="H512">
        <v>0</v>
      </c>
      <c r="I512" t="s">
        <v>384</v>
      </c>
    </row>
    <row r="513" spans="1:9" x14ac:dyDescent="0.25">
      <c r="A513" t="s">
        <v>2065</v>
      </c>
      <c r="B513">
        <f t="shared" si="7"/>
        <v>4630</v>
      </c>
      <c r="C513" t="s">
        <v>2066</v>
      </c>
      <c r="D513" t="s">
        <v>364</v>
      </c>
      <c r="E513" t="s">
        <v>119</v>
      </c>
      <c r="F513" t="s">
        <v>318</v>
      </c>
      <c r="G513" t="s">
        <v>324</v>
      </c>
      <c r="H513">
        <v>0</v>
      </c>
      <c r="I513" t="s">
        <v>379</v>
      </c>
    </row>
    <row r="514" spans="1:9" x14ac:dyDescent="0.25">
      <c r="A514" t="s">
        <v>2067</v>
      </c>
      <c r="B514">
        <f t="shared" si="7"/>
        <v>4640</v>
      </c>
      <c r="C514" t="s">
        <v>2068</v>
      </c>
      <c r="D514" t="s">
        <v>72</v>
      </c>
      <c r="E514" t="s">
        <v>119</v>
      </c>
      <c r="F514" t="s">
        <v>325</v>
      </c>
      <c r="G514" t="s">
        <v>329</v>
      </c>
      <c r="H514">
        <v>0</v>
      </c>
      <c r="I514" t="s">
        <v>377</v>
      </c>
    </row>
    <row r="515" spans="1:9" x14ac:dyDescent="0.25">
      <c r="A515" t="s">
        <v>4052</v>
      </c>
      <c r="B515">
        <f t="shared" si="7"/>
        <v>4643</v>
      </c>
      <c r="C515" t="s">
        <v>4053</v>
      </c>
      <c r="D515" t="s">
        <v>72</v>
      </c>
      <c r="E515" t="s">
        <v>119</v>
      </c>
      <c r="F515" t="s">
        <v>327</v>
      </c>
      <c r="G515" t="s">
        <v>329</v>
      </c>
      <c r="H515">
        <v>0</v>
      </c>
      <c r="I515" t="s">
        <v>377</v>
      </c>
    </row>
    <row r="516" spans="1:9" x14ac:dyDescent="0.25">
      <c r="A516" t="s">
        <v>4195</v>
      </c>
      <c r="B516">
        <f t="shared" ref="B516:B579" si="8">_xlfn.NUMBERVALUE(A516,"#####")</f>
        <v>4644</v>
      </c>
      <c r="C516" t="s">
        <v>4196</v>
      </c>
      <c r="D516" t="s">
        <v>72</v>
      </c>
      <c r="E516" t="s">
        <v>119</v>
      </c>
      <c r="F516" t="s">
        <v>318</v>
      </c>
      <c r="G516" t="s">
        <v>29</v>
      </c>
      <c r="H516">
        <v>0</v>
      </c>
      <c r="I516" t="s">
        <v>391</v>
      </c>
    </row>
    <row r="517" spans="1:9" x14ac:dyDescent="0.25">
      <c r="A517" t="s">
        <v>163</v>
      </c>
      <c r="B517">
        <f t="shared" si="8"/>
        <v>4645</v>
      </c>
      <c r="C517" t="s">
        <v>164</v>
      </c>
      <c r="D517" t="s">
        <v>72</v>
      </c>
      <c r="E517" t="s">
        <v>81</v>
      </c>
      <c r="F517" t="s">
        <v>81</v>
      </c>
      <c r="G517" t="s">
        <v>81</v>
      </c>
      <c r="H517">
        <v>1</v>
      </c>
      <c r="I517" t="s">
        <v>406</v>
      </c>
    </row>
    <row r="518" spans="1:9" x14ac:dyDescent="0.25">
      <c r="A518" t="s">
        <v>4054</v>
      </c>
      <c r="B518">
        <f t="shared" si="8"/>
        <v>4646</v>
      </c>
      <c r="C518" t="s">
        <v>4055</v>
      </c>
      <c r="D518" t="s">
        <v>72</v>
      </c>
      <c r="E518" t="s">
        <v>119</v>
      </c>
      <c r="F518" t="s">
        <v>326</v>
      </c>
      <c r="G518" t="s">
        <v>324</v>
      </c>
      <c r="H518">
        <v>0</v>
      </c>
      <c r="I518" t="s">
        <v>379</v>
      </c>
    </row>
    <row r="519" spans="1:9" x14ac:dyDescent="0.25">
      <c r="A519" t="s">
        <v>1430</v>
      </c>
      <c r="B519">
        <f t="shared" si="8"/>
        <v>4671</v>
      </c>
      <c r="C519" t="s">
        <v>1431</v>
      </c>
      <c r="D519" t="s">
        <v>364</v>
      </c>
      <c r="E519" t="s">
        <v>119</v>
      </c>
      <c r="F519" t="s">
        <v>345</v>
      </c>
      <c r="G519" t="s">
        <v>324</v>
      </c>
      <c r="H519">
        <v>0</v>
      </c>
      <c r="I519" t="s">
        <v>379</v>
      </c>
    </row>
    <row r="520" spans="1:9" x14ac:dyDescent="0.25">
      <c r="A520" t="s">
        <v>2069</v>
      </c>
      <c r="B520">
        <f t="shared" si="8"/>
        <v>4673</v>
      </c>
      <c r="C520" t="s">
        <v>2070</v>
      </c>
      <c r="D520" t="s">
        <v>364</v>
      </c>
      <c r="E520" t="s">
        <v>119</v>
      </c>
      <c r="F520" t="s">
        <v>330</v>
      </c>
      <c r="G520" t="s">
        <v>317</v>
      </c>
      <c r="H520">
        <v>0</v>
      </c>
      <c r="I520" t="s">
        <v>391</v>
      </c>
    </row>
    <row r="521" spans="1:9" x14ac:dyDescent="0.25">
      <c r="A521" t="s">
        <v>1086</v>
      </c>
      <c r="B521">
        <f t="shared" si="8"/>
        <v>4674</v>
      </c>
      <c r="C521" t="s">
        <v>1087</v>
      </c>
      <c r="D521" t="s">
        <v>364</v>
      </c>
      <c r="E521" t="s">
        <v>81</v>
      </c>
      <c r="F521" t="s">
        <v>81</v>
      </c>
      <c r="G521" t="s">
        <v>81</v>
      </c>
      <c r="H521">
        <v>0</v>
      </c>
      <c r="I521" t="s">
        <v>79</v>
      </c>
    </row>
    <row r="522" spans="1:9" x14ac:dyDescent="0.25">
      <c r="A522" t="s">
        <v>2071</v>
      </c>
      <c r="B522">
        <f t="shared" si="8"/>
        <v>4675</v>
      </c>
      <c r="C522" t="s">
        <v>2072</v>
      </c>
      <c r="D522" t="s">
        <v>364</v>
      </c>
      <c r="E522" t="s">
        <v>119</v>
      </c>
      <c r="F522" t="s">
        <v>323</v>
      </c>
      <c r="G522" t="s">
        <v>316</v>
      </c>
      <c r="H522">
        <v>0</v>
      </c>
      <c r="I522" t="s">
        <v>2020</v>
      </c>
    </row>
    <row r="523" spans="1:9" x14ac:dyDescent="0.25">
      <c r="A523" t="s">
        <v>3328</v>
      </c>
      <c r="B523">
        <f t="shared" si="8"/>
        <v>4680</v>
      </c>
      <c r="C523" t="s">
        <v>3329</v>
      </c>
      <c r="D523" t="s">
        <v>72</v>
      </c>
      <c r="E523" t="s">
        <v>81</v>
      </c>
      <c r="F523" t="s">
        <v>81</v>
      </c>
      <c r="G523" t="s">
        <v>81</v>
      </c>
      <c r="H523">
        <v>1</v>
      </c>
      <c r="I523" t="s">
        <v>399</v>
      </c>
    </row>
    <row r="524" spans="1:9" x14ac:dyDescent="0.25">
      <c r="A524" t="s">
        <v>3705</v>
      </c>
      <c r="B524">
        <f t="shared" si="8"/>
        <v>4682</v>
      </c>
      <c r="C524" t="s">
        <v>3706</v>
      </c>
      <c r="D524" t="s">
        <v>72</v>
      </c>
      <c r="E524" t="s">
        <v>119</v>
      </c>
      <c r="F524" t="s">
        <v>318</v>
      </c>
      <c r="G524" t="s">
        <v>24</v>
      </c>
      <c r="H524">
        <v>0</v>
      </c>
      <c r="I524" t="s">
        <v>383</v>
      </c>
    </row>
    <row r="525" spans="1:9" x14ac:dyDescent="0.25">
      <c r="A525" t="s">
        <v>4056</v>
      </c>
      <c r="B525">
        <f t="shared" si="8"/>
        <v>4683</v>
      </c>
      <c r="C525" t="s">
        <v>4057</v>
      </c>
      <c r="D525" t="s">
        <v>72</v>
      </c>
      <c r="E525" t="s">
        <v>81</v>
      </c>
      <c r="F525" t="s">
        <v>81</v>
      </c>
      <c r="G525" t="s">
        <v>81</v>
      </c>
      <c r="H525">
        <v>0</v>
      </c>
      <c r="I525" t="s">
        <v>4058</v>
      </c>
    </row>
    <row r="526" spans="1:9" x14ac:dyDescent="0.25">
      <c r="A526" t="s">
        <v>4495</v>
      </c>
      <c r="B526">
        <f t="shared" si="8"/>
        <v>4692</v>
      </c>
      <c r="C526" t="s">
        <v>4496</v>
      </c>
      <c r="D526" t="s">
        <v>72</v>
      </c>
      <c r="E526" t="s">
        <v>119</v>
      </c>
      <c r="F526" t="s">
        <v>327</v>
      </c>
      <c r="G526" t="s">
        <v>324</v>
      </c>
      <c r="H526">
        <v>0</v>
      </c>
      <c r="I526" t="s">
        <v>379</v>
      </c>
    </row>
    <row r="527" spans="1:9" x14ac:dyDescent="0.25">
      <c r="A527" t="s">
        <v>165</v>
      </c>
      <c r="B527">
        <f t="shared" si="8"/>
        <v>4694</v>
      </c>
      <c r="C527" t="s">
        <v>166</v>
      </c>
      <c r="D527" t="s">
        <v>72</v>
      </c>
      <c r="E527" t="s">
        <v>81</v>
      </c>
      <c r="F527" t="s">
        <v>81</v>
      </c>
      <c r="G527" t="s">
        <v>81</v>
      </c>
      <c r="H527">
        <v>0</v>
      </c>
      <c r="I527" t="s">
        <v>388</v>
      </c>
    </row>
    <row r="528" spans="1:9" x14ac:dyDescent="0.25">
      <c r="A528" t="s">
        <v>2779</v>
      </c>
      <c r="B528">
        <f t="shared" si="8"/>
        <v>4695</v>
      </c>
      <c r="C528" t="s">
        <v>2780</v>
      </c>
      <c r="D528" t="s">
        <v>364</v>
      </c>
      <c r="E528" t="s">
        <v>119</v>
      </c>
      <c r="F528" t="s">
        <v>1022</v>
      </c>
      <c r="G528" t="s">
        <v>24</v>
      </c>
      <c r="H528">
        <v>0</v>
      </c>
      <c r="I528" t="s">
        <v>383</v>
      </c>
    </row>
    <row r="529" spans="1:9" x14ac:dyDescent="0.25">
      <c r="A529" t="s">
        <v>2907</v>
      </c>
      <c r="B529">
        <f t="shared" si="8"/>
        <v>4698</v>
      </c>
      <c r="C529" t="s">
        <v>2908</v>
      </c>
      <c r="D529" t="s">
        <v>72</v>
      </c>
      <c r="E529" t="s">
        <v>119</v>
      </c>
      <c r="F529" t="s">
        <v>318</v>
      </c>
      <c r="G529" t="s">
        <v>329</v>
      </c>
      <c r="H529">
        <v>0</v>
      </c>
      <c r="I529" t="s">
        <v>377</v>
      </c>
    </row>
    <row r="530" spans="1:9" x14ac:dyDescent="0.25">
      <c r="A530" t="s">
        <v>4497</v>
      </c>
      <c r="B530">
        <f t="shared" si="8"/>
        <v>4707</v>
      </c>
      <c r="C530" t="s">
        <v>4498</v>
      </c>
      <c r="D530" t="s">
        <v>72</v>
      </c>
      <c r="E530" t="s">
        <v>119</v>
      </c>
      <c r="F530" t="s">
        <v>326</v>
      </c>
      <c r="G530" t="s">
        <v>324</v>
      </c>
      <c r="H530">
        <v>0</v>
      </c>
      <c r="I530" t="s">
        <v>379</v>
      </c>
    </row>
    <row r="531" spans="1:9" x14ac:dyDescent="0.25">
      <c r="A531" t="s">
        <v>2073</v>
      </c>
      <c r="B531">
        <f t="shared" si="8"/>
        <v>4709</v>
      </c>
      <c r="C531" t="s">
        <v>2074</v>
      </c>
      <c r="D531" t="s">
        <v>364</v>
      </c>
      <c r="E531" t="s">
        <v>119</v>
      </c>
      <c r="F531" t="s">
        <v>318</v>
      </c>
      <c r="G531" t="s">
        <v>29</v>
      </c>
      <c r="H531">
        <v>0</v>
      </c>
      <c r="I531" t="s">
        <v>391</v>
      </c>
    </row>
    <row r="532" spans="1:9" x14ac:dyDescent="0.25">
      <c r="A532" t="s">
        <v>367</v>
      </c>
      <c r="B532">
        <f t="shared" si="8"/>
        <v>4718</v>
      </c>
      <c r="C532" t="s">
        <v>368</v>
      </c>
      <c r="D532" t="s">
        <v>364</v>
      </c>
      <c r="E532" t="s">
        <v>119</v>
      </c>
      <c r="F532" t="s">
        <v>326</v>
      </c>
      <c r="G532" t="s">
        <v>324</v>
      </c>
      <c r="H532">
        <v>0</v>
      </c>
      <c r="I532" t="s">
        <v>379</v>
      </c>
    </row>
    <row r="533" spans="1:9" x14ac:dyDescent="0.25">
      <c r="A533" t="s">
        <v>4059</v>
      </c>
      <c r="B533">
        <f t="shared" si="8"/>
        <v>4719</v>
      </c>
      <c r="C533" t="s">
        <v>4060</v>
      </c>
      <c r="D533" t="s">
        <v>72</v>
      </c>
      <c r="E533" t="s">
        <v>119</v>
      </c>
      <c r="F533" t="s">
        <v>318</v>
      </c>
      <c r="G533" t="s">
        <v>324</v>
      </c>
      <c r="H533">
        <v>0</v>
      </c>
      <c r="I533" t="s">
        <v>379</v>
      </c>
    </row>
    <row r="534" spans="1:9" x14ac:dyDescent="0.25">
      <c r="A534" t="s">
        <v>1088</v>
      </c>
      <c r="B534">
        <f t="shared" si="8"/>
        <v>4721</v>
      </c>
      <c r="C534" t="s">
        <v>1089</v>
      </c>
      <c r="D534" t="s">
        <v>364</v>
      </c>
      <c r="E534" t="s">
        <v>119</v>
      </c>
      <c r="F534" t="s">
        <v>318</v>
      </c>
      <c r="G534" t="s">
        <v>324</v>
      </c>
      <c r="H534">
        <v>0</v>
      </c>
      <c r="I534" t="s">
        <v>379</v>
      </c>
    </row>
    <row r="535" spans="1:9" x14ac:dyDescent="0.25">
      <c r="A535" t="s">
        <v>2075</v>
      </c>
      <c r="B535">
        <f t="shared" si="8"/>
        <v>4722</v>
      </c>
      <c r="C535" t="s">
        <v>2076</v>
      </c>
      <c r="D535" t="s">
        <v>364</v>
      </c>
      <c r="E535" t="s">
        <v>119</v>
      </c>
      <c r="F535" t="s">
        <v>327</v>
      </c>
      <c r="G535" t="s">
        <v>72</v>
      </c>
      <c r="H535">
        <v>0</v>
      </c>
      <c r="I535" t="s">
        <v>390</v>
      </c>
    </row>
    <row r="536" spans="1:9" x14ac:dyDescent="0.25">
      <c r="A536" t="s">
        <v>2077</v>
      </c>
      <c r="B536">
        <f t="shared" si="8"/>
        <v>4723</v>
      </c>
      <c r="C536" t="s">
        <v>2078</v>
      </c>
      <c r="D536" t="s">
        <v>364</v>
      </c>
      <c r="E536" t="s">
        <v>119</v>
      </c>
      <c r="F536" t="s">
        <v>327</v>
      </c>
      <c r="G536" t="s">
        <v>324</v>
      </c>
      <c r="H536">
        <v>0</v>
      </c>
      <c r="I536" t="s">
        <v>379</v>
      </c>
    </row>
    <row r="537" spans="1:9" x14ac:dyDescent="0.25">
      <c r="A537" t="s">
        <v>2079</v>
      </c>
      <c r="B537">
        <f t="shared" si="8"/>
        <v>4724</v>
      </c>
      <c r="C537" t="s">
        <v>2080</v>
      </c>
      <c r="D537" t="s">
        <v>364</v>
      </c>
      <c r="E537" t="s">
        <v>119</v>
      </c>
      <c r="F537" t="s">
        <v>327</v>
      </c>
      <c r="G537" t="s">
        <v>324</v>
      </c>
      <c r="H537">
        <v>0</v>
      </c>
      <c r="I537" t="s">
        <v>379</v>
      </c>
    </row>
    <row r="538" spans="1:9" x14ac:dyDescent="0.25">
      <c r="A538" t="s">
        <v>2081</v>
      </c>
      <c r="B538">
        <f t="shared" si="8"/>
        <v>4725</v>
      </c>
      <c r="C538" t="s">
        <v>2082</v>
      </c>
      <c r="D538" t="s">
        <v>364</v>
      </c>
      <c r="E538" t="s">
        <v>119</v>
      </c>
      <c r="F538" t="s">
        <v>327</v>
      </c>
      <c r="G538" t="s">
        <v>324</v>
      </c>
      <c r="H538">
        <v>0</v>
      </c>
      <c r="I538" t="s">
        <v>379</v>
      </c>
    </row>
    <row r="539" spans="1:9" x14ac:dyDescent="0.25">
      <c r="A539" t="s">
        <v>3751</v>
      </c>
      <c r="B539">
        <f t="shared" si="8"/>
        <v>4729</v>
      </c>
      <c r="C539" t="s">
        <v>3752</v>
      </c>
      <c r="D539" t="s">
        <v>364</v>
      </c>
      <c r="E539" t="s">
        <v>119</v>
      </c>
      <c r="F539" t="s">
        <v>327</v>
      </c>
      <c r="G539" t="s">
        <v>312</v>
      </c>
      <c r="H539">
        <v>0</v>
      </c>
      <c r="I539" t="s">
        <v>382</v>
      </c>
    </row>
    <row r="540" spans="1:9" x14ac:dyDescent="0.25">
      <c r="A540" t="s">
        <v>4197</v>
      </c>
      <c r="B540">
        <f t="shared" si="8"/>
        <v>4730</v>
      </c>
      <c r="C540" t="s">
        <v>4198</v>
      </c>
      <c r="D540" t="s">
        <v>72</v>
      </c>
      <c r="E540" t="s">
        <v>119</v>
      </c>
      <c r="F540" t="s">
        <v>467</v>
      </c>
      <c r="G540" t="s">
        <v>312</v>
      </c>
      <c r="H540">
        <v>0</v>
      </c>
      <c r="I540" t="s">
        <v>4199</v>
      </c>
    </row>
    <row r="541" spans="1:9" x14ac:dyDescent="0.25">
      <c r="A541" t="s">
        <v>1432</v>
      </c>
      <c r="B541">
        <f t="shared" si="8"/>
        <v>4733</v>
      </c>
      <c r="C541" t="s">
        <v>1433</v>
      </c>
      <c r="D541" t="s">
        <v>364</v>
      </c>
      <c r="E541" t="s">
        <v>119</v>
      </c>
      <c r="F541" t="s">
        <v>327</v>
      </c>
      <c r="G541" t="s">
        <v>329</v>
      </c>
      <c r="H541">
        <v>0</v>
      </c>
      <c r="I541" t="s">
        <v>377</v>
      </c>
    </row>
    <row r="542" spans="1:9" x14ac:dyDescent="0.25">
      <c r="A542" t="s">
        <v>1434</v>
      </c>
      <c r="B542">
        <f t="shared" si="8"/>
        <v>4735</v>
      </c>
      <c r="C542" t="s">
        <v>1435</v>
      </c>
      <c r="D542" t="s">
        <v>364</v>
      </c>
      <c r="E542" t="s">
        <v>119</v>
      </c>
      <c r="F542" t="s">
        <v>327</v>
      </c>
      <c r="G542" t="s">
        <v>324</v>
      </c>
      <c r="H542">
        <v>0</v>
      </c>
      <c r="I542" t="s">
        <v>379</v>
      </c>
    </row>
    <row r="543" spans="1:9" x14ac:dyDescent="0.25">
      <c r="A543" t="s">
        <v>2083</v>
      </c>
      <c r="B543">
        <f t="shared" si="8"/>
        <v>4736</v>
      </c>
      <c r="C543" t="s">
        <v>2084</v>
      </c>
      <c r="D543" t="s">
        <v>364</v>
      </c>
      <c r="E543" t="s">
        <v>119</v>
      </c>
      <c r="F543" t="s">
        <v>1717</v>
      </c>
      <c r="G543" t="s">
        <v>324</v>
      </c>
      <c r="H543">
        <v>0</v>
      </c>
      <c r="I543" t="s">
        <v>379</v>
      </c>
    </row>
    <row r="544" spans="1:9" x14ac:dyDescent="0.25">
      <c r="A544" t="s">
        <v>2860</v>
      </c>
      <c r="B544">
        <f t="shared" si="8"/>
        <v>4737</v>
      </c>
      <c r="C544" t="s">
        <v>2861</v>
      </c>
      <c r="D544" t="s">
        <v>364</v>
      </c>
      <c r="E544" t="s">
        <v>119</v>
      </c>
      <c r="F544" t="s">
        <v>327</v>
      </c>
      <c r="G544" t="s">
        <v>324</v>
      </c>
      <c r="H544">
        <v>0</v>
      </c>
      <c r="I544" t="s">
        <v>379</v>
      </c>
    </row>
    <row r="545" spans="1:9" x14ac:dyDescent="0.25">
      <c r="A545" t="s">
        <v>3677</v>
      </c>
      <c r="B545">
        <f t="shared" si="8"/>
        <v>4739</v>
      </c>
      <c r="C545" t="s">
        <v>3678</v>
      </c>
      <c r="D545" t="s">
        <v>364</v>
      </c>
      <c r="E545" t="s">
        <v>119</v>
      </c>
      <c r="F545" t="s">
        <v>327</v>
      </c>
      <c r="G545" t="s">
        <v>324</v>
      </c>
      <c r="H545">
        <v>0</v>
      </c>
      <c r="I545" t="s">
        <v>379</v>
      </c>
    </row>
    <row r="546" spans="1:9" x14ac:dyDescent="0.25">
      <c r="A546" t="s">
        <v>2085</v>
      </c>
      <c r="B546">
        <f t="shared" si="8"/>
        <v>4745</v>
      </c>
      <c r="C546" t="s">
        <v>2086</v>
      </c>
      <c r="D546" t="s">
        <v>364</v>
      </c>
      <c r="E546" t="s">
        <v>119</v>
      </c>
      <c r="F546" t="s">
        <v>318</v>
      </c>
      <c r="G546" t="s">
        <v>27</v>
      </c>
      <c r="H546">
        <v>0</v>
      </c>
      <c r="I546" t="s">
        <v>387</v>
      </c>
    </row>
    <row r="547" spans="1:9" x14ac:dyDescent="0.25">
      <c r="A547" t="s">
        <v>1090</v>
      </c>
      <c r="B547">
        <f t="shared" si="8"/>
        <v>4746</v>
      </c>
      <c r="C547" t="s">
        <v>1091</v>
      </c>
      <c r="D547" t="s">
        <v>364</v>
      </c>
      <c r="E547" t="s">
        <v>119</v>
      </c>
      <c r="F547" t="s">
        <v>326</v>
      </c>
      <c r="G547" t="s">
        <v>331</v>
      </c>
      <c r="H547">
        <v>0</v>
      </c>
      <c r="I547" t="s">
        <v>410</v>
      </c>
    </row>
    <row r="548" spans="1:9" x14ac:dyDescent="0.25">
      <c r="A548" t="s">
        <v>2087</v>
      </c>
      <c r="B548">
        <f t="shared" si="8"/>
        <v>4749</v>
      </c>
      <c r="C548" t="s">
        <v>2088</v>
      </c>
      <c r="D548" t="s">
        <v>364</v>
      </c>
      <c r="E548" t="s">
        <v>119</v>
      </c>
      <c r="F548" t="s">
        <v>327</v>
      </c>
      <c r="G548" t="s">
        <v>324</v>
      </c>
      <c r="H548">
        <v>0</v>
      </c>
      <c r="I548" t="s">
        <v>379</v>
      </c>
    </row>
    <row r="549" spans="1:9" x14ac:dyDescent="0.25">
      <c r="A549" t="s">
        <v>887</v>
      </c>
      <c r="B549">
        <f t="shared" si="8"/>
        <v>4752</v>
      </c>
      <c r="C549" t="s">
        <v>888</v>
      </c>
      <c r="D549" t="s">
        <v>364</v>
      </c>
      <c r="E549" t="s">
        <v>119</v>
      </c>
      <c r="F549" t="s">
        <v>327</v>
      </c>
      <c r="G549" t="s">
        <v>324</v>
      </c>
      <c r="H549">
        <v>0</v>
      </c>
      <c r="I549" t="s">
        <v>379</v>
      </c>
    </row>
    <row r="550" spans="1:9" x14ac:dyDescent="0.25">
      <c r="A550" t="s">
        <v>3127</v>
      </c>
      <c r="B550">
        <f t="shared" si="8"/>
        <v>4753</v>
      </c>
      <c r="C550" t="s">
        <v>3128</v>
      </c>
      <c r="D550" t="s">
        <v>364</v>
      </c>
      <c r="E550" t="s">
        <v>119</v>
      </c>
      <c r="F550" t="s">
        <v>327</v>
      </c>
      <c r="G550" t="s">
        <v>324</v>
      </c>
      <c r="H550">
        <v>0</v>
      </c>
      <c r="I550" t="s">
        <v>379</v>
      </c>
    </row>
    <row r="551" spans="1:9" x14ac:dyDescent="0.25">
      <c r="A551" t="s">
        <v>2089</v>
      </c>
      <c r="B551">
        <f t="shared" si="8"/>
        <v>4754</v>
      </c>
      <c r="C551" t="s">
        <v>2090</v>
      </c>
      <c r="D551" t="s">
        <v>364</v>
      </c>
      <c r="E551" t="s">
        <v>81</v>
      </c>
      <c r="F551" t="s">
        <v>81</v>
      </c>
      <c r="G551" t="s">
        <v>81</v>
      </c>
      <c r="H551">
        <v>1</v>
      </c>
      <c r="I551" t="s">
        <v>2091</v>
      </c>
    </row>
    <row r="552" spans="1:9" x14ac:dyDescent="0.25">
      <c r="A552" t="s">
        <v>3148</v>
      </c>
      <c r="B552">
        <f t="shared" si="8"/>
        <v>4755</v>
      </c>
      <c r="C552" t="s">
        <v>3149</v>
      </c>
      <c r="D552" t="s">
        <v>364</v>
      </c>
      <c r="E552" t="s">
        <v>119</v>
      </c>
      <c r="F552" t="s">
        <v>318</v>
      </c>
      <c r="G552" t="s">
        <v>312</v>
      </c>
      <c r="H552">
        <v>0</v>
      </c>
      <c r="I552" t="s">
        <v>382</v>
      </c>
    </row>
    <row r="553" spans="1:9" x14ac:dyDescent="0.25">
      <c r="A553" t="s">
        <v>4200</v>
      </c>
      <c r="B553">
        <f t="shared" si="8"/>
        <v>4758</v>
      </c>
      <c r="C553" t="s">
        <v>4201</v>
      </c>
      <c r="D553" t="s">
        <v>364</v>
      </c>
      <c r="E553" t="s">
        <v>119</v>
      </c>
      <c r="F553" t="s">
        <v>327</v>
      </c>
      <c r="G553" t="s">
        <v>324</v>
      </c>
      <c r="H553">
        <v>0</v>
      </c>
      <c r="I553" t="s">
        <v>379</v>
      </c>
    </row>
    <row r="554" spans="1:9" x14ac:dyDescent="0.25">
      <c r="A554" t="s">
        <v>4202</v>
      </c>
      <c r="B554">
        <f t="shared" si="8"/>
        <v>4759</v>
      </c>
      <c r="C554" t="s">
        <v>4203</v>
      </c>
      <c r="D554" t="s">
        <v>72</v>
      </c>
      <c r="E554" t="s">
        <v>119</v>
      </c>
      <c r="F554" t="s">
        <v>327</v>
      </c>
      <c r="G554" t="s">
        <v>324</v>
      </c>
      <c r="H554">
        <v>0</v>
      </c>
      <c r="I554" t="s">
        <v>379</v>
      </c>
    </row>
    <row r="555" spans="1:9" x14ac:dyDescent="0.25">
      <c r="A555" t="s">
        <v>2092</v>
      </c>
      <c r="B555">
        <f t="shared" si="8"/>
        <v>4764</v>
      </c>
      <c r="C555" t="s">
        <v>2093</v>
      </c>
      <c r="D555" t="s">
        <v>364</v>
      </c>
      <c r="E555" t="s">
        <v>119</v>
      </c>
      <c r="F555" t="s">
        <v>327</v>
      </c>
      <c r="G555" t="s">
        <v>324</v>
      </c>
      <c r="H555">
        <v>0</v>
      </c>
      <c r="I555" t="s">
        <v>379</v>
      </c>
    </row>
    <row r="556" spans="1:9" x14ac:dyDescent="0.25">
      <c r="A556" t="s">
        <v>3534</v>
      </c>
      <c r="B556">
        <f t="shared" si="8"/>
        <v>4765</v>
      </c>
      <c r="C556" t="s">
        <v>3535</v>
      </c>
      <c r="D556" t="s">
        <v>364</v>
      </c>
      <c r="E556" t="s">
        <v>119</v>
      </c>
      <c r="F556" t="s">
        <v>328</v>
      </c>
      <c r="G556" t="s">
        <v>25</v>
      </c>
      <c r="H556">
        <v>0</v>
      </c>
      <c r="I556" t="s">
        <v>386</v>
      </c>
    </row>
    <row r="557" spans="1:9" x14ac:dyDescent="0.25">
      <c r="A557" t="s">
        <v>4382</v>
      </c>
      <c r="B557">
        <f t="shared" si="8"/>
        <v>4769</v>
      </c>
      <c r="C557" t="s">
        <v>4383</v>
      </c>
      <c r="D557" t="s">
        <v>72</v>
      </c>
      <c r="E557" t="s">
        <v>119</v>
      </c>
      <c r="F557" t="s">
        <v>318</v>
      </c>
      <c r="G557" t="s">
        <v>312</v>
      </c>
      <c r="H557">
        <v>0</v>
      </c>
      <c r="I557" t="s">
        <v>382</v>
      </c>
    </row>
    <row r="558" spans="1:9" x14ac:dyDescent="0.25">
      <c r="A558" t="s">
        <v>1436</v>
      </c>
      <c r="B558">
        <f t="shared" si="8"/>
        <v>4782</v>
      </c>
      <c r="C558" t="s">
        <v>1437</v>
      </c>
      <c r="D558" t="s">
        <v>364</v>
      </c>
      <c r="E558" t="s">
        <v>119</v>
      </c>
      <c r="F558" t="s">
        <v>328</v>
      </c>
      <c r="G558" t="s">
        <v>29</v>
      </c>
      <c r="H558">
        <v>0</v>
      </c>
      <c r="I558" t="s">
        <v>391</v>
      </c>
    </row>
    <row r="559" spans="1:9" x14ac:dyDescent="0.25">
      <c r="A559" t="s">
        <v>889</v>
      </c>
      <c r="B559">
        <f t="shared" si="8"/>
        <v>4785</v>
      </c>
      <c r="C559" t="s">
        <v>964</v>
      </c>
      <c r="D559" t="s">
        <v>364</v>
      </c>
      <c r="E559" t="s">
        <v>119</v>
      </c>
      <c r="F559" t="s">
        <v>872</v>
      </c>
      <c r="G559" t="s">
        <v>324</v>
      </c>
      <c r="H559">
        <v>0</v>
      </c>
      <c r="I559" t="s">
        <v>379</v>
      </c>
    </row>
    <row r="560" spans="1:9" x14ac:dyDescent="0.25">
      <c r="A560" t="s">
        <v>3536</v>
      </c>
      <c r="B560">
        <f t="shared" si="8"/>
        <v>4787</v>
      </c>
      <c r="C560" t="s">
        <v>3537</v>
      </c>
      <c r="D560" t="s">
        <v>72</v>
      </c>
      <c r="E560" t="s">
        <v>119</v>
      </c>
      <c r="F560" t="s">
        <v>326</v>
      </c>
      <c r="G560" t="s">
        <v>23</v>
      </c>
      <c r="H560">
        <v>0</v>
      </c>
      <c r="I560" t="s">
        <v>397</v>
      </c>
    </row>
    <row r="561" spans="1:9" x14ac:dyDescent="0.25">
      <c r="A561" t="s">
        <v>1092</v>
      </c>
      <c r="B561">
        <f t="shared" si="8"/>
        <v>4807</v>
      </c>
      <c r="C561" t="s">
        <v>1093</v>
      </c>
      <c r="D561" t="s">
        <v>364</v>
      </c>
      <c r="E561" t="s">
        <v>119</v>
      </c>
      <c r="F561" t="s">
        <v>318</v>
      </c>
      <c r="G561" t="s">
        <v>324</v>
      </c>
      <c r="H561">
        <v>0</v>
      </c>
      <c r="I561" t="s">
        <v>379</v>
      </c>
    </row>
    <row r="562" spans="1:9" x14ac:dyDescent="0.25">
      <c r="A562" t="s">
        <v>3660</v>
      </c>
      <c r="B562">
        <f t="shared" si="8"/>
        <v>4813</v>
      </c>
      <c r="C562" t="s">
        <v>3661</v>
      </c>
      <c r="D562" t="s">
        <v>72</v>
      </c>
      <c r="E562" t="s">
        <v>119</v>
      </c>
      <c r="F562" t="s">
        <v>323</v>
      </c>
      <c r="G562" t="s">
        <v>329</v>
      </c>
      <c r="H562">
        <v>0</v>
      </c>
      <c r="I562" t="s">
        <v>377</v>
      </c>
    </row>
    <row r="563" spans="1:9" x14ac:dyDescent="0.25">
      <c r="A563" t="s">
        <v>1438</v>
      </c>
      <c r="B563">
        <f t="shared" si="8"/>
        <v>4815</v>
      </c>
      <c r="C563" t="s">
        <v>1439</v>
      </c>
      <c r="D563" t="s">
        <v>364</v>
      </c>
      <c r="E563" t="s">
        <v>119</v>
      </c>
      <c r="F563" t="s">
        <v>326</v>
      </c>
      <c r="G563" t="s">
        <v>29</v>
      </c>
      <c r="H563">
        <v>0</v>
      </c>
      <c r="I563" t="s">
        <v>391</v>
      </c>
    </row>
    <row r="564" spans="1:9" x14ac:dyDescent="0.25">
      <c r="A564" t="s">
        <v>167</v>
      </c>
      <c r="B564">
        <f t="shared" si="8"/>
        <v>4817</v>
      </c>
      <c r="C564" t="s">
        <v>168</v>
      </c>
      <c r="D564" t="s">
        <v>72</v>
      </c>
      <c r="E564" t="s">
        <v>81</v>
      </c>
      <c r="F564" t="s">
        <v>81</v>
      </c>
      <c r="G564" t="s">
        <v>81</v>
      </c>
      <c r="H564">
        <v>1</v>
      </c>
      <c r="I564" t="s">
        <v>381</v>
      </c>
    </row>
    <row r="565" spans="1:9" x14ac:dyDescent="0.25">
      <c r="A565" t="s">
        <v>169</v>
      </c>
      <c r="B565">
        <f t="shared" si="8"/>
        <v>4821</v>
      </c>
      <c r="C565" t="s">
        <v>170</v>
      </c>
      <c r="D565" t="s">
        <v>72</v>
      </c>
      <c r="E565" t="s">
        <v>81</v>
      </c>
      <c r="F565" t="s">
        <v>81</v>
      </c>
      <c r="G565" t="s">
        <v>81</v>
      </c>
      <c r="H565">
        <v>1</v>
      </c>
      <c r="I565" t="s">
        <v>402</v>
      </c>
    </row>
    <row r="566" spans="1:9" x14ac:dyDescent="0.25">
      <c r="A566" t="s">
        <v>2094</v>
      </c>
      <c r="B566">
        <f t="shared" si="8"/>
        <v>4829</v>
      </c>
      <c r="C566" t="s">
        <v>2095</v>
      </c>
      <c r="D566" t="s">
        <v>364</v>
      </c>
      <c r="E566" t="s">
        <v>119</v>
      </c>
      <c r="F566" t="s">
        <v>328</v>
      </c>
      <c r="G566" t="s">
        <v>29</v>
      </c>
      <c r="H566">
        <v>0</v>
      </c>
      <c r="I566" t="s">
        <v>391</v>
      </c>
    </row>
    <row r="567" spans="1:9" x14ac:dyDescent="0.25">
      <c r="A567" t="s">
        <v>837</v>
      </c>
      <c r="B567">
        <f t="shared" si="8"/>
        <v>4830</v>
      </c>
      <c r="C567" t="s">
        <v>838</v>
      </c>
      <c r="D567" t="s">
        <v>72</v>
      </c>
      <c r="E567" t="s">
        <v>119</v>
      </c>
      <c r="F567" t="s">
        <v>327</v>
      </c>
      <c r="G567" t="s">
        <v>329</v>
      </c>
      <c r="H567">
        <v>0</v>
      </c>
      <c r="I567" t="s">
        <v>377</v>
      </c>
    </row>
    <row r="568" spans="1:9" x14ac:dyDescent="0.25">
      <c r="A568" t="s">
        <v>1094</v>
      </c>
      <c r="B568">
        <f t="shared" si="8"/>
        <v>4832</v>
      </c>
      <c r="C568" t="s">
        <v>1095</v>
      </c>
      <c r="D568" t="s">
        <v>364</v>
      </c>
      <c r="E568" t="s">
        <v>119</v>
      </c>
      <c r="F568" t="s">
        <v>318</v>
      </c>
      <c r="G568" t="s">
        <v>28</v>
      </c>
      <c r="H568">
        <v>0</v>
      </c>
      <c r="I568" t="s">
        <v>376</v>
      </c>
    </row>
    <row r="569" spans="1:9" x14ac:dyDescent="0.25">
      <c r="A569" t="s">
        <v>1440</v>
      </c>
      <c r="B569">
        <f t="shared" si="8"/>
        <v>4833</v>
      </c>
      <c r="C569" t="s">
        <v>1441</v>
      </c>
      <c r="D569" t="s">
        <v>364</v>
      </c>
      <c r="E569" t="s">
        <v>119</v>
      </c>
      <c r="F569" t="s">
        <v>318</v>
      </c>
      <c r="G569" t="s">
        <v>324</v>
      </c>
      <c r="H569">
        <v>0</v>
      </c>
      <c r="I569" t="s">
        <v>379</v>
      </c>
    </row>
    <row r="570" spans="1:9" x14ac:dyDescent="0.25">
      <c r="A570" t="s">
        <v>2754</v>
      </c>
      <c r="B570">
        <f t="shared" si="8"/>
        <v>4834</v>
      </c>
      <c r="C570" t="s">
        <v>2755</v>
      </c>
      <c r="D570" t="s">
        <v>364</v>
      </c>
      <c r="E570" t="s">
        <v>119</v>
      </c>
      <c r="F570" t="s">
        <v>318</v>
      </c>
      <c r="G570" t="s">
        <v>324</v>
      </c>
      <c r="H570">
        <v>0</v>
      </c>
      <c r="I570" t="s">
        <v>379</v>
      </c>
    </row>
    <row r="571" spans="1:9" x14ac:dyDescent="0.25">
      <c r="A571" t="s">
        <v>3001</v>
      </c>
      <c r="B571">
        <f t="shared" si="8"/>
        <v>4836</v>
      </c>
      <c r="C571" t="s">
        <v>3002</v>
      </c>
      <c r="D571" t="s">
        <v>364</v>
      </c>
      <c r="E571" t="s">
        <v>119</v>
      </c>
      <c r="F571" t="s">
        <v>318</v>
      </c>
      <c r="G571" t="s">
        <v>312</v>
      </c>
      <c r="H571">
        <v>0</v>
      </c>
      <c r="I571" t="s">
        <v>382</v>
      </c>
    </row>
    <row r="572" spans="1:9" x14ac:dyDescent="0.25">
      <c r="A572" t="s">
        <v>3281</v>
      </c>
      <c r="B572">
        <f t="shared" si="8"/>
        <v>4837</v>
      </c>
      <c r="C572" t="s">
        <v>3282</v>
      </c>
      <c r="D572" t="s">
        <v>364</v>
      </c>
      <c r="E572" t="s">
        <v>119</v>
      </c>
      <c r="F572" t="s">
        <v>326</v>
      </c>
      <c r="G572" t="s">
        <v>23</v>
      </c>
      <c r="H572">
        <v>0</v>
      </c>
      <c r="I572" t="s">
        <v>397</v>
      </c>
    </row>
    <row r="573" spans="1:9" x14ac:dyDescent="0.25">
      <c r="A573" t="s">
        <v>3662</v>
      </c>
      <c r="B573">
        <f t="shared" si="8"/>
        <v>4846</v>
      </c>
      <c r="C573" t="s">
        <v>3663</v>
      </c>
      <c r="D573" t="s">
        <v>72</v>
      </c>
      <c r="E573" t="s">
        <v>119</v>
      </c>
      <c r="F573" t="s">
        <v>323</v>
      </c>
      <c r="G573" t="s">
        <v>324</v>
      </c>
      <c r="H573">
        <v>0</v>
      </c>
      <c r="I573" t="s">
        <v>379</v>
      </c>
    </row>
    <row r="574" spans="1:9" x14ac:dyDescent="0.25">
      <c r="A574" t="s">
        <v>171</v>
      </c>
      <c r="B574">
        <f t="shared" si="8"/>
        <v>4876</v>
      </c>
      <c r="C574" t="s">
        <v>172</v>
      </c>
      <c r="D574" t="s">
        <v>72</v>
      </c>
      <c r="E574" t="s">
        <v>81</v>
      </c>
      <c r="F574" t="s">
        <v>81</v>
      </c>
      <c r="G574" t="s">
        <v>81</v>
      </c>
      <c r="H574">
        <v>1</v>
      </c>
      <c r="I574" t="s">
        <v>3095</v>
      </c>
    </row>
    <row r="575" spans="1:9" x14ac:dyDescent="0.25">
      <c r="A575" t="s">
        <v>2096</v>
      </c>
      <c r="B575">
        <f t="shared" si="8"/>
        <v>4882</v>
      </c>
      <c r="C575" t="s">
        <v>2097</v>
      </c>
      <c r="D575" t="s">
        <v>364</v>
      </c>
      <c r="E575" t="s">
        <v>119</v>
      </c>
      <c r="F575" t="s">
        <v>323</v>
      </c>
      <c r="G575" t="s">
        <v>316</v>
      </c>
      <c r="H575">
        <v>0</v>
      </c>
      <c r="I575" t="s">
        <v>2098</v>
      </c>
    </row>
    <row r="576" spans="1:9" x14ac:dyDescent="0.25">
      <c r="A576" t="s">
        <v>4499</v>
      </c>
      <c r="B576">
        <f t="shared" si="8"/>
        <v>4890</v>
      </c>
      <c r="C576" t="s">
        <v>4500</v>
      </c>
      <c r="D576" t="s">
        <v>72</v>
      </c>
      <c r="E576" t="s">
        <v>119</v>
      </c>
      <c r="F576" t="s">
        <v>318</v>
      </c>
      <c r="G576" t="s">
        <v>324</v>
      </c>
      <c r="H576">
        <v>0</v>
      </c>
      <c r="I576" t="s">
        <v>379</v>
      </c>
    </row>
    <row r="577" spans="1:9" x14ac:dyDescent="0.25">
      <c r="A577" t="s">
        <v>3396</v>
      </c>
      <c r="B577">
        <f t="shared" si="8"/>
        <v>4891</v>
      </c>
      <c r="C577" t="s">
        <v>3397</v>
      </c>
      <c r="D577" t="s">
        <v>364</v>
      </c>
      <c r="E577" t="s">
        <v>119</v>
      </c>
      <c r="F577" t="s">
        <v>326</v>
      </c>
      <c r="G577" t="s">
        <v>331</v>
      </c>
      <c r="H577">
        <v>0</v>
      </c>
      <c r="I577" t="s">
        <v>410</v>
      </c>
    </row>
    <row r="578" spans="1:9" x14ac:dyDescent="0.25">
      <c r="A578" t="s">
        <v>2820</v>
      </c>
      <c r="B578">
        <f t="shared" si="8"/>
        <v>4892</v>
      </c>
      <c r="C578" t="s">
        <v>2821</v>
      </c>
      <c r="D578" t="s">
        <v>364</v>
      </c>
      <c r="E578" t="s">
        <v>119</v>
      </c>
      <c r="F578" t="s">
        <v>1717</v>
      </c>
      <c r="G578" t="s">
        <v>324</v>
      </c>
      <c r="H578">
        <v>0</v>
      </c>
      <c r="I578" t="s">
        <v>379</v>
      </c>
    </row>
    <row r="579" spans="1:9" x14ac:dyDescent="0.25">
      <c r="A579" t="s">
        <v>2099</v>
      </c>
      <c r="B579">
        <f t="shared" si="8"/>
        <v>4895</v>
      </c>
      <c r="C579" t="s">
        <v>2100</v>
      </c>
      <c r="D579" t="s">
        <v>364</v>
      </c>
      <c r="E579" t="s">
        <v>119</v>
      </c>
      <c r="F579" t="s">
        <v>318</v>
      </c>
      <c r="G579" t="s">
        <v>324</v>
      </c>
      <c r="H579">
        <v>0</v>
      </c>
      <c r="I579" t="s">
        <v>379</v>
      </c>
    </row>
    <row r="580" spans="1:9" x14ac:dyDescent="0.25">
      <c r="A580" t="s">
        <v>2101</v>
      </c>
      <c r="B580">
        <f t="shared" ref="B580:B643" si="9">_xlfn.NUMBERVALUE(A580,"#####")</f>
        <v>4898</v>
      </c>
      <c r="C580" t="s">
        <v>2102</v>
      </c>
      <c r="D580" t="s">
        <v>364</v>
      </c>
      <c r="E580" t="s">
        <v>119</v>
      </c>
      <c r="F580" t="s">
        <v>328</v>
      </c>
      <c r="G580" t="s">
        <v>23</v>
      </c>
      <c r="H580">
        <v>0</v>
      </c>
      <c r="I580" t="s">
        <v>397</v>
      </c>
    </row>
    <row r="581" spans="1:9" x14ac:dyDescent="0.25">
      <c r="A581" t="s">
        <v>761</v>
      </c>
      <c r="B581">
        <f t="shared" si="9"/>
        <v>4899</v>
      </c>
      <c r="C581" t="s">
        <v>762</v>
      </c>
      <c r="D581" t="s">
        <v>364</v>
      </c>
      <c r="E581" t="s">
        <v>119</v>
      </c>
      <c r="F581" t="s">
        <v>326</v>
      </c>
      <c r="G581" t="s">
        <v>329</v>
      </c>
      <c r="H581">
        <v>0</v>
      </c>
      <c r="I581" t="s">
        <v>377</v>
      </c>
    </row>
    <row r="582" spans="1:9" x14ac:dyDescent="0.25">
      <c r="A582" t="s">
        <v>1096</v>
      </c>
      <c r="B582">
        <f t="shared" si="9"/>
        <v>4901</v>
      </c>
      <c r="C582" t="s">
        <v>1097</v>
      </c>
      <c r="D582" t="s">
        <v>364</v>
      </c>
      <c r="E582" t="s">
        <v>119</v>
      </c>
      <c r="F582" t="s">
        <v>327</v>
      </c>
      <c r="G582" t="s">
        <v>324</v>
      </c>
      <c r="H582">
        <v>0</v>
      </c>
      <c r="I582" t="s">
        <v>379</v>
      </c>
    </row>
    <row r="583" spans="1:9" x14ac:dyDescent="0.25">
      <c r="A583" t="s">
        <v>2953</v>
      </c>
      <c r="B583">
        <f t="shared" si="9"/>
        <v>4902</v>
      </c>
      <c r="C583" t="s">
        <v>2954</v>
      </c>
      <c r="D583" t="s">
        <v>364</v>
      </c>
      <c r="E583" t="s">
        <v>119</v>
      </c>
      <c r="F583" t="s">
        <v>327</v>
      </c>
      <c r="G583" t="s">
        <v>28</v>
      </c>
      <c r="H583">
        <v>0</v>
      </c>
      <c r="I583" t="s">
        <v>376</v>
      </c>
    </row>
    <row r="584" spans="1:9" x14ac:dyDescent="0.25">
      <c r="A584" t="s">
        <v>3707</v>
      </c>
      <c r="B584">
        <f t="shared" si="9"/>
        <v>4904</v>
      </c>
      <c r="C584" t="s">
        <v>3708</v>
      </c>
      <c r="D584" t="s">
        <v>72</v>
      </c>
      <c r="E584" t="s">
        <v>119</v>
      </c>
      <c r="F584" t="s">
        <v>318</v>
      </c>
      <c r="G584" t="s">
        <v>29</v>
      </c>
      <c r="H584">
        <v>0</v>
      </c>
      <c r="I584" t="s">
        <v>391</v>
      </c>
    </row>
    <row r="585" spans="1:9" x14ac:dyDescent="0.25">
      <c r="A585" t="s">
        <v>2103</v>
      </c>
      <c r="B585">
        <f t="shared" si="9"/>
        <v>4905</v>
      </c>
      <c r="C585" t="s">
        <v>2104</v>
      </c>
      <c r="D585" t="s">
        <v>364</v>
      </c>
      <c r="E585" t="s">
        <v>119</v>
      </c>
      <c r="F585" t="s">
        <v>328</v>
      </c>
      <c r="G585" t="s">
        <v>324</v>
      </c>
      <c r="H585">
        <v>0</v>
      </c>
      <c r="I585" t="s">
        <v>379</v>
      </c>
    </row>
    <row r="586" spans="1:9" x14ac:dyDescent="0.25">
      <c r="A586" t="s">
        <v>2105</v>
      </c>
      <c r="B586">
        <f t="shared" si="9"/>
        <v>4930</v>
      </c>
      <c r="C586" t="s">
        <v>2106</v>
      </c>
      <c r="D586" t="s">
        <v>364</v>
      </c>
      <c r="E586" t="s">
        <v>119</v>
      </c>
      <c r="F586" t="s">
        <v>323</v>
      </c>
      <c r="G586" t="s">
        <v>324</v>
      </c>
      <c r="H586">
        <v>0</v>
      </c>
      <c r="I586" t="s">
        <v>379</v>
      </c>
    </row>
    <row r="587" spans="1:9" x14ac:dyDescent="0.25">
      <c r="A587" t="s">
        <v>2881</v>
      </c>
      <c r="B587">
        <f t="shared" si="9"/>
        <v>4946</v>
      </c>
      <c r="C587" t="s">
        <v>2882</v>
      </c>
      <c r="D587" t="s">
        <v>364</v>
      </c>
      <c r="E587" t="s">
        <v>119</v>
      </c>
      <c r="F587" t="s">
        <v>327</v>
      </c>
      <c r="G587" t="s">
        <v>324</v>
      </c>
      <c r="H587">
        <v>0</v>
      </c>
      <c r="I587" t="s">
        <v>379</v>
      </c>
    </row>
    <row r="588" spans="1:9" x14ac:dyDescent="0.25">
      <c r="A588" t="s">
        <v>2107</v>
      </c>
      <c r="B588">
        <f t="shared" si="9"/>
        <v>4950</v>
      </c>
      <c r="C588" t="s">
        <v>2108</v>
      </c>
      <c r="D588" t="s">
        <v>364</v>
      </c>
      <c r="E588" t="s">
        <v>119</v>
      </c>
      <c r="F588" t="s">
        <v>318</v>
      </c>
      <c r="G588" t="s">
        <v>324</v>
      </c>
      <c r="H588">
        <v>0</v>
      </c>
      <c r="I588" t="s">
        <v>379</v>
      </c>
    </row>
    <row r="589" spans="1:9" x14ac:dyDescent="0.25">
      <c r="A589" t="s">
        <v>2109</v>
      </c>
      <c r="B589">
        <f t="shared" si="9"/>
        <v>4963</v>
      </c>
      <c r="C589" t="s">
        <v>2110</v>
      </c>
      <c r="D589" t="s">
        <v>364</v>
      </c>
      <c r="E589" t="s">
        <v>119</v>
      </c>
      <c r="F589" t="s">
        <v>327</v>
      </c>
      <c r="G589" t="s">
        <v>312</v>
      </c>
      <c r="H589">
        <v>0</v>
      </c>
      <c r="I589" t="s">
        <v>382</v>
      </c>
    </row>
    <row r="590" spans="1:9" x14ac:dyDescent="0.25">
      <c r="A590" t="s">
        <v>1098</v>
      </c>
      <c r="B590">
        <f t="shared" si="9"/>
        <v>4967</v>
      </c>
      <c r="C590" t="s">
        <v>1099</v>
      </c>
      <c r="D590" t="s">
        <v>364</v>
      </c>
      <c r="E590" t="s">
        <v>119</v>
      </c>
      <c r="F590" t="s">
        <v>318</v>
      </c>
      <c r="G590" t="s">
        <v>312</v>
      </c>
      <c r="H590">
        <v>0</v>
      </c>
      <c r="I590" t="s">
        <v>382</v>
      </c>
    </row>
    <row r="591" spans="1:9" x14ac:dyDescent="0.25">
      <c r="A591" t="s">
        <v>2111</v>
      </c>
      <c r="B591">
        <f t="shared" si="9"/>
        <v>4969</v>
      </c>
      <c r="C591" t="s">
        <v>2112</v>
      </c>
      <c r="D591" t="s">
        <v>364</v>
      </c>
      <c r="E591" t="s">
        <v>119</v>
      </c>
      <c r="F591" t="s">
        <v>328</v>
      </c>
      <c r="G591" t="s">
        <v>26</v>
      </c>
      <c r="H591">
        <v>0</v>
      </c>
      <c r="I591" t="s">
        <v>394</v>
      </c>
    </row>
    <row r="592" spans="1:9" x14ac:dyDescent="0.25">
      <c r="A592" t="s">
        <v>1100</v>
      </c>
      <c r="B592">
        <f t="shared" si="9"/>
        <v>4972</v>
      </c>
      <c r="C592" t="s">
        <v>1101</v>
      </c>
      <c r="D592" t="s">
        <v>364</v>
      </c>
      <c r="E592" t="s">
        <v>119</v>
      </c>
      <c r="F592" t="s">
        <v>345</v>
      </c>
      <c r="G592" t="s">
        <v>312</v>
      </c>
      <c r="H592">
        <v>0</v>
      </c>
      <c r="I592" t="s">
        <v>382</v>
      </c>
    </row>
    <row r="593" spans="1:9" x14ac:dyDescent="0.25">
      <c r="A593" t="s">
        <v>2113</v>
      </c>
      <c r="B593">
        <f t="shared" si="9"/>
        <v>4973</v>
      </c>
      <c r="C593" t="s">
        <v>2114</v>
      </c>
      <c r="D593" t="s">
        <v>364</v>
      </c>
      <c r="E593" t="s">
        <v>119</v>
      </c>
      <c r="F593" t="s">
        <v>325</v>
      </c>
      <c r="G593" t="s">
        <v>26</v>
      </c>
      <c r="H593">
        <v>0</v>
      </c>
      <c r="I593" t="s">
        <v>394</v>
      </c>
    </row>
    <row r="594" spans="1:9" x14ac:dyDescent="0.25">
      <c r="A594" t="s">
        <v>369</v>
      </c>
      <c r="B594">
        <f t="shared" si="9"/>
        <v>4974</v>
      </c>
      <c r="C594" t="s">
        <v>370</v>
      </c>
      <c r="D594" t="s">
        <v>364</v>
      </c>
      <c r="E594" t="s">
        <v>119</v>
      </c>
      <c r="F594" t="s">
        <v>327</v>
      </c>
      <c r="G594" t="s">
        <v>329</v>
      </c>
      <c r="H594">
        <v>0</v>
      </c>
      <c r="I594" t="s">
        <v>377</v>
      </c>
    </row>
    <row r="595" spans="1:9" x14ac:dyDescent="0.25">
      <c r="A595" t="s">
        <v>2115</v>
      </c>
      <c r="B595">
        <f t="shared" si="9"/>
        <v>4979</v>
      </c>
      <c r="C595" t="s">
        <v>2116</v>
      </c>
      <c r="D595" t="s">
        <v>364</v>
      </c>
      <c r="E595" t="s">
        <v>119</v>
      </c>
      <c r="F595" t="s">
        <v>323</v>
      </c>
      <c r="G595" t="s">
        <v>329</v>
      </c>
      <c r="H595">
        <v>0</v>
      </c>
      <c r="I595" t="s">
        <v>377</v>
      </c>
    </row>
    <row r="596" spans="1:9" x14ac:dyDescent="0.25">
      <c r="A596" t="s">
        <v>839</v>
      </c>
      <c r="B596">
        <f t="shared" si="9"/>
        <v>4981</v>
      </c>
      <c r="C596" t="s">
        <v>840</v>
      </c>
      <c r="D596" t="s">
        <v>364</v>
      </c>
      <c r="E596" t="s">
        <v>119</v>
      </c>
      <c r="F596" t="s">
        <v>664</v>
      </c>
      <c r="G596" t="s">
        <v>28</v>
      </c>
      <c r="H596">
        <v>0</v>
      </c>
      <c r="I596" t="s">
        <v>376</v>
      </c>
    </row>
    <row r="597" spans="1:9" x14ac:dyDescent="0.25">
      <c r="A597" t="s">
        <v>1442</v>
      </c>
      <c r="B597">
        <f t="shared" si="9"/>
        <v>4983</v>
      </c>
      <c r="C597" t="s">
        <v>1443</v>
      </c>
      <c r="D597" t="s">
        <v>364</v>
      </c>
      <c r="E597" t="s">
        <v>119</v>
      </c>
      <c r="F597" t="s">
        <v>330</v>
      </c>
      <c r="G597" t="s">
        <v>329</v>
      </c>
      <c r="H597">
        <v>0</v>
      </c>
      <c r="I597" t="s">
        <v>377</v>
      </c>
    </row>
    <row r="598" spans="1:9" x14ac:dyDescent="0.25">
      <c r="A598" t="s">
        <v>2117</v>
      </c>
      <c r="B598">
        <f t="shared" si="9"/>
        <v>4989</v>
      </c>
      <c r="C598" t="s">
        <v>2118</v>
      </c>
      <c r="D598" t="s">
        <v>364</v>
      </c>
      <c r="E598" t="s">
        <v>119</v>
      </c>
      <c r="F598" t="s">
        <v>323</v>
      </c>
      <c r="G598" t="s">
        <v>324</v>
      </c>
      <c r="H598">
        <v>0</v>
      </c>
      <c r="I598" t="s">
        <v>379</v>
      </c>
    </row>
    <row r="599" spans="1:9" x14ac:dyDescent="0.25">
      <c r="A599" t="s">
        <v>4501</v>
      </c>
      <c r="B599">
        <f t="shared" si="9"/>
        <v>4991</v>
      </c>
      <c r="C599" t="s">
        <v>4502</v>
      </c>
      <c r="D599" t="s">
        <v>72</v>
      </c>
      <c r="E599" t="s">
        <v>119</v>
      </c>
      <c r="F599" t="s">
        <v>327</v>
      </c>
      <c r="G599" t="s">
        <v>324</v>
      </c>
      <c r="H599">
        <v>0</v>
      </c>
      <c r="I599" t="s">
        <v>379</v>
      </c>
    </row>
    <row r="600" spans="1:9" x14ac:dyDescent="0.25">
      <c r="A600" t="s">
        <v>965</v>
      </c>
      <c r="B600">
        <f t="shared" si="9"/>
        <v>4993</v>
      </c>
      <c r="C600" t="s">
        <v>966</v>
      </c>
      <c r="D600" t="s">
        <v>364</v>
      </c>
      <c r="E600" t="s">
        <v>119</v>
      </c>
      <c r="F600" t="s">
        <v>345</v>
      </c>
      <c r="G600" t="s">
        <v>29</v>
      </c>
      <c r="H600">
        <v>0</v>
      </c>
      <c r="I600" t="s">
        <v>391</v>
      </c>
    </row>
    <row r="601" spans="1:9" x14ac:dyDescent="0.25">
      <c r="A601" t="s">
        <v>2119</v>
      </c>
      <c r="B601">
        <f t="shared" si="9"/>
        <v>4995</v>
      </c>
      <c r="C601" t="s">
        <v>2120</v>
      </c>
      <c r="D601" t="s">
        <v>364</v>
      </c>
      <c r="E601" t="s">
        <v>119</v>
      </c>
      <c r="F601" t="s">
        <v>327</v>
      </c>
      <c r="G601" t="s">
        <v>324</v>
      </c>
      <c r="H601">
        <v>0</v>
      </c>
      <c r="I601" t="s">
        <v>379</v>
      </c>
    </row>
    <row r="602" spans="1:9" x14ac:dyDescent="0.25">
      <c r="A602" t="s">
        <v>1102</v>
      </c>
      <c r="B602">
        <f t="shared" si="9"/>
        <v>4998</v>
      </c>
      <c r="C602" t="s">
        <v>1103</v>
      </c>
      <c r="D602" t="s">
        <v>364</v>
      </c>
      <c r="E602" t="s">
        <v>119</v>
      </c>
      <c r="F602" t="s">
        <v>872</v>
      </c>
      <c r="G602" t="s">
        <v>324</v>
      </c>
      <c r="H602">
        <v>0</v>
      </c>
      <c r="I602" t="s">
        <v>379</v>
      </c>
    </row>
    <row r="603" spans="1:9" x14ac:dyDescent="0.25">
      <c r="A603" t="s">
        <v>967</v>
      </c>
      <c r="B603">
        <f t="shared" si="9"/>
        <v>4999</v>
      </c>
      <c r="C603" t="s">
        <v>968</v>
      </c>
      <c r="D603" t="s">
        <v>72</v>
      </c>
      <c r="E603" t="s">
        <v>119</v>
      </c>
      <c r="F603" t="s">
        <v>328</v>
      </c>
      <c r="G603" t="s">
        <v>329</v>
      </c>
      <c r="H603">
        <v>0</v>
      </c>
      <c r="I603" t="s">
        <v>377</v>
      </c>
    </row>
    <row r="604" spans="1:9" x14ac:dyDescent="0.25">
      <c r="A604" t="s">
        <v>3302</v>
      </c>
      <c r="B604">
        <f t="shared" si="9"/>
        <v>5011</v>
      </c>
      <c r="C604" t="s">
        <v>3303</v>
      </c>
      <c r="D604" t="s">
        <v>364</v>
      </c>
      <c r="E604" t="s">
        <v>119</v>
      </c>
      <c r="F604" t="s">
        <v>318</v>
      </c>
      <c r="G604" t="s">
        <v>324</v>
      </c>
      <c r="H604">
        <v>0</v>
      </c>
      <c r="I604" t="s">
        <v>379</v>
      </c>
    </row>
    <row r="605" spans="1:9" x14ac:dyDescent="0.25">
      <c r="A605" t="s">
        <v>2909</v>
      </c>
      <c r="B605">
        <f t="shared" si="9"/>
        <v>5012</v>
      </c>
      <c r="C605" t="s">
        <v>2910</v>
      </c>
      <c r="D605" t="s">
        <v>364</v>
      </c>
      <c r="E605" t="s">
        <v>119</v>
      </c>
      <c r="F605" t="s">
        <v>326</v>
      </c>
      <c r="G605" t="s">
        <v>24</v>
      </c>
      <c r="H605">
        <v>0</v>
      </c>
      <c r="I605" t="s">
        <v>383</v>
      </c>
    </row>
    <row r="606" spans="1:9" x14ac:dyDescent="0.25">
      <c r="A606" t="s">
        <v>2121</v>
      </c>
      <c r="B606">
        <f t="shared" si="9"/>
        <v>5013</v>
      </c>
      <c r="C606" t="s">
        <v>2122</v>
      </c>
      <c r="D606" t="s">
        <v>364</v>
      </c>
      <c r="E606" t="s">
        <v>81</v>
      </c>
      <c r="F606" t="s">
        <v>81</v>
      </c>
      <c r="G606" t="s">
        <v>81</v>
      </c>
      <c r="H606">
        <v>1</v>
      </c>
      <c r="I606" t="s">
        <v>385</v>
      </c>
    </row>
    <row r="607" spans="1:9" x14ac:dyDescent="0.25">
      <c r="A607" t="s">
        <v>1444</v>
      </c>
      <c r="B607">
        <f t="shared" si="9"/>
        <v>5016</v>
      </c>
      <c r="C607" t="s">
        <v>1445</v>
      </c>
      <c r="D607" t="s">
        <v>364</v>
      </c>
      <c r="E607" t="s">
        <v>119</v>
      </c>
      <c r="F607" t="s">
        <v>664</v>
      </c>
      <c r="G607" t="s">
        <v>324</v>
      </c>
      <c r="H607">
        <v>0</v>
      </c>
      <c r="I607" t="s">
        <v>379</v>
      </c>
    </row>
    <row r="608" spans="1:9" x14ac:dyDescent="0.25">
      <c r="A608" t="s">
        <v>1715</v>
      </c>
      <c r="B608">
        <f t="shared" si="9"/>
        <v>5017</v>
      </c>
      <c r="C608" t="s">
        <v>1716</v>
      </c>
      <c r="D608" t="s">
        <v>364</v>
      </c>
      <c r="E608" t="s">
        <v>119</v>
      </c>
      <c r="F608" t="s">
        <v>327</v>
      </c>
      <c r="G608" t="s">
        <v>324</v>
      </c>
      <c r="H608">
        <v>0</v>
      </c>
      <c r="I608" t="s">
        <v>379</v>
      </c>
    </row>
    <row r="609" spans="1:9" x14ac:dyDescent="0.25">
      <c r="A609" t="s">
        <v>4100</v>
      </c>
      <c r="B609">
        <f t="shared" si="9"/>
        <v>5023</v>
      </c>
      <c r="C609" t="s">
        <v>4101</v>
      </c>
      <c r="D609" t="s">
        <v>72</v>
      </c>
      <c r="E609" t="s">
        <v>119</v>
      </c>
      <c r="F609" t="s">
        <v>326</v>
      </c>
      <c r="G609" t="s">
        <v>324</v>
      </c>
      <c r="H609">
        <v>0</v>
      </c>
      <c r="I609" t="s">
        <v>379</v>
      </c>
    </row>
    <row r="610" spans="1:9" x14ac:dyDescent="0.25">
      <c r="A610" t="s">
        <v>969</v>
      </c>
      <c r="B610">
        <f t="shared" si="9"/>
        <v>5040</v>
      </c>
      <c r="C610" t="s">
        <v>970</v>
      </c>
      <c r="D610" t="s">
        <v>364</v>
      </c>
      <c r="E610" t="s">
        <v>119</v>
      </c>
      <c r="F610" t="s">
        <v>326</v>
      </c>
      <c r="G610" t="s">
        <v>324</v>
      </c>
      <c r="H610">
        <v>0</v>
      </c>
      <c r="I610" t="s">
        <v>379</v>
      </c>
    </row>
    <row r="611" spans="1:9" x14ac:dyDescent="0.25">
      <c r="A611" t="s">
        <v>2123</v>
      </c>
      <c r="B611">
        <f t="shared" si="9"/>
        <v>5056</v>
      </c>
      <c r="C611" t="s">
        <v>2124</v>
      </c>
      <c r="D611" t="s">
        <v>364</v>
      </c>
      <c r="E611" t="s">
        <v>119</v>
      </c>
      <c r="F611" t="s">
        <v>323</v>
      </c>
      <c r="G611" t="s">
        <v>324</v>
      </c>
      <c r="H611">
        <v>0</v>
      </c>
      <c r="I611" t="s">
        <v>379</v>
      </c>
    </row>
    <row r="612" spans="1:9" x14ac:dyDescent="0.25">
      <c r="A612" t="s">
        <v>1446</v>
      </c>
      <c r="B612">
        <f t="shared" si="9"/>
        <v>5067</v>
      </c>
      <c r="C612" t="s">
        <v>1684</v>
      </c>
      <c r="D612" t="s">
        <v>364</v>
      </c>
      <c r="E612" t="s">
        <v>119</v>
      </c>
      <c r="F612" t="s">
        <v>318</v>
      </c>
      <c r="G612" t="s">
        <v>324</v>
      </c>
      <c r="H612">
        <v>0</v>
      </c>
      <c r="I612" t="s">
        <v>379</v>
      </c>
    </row>
    <row r="613" spans="1:9" x14ac:dyDescent="0.25">
      <c r="A613" t="s">
        <v>173</v>
      </c>
      <c r="B613">
        <f t="shared" si="9"/>
        <v>5070</v>
      </c>
      <c r="C613" t="s">
        <v>174</v>
      </c>
      <c r="D613" t="s">
        <v>72</v>
      </c>
      <c r="E613" t="s">
        <v>119</v>
      </c>
      <c r="F613" t="s">
        <v>326</v>
      </c>
      <c r="G613" t="s">
        <v>329</v>
      </c>
      <c r="H613">
        <v>0</v>
      </c>
      <c r="I613" t="s">
        <v>377</v>
      </c>
    </row>
    <row r="614" spans="1:9" x14ac:dyDescent="0.25">
      <c r="A614" t="s">
        <v>2125</v>
      </c>
      <c r="B614">
        <f t="shared" si="9"/>
        <v>5071</v>
      </c>
      <c r="C614" t="s">
        <v>2126</v>
      </c>
      <c r="D614" t="s">
        <v>364</v>
      </c>
      <c r="E614" t="s">
        <v>119</v>
      </c>
      <c r="F614" t="s">
        <v>327</v>
      </c>
      <c r="G614" t="s">
        <v>324</v>
      </c>
      <c r="H614">
        <v>0</v>
      </c>
      <c r="I614" t="s">
        <v>379</v>
      </c>
    </row>
    <row r="615" spans="1:9" x14ac:dyDescent="0.25">
      <c r="A615" t="s">
        <v>3538</v>
      </c>
      <c r="B615">
        <f t="shared" si="9"/>
        <v>5073</v>
      </c>
      <c r="C615" t="s">
        <v>3539</v>
      </c>
      <c r="D615" t="s">
        <v>364</v>
      </c>
      <c r="E615" t="s">
        <v>119</v>
      </c>
      <c r="F615" t="s">
        <v>318</v>
      </c>
      <c r="G615" t="s">
        <v>324</v>
      </c>
      <c r="H615">
        <v>0</v>
      </c>
      <c r="I615" t="s">
        <v>379</v>
      </c>
    </row>
    <row r="616" spans="1:9" x14ac:dyDescent="0.25">
      <c r="A616" t="s">
        <v>2955</v>
      </c>
      <c r="B616">
        <f t="shared" si="9"/>
        <v>5076</v>
      </c>
      <c r="C616" t="s">
        <v>2956</v>
      </c>
      <c r="D616" t="s">
        <v>364</v>
      </c>
      <c r="E616" t="s">
        <v>119</v>
      </c>
      <c r="F616" t="s">
        <v>318</v>
      </c>
      <c r="G616" t="s">
        <v>324</v>
      </c>
      <c r="H616">
        <v>0</v>
      </c>
      <c r="I616" t="s">
        <v>2957</v>
      </c>
    </row>
    <row r="617" spans="1:9" x14ac:dyDescent="0.25">
      <c r="A617" t="s">
        <v>4384</v>
      </c>
      <c r="B617">
        <f t="shared" si="9"/>
        <v>5087</v>
      </c>
      <c r="C617" t="s">
        <v>4385</v>
      </c>
      <c r="D617" t="s">
        <v>72</v>
      </c>
      <c r="E617" t="s">
        <v>81</v>
      </c>
      <c r="F617" t="s">
        <v>81</v>
      </c>
      <c r="G617" t="s">
        <v>81</v>
      </c>
      <c r="H617">
        <v>0</v>
      </c>
      <c r="I617" t="s">
        <v>411</v>
      </c>
    </row>
    <row r="618" spans="1:9" x14ac:dyDescent="0.25">
      <c r="A618" t="s">
        <v>3304</v>
      </c>
      <c r="B618">
        <f t="shared" si="9"/>
        <v>5089</v>
      </c>
      <c r="C618" t="s">
        <v>3305</v>
      </c>
      <c r="D618" t="s">
        <v>364</v>
      </c>
      <c r="E618" t="s">
        <v>119</v>
      </c>
      <c r="F618" t="s">
        <v>325</v>
      </c>
      <c r="G618" t="s">
        <v>28</v>
      </c>
      <c r="H618">
        <v>0</v>
      </c>
      <c r="I618" t="s">
        <v>376</v>
      </c>
    </row>
    <row r="619" spans="1:9" x14ac:dyDescent="0.25">
      <c r="A619" t="s">
        <v>763</v>
      </c>
      <c r="B619">
        <f t="shared" si="9"/>
        <v>5091</v>
      </c>
      <c r="C619" t="s">
        <v>764</v>
      </c>
      <c r="D619" t="s">
        <v>364</v>
      </c>
      <c r="E619" t="s">
        <v>119</v>
      </c>
      <c r="F619" t="s">
        <v>326</v>
      </c>
      <c r="G619" t="s">
        <v>329</v>
      </c>
      <c r="H619">
        <v>0</v>
      </c>
      <c r="I619" t="s">
        <v>377</v>
      </c>
    </row>
    <row r="620" spans="1:9" x14ac:dyDescent="0.25">
      <c r="A620" t="s">
        <v>2127</v>
      </c>
      <c r="B620">
        <f t="shared" si="9"/>
        <v>5100</v>
      </c>
      <c r="C620" t="s">
        <v>2128</v>
      </c>
      <c r="D620" t="s">
        <v>364</v>
      </c>
      <c r="E620" t="s">
        <v>119</v>
      </c>
      <c r="F620" t="s">
        <v>328</v>
      </c>
      <c r="G620" t="s">
        <v>29</v>
      </c>
      <c r="H620">
        <v>0</v>
      </c>
      <c r="I620" t="s">
        <v>391</v>
      </c>
    </row>
    <row r="621" spans="1:9" x14ac:dyDescent="0.25">
      <c r="A621" t="s">
        <v>2129</v>
      </c>
      <c r="B621">
        <f t="shared" si="9"/>
        <v>5102</v>
      </c>
      <c r="C621" t="s">
        <v>2130</v>
      </c>
      <c r="D621" t="s">
        <v>364</v>
      </c>
      <c r="E621" t="s">
        <v>119</v>
      </c>
      <c r="F621" t="s">
        <v>327</v>
      </c>
      <c r="G621" t="s">
        <v>324</v>
      </c>
      <c r="H621">
        <v>0</v>
      </c>
      <c r="I621" t="s">
        <v>379</v>
      </c>
    </row>
    <row r="622" spans="1:9" x14ac:dyDescent="0.25">
      <c r="A622" t="s">
        <v>462</v>
      </c>
      <c r="B622">
        <f t="shared" si="9"/>
        <v>5105</v>
      </c>
      <c r="C622" t="s">
        <v>463</v>
      </c>
      <c r="D622" t="s">
        <v>364</v>
      </c>
      <c r="E622" t="s">
        <v>119</v>
      </c>
      <c r="F622" t="s">
        <v>328</v>
      </c>
      <c r="G622" t="s">
        <v>324</v>
      </c>
      <c r="H622">
        <v>0</v>
      </c>
      <c r="I622" t="s">
        <v>379</v>
      </c>
    </row>
    <row r="623" spans="1:9" x14ac:dyDescent="0.25">
      <c r="A623" t="s">
        <v>1447</v>
      </c>
      <c r="B623">
        <f t="shared" si="9"/>
        <v>5107</v>
      </c>
      <c r="C623" t="s">
        <v>1448</v>
      </c>
      <c r="D623" t="s">
        <v>364</v>
      </c>
      <c r="E623" t="s">
        <v>119</v>
      </c>
      <c r="F623" t="s">
        <v>318</v>
      </c>
      <c r="G623" t="s">
        <v>324</v>
      </c>
      <c r="H623">
        <v>0</v>
      </c>
      <c r="I623" t="s">
        <v>1339</v>
      </c>
    </row>
    <row r="624" spans="1:9" x14ac:dyDescent="0.25">
      <c r="A624" t="s">
        <v>4204</v>
      </c>
      <c r="B624">
        <f t="shared" si="9"/>
        <v>5113</v>
      </c>
      <c r="C624" t="s">
        <v>4205</v>
      </c>
      <c r="D624" t="s">
        <v>72</v>
      </c>
      <c r="E624" t="s">
        <v>119</v>
      </c>
      <c r="F624" t="s">
        <v>323</v>
      </c>
      <c r="G624" t="s">
        <v>25</v>
      </c>
      <c r="H624">
        <v>0</v>
      </c>
      <c r="I624" t="s">
        <v>386</v>
      </c>
    </row>
    <row r="625" spans="1:9" x14ac:dyDescent="0.25">
      <c r="A625" t="s">
        <v>1449</v>
      </c>
      <c r="B625">
        <f t="shared" si="9"/>
        <v>5115</v>
      </c>
      <c r="C625" t="s">
        <v>1450</v>
      </c>
      <c r="D625" t="s">
        <v>364</v>
      </c>
      <c r="E625" t="s">
        <v>119</v>
      </c>
      <c r="F625" t="s">
        <v>318</v>
      </c>
      <c r="G625" t="s">
        <v>312</v>
      </c>
      <c r="H625">
        <v>0</v>
      </c>
      <c r="I625" t="s">
        <v>382</v>
      </c>
    </row>
    <row r="626" spans="1:9" x14ac:dyDescent="0.25">
      <c r="A626" t="s">
        <v>1451</v>
      </c>
      <c r="B626">
        <f t="shared" si="9"/>
        <v>5116</v>
      </c>
      <c r="C626" t="s">
        <v>1452</v>
      </c>
      <c r="D626" t="s">
        <v>364</v>
      </c>
      <c r="E626" t="s">
        <v>119</v>
      </c>
      <c r="F626" t="s">
        <v>664</v>
      </c>
      <c r="G626" t="s">
        <v>29</v>
      </c>
      <c r="H626">
        <v>0</v>
      </c>
      <c r="I626" t="s">
        <v>391</v>
      </c>
    </row>
    <row r="627" spans="1:9" x14ac:dyDescent="0.25">
      <c r="A627" t="s">
        <v>2131</v>
      </c>
      <c r="B627">
        <f t="shared" si="9"/>
        <v>5119</v>
      </c>
      <c r="C627" t="s">
        <v>2132</v>
      </c>
      <c r="D627" t="s">
        <v>364</v>
      </c>
      <c r="E627" t="s">
        <v>119</v>
      </c>
      <c r="F627" t="s">
        <v>345</v>
      </c>
      <c r="G627" t="s">
        <v>317</v>
      </c>
      <c r="H627">
        <v>0</v>
      </c>
      <c r="I627" t="s">
        <v>464</v>
      </c>
    </row>
    <row r="628" spans="1:9" x14ac:dyDescent="0.25">
      <c r="A628" t="s">
        <v>670</v>
      </c>
      <c r="B628">
        <f t="shared" si="9"/>
        <v>5124</v>
      </c>
      <c r="C628" t="s">
        <v>671</v>
      </c>
      <c r="D628" t="s">
        <v>72</v>
      </c>
      <c r="E628" t="s">
        <v>81</v>
      </c>
      <c r="F628" t="s">
        <v>81</v>
      </c>
      <c r="G628" t="s">
        <v>81</v>
      </c>
      <c r="H628">
        <v>0</v>
      </c>
      <c r="I628" t="s">
        <v>672</v>
      </c>
    </row>
    <row r="629" spans="1:9" x14ac:dyDescent="0.25">
      <c r="A629" t="s">
        <v>765</v>
      </c>
      <c r="B629">
        <f t="shared" si="9"/>
        <v>5125</v>
      </c>
      <c r="C629" t="s">
        <v>766</v>
      </c>
      <c r="D629" t="s">
        <v>364</v>
      </c>
      <c r="E629" t="s">
        <v>81</v>
      </c>
      <c r="F629" t="s">
        <v>81</v>
      </c>
      <c r="G629" t="s">
        <v>81</v>
      </c>
      <c r="H629">
        <v>0</v>
      </c>
      <c r="I629" t="s">
        <v>412</v>
      </c>
    </row>
    <row r="630" spans="1:9" x14ac:dyDescent="0.25">
      <c r="A630" t="s">
        <v>2133</v>
      </c>
      <c r="B630">
        <f t="shared" si="9"/>
        <v>5127</v>
      </c>
      <c r="C630" t="s">
        <v>2134</v>
      </c>
      <c r="D630" t="s">
        <v>364</v>
      </c>
      <c r="E630" t="s">
        <v>119</v>
      </c>
      <c r="F630" t="s">
        <v>330</v>
      </c>
      <c r="G630" t="s">
        <v>324</v>
      </c>
      <c r="H630">
        <v>0</v>
      </c>
      <c r="I630" t="s">
        <v>379</v>
      </c>
    </row>
    <row r="631" spans="1:9" x14ac:dyDescent="0.25">
      <c r="A631" t="s">
        <v>890</v>
      </c>
      <c r="B631">
        <f t="shared" si="9"/>
        <v>5128</v>
      </c>
      <c r="C631" t="s">
        <v>891</v>
      </c>
      <c r="D631" t="s">
        <v>72</v>
      </c>
      <c r="E631" t="s">
        <v>119</v>
      </c>
      <c r="F631" t="s">
        <v>327</v>
      </c>
      <c r="G631" t="s">
        <v>324</v>
      </c>
      <c r="H631">
        <v>0</v>
      </c>
      <c r="I631" t="s">
        <v>379</v>
      </c>
    </row>
    <row r="632" spans="1:9" x14ac:dyDescent="0.25">
      <c r="A632" t="s">
        <v>3638</v>
      </c>
      <c r="B632">
        <f t="shared" si="9"/>
        <v>5129</v>
      </c>
      <c r="C632" t="s">
        <v>3639</v>
      </c>
      <c r="D632" t="s">
        <v>364</v>
      </c>
      <c r="E632" t="s">
        <v>119</v>
      </c>
      <c r="F632" t="s">
        <v>325</v>
      </c>
      <c r="G632" t="s">
        <v>324</v>
      </c>
      <c r="H632">
        <v>0</v>
      </c>
      <c r="I632" t="s">
        <v>379</v>
      </c>
    </row>
    <row r="633" spans="1:9" x14ac:dyDescent="0.25">
      <c r="A633" t="s">
        <v>3490</v>
      </c>
      <c r="B633">
        <f t="shared" si="9"/>
        <v>5131</v>
      </c>
      <c r="C633" t="s">
        <v>3491</v>
      </c>
      <c r="D633" t="s">
        <v>364</v>
      </c>
      <c r="E633" t="s">
        <v>81</v>
      </c>
      <c r="F633" t="s">
        <v>81</v>
      </c>
      <c r="G633" t="s">
        <v>81</v>
      </c>
      <c r="H633">
        <v>1</v>
      </c>
      <c r="I633" t="s">
        <v>755</v>
      </c>
    </row>
    <row r="634" spans="1:9" x14ac:dyDescent="0.25">
      <c r="A634" t="s">
        <v>4503</v>
      </c>
      <c r="B634">
        <f t="shared" si="9"/>
        <v>5139</v>
      </c>
      <c r="C634" t="s">
        <v>4504</v>
      </c>
      <c r="D634" t="s">
        <v>72</v>
      </c>
      <c r="E634" t="s">
        <v>119</v>
      </c>
      <c r="F634" t="s">
        <v>325</v>
      </c>
      <c r="G634" t="s">
        <v>324</v>
      </c>
      <c r="H634">
        <v>0</v>
      </c>
      <c r="I634" t="s">
        <v>379</v>
      </c>
    </row>
    <row r="635" spans="1:9" x14ac:dyDescent="0.25">
      <c r="A635" t="s">
        <v>2135</v>
      </c>
      <c r="B635">
        <f t="shared" si="9"/>
        <v>5140</v>
      </c>
      <c r="C635" t="s">
        <v>2136</v>
      </c>
      <c r="D635" t="s">
        <v>364</v>
      </c>
      <c r="E635" t="s">
        <v>119</v>
      </c>
      <c r="F635" t="s">
        <v>318</v>
      </c>
      <c r="G635" t="s">
        <v>324</v>
      </c>
      <c r="H635">
        <v>0</v>
      </c>
      <c r="I635" t="s">
        <v>379</v>
      </c>
    </row>
    <row r="636" spans="1:9" x14ac:dyDescent="0.25">
      <c r="A636" t="s">
        <v>4505</v>
      </c>
      <c r="B636">
        <f t="shared" si="9"/>
        <v>5161</v>
      </c>
      <c r="C636" t="s">
        <v>4506</v>
      </c>
      <c r="D636" t="s">
        <v>364</v>
      </c>
      <c r="E636" t="s">
        <v>119</v>
      </c>
      <c r="F636" t="s">
        <v>318</v>
      </c>
      <c r="G636" t="s">
        <v>324</v>
      </c>
      <c r="H636">
        <v>0</v>
      </c>
      <c r="I636" t="s">
        <v>379</v>
      </c>
    </row>
    <row r="637" spans="1:9" x14ac:dyDescent="0.25">
      <c r="A637" t="s">
        <v>1453</v>
      </c>
      <c r="B637">
        <f t="shared" si="9"/>
        <v>5165</v>
      </c>
      <c r="C637" t="s">
        <v>1454</v>
      </c>
      <c r="D637" t="s">
        <v>364</v>
      </c>
      <c r="E637" t="s">
        <v>119</v>
      </c>
      <c r="F637" t="s">
        <v>328</v>
      </c>
      <c r="G637" t="s">
        <v>324</v>
      </c>
      <c r="H637">
        <v>0</v>
      </c>
      <c r="I637" t="s">
        <v>379</v>
      </c>
    </row>
    <row r="638" spans="1:9" x14ac:dyDescent="0.25">
      <c r="A638" t="s">
        <v>175</v>
      </c>
      <c r="B638">
        <f t="shared" si="9"/>
        <v>5166</v>
      </c>
      <c r="C638" t="s">
        <v>176</v>
      </c>
      <c r="D638" t="s">
        <v>364</v>
      </c>
      <c r="E638" t="s">
        <v>119</v>
      </c>
      <c r="F638" t="s">
        <v>326</v>
      </c>
      <c r="G638" t="s">
        <v>329</v>
      </c>
      <c r="H638">
        <v>0</v>
      </c>
      <c r="I638" t="s">
        <v>377</v>
      </c>
    </row>
    <row r="639" spans="1:9" x14ac:dyDescent="0.25">
      <c r="A639" t="s">
        <v>1104</v>
      </c>
      <c r="B639">
        <f t="shared" si="9"/>
        <v>5168</v>
      </c>
      <c r="C639" t="s">
        <v>1105</v>
      </c>
      <c r="D639" t="s">
        <v>364</v>
      </c>
      <c r="E639" t="s">
        <v>119</v>
      </c>
      <c r="F639" t="s">
        <v>326</v>
      </c>
      <c r="G639" t="s">
        <v>324</v>
      </c>
      <c r="H639">
        <v>0</v>
      </c>
      <c r="I639" t="s">
        <v>379</v>
      </c>
    </row>
    <row r="640" spans="1:9" x14ac:dyDescent="0.25">
      <c r="A640" t="s">
        <v>767</v>
      </c>
      <c r="B640">
        <f t="shared" si="9"/>
        <v>5175</v>
      </c>
      <c r="C640" t="s">
        <v>768</v>
      </c>
      <c r="D640" t="s">
        <v>364</v>
      </c>
      <c r="E640" t="s">
        <v>119</v>
      </c>
      <c r="F640" t="s">
        <v>327</v>
      </c>
      <c r="G640" t="s">
        <v>324</v>
      </c>
      <c r="H640">
        <v>0</v>
      </c>
      <c r="I640" t="s">
        <v>379</v>
      </c>
    </row>
    <row r="641" spans="1:9" x14ac:dyDescent="0.25">
      <c r="A641" t="s">
        <v>841</v>
      </c>
      <c r="B641">
        <f t="shared" si="9"/>
        <v>5176</v>
      </c>
      <c r="C641" t="s">
        <v>842</v>
      </c>
      <c r="D641" t="s">
        <v>364</v>
      </c>
      <c r="E641" t="s">
        <v>119</v>
      </c>
      <c r="F641" t="s">
        <v>326</v>
      </c>
      <c r="G641" t="s">
        <v>324</v>
      </c>
      <c r="H641">
        <v>0</v>
      </c>
      <c r="I641" t="s">
        <v>379</v>
      </c>
    </row>
    <row r="642" spans="1:9" x14ac:dyDescent="0.25">
      <c r="A642" t="s">
        <v>358</v>
      </c>
      <c r="B642">
        <f t="shared" si="9"/>
        <v>5179</v>
      </c>
      <c r="C642" t="s">
        <v>359</v>
      </c>
      <c r="D642" t="s">
        <v>364</v>
      </c>
      <c r="E642" t="s">
        <v>119</v>
      </c>
      <c r="F642" t="s">
        <v>328</v>
      </c>
      <c r="G642" t="s">
        <v>29</v>
      </c>
      <c r="H642">
        <v>0</v>
      </c>
      <c r="I642" t="s">
        <v>379</v>
      </c>
    </row>
    <row r="643" spans="1:9" x14ac:dyDescent="0.25">
      <c r="A643" t="s">
        <v>2137</v>
      </c>
      <c r="B643">
        <f t="shared" si="9"/>
        <v>5181</v>
      </c>
      <c r="C643" t="s">
        <v>2138</v>
      </c>
      <c r="D643" t="s">
        <v>364</v>
      </c>
      <c r="E643" t="s">
        <v>119</v>
      </c>
      <c r="F643" t="s">
        <v>323</v>
      </c>
      <c r="G643" t="s">
        <v>324</v>
      </c>
      <c r="H643">
        <v>0</v>
      </c>
      <c r="I643" t="s">
        <v>379</v>
      </c>
    </row>
    <row r="644" spans="1:9" x14ac:dyDescent="0.25">
      <c r="A644" t="s">
        <v>2139</v>
      </c>
      <c r="B644">
        <f t="shared" ref="B644:B707" si="10">_xlfn.NUMBERVALUE(A644,"#####")</f>
        <v>5182</v>
      </c>
      <c r="C644" t="s">
        <v>2140</v>
      </c>
      <c r="D644" t="s">
        <v>364</v>
      </c>
      <c r="E644" t="s">
        <v>119</v>
      </c>
      <c r="F644" t="s">
        <v>327</v>
      </c>
      <c r="G644" t="s">
        <v>324</v>
      </c>
      <c r="H644">
        <v>0</v>
      </c>
      <c r="I644" t="s">
        <v>379</v>
      </c>
    </row>
    <row r="645" spans="1:9" x14ac:dyDescent="0.25">
      <c r="A645" t="s">
        <v>2141</v>
      </c>
      <c r="B645">
        <f t="shared" si="10"/>
        <v>5183</v>
      </c>
      <c r="C645" t="s">
        <v>2142</v>
      </c>
      <c r="D645" t="s">
        <v>364</v>
      </c>
      <c r="E645" t="s">
        <v>119</v>
      </c>
      <c r="F645" t="s">
        <v>327</v>
      </c>
      <c r="G645" t="s">
        <v>324</v>
      </c>
      <c r="H645">
        <v>0</v>
      </c>
      <c r="I645" t="s">
        <v>379</v>
      </c>
    </row>
    <row r="646" spans="1:9" x14ac:dyDescent="0.25">
      <c r="A646" t="s">
        <v>1455</v>
      </c>
      <c r="B646">
        <f t="shared" si="10"/>
        <v>5186</v>
      </c>
      <c r="C646" t="s">
        <v>1456</v>
      </c>
      <c r="D646" t="s">
        <v>364</v>
      </c>
      <c r="E646" t="s">
        <v>119</v>
      </c>
      <c r="F646" t="s">
        <v>1359</v>
      </c>
      <c r="G646" t="s">
        <v>329</v>
      </c>
      <c r="H646">
        <v>0</v>
      </c>
      <c r="I646" t="s">
        <v>377</v>
      </c>
    </row>
    <row r="647" spans="1:9" x14ac:dyDescent="0.25">
      <c r="A647" t="s">
        <v>3885</v>
      </c>
      <c r="B647">
        <f t="shared" si="10"/>
        <v>5187</v>
      </c>
      <c r="C647" t="s">
        <v>3886</v>
      </c>
      <c r="D647" t="s">
        <v>72</v>
      </c>
      <c r="E647" t="s">
        <v>119</v>
      </c>
      <c r="F647" t="s">
        <v>326</v>
      </c>
      <c r="G647" t="s">
        <v>329</v>
      </c>
      <c r="H647">
        <v>0</v>
      </c>
      <c r="I647" t="s">
        <v>377</v>
      </c>
    </row>
    <row r="648" spans="1:9" x14ac:dyDescent="0.25">
      <c r="A648" t="s">
        <v>4206</v>
      </c>
      <c r="B648">
        <f t="shared" si="10"/>
        <v>5197</v>
      </c>
      <c r="C648" t="s">
        <v>4207</v>
      </c>
      <c r="D648" t="s">
        <v>364</v>
      </c>
      <c r="E648" t="s">
        <v>119</v>
      </c>
      <c r="F648" t="s">
        <v>467</v>
      </c>
      <c r="G648" t="s">
        <v>313</v>
      </c>
      <c r="H648">
        <v>0</v>
      </c>
      <c r="I648" t="s">
        <v>382</v>
      </c>
    </row>
    <row r="649" spans="1:9" x14ac:dyDescent="0.25">
      <c r="A649" t="s">
        <v>4208</v>
      </c>
      <c r="B649">
        <f t="shared" si="10"/>
        <v>5198</v>
      </c>
      <c r="C649" t="s">
        <v>4209</v>
      </c>
      <c r="D649" t="s">
        <v>72</v>
      </c>
      <c r="E649" t="s">
        <v>119</v>
      </c>
      <c r="F649" t="s">
        <v>328</v>
      </c>
      <c r="G649" t="s">
        <v>26</v>
      </c>
      <c r="H649">
        <v>0</v>
      </c>
      <c r="I649" t="s">
        <v>394</v>
      </c>
    </row>
    <row r="650" spans="1:9" x14ac:dyDescent="0.25">
      <c r="A650" t="s">
        <v>1106</v>
      </c>
      <c r="B650">
        <f t="shared" si="10"/>
        <v>5301</v>
      </c>
      <c r="C650" t="s">
        <v>1107</v>
      </c>
      <c r="D650" t="s">
        <v>364</v>
      </c>
      <c r="E650" t="s">
        <v>119</v>
      </c>
      <c r="F650" t="s">
        <v>328</v>
      </c>
      <c r="G650" t="s">
        <v>324</v>
      </c>
      <c r="H650">
        <v>0</v>
      </c>
      <c r="I650" t="s">
        <v>379</v>
      </c>
    </row>
    <row r="651" spans="1:9" x14ac:dyDescent="0.25">
      <c r="A651" t="s">
        <v>4210</v>
      </c>
      <c r="B651">
        <f t="shared" si="10"/>
        <v>5302</v>
      </c>
      <c r="C651" t="s">
        <v>4211</v>
      </c>
      <c r="D651" t="s">
        <v>72</v>
      </c>
      <c r="E651" t="s">
        <v>119</v>
      </c>
      <c r="F651" t="s">
        <v>318</v>
      </c>
      <c r="G651" t="s">
        <v>329</v>
      </c>
      <c r="H651">
        <v>0</v>
      </c>
      <c r="I651" t="s">
        <v>377</v>
      </c>
    </row>
    <row r="652" spans="1:9" x14ac:dyDescent="0.25">
      <c r="A652" t="s">
        <v>4386</v>
      </c>
      <c r="B652">
        <f t="shared" si="10"/>
        <v>5303</v>
      </c>
      <c r="C652" t="s">
        <v>4387</v>
      </c>
      <c r="D652" t="s">
        <v>72</v>
      </c>
      <c r="E652" t="s">
        <v>119</v>
      </c>
      <c r="F652" t="s">
        <v>318</v>
      </c>
      <c r="G652" t="s">
        <v>324</v>
      </c>
      <c r="H652">
        <v>0</v>
      </c>
      <c r="I652" t="s">
        <v>379</v>
      </c>
    </row>
    <row r="653" spans="1:9" x14ac:dyDescent="0.25">
      <c r="A653" t="s">
        <v>1108</v>
      </c>
      <c r="B653">
        <f t="shared" si="10"/>
        <v>5319</v>
      </c>
      <c r="C653" t="s">
        <v>1109</v>
      </c>
      <c r="D653" t="s">
        <v>364</v>
      </c>
      <c r="E653" t="s">
        <v>119</v>
      </c>
      <c r="F653" t="s">
        <v>327</v>
      </c>
      <c r="G653" t="s">
        <v>324</v>
      </c>
      <c r="H653">
        <v>0</v>
      </c>
      <c r="I653" t="s">
        <v>379</v>
      </c>
    </row>
    <row r="654" spans="1:9" x14ac:dyDescent="0.25">
      <c r="A654" t="s">
        <v>3753</v>
      </c>
      <c r="B654">
        <f t="shared" si="10"/>
        <v>5329</v>
      </c>
      <c r="C654" t="s">
        <v>3754</v>
      </c>
      <c r="D654" t="s">
        <v>72</v>
      </c>
      <c r="E654" t="s">
        <v>119</v>
      </c>
      <c r="F654" t="s">
        <v>326</v>
      </c>
      <c r="G654" t="s">
        <v>28</v>
      </c>
      <c r="H654">
        <v>0</v>
      </c>
      <c r="I654" t="s">
        <v>376</v>
      </c>
    </row>
    <row r="655" spans="1:9" x14ac:dyDescent="0.25">
      <c r="A655" t="s">
        <v>2143</v>
      </c>
      <c r="B655">
        <f t="shared" si="10"/>
        <v>5331</v>
      </c>
      <c r="C655" t="s">
        <v>2144</v>
      </c>
      <c r="D655" t="s">
        <v>364</v>
      </c>
      <c r="E655" t="s">
        <v>119</v>
      </c>
      <c r="F655" t="s">
        <v>326</v>
      </c>
      <c r="G655" t="s">
        <v>23</v>
      </c>
      <c r="H655">
        <v>0</v>
      </c>
      <c r="I655" t="s">
        <v>397</v>
      </c>
    </row>
    <row r="656" spans="1:9" x14ac:dyDescent="0.25">
      <c r="A656" t="s">
        <v>843</v>
      </c>
      <c r="B656">
        <f t="shared" si="10"/>
        <v>5332</v>
      </c>
      <c r="C656" t="s">
        <v>844</v>
      </c>
      <c r="D656" t="s">
        <v>364</v>
      </c>
      <c r="E656" t="s">
        <v>119</v>
      </c>
      <c r="F656" t="s">
        <v>664</v>
      </c>
      <c r="G656" t="s">
        <v>28</v>
      </c>
      <c r="H656">
        <v>0</v>
      </c>
      <c r="I656" t="s">
        <v>376</v>
      </c>
    </row>
    <row r="657" spans="1:9" x14ac:dyDescent="0.25">
      <c r="A657" t="s">
        <v>3213</v>
      </c>
      <c r="B657">
        <f t="shared" si="10"/>
        <v>5337</v>
      </c>
      <c r="C657" t="s">
        <v>3214</v>
      </c>
      <c r="D657" t="s">
        <v>72</v>
      </c>
      <c r="E657" t="s">
        <v>119</v>
      </c>
      <c r="F657" t="s">
        <v>318</v>
      </c>
      <c r="G657" t="s">
        <v>312</v>
      </c>
      <c r="H657">
        <v>0</v>
      </c>
      <c r="I657" t="s">
        <v>382</v>
      </c>
    </row>
    <row r="658" spans="1:9" x14ac:dyDescent="0.25">
      <c r="A658" t="s">
        <v>1685</v>
      </c>
      <c r="B658">
        <f t="shared" si="10"/>
        <v>5340</v>
      </c>
      <c r="C658" t="s">
        <v>1686</v>
      </c>
      <c r="D658" t="s">
        <v>364</v>
      </c>
      <c r="E658" t="s">
        <v>119</v>
      </c>
      <c r="F658" t="s">
        <v>327</v>
      </c>
      <c r="G658" t="s">
        <v>324</v>
      </c>
      <c r="H658">
        <v>0</v>
      </c>
      <c r="I658" t="s">
        <v>379</v>
      </c>
    </row>
    <row r="659" spans="1:9" x14ac:dyDescent="0.25">
      <c r="A659" t="s">
        <v>892</v>
      </c>
      <c r="B659">
        <f t="shared" si="10"/>
        <v>5345</v>
      </c>
      <c r="C659" t="s">
        <v>893</v>
      </c>
      <c r="D659" t="s">
        <v>364</v>
      </c>
      <c r="E659" t="s">
        <v>119</v>
      </c>
      <c r="F659" t="s">
        <v>327</v>
      </c>
      <c r="G659" t="s">
        <v>324</v>
      </c>
      <c r="H659">
        <v>0</v>
      </c>
      <c r="I659" t="s">
        <v>379</v>
      </c>
    </row>
    <row r="660" spans="1:9" x14ac:dyDescent="0.25">
      <c r="A660" t="s">
        <v>3169</v>
      </c>
      <c r="B660">
        <f t="shared" si="10"/>
        <v>5349</v>
      </c>
      <c r="C660" t="s">
        <v>3170</v>
      </c>
      <c r="D660" t="s">
        <v>72</v>
      </c>
      <c r="E660" t="s">
        <v>119</v>
      </c>
      <c r="F660" t="s">
        <v>327</v>
      </c>
      <c r="G660" t="s">
        <v>329</v>
      </c>
      <c r="H660">
        <v>0</v>
      </c>
      <c r="I660" t="s">
        <v>377</v>
      </c>
    </row>
    <row r="661" spans="1:9" x14ac:dyDescent="0.25">
      <c r="A661" t="s">
        <v>4507</v>
      </c>
      <c r="B661">
        <f t="shared" si="10"/>
        <v>5350</v>
      </c>
      <c r="C661" t="s">
        <v>4508</v>
      </c>
      <c r="D661" t="s">
        <v>72</v>
      </c>
      <c r="E661" t="s">
        <v>119</v>
      </c>
      <c r="F661" t="s">
        <v>326</v>
      </c>
      <c r="G661" t="s">
        <v>324</v>
      </c>
      <c r="H661">
        <v>0</v>
      </c>
      <c r="I661" t="s">
        <v>379</v>
      </c>
    </row>
    <row r="662" spans="1:9" x14ac:dyDescent="0.25">
      <c r="A662" t="s">
        <v>2145</v>
      </c>
      <c r="B662">
        <f t="shared" si="10"/>
        <v>5357</v>
      </c>
      <c r="C662" t="s">
        <v>2146</v>
      </c>
      <c r="D662" t="s">
        <v>364</v>
      </c>
      <c r="E662" t="s">
        <v>119</v>
      </c>
      <c r="F662" t="s">
        <v>318</v>
      </c>
      <c r="G662" t="s">
        <v>312</v>
      </c>
      <c r="H662">
        <v>0</v>
      </c>
      <c r="I662" t="s">
        <v>382</v>
      </c>
    </row>
    <row r="663" spans="1:9" x14ac:dyDescent="0.25">
      <c r="A663" t="s">
        <v>1457</v>
      </c>
      <c r="B663">
        <f t="shared" si="10"/>
        <v>5372</v>
      </c>
      <c r="C663" t="s">
        <v>1458</v>
      </c>
      <c r="D663" t="s">
        <v>364</v>
      </c>
      <c r="E663" t="s">
        <v>119</v>
      </c>
      <c r="F663" t="s">
        <v>327</v>
      </c>
      <c r="G663" t="s">
        <v>28</v>
      </c>
      <c r="H663">
        <v>0</v>
      </c>
      <c r="I663" t="s">
        <v>376</v>
      </c>
    </row>
    <row r="664" spans="1:9" x14ac:dyDescent="0.25">
      <c r="A664" t="s">
        <v>2147</v>
      </c>
      <c r="B664">
        <f t="shared" si="10"/>
        <v>5380</v>
      </c>
      <c r="C664" t="s">
        <v>2148</v>
      </c>
      <c r="D664" t="s">
        <v>364</v>
      </c>
      <c r="E664" t="s">
        <v>119</v>
      </c>
      <c r="F664" t="s">
        <v>326</v>
      </c>
      <c r="G664" t="s">
        <v>324</v>
      </c>
      <c r="H664">
        <v>0</v>
      </c>
      <c r="I664" t="s">
        <v>379</v>
      </c>
    </row>
    <row r="665" spans="1:9" x14ac:dyDescent="0.25">
      <c r="A665" t="s">
        <v>3540</v>
      </c>
      <c r="B665">
        <f t="shared" si="10"/>
        <v>5401</v>
      </c>
      <c r="C665" t="s">
        <v>3541</v>
      </c>
      <c r="D665" t="s">
        <v>364</v>
      </c>
      <c r="E665" t="s">
        <v>119</v>
      </c>
      <c r="F665" t="s">
        <v>318</v>
      </c>
      <c r="G665" t="s">
        <v>312</v>
      </c>
      <c r="H665">
        <v>0</v>
      </c>
      <c r="I665" t="s">
        <v>382</v>
      </c>
    </row>
    <row r="666" spans="1:9" x14ac:dyDescent="0.25">
      <c r="A666" t="s">
        <v>769</v>
      </c>
      <c r="B666">
        <f t="shared" si="10"/>
        <v>5446</v>
      </c>
      <c r="C666" t="s">
        <v>770</v>
      </c>
      <c r="D666" t="s">
        <v>364</v>
      </c>
      <c r="E666" t="s">
        <v>119</v>
      </c>
      <c r="F666" t="s">
        <v>327</v>
      </c>
      <c r="G666" t="s">
        <v>329</v>
      </c>
      <c r="H666">
        <v>0</v>
      </c>
      <c r="I666" t="s">
        <v>377</v>
      </c>
    </row>
    <row r="667" spans="1:9" x14ac:dyDescent="0.25">
      <c r="A667" t="s">
        <v>2149</v>
      </c>
      <c r="B667">
        <f t="shared" si="10"/>
        <v>5449</v>
      </c>
      <c r="C667" t="s">
        <v>2150</v>
      </c>
      <c r="D667" t="s">
        <v>364</v>
      </c>
      <c r="E667" t="s">
        <v>119</v>
      </c>
      <c r="F667" t="s">
        <v>664</v>
      </c>
      <c r="G667" t="s">
        <v>317</v>
      </c>
      <c r="H667">
        <v>0</v>
      </c>
      <c r="I667" t="s">
        <v>391</v>
      </c>
    </row>
    <row r="668" spans="1:9" x14ac:dyDescent="0.25">
      <c r="A668" t="s">
        <v>673</v>
      </c>
      <c r="B668">
        <f t="shared" si="10"/>
        <v>5456</v>
      </c>
      <c r="C668" t="s">
        <v>674</v>
      </c>
      <c r="D668" t="s">
        <v>72</v>
      </c>
      <c r="E668" t="s">
        <v>81</v>
      </c>
      <c r="F668" t="s">
        <v>81</v>
      </c>
      <c r="G668" t="s">
        <v>81</v>
      </c>
      <c r="H668">
        <v>0</v>
      </c>
      <c r="I668" t="s">
        <v>409</v>
      </c>
    </row>
    <row r="669" spans="1:9" x14ac:dyDescent="0.25">
      <c r="A669" t="s">
        <v>1110</v>
      </c>
      <c r="B669">
        <f t="shared" si="10"/>
        <v>5458</v>
      </c>
      <c r="C669" t="s">
        <v>1111</v>
      </c>
      <c r="D669" t="s">
        <v>364</v>
      </c>
      <c r="E669" t="s">
        <v>119</v>
      </c>
      <c r="F669" t="s">
        <v>327</v>
      </c>
      <c r="G669" t="s">
        <v>324</v>
      </c>
      <c r="H669">
        <v>0</v>
      </c>
      <c r="I669" t="s">
        <v>379</v>
      </c>
    </row>
    <row r="670" spans="1:9" x14ac:dyDescent="0.25">
      <c r="A670" t="s">
        <v>1459</v>
      </c>
      <c r="B670">
        <f t="shared" si="10"/>
        <v>5571</v>
      </c>
      <c r="C670" t="s">
        <v>1460</v>
      </c>
      <c r="D670" t="s">
        <v>364</v>
      </c>
      <c r="E670" t="s">
        <v>119</v>
      </c>
      <c r="F670" t="s">
        <v>664</v>
      </c>
      <c r="G670" t="s">
        <v>324</v>
      </c>
      <c r="H670">
        <v>0</v>
      </c>
      <c r="I670" t="s">
        <v>379</v>
      </c>
    </row>
    <row r="671" spans="1:9" x14ac:dyDescent="0.25">
      <c r="A671" t="s">
        <v>3195</v>
      </c>
      <c r="B671">
        <f t="shared" si="10"/>
        <v>5574</v>
      </c>
      <c r="C671" t="s">
        <v>3196</v>
      </c>
      <c r="D671" t="s">
        <v>72</v>
      </c>
      <c r="E671" t="s">
        <v>81</v>
      </c>
      <c r="F671" t="s">
        <v>81</v>
      </c>
      <c r="G671" t="s">
        <v>81</v>
      </c>
      <c r="H671">
        <v>0</v>
      </c>
      <c r="I671" t="s">
        <v>618</v>
      </c>
    </row>
    <row r="672" spans="1:9" x14ac:dyDescent="0.25">
      <c r="A672" t="s">
        <v>177</v>
      </c>
      <c r="B672">
        <f t="shared" si="10"/>
        <v>5580</v>
      </c>
      <c r="C672" t="s">
        <v>178</v>
      </c>
      <c r="D672" t="s">
        <v>72</v>
      </c>
      <c r="E672" t="s">
        <v>119</v>
      </c>
      <c r="F672" t="s">
        <v>323</v>
      </c>
      <c r="G672" t="s">
        <v>72</v>
      </c>
      <c r="H672">
        <v>0</v>
      </c>
      <c r="I672" t="s">
        <v>390</v>
      </c>
    </row>
    <row r="673" spans="1:9" x14ac:dyDescent="0.25">
      <c r="A673" t="s">
        <v>4509</v>
      </c>
      <c r="B673">
        <f t="shared" si="10"/>
        <v>5582</v>
      </c>
      <c r="C673" t="s">
        <v>4510</v>
      </c>
      <c r="D673" t="s">
        <v>364</v>
      </c>
      <c r="E673" t="s">
        <v>119</v>
      </c>
      <c r="F673" t="s">
        <v>326</v>
      </c>
      <c r="G673" t="s">
        <v>324</v>
      </c>
      <c r="H673">
        <v>0</v>
      </c>
      <c r="I673" t="s">
        <v>379</v>
      </c>
    </row>
    <row r="674" spans="1:9" x14ac:dyDescent="0.25">
      <c r="A674" t="s">
        <v>2151</v>
      </c>
      <c r="B674">
        <f t="shared" si="10"/>
        <v>5620</v>
      </c>
      <c r="C674" t="s">
        <v>2152</v>
      </c>
      <c r="D674" t="s">
        <v>364</v>
      </c>
      <c r="E674" t="s">
        <v>119</v>
      </c>
      <c r="F674" t="s">
        <v>327</v>
      </c>
      <c r="G674" t="s">
        <v>324</v>
      </c>
      <c r="H674">
        <v>0</v>
      </c>
      <c r="I674" t="s">
        <v>379</v>
      </c>
    </row>
    <row r="675" spans="1:9" x14ac:dyDescent="0.25">
      <c r="A675" t="s">
        <v>2153</v>
      </c>
      <c r="B675">
        <f t="shared" si="10"/>
        <v>5621</v>
      </c>
      <c r="C675" t="s">
        <v>2154</v>
      </c>
      <c r="D675" t="s">
        <v>364</v>
      </c>
      <c r="E675" t="s">
        <v>119</v>
      </c>
      <c r="F675" t="s">
        <v>318</v>
      </c>
      <c r="G675" t="s">
        <v>312</v>
      </c>
      <c r="H675">
        <v>0</v>
      </c>
      <c r="I675" t="s">
        <v>382</v>
      </c>
    </row>
    <row r="676" spans="1:9" x14ac:dyDescent="0.25">
      <c r="A676" t="s">
        <v>2155</v>
      </c>
      <c r="B676">
        <f t="shared" si="10"/>
        <v>5625</v>
      </c>
      <c r="C676" t="s">
        <v>2156</v>
      </c>
      <c r="D676" t="s">
        <v>364</v>
      </c>
      <c r="E676" t="s">
        <v>119</v>
      </c>
      <c r="F676" t="s">
        <v>318</v>
      </c>
      <c r="G676" t="s">
        <v>324</v>
      </c>
      <c r="H676">
        <v>0</v>
      </c>
      <c r="I676" t="s">
        <v>379</v>
      </c>
    </row>
    <row r="677" spans="1:9" x14ac:dyDescent="0.25">
      <c r="A677" t="s">
        <v>3963</v>
      </c>
      <c r="B677">
        <f t="shared" si="10"/>
        <v>5626</v>
      </c>
      <c r="C677" t="s">
        <v>3964</v>
      </c>
      <c r="D677" t="s">
        <v>364</v>
      </c>
      <c r="E677" t="s">
        <v>119</v>
      </c>
      <c r="F677" t="s">
        <v>327</v>
      </c>
      <c r="G677" t="s">
        <v>324</v>
      </c>
      <c r="H677">
        <v>0</v>
      </c>
      <c r="I677" t="s">
        <v>379</v>
      </c>
    </row>
    <row r="678" spans="1:9" x14ac:dyDescent="0.25">
      <c r="A678" t="s">
        <v>2157</v>
      </c>
      <c r="B678">
        <f t="shared" si="10"/>
        <v>5630</v>
      </c>
      <c r="C678" t="s">
        <v>2158</v>
      </c>
      <c r="D678" t="s">
        <v>364</v>
      </c>
      <c r="E678" t="s">
        <v>119</v>
      </c>
      <c r="F678" t="s">
        <v>318</v>
      </c>
      <c r="G678" t="s">
        <v>324</v>
      </c>
      <c r="H678">
        <v>0</v>
      </c>
      <c r="I678" t="s">
        <v>379</v>
      </c>
    </row>
    <row r="679" spans="1:9" x14ac:dyDescent="0.25">
      <c r="A679" t="s">
        <v>1461</v>
      </c>
      <c r="B679">
        <f t="shared" si="10"/>
        <v>5631</v>
      </c>
      <c r="C679" t="s">
        <v>1462</v>
      </c>
      <c r="D679" t="s">
        <v>364</v>
      </c>
      <c r="E679" t="s">
        <v>119</v>
      </c>
      <c r="F679" t="s">
        <v>328</v>
      </c>
      <c r="G679" t="s">
        <v>331</v>
      </c>
      <c r="H679">
        <v>0</v>
      </c>
      <c r="I679" t="s">
        <v>410</v>
      </c>
    </row>
    <row r="680" spans="1:9" x14ac:dyDescent="0.25">
      <c r="A680" t="s">
        <v>4511</v>
      </c>
      <c r="B680">
        <f t="shared" si="10"/>
        <v>5639</v>
      </c>
      <c r="C680" t="s">
        <v>4512</v>
      </c>
      <c r="D680" t="s">
        <v>72</v>
      </c>
      <c r="E680" t="s">
        <v>119</v>
      </c>
      <c r="F680" t="s">
        <v>323</v>
      </c>
      <c r="G680" t="s">
        <v>324</v>
      </c>
      <c r="H680">
        <v>0</v>
      </c>
      <c r="I680" t="s">
        <v>379</v>
      </c>
    </row>
    <row r="681" spans="1:9" x14ac:dyDescent="0.25">
      <c r="A681" t="s">
        <v>845</v>
      </c>
      <c r="B681">
        <f t="shared" si="10"/>
        <v>5643</v>
      </c>
      <c r="C681" t="s">
        <v>846</v>
      </c>
      <c r="D681" t="s">
        <v>364</v>
      </c>
      <c r="E681" t="s">
        <v>119</v>
      </c>
      <c r="F681" t="s">
        <v>327</v>
      </c>
      <c r="G681" t="s">
        <v>29</v>
      </c>
      <c r="H681">
        <v>0</v>
      </c>
      <c r="I681" t="s">
        <v>391</v>
      </c>
    </row>
    <row r="682" spans="1:9" x14ac:dyDescent="0.25">
      <c r="A682" t="s">
        <v>2159</v>
      </c>
      <c r="B682">
        <f t="shared" si="10"/>
        <v>5644</v>
      </c>
      <c r="C682" t="s">
        <v>2160</v>
      </c>
      <c r="D682" t="s">
        <v>364</v>
      </c>
      <c r="E682" t="s">
        <v>119</v>
      </c>
      <c r="F682" t="s">
        <v>327</v>
      </c>
      <c r="G682" t="s">
        <v>324</v>
      </c>
      <c r="H682">
        <v>0</v>
      </c>
      <c r="I682" t="s">
        <v>379</v>
      </c>
    </row>
    <row r="683" spans="1:9" x14ac:dyDescent="0.25">
      <c r="A683" t="s">
        <v>4212</v>
      </c>
      <c r="B683">
        <f t="shared" si="10"/>
        <v>5645</v>
      </c>
      <c r="C683" t="s">
        <v>4213</v>
      </c>
      <c r="D683" t="s">
        <v>364</v>
      </c>
      <c r="E683" t="s">
        <v>119</v>
      </c>
      <c r="F683" t="s">
        <v>327</v>
      </c>
      <c r="G683" t="s">
        <v>324</v>
      </c>
      <c r="H683">
        <v>0</v>
      </c>
      <c r="I683" t="s">
        <v>379</v>
      </c>
    </row>
    <row r="684" spans="1:9" x14ac:dyDescent="0.25">
      <c r="A684" t="s">
        <v>2161</v>
      </c>
      <c r="B684">
        <f t="shared" si="10"/>
        <v>5647</v>
      </c>
      <c r="C684" t="s">
        <v>2162</v>
      </c>
      <c r="D684" t="s">
        <v>364</v>
      </c>
      <c r="E684" t="s">
        <v>119</v>
      </c>
      <c r="F684" t="s">
        <v>323</v>
      </c>
      <c r="G684" t="s">
        <v>324</v>
      </c>
      <c r="H684">
        <v>0</v>
      </c>
      <c r="I684" t="s">
        <v>379</v>
      </c>
    </row>
    <row r="685" spans="1:9" x14ac:dyDescent="0.25">
      <c r="A685" t="s">
        <v>179</v>
      </c>
      <c r="B685">
        <f t="shared" si="10"/>
        <v>5655</v>
      </c>
      <c r="C685" t="s">
        <v>180</v>
      </c>
      <c r="D685" t="s">
        <v>72</v>
      </c>
      <c r="E685" t="s">
        <v>119</v>
      </c>
      <c r="F685" t="s">
        <v>326</v>
      </c>
      <c r="G685" t="s">
        <v>72</v>
      </c>
      <c r="H685">
        <v>0</v>
      </c>
      <c r="I685" t="s">
        <v>971</v>
      </c>
    </row>
    <row r="686" spans="1:9" x14ac:dyDescent="0.25">
      <c r="A686" t="s">
        <v>2163</v>
      </c>
      <c r="B686">
        <f t="shared" si="10"/>
        <v>5667</v>
      </c>
      <c r="C686" t="s">
        <v>2164</v>
      </c>
      <c r="D686" t="s">
        <v>364</v>
      </c>
      <c r="E686" t="s">
        <v>119</v>
      </c>
      <c r="F686" t="s">
        <v>328</v>
      </c>
      <c r="G686" t="s">
        <v>29</v>
      </c>
      <c r="H686">
        <v>0</v>
      </c>
      <c r="I686" t="s">
        <v>391</v>
      </c>
    </row>
    <row r="687" spans="1:9" x14ac:dyDescent="0.25">
      <c r="A687" t="s">
        <v>2165</v>
      </c>
      <c r="B687">
        <f t="shared" si="10"/>
        <v>5668</v>
      </c>
      <c r="C687" t="s">
        <v>2166</v>
      </c>
      <c r="D687" t="s">
        <v>364</v>
      </c>
      <c r="E687" t="s">
        <v>119</v>
      </c>
      <c r="F687" t="s">
        <v>326</v>
      </c>
      <c r="G687" t="s">
        <v>324</v>
      </c>
      <c r="H687">
        <v>0</v>
      </c>
      <c r="I687" t="s">
        <v>379</v>
      </c>
    </row>
    <row r="688" spans="1:9" x14ac:dyDescent="0.25">
      <c r="A688" t="s">
        <v>1463</v>
      </c>
      <c r="B688">
        <f t="shared" si="10"/>
        <v>5669</v>
      </c>
      <c r="C688" t="s">
        <v>1687</v>
      </c>
      <c r="D688" t="s">
        <v>72</v>
      </c>
      <c r="E688" t="s">
        <v>81</v>
      </c>
      <c r="F688" t="s">
        <v>81</v>
      </c>
      <c r="G688" t="s">
        <v>81</v>
      </c>
      <c r="H688">
        <v>0</v>
      </c>
      <c r="I688" t="s">
        <v>3709</v>
      </c>
    </row>
    <row r="689" spans="1:9" x14ac:dyDescent="0.25">
      <c r="A689" t="s">
        <v>847</v>
      </c>
      <c r="B689">
        <f t="shared" si="10"/>
        <v>5673</v>
      </c>
      <c r="C689" t="s">
        <v>848</v>
      </c>
      <c r="D689" t="s">
        <v>364</v>
      </c>
      <c r="E689" t="s">
        <v>119</v>
      </c>
      <c r="F689" t="s">
        <v>326</v>
      </c>
      <c r="G689" t="s">
        <v>324</v>
      </c>
      <c r="H689">
        <v>0</v>
      </c>
      <c r="I689" t="s">
        <v>379</v>
      </c>
    </row>
    <row r="690" spans="1:9" x14ac:dyDescent="0.25">
      <c r="A690" t="s">
        <v>3542</v>
      </c>
      <c r="B690">
        <f t="shared" si="10"/>
        <v>5674</v>
      </c>
      <c r="C690" t="s">
        <v>3543</v>
      </c>
      <c r="D690" t="s">
        <v>72</v>
      </c>
      <c r="E690" t="s">
        <v>119</v>
      </c>
      <c r="F690" t="s">
        <v>326</v>
      </c>
      <c r="G690" t="s">
        <v>324</v>
      </c>
      <c r="H690">
        <v>0</v>
      </c>
      <c r="I690" t="s">
        <v>379</v>
      </c>
    </row>
    <row r="691" spans="1:9" x14ac:dyDescent="0.25">
      <c r="A691" t="s">
        <v>1112</v>
      </c>
      <c r="B691">
        <f t="shared" si="10"/>
        <v>5677</v>
      </c>
      <c r="C691" t="s">
        <v>1113</v>
      </c>
      <c r="D691" t="s">
        <v>72</v>
      </c>
      <c r="E691" t="s">
        <v>81</v>
      </c>
      <c r="F691" t="s">
        <v>81</v>
      </c>
      <c r="G691" t="s">
        <v>81</v>
      </c>
      <c r="H691">
        <v>0</v>
      </c>
      <c r="I691" t="s">
        <v>1114</v>
      </c>
    </row>
    <row r="692" spans="1:9" x14ac:dyDescent="0.25">
      <c r="A692" t="s">
        <v>3045</v>
      </c>
      <c r="B692">
        <f t="shared" si="10"/>
        <v>5680</v>
      </c>
      <c r="C692" t="s">
        <v>3046</v>
      </c>
      <c r="D692" t="s">
        <v>364</v>
      </c>
      <c r="E692" t="s">
        <v>119</v>
      </c>
      <c r="F692" t="s">
        <v>327</v>
      </c>
      <c r="G692" t="s">
        <v>324</v>
      </c>
      <c r="H692">
        <v>0</v>
      </c>
      <c r="I692" t="s">
        <v>379</v>
      </c>
    </row>
    <row r="693" spans="1:9" x14ac:dyDescent="0.25">
      <c r="A693" t="s">
        <v>3003</v>
      </c>
      <c r="B693">
        <f t="shared" si="10"/>
        <v>5688</v>
      </c>
      <c r="C693" t="s">
        <v>3004</v>
      </c>
      <c r="D693" t="s">
        <v>364</v>
      </c>
      <c r="E693" t="s">
        <v>119</v>
      </c>
      <c r="F693" t="s">
        <v>327</v>
      </c>
      <c r="G693" t="s">
        <v>25</v>
      </c>
      <c r="H693">
        <v>0</v>
      </c>
      <c r="I693" t="s">
        <v>386</v>
      </c>
    </row>
    <row r="694" spans="1:9" x14ac:dyDescent="0.25">
      <c r="A694" t="s">
        <v>3005</v>
      </c>
      <c r="B694">
        <f t="shared" si="10"/>
        <v>5689</v>
      </c>
      <c r="C694" t="s">
        <v>3006</v>
      </c>
      <c r="D694" t="s">
        <v>364</v>
      </c>
      <c r="E694" t="s">
        <v>119</v>
      </c>
      <c r="F694" t="s">
        <v>1022</v>
      </c>
      <c r="G694" t="s">
        <v>28</v>
      </c>
      <c r="H694">
        <v>0</v>
      </c>
      <c r="I694" t="s">
        <v>376</v>
      </c>
    </row>
    <row r="695" spans="1:9" x14ac:dyDescent="0.25">
      <c r="A695" t="s">
        <v>4061</v>
      </c>
      <c r="B695">
        <f t="shared" si="10"/>
        <v>5700</v>
      </c>
      <c r="C695" t="s">
        <v>4062</v>
      </c>
      <c r="D695" t="s">
        <v>72</v>
      </c>
      <c r="E695" t="s">
        <v>119</v>
      </c>
      <c r="F695" t="s">
        <v>325</v>
      </c>
      <c r="G695" t="s">
        <v>324</v>
      </c>
      <c r="H695">
        <v>0</v>
      </c>
      <c r="I695" t="s">
        <v>379</v>
      </c>
    </row>
    <row r="696" spans="1:9" x14ac:dyDescent="0.25">
      <c r="A696" t="s">
        <v>3129</v>
      </c>
      <c r="B696">
        <f t="shared" si="10"/>
        <v>5706</v>
      </c>
      <c r="C696" t="s">
        <v>3130</v>
      </c>
      <c r="D696" t="s">
        <v>72</v>
      </c>
      <c r="E696" t="s">
        <v>81</v>
      </c>
      <c r="F696" t="s">
        <v>81</v>
      </c>
      <c r="G696" t="s">
        <v>81</v>
      </c>
      <c r="H696">
        <v>1</v>
      </c>
      <c r="I696" t="s">
        <v>399</v>
      </c>
    </row>
    <row r="697" spans="1:9" x14ac:dyDescent="0.25">
      <c r="A697" t="s">
        <v>849</v>
      </c>
      <c r="B697">
        <f t="shared" si="10"/>
        <v>5710</v>
      </c>
      <c r="C697" t="s">
        <v>850</v>
      </c>
      <c r="D697" t="s">
        <v>364</v>
      </c>
      <c r="E697" t="s">
        <v>119</v>
      </c>
      <c r="F697" t="s">
        <v>327</v>
      </c>
      <c r="G697" t="s">
        <v>324</v>
      </c>
      <c r="H697">
        <v>0</v>
      </c>
      <c r="I697" t="s">
        <v>379</v>
      </c>
    </row>
    <row r="698" spans="1:9" x14ac:dyDescent="0.25">
      <c r="A698" t="s">
        <v>2167</v>
      </c>
      <c r="B698">
        <f t="shared" si="10"/>
        <v>5712</v>
      </c>
      <c r="C698" t="s">
        <v>2168</v>
      </c>
      <c r="D698" t="s">
        <v>364</v>
      </c>
      <c r="E698" t="s">
        <v>119</v>
      </c>
      <c r="F698" t="s">
        <v>318</v>
      </c>
      <c r="G698" t="s">
        <v>346</v>
      </c>
      <c r="H698">
        <v>0</v>
      </c>
      <c r="I698" t="s">
        <v>380</v>
      </c>
    </row>
    <row r="699" spans="1:9" x14ac:dyDescent="0.25">
      <c r="A699" t="s">
        <v>4214</v>
      </c>
      <c r="B699">
        <f t="shared" si="10"/>
        <v>5713</v>
      </c>
      <c r="C699" t="s">
        <v>4215</v>
      </c>
      <c r="D699" t="s">
        <v>72</v>
      </c>
      <c r="E699" t="s">
        <v>119</v>
      </c>
      <c r="F699" t="s">
        <v>326</v>
      </c>
      <c r="G699" t="s">
        <v>324</v>
      </c>
      <c r="H699">
        <v>0</v>
      </c>
      <c r="I699" t="s">
        <v>379</v>
      </c>
    </row>
    <row r="700" spans="1:9" x14ac:dyDescent="0.25">
      <c r="A700" t="s">
        <v>2169</v>
      </c>
      <c r="B700">
        <f t="shared" si="10"/>
        <v>5714</v>
      </c>
      <c r="C700" t="s">
        <v>2170</v>
      </c>
      <c r="D700" t="s">
        <v>364</v>
      </c>
      <c r="E700" t="s">
        <v>119</v>
      </c>
      <c r="F700" t="s">
        <v>326</v>
      </c>
      <c r="G700" t="s">
        <v>324</v>
      </c>
      <c r="H700">
        <v>0</v>
      </c>
      <c r="I700" t="s">
        <v>379</v>
      </c>
    </row>
    <row r="701" spans="1:9" x14ac:dyDescent="0.25">
      <c r="A701" t="s">
        <v>4513</v>
      </c>
      <c r="B701">
        <f t="shared" si="10"/>
        <v>5717</v>
      </c>
      <c r="C701" t="s">
        <v>4514</v>
      </c>
      <c r="D701" t="s">
        <v>72</v>
      </c>
      <c r="E701" t="s">
        <v>119</v>
      </c>
      <c r="F701" t="s">
        <v>318</v>
      </c>
      <c r="G701" t="s">
        <v>26</v>
      </c>
      <c r="H701">
        <v>0</v>
      </c>
      <c r="I701" t="s">
        <v>394</v>
      </c>
    </row>
    <row r="702" spans="1:9" x14ac:dyDescent="0.25">
      <c r="A702" t="s">
        <v>851</v>
      </c>
      <c r="B702">
        <f t="shared" si="10"/>
        <v>5721</v>
      </c>
      <c r="C702" t="s">
        <v>852</v>
      </c>
      <c r="D702" t="s">
        <v>364</v>
      </c>
      <c r="E702" t="s">
        <v>119</v>
      </c>
      <c r="F702" t="s">
        <v>327</v>
      </c>
      <c r="G702" t="s">
        <v>324</v>
      </c>
      <c r="H702">
        <v>0</v>
      </c>
      <c r="I702" t="s">
        <v>379</v>
      </c>
    </row>
    <row r="703" spans="1:9" x14ac:dyDescent="0.25">
      <c r="A703" t="s">
        <v>2958</v>
      </c>
      <c r="B703">
        <f t="shared" si="10"/>
        <v>5722</v>
      </c>
      <c r="C703" t="s">
        <v>2959</v>
      </c>
      <c r="D703" t="s">
        <v>364</v>
      </c>
      <c r="E703" t="s">
        <v>119</v>
      </c>
      <c r="F703" t="s">
        <v>327</v>
      </c>
      <c r="G703" t="s">
        <v>312</v>
      </c>
      <c r="H703">
        <v>0</v>
      </c>
      <c r="I703" t="s">
        <v>382</v>
      </c>
    </row>
    <row r="704" spans="1:9" x14ac:dyDescent="0.25">
      <c r="A704" t="s">
        <v>3283</v>
      </c>
      <c r="B704">
        <f t="shared" si="10"/>
        <v>5724</v>
      </c>
      <c r="C704" t="s">
        <v>3284</v>
      </c>
      <c r="D704" t="s">
        <v>364</v>
      </c>
      <c r="E704" t="s">
        <v>119</v>
      </c>
      <c r="F704" t="s">
        <v>318</v>
      </c>
      <c r="G704" t="s">
        <v>29</v>
      </c>
      <c r="H704">
        <v>0</v>
      </c>
      <c r="I704" t="s">
        <v>391</v>
      </c>
    </row>
    <row r="705" spans="1:9" x14ac:dyDescent="0.25">
      <c r="A705" t="s">
        <v>1115</v>
      </c>
      <c r="B705">
        <f t="shared" si="10"/>
        <v>5725</v>
      </c>
      <c r="C705" t="s">
        <v>1116</v>
      </c>
      <c r="D705" t="s">
        <v>364</v>
      </c>
      <c r="E705" t="s">
        <v>119</v>
      </c>
      <c r="F705" t="s">
        <v>327</v>
      </c>
      <c r="G705" t="s">
        <v>24</v>
      </c>
      <c r="H705">
        <v>0</v>
      </c>
      <c r="I705" t="s">
        <v>383</v>
      </c>
    </row>
    <row r="706" spans="1:9" x14ac:dyDescent="0.25">
      <c r="A706" t="s">
        <v>465</v>
      </c>
      <c r="B706">
        <f t="shared" si="10"/>
        <v>5726</v>
      </c>
      <c r="C706" t="s">
        <v>466</v>
      </c>
      <c r="D706" t="s">
        <v>364</v>
      </c>
      <c r="E706" t="s">
        <v>119</v>
      </c>
      <c r="F706" t="s">
        <v>318</v>
      </c>
      <c r="G706" t="s">
        <v>324</v>
      </c>
      <c r="H706">
        <v>0</v>
      </c>
      <c r="I706" t="s">
        <v>379</v>
      </c>
    </row>
    <row r="707" spans="1:9" x14ac:dyDescent="0.25">
      <c r="A707" t="s">
        <v>2171</v>
      </c>
      <c r="B707">
        <f t="shared" si="10"/>
        <v>5727</v>
      </c>
      <c r="C707" t="s">
        <v>2172</v>
      </c>
      <c r="D707" t="s">
        <v>364</v>
      </c>
      <c r="E707" t="s">
        <v>119</v>
      </c>
      <c r="F707" t="s">
        <v>318</v>
      </c>
      <c r="G707" t="s">
        <v>324</v>
      </c>
      <c r="H707">
        <v>0</v>
      </c>
      <c r="I707" t="s">
        <v>379</v>
      </c>
    </row>
    <row r="708" spans="1:9" x14ac:dyDescent="0.25">
      <c r="A708" t="s">
        <v>2756</v>
      </c>
      <c r="B708">
        <f t="shared" ref="B708:B771" si="11">_xlfn.NUMBERVALUE(A708,"#####")</f>
        <v>5732</v>
      </c>
      <c r="C708" t="s">
        <v>2757</v>
      </c>
      <c r="D708" t="s">
        <v>364</v>
      </c>
      <c r="E708" t="s">
        <v>119</v>
      </c>
      <c r="F708" t="s">
        <v>1717</v>
      </c>
      <c r="G708" t="s">
        <v>324</v>
      </c>
      <c r="H708">
        <v>0</v>
      </c>
      <c r="I708" t="s">
        <v>379</v>
      </c>
    </row>
    <row r="709" spans="1:9" x14ac:dyDescent="0.25">
      <c r="A709" t="s">
        <v>2173</v>
      </c>
      <c r="B709">
        <f t="shared" si="11"/>
        <v>5735</v>
      </c>
      <c r="C709" t="s">
        <v>2174</v>
      </c>
      <c r="D709" t="s">
        <v>364</v>
      </c>
      <c r="E709" t="s">
        <v>119</v>
      </c>
      <c r="F709" t="s">
        <v>323</v>
      </c>
      <c r="G709" t="s">
        <v>29</v>
      </c>
      <c r="H709">
        <v>0</v>
      </c>
      <c r="I709" t="s">
        <v>391</v>
      </c>
    </row>
    <row r="710" spans="1:9" x14ac:dyDescent="0.25">
      <c r="A710" t="s">
        <v>3253</v>
      </c>
      <c r="B710">
        <f t="shared" si="11"/>
        <v>5740</v>
      </c>
      <c r="C710" t="s">
        <v>3254</v>
      </c>
      <c r="D710" t="s">
        <v>72</v>
      </c>
      <c r="E710" t="s">
        <v>119</v>
      </c>
      <c r="F710" t="s">
        <v>318</v>
      </c>
      <c r="G710" t="s">
        <v>72</v>
      </c>
      <c r="H710">
        <v>0</v>
      </c>
      <c r="I710" t="s">
        <v>390</v>
      </c>
    </row>
    <row r="711" spans="1:9" x14ac:dyDescent="0.25">
      <c r="A711" t="s">
        <v>1117</v>
      </c>
      <c r="B711">
        <f t="shared" si="11"/>
        <v>5742</v>
      </c>
      <c r="C711" t="s">
        <v>1118</v>
      </c>
      <c r="D711" t="s">
        <v>364</v>
      </c>
      <c r="E711" t="s">
        <v>119</v>
      </c>
      <c r="F711" t="s">
        <v>327</v>
      </c>
      <c r="G711" t="s">
        <v>324</v>
      </c>
      <c r="H711">
        <v>0</v>
      </c>
      <c r="I711" t="s">
        <v>379</v>
      </c>
    </row>
    <row r="712" spans="1:9" x14ac:dyDescent="0.25">
      <c r="A712" t="s">
        <v>3298</v>
      </c>
      <c r="B712">
        <f t="shared" si="11"/>
        <v>5743</v>
      </c>
      <c r="C712" t="s">
        <v>3299</v>
      </c>
      <c r="D712" t="s">
        <v>72</v>
      </c>
      <c r="E712" t="s">
        <v>119</v>
      </c>
      <c r="F712" t="s">
        <v>325</v>
      </c>
      <c r="G712" t="s">
        <v>329</v>
      </c>
      <c r="H712">
        <v>0</v>
      </c>
      <c r="I712" t="s">
        <v>377</v>
      </c>
    </row>
    <row r="713" spans="1:9" x14ac:dyDescent="0.25">
      <c r="A713" t="s">
        <v>4515</v>
      </c>
      <c r="B713">
        <f t="shared" si="11"/>
        <v>5744</v>
      </c>
      <c r="C713" t="s">
        <v>4516</v>
      </c>
      <c r="D713" t="s">
        <v>72</v>
      </c>
      <c r="E713" t="s">
        <v>119</v>
      </c>
      <c r="F713" t="s">
        <v>326</v>
      </c>
      <c r="G713" t="s">
        <v>324</v>
      </c>
      <c r="H713">
        <v>0</v>
      </c>
      <c r="I713" t="s">
        <v>379</v>
      </c>
    </row>
    <row r="714" spans="1:9" x14ac:dyDescent="0.25">
      <c r="A714" t="s">
        <v>3383</v>
      </c>
      <c r="B714">
        <f t="shared" si="11"/>
        <v>5747</v>
      </c>
      <c r="C714" t="s">
        <v>3384</v>
      </c>
      <c r="D714" t="s">
        <v>364</v>
      </c>
      <c r="E714" t="s">
        <v>119</v>
      </c>
      <c r="F714" t="s">
        <v>3380</v>
      </c>
      <c r="G714" t="s">
        <v>312</v>
      </c>
      <c r="H714">
        <v>0</v>
      </c>
      <c r="I714" t="s">
        <v>382</v>
      </c>
    </row>
    <row r="715" spans="1:9" x14ac:dyDescent="0.25">
      <c r="A715" t="s">
        <v>1464</v>
      </c>
      <c r="B715">
        <f t="shared" si="11"/>
        <v>5755</v>
      </c>
      <c r="C715" t="s">
        <v>1465</v>
      </c>
      <c r="D715" t="s">
        <v>364</v>
      </c>
      <c r="E715" t="s">
        <v>81</v>
      </c>
      <c r="F715" t="s">
        <v>81</v>
      </c>
      <c r="G715" t="s">
        <v>81</v>
      </c>
      <c r="H715">
        <v>0</v>
      </c>
      <c r="I715" t="s">
        <v>404</v>
      </c>
    </row>
    <row r="716" spans="1:9" x14ac:dyDescent="0.25">
      <c r="A716" t="s">
        <v>3887</v>
      </c>
      <c r="B716">
        <f t="shared" si="11"/>
        <v>5758</v>
      </c>
      <c r="C716" t="s">
        <v>3888</v>
      </c>
      <c r="D716" t="s">
        <v>72</v>
      </c>
      <c r="E716" t="s">
        <v>119</v>
      </c>
      <c r="F716" t="s">
        <v>318</v>
      </c>
      <c r="G716" t="s">
        <v>329</v>
      </c>
      <c r="H716">
        <v>0</v>
      </c>
      <c r="I716" t="s">
        <v>377</v>
      </c>
    </row>
    <row r="717" spans="1:9" x14ac:dyDescent="0.25">
      <c r="A717" t="s">
        <v>2175</v>
      </c>
      <c r="B717">
        <f t="shared" si="11"/>
        <v>5770</v>
      </c>
      <c r="C717" t="s">
        <v>2176</v>
      </c>
      <c r="D717" t="s">
        <v>364</v>
      </c>
      <c r="E717" t="s">
        <v>119</v>
      </c>
      <c r="F717" t="s">
        <v>327</v>
      </c>
      <c r="G717" t="s">
        <v>346</v>
      </c>
      <c r="H717">
        <v>0</v>
      </c>
      <c r="I717" t="s">
        <v>380</v>
      </c>
    </row>
    <row r="718" spans="1:9" x14ac:dyDescent="0.25">
      <c r="A718" t="s">
        <v>1466</v>
      </c>
      <c r="B718">
        <f t="shared" si="11"/>
        <v>5772</v>
      </c>
      <c r="C718" t="s">
        <v>1467</v>
      </c>
      <c r="D718" t="s">
        <v>72</v>
      </c>
      <c r="E718" t="s">
        <v>119</v>
      </c>
      <c r="F718" t="s">
        <v>326</v>
      </c>
      <c r="G718" t="s">
        <v>28</v>
      </c>
      <c r="H718">
        <v>0</v>
      </c>
      <c r="I718" t="s">
        <v>376</v>
      </c>
    </row>
    <row r="719" spans="1:9" x14ac:dyDescent="0.25">
      <c r="A719" t="s">
        <v>1468</v>
      </c>
      <c r="B719">
        <f t="shared" si="11"/>
        <v>5773</v>
      </c>
      <c r="C719" t="s">
        <v>1469</v>
      </c>
      <c r="D719" t="s">
        <v>364</v>
      </c>
      <c r="E719" t="s">
        <v>81</v>
      </c>
      <c r="F719" t="s">
        <v>81</v>
      </c>
      <c r="G719" t="s">
        <v>81</v>
      </c>
      <c r="H719">
        <v>0</v>
      </c>
      <c r="I719" t="s">
        <v>392</v>
      </c>
    </row>
    <row r="720" spans="1:9" x14ac:dyDescent="0.25">
      <c r="A720" t="s">
        <v>347</v>
      </c>
      <c r="B720">
        <f t="shared" si="11"/>
        <v>5775</v>
      </c>
      <c r="C720" t="s">
        <v>348</v>
      </c>
      <c r="D720" t="s">
        <v>72</v>
      </c>
      <c r="E720" t="s">
        <v>119</v>
      </c>
      <c r="F720" t="s">
        <v>327</v>
      </c>
      <c r="G720" t="s">
        <v>29</v>
      </c>
      <c r="H720">
        <v>0</v>
      </c>
      <c r="I720" t="s">
        <v>391</v>
      </c>
    </row>
    <row r="721" spans="1:9" x14ac:dyDescent="0.25">
      <c r="A721" t="s">
        <v>1120</v>
      </c>
      <c r="B721">
        <f t="shared" si="11"/>
        <v>5813</v>
      </c>
      <c r="C721" t="s">
        <v>1121</v>
      </c>
      <c r="D721" t="s">
        <v>364</v>
      </c>
      <c r="E721" t="s">
        <v>119</v>
      </c>
      <c r="F721" t="s">
        <v>326</v>
      </c>
      <c r="G721" t="s">
        <v>312</v>
      </c>
      <c r="H721">
        <v>0</v>
      </c>
      <c r="I721" t="s">
        <v>382</v>
      </c>
    </row>
    <row r="722" spans="1:9" x14ac:dyDescent="0.25">
      <c r="A722" t="s">
        <v>2177</v>
      </c>
      <c r="B722">
        <f t="shared" si="11"/>
        <v>5814</v>
      </c>
      <c r="C722" t="s">
        <v>2178</v>
      </c>
      <c r="D722" t="s">
        <v>364</v>
      </c>
      <c r="E722" t="s">
        <v>119</v>
      </c>
      <c r="F722" t="s">
        <v>318</v>
      </c>
      <c r="G722" t="s">
        <v>312</v>
      </c>
      <c r="H722">
        <v>0</v>
      </c>
      <c r="I722" t="s">
        <v>382</v>
      </c>
    </row>
    <row r="723" spans="1:9" x14ac:dyDescent="0.25">
      <c r="A723" t="s">
        <v>2179</v>
      </c>
      <c r="B723">
        <f t="shared" si="11"/>
        <v>5815</v>
      </c>
      <c r="C723" t="s">
        <v>2180</v>
      </c>
      <c r="D723" t="s">
        <v>364</v>
      </c>
      <c r="E723" t="s">
        <v>119</v>
      </c>
      <c r="F723" t="s">
        <v>323</v>
      </c>
      <c r="G723" t="s">
        <v>24</v>
      </c>
      <c r="H723">
        <v>0</v>
      </c>
      <c r="I723" t="s">
        <v>383</v>
      </c>
    </row>
    <row r="724" spans="1:9" x14ac:dyDescent="0.25">
      <c r="A724" t="s">
        <v>2181</v>
      </c>
      <c r="B724">
        <f t="shared" si="11"/>
        <v>5818</v>
      </c>
      <c r="C724" t="s">
        <v>2182</v>
      </c>
      <c r="D724" t="s">
        <v>364</v>
      </c>
      <c r="E724" t="s">
        <v>119</v>
      </c>
      <c r="F724" t="s">
        <v>325</v>
      </c>
      <c r="G724" t="s">
        <v>324</v>
      </c>
      <c r="H724">
        <v>0</v>
      </c>
      <c r="I724" t="s">
        <v>379</v>
      </c>
    </row>
    <row r="725" spans="1:9" x14ac:dyDescent="0.25">
      <c r="A725" t="s">
        <v>1122</v>
      </c>
      <c r="B725">
        <f t="shared" si="11"/>
        <v>5823</v>
      </c>
      <c r="C725" t="s">
        <v>1123</v>
      </c>
      <c r="D725" t="s">
        <v>364</v>
      </c>
      <c r="E725" t="s">
        <v>119</v>
      </c>
      <c r="F725" t="s">
        <v>872</v>
      </c>
      <c r="G725" t="s">
        <v>324</v>
      </c>
      <c r="H725">
        <v>0</v>
      </c>
      <c r="I725" t="s">
        <v>379</v>
      </c>
    </row>
    <row r="726" spans="1:9" x14ac:dyDescent="0.25">
      <c r="A726" t="s">
        <v>1124</v>
      </c>
      <c r="B726">
        <f t="shared" si="11"/>
        <v>5825</v>
      </c>
      <c r="C726" t="s">
        <v>1125</v>
      </c>
      <c r="D726" t="s">
        <v>364</v>
      </c>
      <c r="E726" t="s">
        <v>119</v>
      </c>
      <c r="F726" t="s">
        <v>318</v>
      </c>
      <c r="G726" t="s">
        <v>329</v>
      </c>
      <c r="H726">
        <v>0</v>
      </c>
      <c r="I726" t="s">
        <v>377</v>
      </c>
    </row>
    <row r="727" spans="1:9" x14ac:dyDescent="0.25">
      <c r="A727" t="s">
        <v>1470</v>
      </c>
      <c r="B727">
        <f t="shared" si="11"/>
        <v>5826</v>
      </c>
      <c r="C727" t="s">
        <v>1471</v>
      </c>
      <c r="D727" t="s">
        <v>364</v>
      </c>
      <c r="E727" t="s">
        <v>119</v>
      </c>
      <c r="F727" t="s">
        <v>328</v>
      </c>
      <c r="G727" t="s">
        <v>324</v>
      </c>
      <c r="H727">
        <v>0</v>
      </c>
      <c r="I727" t="s">
        <v>379</v>
      </c>
    </row>
    <row r="728" spans="1:9" x14ac:dyDescent="0.25">
      <c r="A728" t="s">
        <v>3176</v>
      </c>
      <c r="B728">
        <f t="shared" si="11"/>
        <v>5827</v>
      </c>
      <c r="C728" t="s">
        <v>3177</v>
      </c>
      <c r="D728" t="s">
        <v>72</v>
      </c>
      <c r="E728" t="s">
        <v>81</v>
      </c>
      <c r="F728" t="s">
        <v>81</v>
      </c>
      <c r="G728" t="s">
        <v>81</v>
      </c>
      <c r="H728">
        <v>1</v>
      </c>
      <c r="I728" t="s">
        <v>791</v>
      </c>
    </row>
    <row r="729" spans="1:9" x14ac:dyDescent="0.25">
      <c r="A729" t="s">
        <v>181</v>
      </c>
      <c r="B729">
        <f t="shared" si="11"/>
        <v>5833</v>
      </c>
      <c r="C729" t="s">
        <v>182</v>
      </c>
      <c r="D729" t="s">
        <v>364</v>
      </c>
      <c r="E729" t="s">
        <v>119</v>
      </c>
      <c r="F729" t="s">
        <v>318</v>
      </c>
      <c r="G729" t="s">
        <v>72</v>
      </c>
      <c r="H729">
        <v>1</v>
      </c>
      <c r="I729" t="s">
        <v>390</v>
      </c>
    </row>
    <row r="730" spans="1:9" x14ac:dyDescent="0.25">
      <c r="A730" t="s">
        <v>2183</v>
      </c>
      <c r="B730">
        <f t="shared" si="11"/>
        <v>5834</v>
      </c>
      <c r="C730" t="s">
        <v>2184</v>
      </c>
      <c r="D730" t="s">
        <v>364</v>
      </c>
      <c r="E730" t="s">
        <v>119</v>
      </c>
      <c r="F730" t="s">
        <v>318</v>
      </c>
      <c r="G730" t="s">
        <v>324</v>
      </c>
      <c r="H730">
        <v>0</v>
      </c>
      <c r="I730" t="s">
        <v>379</v>
      </c>
    </row>
    <row r="731" spans="1:9" x14ac:dyDescent="0.25">
      <c r="A731" t="s">
        <v>2911</v>
      </c>
      <c r="B731">
        <f t="shared" si="11"/>
        <v>5835</v>
      </c>
      <c r="C731" t="s">
        <v>2912</v>
      </c>
      <c r="D731" t="s">
        <v>364</v>
      </c>
      <c r="E731" t="s">
        <v>119</v>
      </c>
      <c r="F731" t="s">
        <v>318</v>
      </c>
      <c r="G731" t="s">
        <v>329</v>
      </c>
      <c r="H731">
        <v>0</v>
      </c>
      <c r="I731" t="s">
        <v>377</v>
      </c>
    </row>
    <row r="732" spans="1:9" x14ac:dyDescent="0.25">
      <c r="A732" t="s">
        <v>2185</v>
      </c>
      <c r="B732">
        <f t="shared" si="11"/>
        <v>5840</v>
      </c>
      <c r="C732" t="s">
        <v>2186</v>
      </c>
      <c r="D732" t="s">
        <v>364</v>
      </c>
      <c r="E732" t="s">
        <v>119</v>
      </c>
      <c r="F732" t="s">
        <v>318</v>
      </c>
      <c r="G732" t="s">
        <v>324</v>
      </c>
      <c r="H732">
        <v>0</v>
      </c>
      <c r="I732" t="s">
        <v>379</v>
      </c>
    </row>
    <row r="733" spans="1:9" x14ac:dyDescent="0.25">
      <c r="A733" t="s">
        <v>1472</v>
      </c>
      <c r="B733">
        <f t="shared" si="11"/>
        <v>5843</v>
      </c>
      <c r="C733" t="s">
        <v>1473</v>
      </c>
      <c r="D733" t="s">
        <v>364</v>
      </c>
      <c r="E733" t="s">
        <v>119</v>
      </c>
      <c r="F733" t="s">
        <v>323</v>
      </c>
      <c r="G733" t="s">
        <v>312</v>
      </c>
      <c r="H733">
        <v>0</v>
      </c>
      <c r="I733" t="s">
        <v>1474</v>
      </c>
    </row>
    <row r="734" spans="1:9" x14ac:dyDescent="0.25">
      <c r="A734" t="s">
        <v>1126</v>
      </c>
      <c r="B734">
        <f t="shared" si="11"/>
        <v>5844</v>
      </c>
      <c r="C734" t="s">
        <v>1127</v>
      </c>
      <c r="D734" t="s">
        <v>364</v>
      </c>
      <c r="E734" t="s">
        <v>119</v>
      </c>
      <c r="F734" t="s">
        <v>326</v>
      </c>
      <c r="G734" t="s">
        <v>329</v>
      </c>
      <c r="H734">
        <v>0</v>
      </c>
      <c r="I734" t="s">
        <v>377</v>
      </c>
    </row>
    <row r="735" spans="1:9" x14ac:dyDescent="0.25">
      <c r="A735" t="s">
        <v>183</v>
      </c>
      <c r="B735">
        <f t="shared" si="11"/>
        <v>5846</v>
      </c>
      <c r="C735" t="s">
        <v>184</v>
      </c>
      <c r="D735" t="s">
        <v>72</v>
      </c>
      <c r="E735" t="s">
        <v>81</v>
      </c>
      <c r="F735" t="s">
        <v>81</v>
      </c>
      <c r="G735" t="s">
        <v>81</v>
      </c>
      <c r="H735">
        <v>1</v>
      </c>
      <c r="I735" t="s">
        <v>407</v>
      </c>
    </row>
    <row r="736" spans="1:9" x14ac:dyDescent="0.25">
      <c r="A736" t="s">
        <v>2187</v>
      </c>
      <c r="B736">
        <f t="shared" si="11"/>
        <v>5850</v>
      </c>
      <c r="C736" t="s">
        <v>2188</v>
      </c>
      <c r="D736" t="s">
        <v>364</v>
      </c>
      <c r="E736" t="s">
        <v>119</v>
      </c>
      <c r="F736" t="s">
        <v>327</v>
      </c>
      <c r="G736" t="s">
        <v>25</v>
      </c>
      <c r="H736">
        <v>0</v>
      </c>
      <c r="I736" t="s">
        <v>386</v>
      </c>
    </row>
    <row r="737" spans="1:9" x14ac:dyDescent="0.25">
      <c r="A737" t="s">
        <v>2189</v>
      </c>
      <c r="B737">
        <f t="shared" si="11"/>
        <v>5856</v>
      </c>
      <c r="C737" t="s">
        <v>2190</v>
      </c>
      <c r="D737" t="s">
        <v>364</v>
      </c>
      <c r="E737" t="s">
        <v>81</v>
      </c>
      <c r="F737" t="s">
        <v>81</v>
      </c>
      <c r="G737" t="s">
        <v>81</v>
      </c>
      <c r="H737">
        <v>1</v>
      </c>
      <c r="I737" t="s">
        <v>392</v>
      </c>
    </row>
    <row r="738" spans="1:9" x14ac:dyDescent="0.25">
      <c r="A738" t="s">
        <v>2191</v>
      </c>
      <c r="B738">
        <f t="shared" si="11"/>
        <v>5862</v>
      </c>
      <c r="C738" t="s">
        <v>2192</v>
      </c>
      <c r="D738" t="s">
        <v>364</v>
      </c>
      <c r="E738" t="s">
        <v>119</v>
      </c>
      <c r="F738" t="s">
        <v>326</v>
      </c>
      <c r="G738" t="s">
        <v>312</v>
      </c>
      <c r="H738">
        <v>0</v>
      </c>
      <c r="I738" t="s">
        <v>382</v>
      </c>
    </row>
    <row r="739" spans="1:9" x14ac:dyDescent="0.25">
      <c r="A739" t="s">
        <v>894</v>
      </c>
      <c r="B739">
        <f t="shared" si="11"/>
        <v>5863</v>
      </c>
      <c r="C739" t="s">
        <v>895</v>
      </c>
      <c r="D739" t="s">
        <v>364</v>
      </c>
      <c r="E739" t="s">
        <v>119</v>
      </c>
      <c r="F739" t="s">
        <v>323</v>
      </c>
      <c r="G739" t="s">
        <v>26</v>
      </c>
      <c r="H739">
        <v>0</v>
      </c>
      <c r="I739" t="s">
        <v>394</v>
      </c>
    </row>
    <row r="740" spans="1:9" x14ac:dyDescent="0.25">
      <c r="A740" t="s">
        <v>1475</v>
      </c>
      <c r="B740">
        <f t="shared" si="11"/>
        <v>5864</v>
      </c>
      <c r="C740" t="s">
        <v>1476</v>
      </c>
      <c r="D740" t="s">
        <v>364</v>
      </c>
      <c r="E740" t="s">
        <v>119</v>
      </c>
      <c r="F740" t="s">
        <v>326</v>
      </c>
      <c r="G740" t="s">
        <v>324</v>
      </c>
      <c r="H740">
        <v>0</v>
      </c>
      <c r="I740" t="s">
        <v>379</v>
      </c>
    </row>
    <row r="741" spans="1:9" x14ac:dyDescent="0.25">
      <c r="A741" t="s">
        <v>2193</v>
      </c>
      <c r="B741">
        <f t="shared" si="11"/>
        <v>5865</v>
      </c>
      <c r="C741" t="s">
        <v>2194</v>
      </c>
      <c r="D741" t="s">
        <v>364</v>
      </c>
      <c r="E741" t="s">
        <v>119</v>
      </c>
      <c r="F741" t="s">
        <v>323</v>
      </c>
      <c r="G741" t="s">
        <v>29</v>
      </c>
      <c r="H741">
        <v>0</v>
      </c>
      <c r="I741" t="s">
        <v>391</v>
      </c>
    </row>
    <row r="742" spans="1:9" x14ac:dyDescent="0.25">
      <c r="A742" t="s">
        <v>2762</v>
      </c>
      <c r="B742">
        <f t="shared" si="11"/>
        <v>5866</v>
      </c>
      <c r="C742" t="s">
        <v>2763</v>
      </c>
      <c r="D742" t="s">
        <v>364</v>
      </c>
      <c r="E742" t="s">
        <v>119</v>
      </c>
      <c r="F742" t="s">
        <v>323</v>
      </c>
      <c r="G742" t="s">
        <v>324</v>
      </c>
      <c r="H742">
        <v>0</v>
      </c>
      <c r="I742" t="s">
        <v>379</v>
      </c>
    </row>
    <row r="743" spans="1:9" x14ac:dyDescent="0.25">
      <c r="A743" t="s">
        <v>2195</v>
      </c>
      <c r="B743">
        <f t="shared" si="11"/>
        <v>5868</v>
      </c>
      <c r="C743" t="s">
        <v>2196</v>
      </c>
      <c r="D743" t="s">
        <v>364</v>
      </c>
      <c r="E743" t="s">
        <v>81</v>
      </c>
      <c r="F743" t="s">
        <v>81</v>
      </c>
      <c r="G743" t="s">
        <v>81</v>
      </c>
      <c r="H743">
        <v>0</v>
      </c>
      <c r="I743" t="s">
        <v>420</v>
      </c>
    </row>
    <row r="744" spans="1:9" x14ac:dyDescent="0.25">
      <c r="A744" t="s">
        <v>371</v>
      </c>
      <c r="B744">
        <f t="shared" si="11"/>
        <v>5870</v>
      </c>
      <c r="C744" t="s">
        <v>372</v>
      </c>
      <c r="D744" t="s">
        <v>364</v>
      </c>
      <c r="E744" t="s">
        <v>119</v>
      </c>
      <c r="F744" t="s">
        <v>323</v>
      </c>
      <c r="G744" t="s">
        <v>25</v>
      </c>
      <c r="H744">
        <v>0</v>
      </c>
      <c r="I744" t="s">
        <v>386</v>
      </c>
    </row>
    <row r="745" spans="1:9" x14ac:dyDescent="0.25">
      <c r="A745" t="s">
        <v>1128</v>
      </c>
      <c r="B745">
        <f t="shared" si="11"/>
        <v>5876</v>
      </c>
      <c r="C745" t="s">
        <v>1129</v>
      </c>
      <c r="D745" t="s">
        <v>364</v>
      </c>
      <c r="E745" t="s">
        <v>119</v>
      </c>
      <c r="F745" t="s">
        <v>872</v>
      </c>
      <c r="G745" t="s">
        <v>324</v>
      </c>
      <c r="H745">
        <v>0</v>
      </c>
      <c r="I745" t="s">
        <v>379</v>
      </c>
    </row>
    <row r="746" spans="1:9" x14ac:dyDescent="0.25">
      <c r="A746" t="s">
        <v>4010</v>
      </c>
      <c r="B746">
        <f t="shared" si="11"/>
        <v>5879</v>
      </c>
      <c r="C746" t="s">
        <v>4011</v>
      </c>
      <c r="D746" t="s">
        <v>72</v>
      </c>
      <c r="E746" t="s">
        <v>81</v>
      </c>
      <c r="F746" t="s">
        <v>81</v>
      </c>
      <c r="G746" t="s">
        <v>81</v>
      </c>
      <c r="H746">
        <v>1</v>
      </c>
      <c r="I746" t="s">
        <v>791</v>
      </c>
    </row>
    <row r="747" spans="1:9" x14ac:dyDescent="0.25">
      <c r="A747" t="s">
        <v>4517</v>
      </c>
      <c r="B747">
        <f t="shared" si="11"/>
        <v>5880</v>
      </c>
      <c r="C747" t="s">
        <v>4518</v>
      </c>
      <c r="D747" t="s">
        <v>72</v>
      </c>
      <c r="E747" t="s">
        <v>119</v>
      </c>
      <c r="F747" t="s">
        <v>327</v>
      </c>
      <c r="G747" t="s">
        <v>324</v>
      </c>
      <c r="H747">
        <v>0</v>
      </c>
      <c r="I747" t="s">
        <v>379</v>
      </c>
    </row>
    <row r="748" spans="1:9" x14ac:dyDescent="0.25">
      <c r="A748" t="s">
        <v>1718</v>
      </c>
      <c r="B748">
        <f t="shared" si="11"/>
        <v>5905</v>
      </c>
      <c r="C748" t="s">
        <v>1719</v>
      </c>
      <c r="D748" t="s">
        <v>364</v>
      </c>
      <c r="E748" t="s">
        <v>81</v>
      </c>
      <c r="F748" t="s">
        <v>81</v>
      </c>
      <c r="G748" t="s">
        <v>81</v>
      </c>
      <c r="H748">
        <v>1</v>
      </c>
      <c r="I748" t="s">
        <v>1049</v>
      </c>
    </row>
    <row r="749" spans="1:9" x14ac:dyDescent="0.25">
      <c r="A749" t="s">
        <v>2197</v>
      </c>
      <c r="B749">
        <f t="shared" si="11"/>
        <v>5910</v>
      </c>
      <c r="C749" t="s">
        <v>2198</v>
      </c>
      <c r="D749" t="s">
        <v>364</v>
      </c>
      <c r="E749" t="s">
        <v>119</v>
      </c>
      <c r="F749" t="s">
        <v>330</v>
      </c>
      <c r="G749" t="s">
        <v>315</v>
      </c>
      <c r="H749">
        <v>0</v>
      </c>
      <c r="I749" t="s">
        <v>405</v>
      </c>
    </row>
    <row r="750" spans="1:9" x14ac:dyDescent="0.25">
      <c r="A750" t="s">
        <v>2199</v>
      </c>
      <c r="B750">
        <f t="shared" si="11"/>
        <v>5920</v>
      </c>
      <c r="C750" t="s">
        <v>2200</v>
      </c>
      <c r="D750" t="s">
        <v>364</v>
      </c>
      <c r="E750" t="s">
        <v>119</v>
      </c>
      <c r="F750" t="s">
        <v>327</v>
      </c>
      <c r="G750" t="s">
        <v>324</v>
      </c>
      <c r="H750">
        <v>0</v>
      </c>
      <c r="I750" t="s">
        <v>379</v>
      </c>
    </row>
    <row r="751" spans="1:9" x14ac:dyDescent="0.25">
      <c r="A751" t="s">
        <v>3640</v>
      </c>
      <c r="B751">
        <f t="shared" si="11"/>
        <v>5921</v>
      </c>
      <c r="C751" t="s">
        <v>3641</v>
      </c>
      <c r="D751" t="s">
        <v>364</v>
      </c>
      <c r="E751" t="s">
        <v>119</v>
      </c>
      <c r="F751" t="s">
        <v>327</v>
      </c>
      <c r="G751" t="s">
        <v>312</v>
      </c>
      <c r="H751">
        <v>0</v>
      </c>
      <c r="I751" t="s">
        <v>382</v>
      </c>
    </row>
    <row r="752" spans="1:9" x14ac:dyDescent="0.25">
      <c r="A752" t="s">
        <v>675</v>
      </c>
      <c r="B752">
        <f t="shared" si="11"/>
        <v>5924</v>
      </c>
      <c r="C752" t="s">
        <v>676</v>
      </c>
      <c r="D752" t="s">
        <v>364</v>
      </c>
      <c r="E752" t="s">
        <v>119</v>
      </c>
      <c r="F752" t="s">
        <v>327</v>
      </c>
      <c r="G752" t="s">
        <v>324</v>
      </c>
      <c r="H752">
        <v>0</v>
      </c>
      <c r="I752" t="s">
        <v>379</v>
      </c>
    </row>
    <row r="753" spans="1:9" x14ac:dyDescent="0.25">
      <c r="A753" t="s">
        <v>896</v>
      </c>
      <c r="B753">
        <f t="shared" si="11"/>
        <v>5925</v>
      </c>
      <c r="C753" t="s">
        <v>897</v>
      </c>
      <c r="D753" t="s">
        <v>364</v>
      </c>
      <c r="E753" t="s">
        <v>119</v>
      </c>
      <c r="F753" t="s">
        <v>328</v>
      </c>
      <c r="G753" t="s">
        <v>312</v>
      </c>
      <c r="H753">
        <v>0</v>
      </c>
      <c r="I753" t="s">
        <v>382</v>
      </c>
    </row>
    <row r="754" spans="1:9" x14ac:dyDescent="0.25">
      <c r="A754" t="s">
        <v>2201</v>
      </c>
      <c r="B754">
        <f t="shared" si="11"/>
        <v>5928</v>
      </c>
      <c r="C754" t="s">
        <v>2202</v>
      </c>
      <c r="D754" t="s">
        <v>364</v>
      </c>
      <c r="E754" t="s">
        <v>119</v>
      </c>
      <c r="F754" t="s">
        <v>323</v>
      </c>
      <c r="G754" t="s">
        <v>324</v>
      </c>
      <c r="H754">
        <v>0</v>
      </c>
      <c r="I754" t="s">
        <v>379</v>
      </c>
    </row>
    <row r="755" spans="1:9" x14ac:dyDescent="0.25">
      <c r="A755" t="s">
        <v>2203</v>
      </c>
      <c r="B755">
        <f t="shared" si="11"/>
        <v>5929</v>
      </c>
      <c r="C755" t="s">
        <v>2204</v>
      </c>
      <c r="D755" t="s">
        <v>364</v>
      </c>
      <c r="E755" t="s">
        <v>119</v>
      </c>
      <c r="F755" t="s">
        <v>327</v>
      </c>
      <c r="G755" t="s">
        <v>324</v>
      </c>
      <c r="H755">
        <v>0</v>
      </c>
      <c r="I755" t="s">
        <v>379</v>
      </c>
    </row>
    <row r="756" spans="1:9" x14ac:dyDescent="0.25">
      <c r="A756" t="s">
        <v>1130</v>
      </c>
      <c r="B756">
        <f t="shared" si="11"/>
        <v>5930</v>
      </c>
      <c r="C756" t="s">
        <v>1131</v>
      </c>
      <c r="D756" t="s">
        <v>72</v>
      </c>
      <c r="E756" t="s">
        <v>81</v>
      </c>
      <c r="F756" t="s">
        <v>81</v>
      </c>
      <c r="G756" t="s">
        <v>81</v>
      </c>
      <c r="H756">
        <v>0</v>
      </c>
      <c r="I756" t="s">
        <v>667</v>
      </c>
    </row>
    <row r="757" spans="1:9" x14ac:dyDescent="0.25">
      <c r="A757" t="s">
        <v>2205</v>
      </c>
      <c r="B757">
        <f t="shared" si="11"/>
        <v>5931</v>
      </c>
      <c r="C757" t="s">
        <v>2206</v>
      </c>
      <c r="D757" t="s">
        <v>364</v>
      </c>
      <c r="E757" t="s">
        <v>119</v>
      </c>
      <c r="F757" t="s">
        <v>327</v>
      </c>
      <c r="G757" t="s">
        <v>312</v>
      </c>
      <c r="H757">
        <v>0</v>
      </c>
      <c r="I757" t="s">
        <v>382</v>
      </c>
    </row>
    <row r="758" spans="1:9" x14ac:dyDescent="0.25">
      <c r="A758" t="s">
        <v>185</v>
      </c>
      <c r="B758">
        <f t="shared" si="11"/>
        <v>5932</v>
      </c>
      <c r="C758" t="s">
        <v>186</v>
      </c>
      <c r="D758" t="s">
        <v>72</v>
      </c>
      <c r="E758" t="s">
        <v>81</v>
      </c>
      <c r="F758" t="s">
        <v>81</v>
      </c>
      <c r="G758" t="s">
        <v>81</v>
      </c>
      <c r="H758">
        <v>0</v>
      </c>
      <c r="I758" t="s">
        <v>1477</v>
      </c>
    </row>
    <row r="759" spans="1:9" x14ac:dyDescent="0.25">
      <c r="A759" t="s">
        <v>2207</v>
      </c>
      <c r="B759">
        <f t="shared" si="11"/>
        <v>5934</v>
      </c>
      <c r="C759" t="s">
        <v>2208</v>
      </c>
      <c r="D759" t="s">
        <v>364</v>
      </c>
      <c r="E759" t="s">
        <v>119</v>
      </c>
      <c r="F759" t="s">
        <v>327</v>
      </c>
      <c r="G759" t="s">
        <v>324</v>
      </c>
      <c r="H759">
        <v>0</v>
      </c>
      <c r="I759" t="s">
        <v>379</v>
      </c>
    </row>
    <row r="760" spans="1:9" x14ac:dyDescent="0.25">
      <c r="A760" t="s">
        <v>1478</v>
      </c>
      <c r="B760">
        <f t="shared" si="11"/>
        <v>5935</v>
      </c>
      <c r="C760" t="s">
        <v>1479</v>
      </c>
      <c r="D760" t="s">
        <v>364</v>
      </c>
      <c r="E760" t="s">
        <v>119</v>
      </c>
      <c r="F760" t="s">
        <v>326</v>
      </c>
      <c r="G760" t="s">
        <v>324</v>
      </c>
      <c r="H760">
        <v>0</v>
      </c>
      <c r="I760" t="s">
        <v>379</v>
      </c>
    </row>
    <row r="761" spans="1:9" x14ac:dyDescent="0.25">
      <c r="A761" t="s">
        <v>771</v>
      </c>
      <c r="B761">
        <f t="shared" si="11"/>
        <v>5937</v>
      </c>
      <c r="C761" t="s">
        <v>772</v>
      </c>
      <c r="D761" t="s">
        <v>364</v>
      </c>
      <c r="E761" t="s">
        <v>119</v>
      </c>
      <c r="F761" t="s">
        <v>327</v>
      </c>
      <c r="G761" t="s">
        <v>324</v>
      </c>
      <c r="H761">
        <v>0</v>
      </c>
      <c r="I761" t="s">
        <v>379</v>
      </c>
    </row>
    <row r="762" spans="1:9" x14ac:dyDescent="0.25">
      <c r="A762" t="s">
        <v>2781</v>
      </c>
      <c r="B762">
        <f t="shared" si="11"/>
        <v>5938</v>
      </c>
      <c r="C762" t="s">
        <v>2782</v>
      </c>
      <c r="D762" t="s">
        <v>364</v>
      </c>
      <c r="E762" t="s">
        <v>119</v>
      </c>
      <c r="F762" t="s">
        <v>327</v>
      </c>
      <c r="G762" t="s">
        <v>324</v>
      </c>
      <c r="H762">
        <v>0</v>
      </c>
      <c r="I762" t="s">
        <v>379</v>
      </c>
    </row>
    <row r="763" spans="1:9" x14ac:dyDescent="0.25">
      <c r="A763" t="s">
        <v>187</v>
      </c>
      <c r="B763">
        <f t="shared" si="11"/>
        <v>5942</v>
      </c>
      <c r="C763" t="s">
        <v>188</v>
      </c>
      <c r="D763" t="s">
        <v>364</v>
      </c>
      <c r="E763" t="s">
        <v>119</v>
      </c>
      <c r="F763" t="s">
        <v>327</v>
      </c>
      <c r="G763" t="s">
        <v>324</v>
      </c>
      <c r="H763">
        <v>0</v>
      </c>
      <c r="I763" t="s">
        <v>379</v>
      </c>
    </row>
    <row r="764" spans="1:9" x14ac:dyDescent="0.25">
      <c r="A764" t="s">
        <v>1480</v>
      </c>
      <c r="B764">
        <f t="shared" si="11"/>
        <v>5943</v>
      </c>
      <c r="C764" t="s">
        <v>1481</v>
      </c>
      <c r="D764" t="s">
        <v>364</v>
      </c>
      <c r="E764" t="s">
        <v>119</v>
      </c>
      <c r="F764" t="s">
        <v>872</v>
      </c>
      <c r="G764" t="s">
        <v>29</v>
      </c>
      <c r="H764">
        <v>0</v>
      </c>
      <c r="I764" t="s">
        <v>1482</v>
      </c>
    </row>
    <row r="765" spans="1:9" x14ac:dyDescent="0.25">
      <c r="A765" t="s">
        <v>1708</v>
      </c>
      <c r="B765">
        <f t="shared" si="11"/>
        <v>5948</v>
      </c>
      <c r="C765" t="s">
        <v>1709</v>
      </c>
      <c r="D765" t="s">
        <v>72</v>
      </c>
      <c r="E765" t="s">
        <v>119</v>
      </c>
      <c r="F765" t="s">
        <v>326</v>
      </c>
      <c r="G765" t="s">
        <v>329</v>
      </c>
      <c r="H765">
        <v>0</v>
      </c>
      <c r="I765" t="s">
        <v>377</v>
      </c>
    </row>
    <row r="766" spans="1:9" x14ac:dyDescent="0.25">
      <c r="A766" t="s">
        <v>2209</v>
      </c>
      <c r="B766">
        <f t="shared" si="11"/>
        <v>5951</v>
      </c>
      <c r="C766" t="s">
        <v>2210</v>
      </c>
      <c r="D766" t="s">
        <v>364</v>
      </c>
      <c r="E766" t="s">
        <v>119</v>
      </c>
      <c r="F766" t="s">
        <v>328</v>
      </c>
      <c r="G766" t="s">
        <v>324</v>
      </c>
      <c r="H766">
        <v>0</v>
      </c>
      <c r="I766" t="s">
        <v>379</v>
      </c>
    </row>
    <row r="767" spans="1:9" x14ac:dyDescent="0.25">
      <c r="A767" t="s">
        <v>2211</v>
      </c>
      <c r="B767">
        <f t="shared" si="11"/>
        <v>5954</v>
      </c>
      <c r="C767" t="s">
        <v>2212</v>
      </c>
      <c r="D767" t="s">
        <v>364</v>
      </c>
      <c r="E767" t="s">
        <v>119</v>
      </c>
      <c r="F767" t="s">
        <v>323</v>
      </c>
      <c r="G767" t="s">
        <v>314</v>
      </c>
      <c r="H767">
        <v>0</v>
      </c>
      <c r="I767" t="s">
        <v>468</v>
      </c>
    </row>
    <row r="768" spans="1:9" x14ac:dyDescent="0.25">
      <c r="A768" t="s">
        <v>1483</v>
      </c>
      <c r="B768">
        <f t="shared" si="11"/>
        <v>5955</v>
      </c>
      <c r="C768" t="s">
        <v>1484</v>
      </c>
      <c r="D768" t="s">
        <v>364</v>
      </c>
      <c r="E768" t="s">
        <v>119</v>
      </c>
      <c r="F768" t="s">
        <v>326</v>
      </c>
      <c r="G768" t="s">
        <v>324</v>
      </c>
      <c r="H768">
        <v>0</v>
      </c>
      <c r="I768" t="s">
        <v>379</v>
      </c>
    </row>
    <row r="769" spans="1:9" x14ac:dyDescent="0.25">
      <c r="A769" t="s">
        <v>2213</v>
      </c>
      <c r="B769">
        <f t="shared" si="11"/>
        <v>5957</v>
      </c>
      <c r="C769" t="s">
        <v>2214</v>
      </c>
      <c r="D769" t="s">
        <v>364</v>
      </c>
      <c r="E769" t="s">
        <v>119</v>
      </c>
      <c r="F769" t="s">
        <v>327</v>
      </c>
      <c r="G769" t="s">
        <v>324</v>
      </c>
      <c r="H769">
        <v>0</v>
      </c>
      <c r="I769" t="s">
        <v>379</v>
      </c>
    </row>
    <row r="770" spans="1:9" x14ac:dyDescent="0.25">
      <c r="A770" t="s">
        <v>2215</v>
      </c>
      <c r="B770">
        <f t="shared" si="11"/>
        <v>5958</v>
      </c>
      <c r="C770" t="s">
        <v>2216</v>
      </c>
      <c r="D770" t="s">
        <v>364</v>
      </c>
      <c r="E770" t="s">
        <v>119</v>
      </c>
      <c r="F770" t="s">
        <v>323</v>
      </c>
      <c r="G770" t="s">
        <v>329</v>
      </c>
      <c r="H770">
        <v>0</v>
      </c>
      <c r="I770" t="s">
        <v>377</v>
      </c>
    </row>
    <row r="771" spans="1:9" x14ac:dyDescent="0.25">
      <c r="A771" t="s">
        <v>2217</v>
      </c>
      <c r="B771">
        <f t="shared" si="11"/>
        <v>5959</v>
      </c>
      <c r="C771" t="s">
        <v>2218</v>
      </c>
      <c r="D771" t="s">
        <v>364</v>
      </c>
      <c r="E771" t="s">
        <v>81</v>
      </c>
      <c r="F771" t="s">
        <v>81</v>
      </c>
      <c r="G771" t="s">
        <v>81</v>
      </c>
      <c r="H771">
        <v>0</v>
      </c>
      <c r="I771" t="s">
        <v>2219</v>
      </c>
    </row>
    <row r="772" spans="1:9" x14ac:dyDescent="0.25">
      <c r="A772" t="s">
        <v>1132</v>
      </c>
      <c r="B772">
        <f t="shared" ref="B772:B835" si="12">_xlfn.NUMBERVALUE(A772,"#####")</f>
        <v>5960</v>
      </c>
      <c r="C772" t="s">
        <v>1133</v>
      </c>
      <c r="D772" t="s">
        <v>364</v>
      </c>
      <c r="E772" t="s">
        <v>119</v>
      </c>
      <c r="F772" t="s">
        <v>345</v>
      </c>
      <c r="G772" t="s">
        <v>357</v>
      </c>
      <c r="H772">
        <v>0</v>
      </c>
      <c r="I772" t="s">
        <v>947</v>
      </c>
    </row>
    <row r="773" spans="1:9" x14ac:dyDescent="0.25">
      <c r="A773" t="s">
        <v>2220</v>
      </c>
      <c r="B773">
        <f t="shared" si="12"/>
        <v>5963</v>
      </c>
      <c r="C773" t="s">
        <v>2221</v>
      </c>
      <c r="D773" t="s">
        <v>364</v>
      </c>
      <c r="E773" t="s">
        <v>119</v>
      </c>
      <c r="F773" t="s">
        <v>323</v>
      </c>
      <c r="G773" t="s">
        <v>324</v>
      </c>
      <c r="H773">
        <v>0</v>
      </c>
      <c r="I773" t="s">
        <v>379</v>
      </c>
    </row>
    <row r="774" spans="1:9" x14ac:dyDescent="0.25">
      <c r="A774" t="s">
        <v>2222</v>
      </c>
      <c r="B774">
        <f t="shared" si="12"/>
        <v>5965</v>
      </c>
      <c r="C774" t="s">
        <v>2223</v>
      </c>
      <c r="D774" t="s">
        <v>364</v>
      </c>
      <c r="E774" t="s">
        <v>119</v>
      </c>
      <c r="F774" t="s">
        <v>326</v>
      </c>
      <c r="G774" t="s">
        <v>324</v>
      </c>
      <c r="H774">
        <v>0</v>
      </c>
      <c r="I774" t="s">
        <v>379</v>
      </c>
    </row>
    <row r="775" spans="1:9" x14ac:dyDescent="0.25">
      <c r="A775" t="s">
        <v>773</v>
      </c>
      <c r="B775">
        <f t="shared" si="12"/>
        <v>5967</v>
      </c>
      <c r="C775" t="s">
        <v>774</v>
      </c>
      <c r="D775" t="s">
        <v>364</v>
      </c>
      <c r="E775" t="s">
        <v>119</v>
      </c>
      <c r="F775" t="s">
        <v>327</v>
      </c>
      <c r="G775" t="s">
        <v>324</v>
      </c>
      <c r="H775">
        <v>0</v>
      </c>
      <c r="I775" t="s">
        <v>379</v>
      </c>
    </row>
    <row r="776" spans="1:9" x14ac:dyDescent="0.25">
      <c r="A776" t="s">
        <v>1720</v>
      </c>
      <c r="B776">
        <f t="shared" si="12"/>
        <v>5969</v>
      </c>
      <c r="C776" t="s">
        <v>1721</v>
      </c>
      <c r="D776" t="s">
        <v>364</v>
      </c>
      <c r="E776" t="s">
        <v>119</v>
      </c>
      <c r="F776" t="s">
        <v>327</v>
      </c>
      <c r="G776" t="s">
        <v>29</v>
      </c>
      <c r="H776">
        <v>0</v>
      </c>
      <c r="I776" t="s">
        <v>391</v>
      </c>
    </row>
    <row r="777" spans="1:9" x14ac:dyDescent="0.25">
      <c r="A777" t="s">
        <v>2960</v>
      </c>
      <c r="B777">
        <f t="shared" si="12"/>
        <v>5972</v>
      </c>
      <c r="C777" t="s">
        <v>2961</v>
      </c>
      <c r="D777" t="s">
        <v>364</v>
      </c>
      <c r="E777" t="s">
        <v>119</v>
      </c>
      <c r="F777" t="s">
        <v>318</v>
      </c>
      <c r="G777" t="s">
        <v>324</v>
      </c>
      <c r="H777">
        <v>0</v>
      </c>
      <c r="I777" t="s">
        <v>379</v>
      </c>
    </row>
    <row r="778" spans="1:9" x14ac:dyDescent="0.25">
      <c r="A778" t="s">
        <v>189</v>
      </c>
      <c r="B778">
        <f t="shared" si="12"/>
        <v>5974</v>
      </c>
      <c r="C778" t="s">
        <v>190</v>
      </c>
      <c r="D778" t="s">
        <v>72</v>
      </c>
      <c r="E778" t="s">
        <v>119</v>
      </c>
      <c r="F778" t="s">
        <v>323</v>
      </c>
      <c r="G778" t="s">
        <v>72</v>
      </c>
      <c r="H778">
        <v>1</v>
      </c>
      <c r="I778" t="s">
        <v>390</v>
      </c>
    </row>
    <row r="779" spans="1:9" x14ac:dyDescent="0.25">
      <c r="A779" t="s">
        <v>4216</v>
      </c>
      <c r="B779">
        <f t="shared" si="12"/>
        <v>5985</v>
      </c>
      <c r="C779" t="s">
        <v>4217</v>
      </c>
      <c r="D779" t="s">
        <v>72</v>
      </c>
      <c r="E779" t="s">
        <v>119</v>
      </c>
      <c r="F779" t="s">
        <v>327</v>
      </c>
      <c r="G779" t="s">
        <v>329</v>
      </c>
      <c r="H779">
        <v>0</v>
      </c>
      <c r="I779" t="s">
        <v>377</v>
      </c>
    </row>
    <row r="780" spans="1:9" x14ac:dyDescent="0.25">
      <c r="A780" t="s">
        <v>4218</v>
      </c>
      <c r="B780">
        <f t="shared" si="12"/>
        <v>5990</v>
      </c>
      <c r="C780" t="s">
        <v>4219</v>
      </c>
      <c r="D780" t="s">
        <v>72</v>
      </c>
      <c r="E780" t="s">
        <v>119</v>
      </c>
      <c r="F780" t="s">
        <v>323</v>
      </c>
      <c r="G780" t="s">
        <v>24</v>
      </c>
      <c r="H780">
        <v>0</v>
      </c>
      <c r="I780" t="s">
        <v>383</v>
      </c>
    </row>
    <row r="781" spans="1:9" x14ac:dyDescent="0.25">
      <c r="A781" t="s">
        <v>4519</v>
      </c>
      <c r="B781">
        <f t="shared" si="12"/>
        <v>5992</v>
      </c>
      <c r="C781" t="s">
        <v>4520</v>
      </c>
      <c r="D781" t="s">
        <v>72</v>
      </c>
      <c r="E781" t="s">
        <v>119</v>
      </c>
      <c r="F781" t="s">
        <v>325</v>
      </c>
      <c r="G781" t="s">
        <v>4132</v>
      </c>
      <c r="H781">
        <v>0</v>
      </c>
      <c r="I781" t="s">
        <v>4133</v>
      </c>
    </row>
    <row r="782" spans="1:9" x14ac:dyDescent="0.25">
      <c r="A782" t="s">
        <v>677</v>
      </c>
      <c r="B782">
        <f t="shared" si="12"/>
        <v>5996</v>
      </c>
      <c r="C782" t="s">
        <v>678</v>
      </c>
      <c r="D782" t="s">
        <v>364</v>
      </c>
      <c r="E782" t="s">
        <v>119</v>
      </c>
      <c r="F782" t="s">
        <v>318</v>
      </c>
      <c r="G782" t="s">
        <v>324</v>
      </c>
      <c r="H782">
        <v>0</v>
      </c>
      <c r="I782" t="s">
        <v>379</v>
      </c>
    </row>
    <row r="783" spans="1:9" x14ac:dyDescent="0.25">
      <c r="A783" t="s">
        <v>3306</v>
      </c>
      <c r="B783">
        <f t="shared" si="12"/>
        <v>5998</v>
      </c>
      <c r="C783" t="s">
        <v>3307</v>
      </c>
      <c r="D783" t="s">
        <v>72</v>
      </c>
      <c r="E783" t="s">
        <v>119</v>
      </c>
      <c r="F783" t="s">
        <v>318</v>
      </c>
      <c r="G783" t="s">
        <v>329</v>
      </c>
      <c r="H783">
        <v>0</v>
      </c>
      <c r="I783" t="s">
        <v>377</v>
      </c>
    </row>
    <row r="784" spans="1:9" x14ac:dyDescent="0.25">
      <c r="A784" t="s">
        <v>3991</v>
      </c>
      <c r="B784">
        <f t="shared" si="12"/>
        <v>5999</v>
      </c>
      <c r="C784" t="s">
        <v>3992</v>
      </c>
      <c r="D784" t="s">
        <v>72</v>
      </c>
      <c r="E784" t="s">
        <v>119</v>
      </c>
      <c r="F784" t="s">
        <v>326</v>
      </c>
      <c r="G784" t="s">
        <v>324</v>
      </c>
      <c r="H784">
        <v>0</v>
      </c>
      <c r="I784" t="s">
        <v>379</v>
      </c>
    </row>
    <row r="785" spans="1:9" x14ac:dyDescent="0.25">
      <c r="A785" t="s">
        <v>3096</v>
      </c>
      <c r="B785">
        <f t="shared" si="12"/>
        <v>6001</v>
      </c>
      <c r="C785" t="s">
        <v>3097</v>
      </c>
      <c r="D785" t="s">
        <v>364</v>
      </c>
      <c r="E785" t="s">
        <v>119</v>
      </c>
      <c r="F785" t="s">
        <v>327</v>
      </c>
      <c r="G785" t="s">
        <v>324</v>
      </c>
      <c r="H785">
        <v>0</v>
      </c>
      <c r="I785" t="s">
        <v>379</v>
      </c>
    </row>
    <row r="786" spans="1:9" x14ac:dyDescent="0.25">
      <c r="A786" t="s">
        <v>1134</v>
      </c>
      <c r="B786">
        <f t="shared" si="12"/>
        <v>6002</v>
      </c>
      <c r="C786" t="s">
        <v>1135</v>
      </c>
      <c r="D786" t="s">
        <v>364</v>
      </c>
      <c r="E786" t="s">
        <v>119</v>
      </c>
      <c r="F786" t="s">
        <v>327</v>
      </c>
      <c r="G786" t="s">
        <v>324</v>
      </c>
      <c r="H786">
        <v>0</v>
      </c>
      <c r="I786" t="s">
        <v>379</v>
      </c>
    </row>
    <row r="787" spans="1:9" x14ac:dyDescent="0.25">
      <c r="A787" t="s">
        <v>3162</v>
      </c>
      <c r="B787">
        <f t="shared" si="12"/>
        <v>6005</v>
      </c>
      <c r="C787" t="s">
        <v>3163</v>
      </c>
      <c r="D787" t="s">
        <v>364</v>
      </c>
      <c r="E787" t="s">
        <v>119</v>
      </c>
      <c r="F787" t="s">
        <v>318</v>
      </c>
      <c r="G787" t="s">
        <v>29</v>
      </c>
      <c r="H787">
        <v>0</v>
      </c>
      <c r="I787" t="s">
        <v>391</v>
      </c>
    </row>
    <row r="788" spans="1:9" x14ac:dyDescent="0.25">
      <c r="A788" t="s">
        <v>2224</v>
      </c>
      <c r="B788">
        <f t="shared" si="12"/>
        <v>6090</v>
      </c>
      <c r="C788" t="s">
        <v>2225</v>
      </c>
      <c r="D788" t="s">
        <v>364</v>
      </c>
      <c r="E788" t="s">
        <v>119</v>
      </c>
      <c r="F788" t="s">
        <v>345</v>
      </c>
      <c r="G788" t="s">
        <v>24</v>
      </c>
      <c r="H788">
        <v>0</v>
      </c>
      <c r="I788" t="s">
        <v>383</v>
      </c>
    </row>
    <row r="789" spans="1:9" x14ac:dyDescent="0.25">
      <c r="A789" t="s">
        <v>3492</v>
      </c>
      <c r="B789">
        <f t="shared" si="12"/>
        <v>6100</v>
      </c>
      <c r="C789" t="s">
        <v>3493</v>
      </c>
      <c r="D789" t="s">
        <v>72</v>
      </c>
      <c r="E789" t="s">
        <v>81</v>
      </c>
      <c r="F789" t="s">
        <v>81</v>
      </c>
      <c r="G789" t="s">
        <v>81</v>
      </c>
      <c r="H789">
        <v>1</v>
      </c>
      <c r="I789" t="s">
        <v>791</v>
      </c>
    </row>
    <row r="790" spans="1:9" x14ac:dyDescent="0.25">
      <c r="A790" t="s">
        <v>2226</v>
      </c>
      <c r="B790">
        <f t="shared" si="12"/>
        <v>6101</v>
      </c>
      <c r="C790" t="s">
        <v>2227</v>
      </c>
      <c r="D790" t="s">
        <v>364</v>
      </c>
      <c r="E790" t="s">
        <v>119</v>
      </c>
      <c r="F790" t="s">
        <v>318</v>
      </c>
      <c r="G790" t="s">
        <v>324</v>
      </c>
      <c r="H790">
        <v>0</v>
      </c>
      <c r="I790" t="s">
        <v>379</v>
      </c>
    </row>
    <row r="791" spans="1:9" x14ac:dyDescent="0.25">
      <c r="A791" t="s">
        <v>2883</v>
      </c>
      <c r="B791">
        <f t="shared" si="12"/>
        <v>6105</v>
      </c>
      <c r="C791" t="s">
        <v>2913</v>
      </c>
      <c r="D791" t="s">
        <v>72</v>
      </c>
      <c r="E791" t="s">
        <v>81</v>
      </c>
      <c r="F791" t="s">
        <v>81</v>
      </c>
      <c r="G791" t="s">
        <v>81</v>
      </c>
      <c r="H791">
        <v>1</v>
      </c>
      <c r="I791" t="s">
        <v>2884</v>
      </c>
    </row>
    <row r="792" spans="1:9" x14ac:dyDescent="0.25">
      <c r="A792" t="s">
        <v>2228</v>
      </c>
      <c r="B792">
        <f t="shared" si="12"/>
        <v>6108</v>
      </c>
      <c r="C792" t="s">
        <v>2229</v>
      </c>
      <c r="D792" t="s">
        <v>364</v>
      </c>
      <c r="E792" t="s">
        <v>119</v>
      </c>
      <c r="F792" t="s">
        <v>318</v>
      </c>
      <c r="G792" t="s">
        <v>467</v>
      </c>
      <c r="H792">
        <v>0</v>
      </c>
      <c r="I792" t="s">
        <v>2230</v>
      </c>
    </row>
    <row r="793" spans="1:9" x14ac:dyDescent="0.25">
      <c r="A793" t="s">
        <v>1485</v>
      </c>
      <c r="B793">
        <f t="shared" si="12"/>
        <v>6110</v>
      </c>
      <c r="C793" t="s">
        <v>1486</v>
      </c>
      <c r="D793" t="s">
        <v>364</v>
      </c>
      <c r="E793" t="s">
        <v>119</v>
      </c>
      <c r="F793" t="s">
        <v>345</v>
      </c>
      <c r="G793" t="s">
        <v>72</v>
      </c>
      <c r="H793">
        <v>0</v>
      </c>
      <c r="I793" t="s">
        <v>390</v>
      </c>
    </row>
    <row r="794" spans="1:9" x14ac:dyDescent="0.25">
      <c r="A794" t="s">
        <v>2231</v>
      </c>
      <c r="B794">
        <f t="shared" si="12"/>
        <v>6112</v>
      </c>
      <c r="C794" t="s">
        <v>2232</v>
      </c>
      <c r="D794" t="s">
        <v>364</v>
      </c>
      <c r="E794" t="s">
        <v>119</v>
      </c>
      <c r="F794" t="s">
        <v>327</v>
      </c>
      <c r="G794" t="s">
        <v>324</v>
      </c>
      <c r="H794">
        <v>0</v>
      </c>
      <c r="I794" t="s">
        <v>379</v>
      </c>
    </row>
    <row r="795" spans="1:9" x14ac:dyDescent="0.25">
      <c r="A795" t="s">
        <v>972</v>
      </c>
      <c r="B795">
        <f t="shared" si="12"/>
        <v>6114</v>
      </c>
      <c r="C795" t="s">
        <v>973</v>
      </c>
      <c r="D795" t="s">
        <v>364</v>
      </c>
      <c r="E795" t="s">
        <v>119</v>
      </c>
      <c r="F795" t="s">
        <v>872</v>
      </c>
      <c r="G795" t="s">
        <v>317</v>
      </c>
      <c r="H795">
        <v>0</v>
      </c>
      <c r="I795" t="s">
        <v>384</v>
      </c>
    </row>
    <row r="796" spans="1:9" x14ac:dyDescent="0.25">
      <c r="A796" t="s">
        <v>679</v>
      </c>
      <c r="B796">
        <f t="shared" si="12"/>
        <v>6117</v>
      </c>
      <c r="C796" t="s">
        <v>680</v>
      </c>
      <c r="D796" t="s">
        <v>364</v>
      </c>
      <c r="E796" t="s">
        <v>119</v>
      </c>
      <c r="F796" t="s">
        <v>326</v>
      </c>
      <c r="G796" t="s">
        <v>324</v>
      </c>
      <c r="H796">
        <v>0</v>
      </c>
      <c r="I796" t="s">
        <v>379</v>
      </c>
    </row>
    <row r="797" spans="1:9" x14ac:dyDescent="0.25">
      <c r="A797" t="s">
        <v>1136</v>
      </c>
      <c r="B797">
        <f t="shared" si="12"/>
        <v>6118</v>
      </c>
      <c r="C797" t="s">
        <v>1137</v>
      </c>
      <c r="D797" t="s">
        <v>364</v>
      </c>
      <c r="E797" t="s">
        <v>81</v>
      </c>
      <c r="F797" t="s">
        <v>81</v>
      </c>
      <c r="G797" t="s">
        <v>81</v>
      </c>
      <c r="H797">
        <v>0</v>
      </c>
      <c r="I797" t="s">
        <v>618</v>
      </c>
    </row>
    <row r="798" spans="1:9" x14ac:dyDescent="0.25">
      <c r="A798" t="s">
        <v>1487</v>
      </c>
      <c r="B798">
        <f t="shared" si="12"/>
        <v>6119</v>
      </c>
      <c r="C798" t="s">
        <v>1488</v>
      </c>
      <c r="D798" t="s">
        <v>364</v>
      </c>
      <c r="E798" t="s">
        <v>119</v>
      </c>
      <c r="F798" t="s">
        <v>327</v>
      </c>
      <c r="G798" t="s">
        <v>28</v>
      </c>
      <c r="H798">
        <v>0</v>
      </c>
      <c r="I798" t="s">
        <v>376</v>
      </c>
    </row>
    <row r="799" spans="1:9" x14ac:dyDescent="0.25">
      <c r="A799" t="s">
        <v>3289</v>
      </c>
      <c r="B799">
        <f t="shared" si="12"/>
        <v>6121</v>
      </c>
      <c r="C799" t="s">
        <v>3290</v>
      </c>
      <c r="D799" t="s">
        <v>364</v>
      </c>
      <c r="E799" t="s">
        <v>119</v>
      </c>
      <c r="F799" t="s">
        <v>318</v>
      </c>
      <c r="G799" t="s">
        <v>324</v>
      </c>
      <c r="H799">
        <v>0</v>
      </c>
      <c r="I799" t="s">
        <v>379</v>
      </c>
    </row>
    <row r="800" spans="1:9" x14ac:dyDescent="0.25">
      <c r="A800" t="s">
        <v>3685</v>
      </c>
      <c r="B800">
        <f t="shared" si="12"/>
        <v>6122</v>
      </c>
      <c r="C800" t="s">
        <v>3686</v>
      </c>
      <c r="D800" t="s">
        <v>72</v>
      </c>
      <c r="E800" t="s">
        <v>119</v>
      </c>
      <c r="F800" t="s">
        <v>318</v>
      </c>
      <c r="G800" t="s">
        <v>29</v>
      </c>
      <c r="H800">
        <v>0</v>
      </c>
      <c r="I800" t="s">
        <v>391</v>
      </c>
    </row>
    <row r="801" spans="1:9" x14ac:dyDescent="0.25">
      <c r="A801" t="s">
        <v>4220</v>
      </c>
      <c r="B801">
        <f t="shared" si="12"/>
        <v>6123</v>
      </c>
      <c r="C801" t="s">
        <v>4221</v>
      </c>
      <c r="D801" t="s">
        <v>72</v>
      </c>
      <c r="E801" t="s">
        <v>119</v>
      </c>
      <c r="F801" t="s">
        <v>467</v>
      </c>
      <c r="G801" t="s">
        <v>312</v>
      </c>
      <c r="H801">
        <v>0</v>
      </c>
      <c r="I801" t="s">
        <v>382</v>
      </c>
    </row>
    <row r="802" spans="1:9" x14ac:dyDescent="0.25">
      <c r="A802" t="s">
        <v>4222</v>
      </c>
      <c r="B802">
        <f t="shared" si="12"/>
        <v>6124</v>
      </c>
      <c r="C802" t="s">
        <v>4223</v>
      </c>
      <c r="D802" t="s">
        <v>72</v>
      </c>
      <c r="E802" t="s">
        <v>119</v>
      </c>
      <c r="F802" t="s">
        <v>326</v>
      </c>
      <c r="G802" t="s">
        <v>324</v>
      </c>
      <c r="H802">
        <v>0</v>
      </c>
      <c r="I802" t="s">
        <v>379</v>
      </c>
    </row>
    <row r="803" spans="1:9" x14ac:dyDescent="0.25">
      <c r="A803" t="s">
        <v>2233</v>
      </c>
      <c r="B803">
        <f t="shared" si="12"/>
        <v>6129</v>
      </c>
      <c r="C803" t="s">
        <v>2234</v>
      </c>
      <c r="D803" t="s">
        <v>364</v>
      </c>
      <c r="E803" t="s">
        <v>119</v>
      </c>
      <c r="F803" t="s">
        <v>327</v>
      </c>
      <c r="G803" t="s">
        <v>24</v>
      </c>
      <c r="H803">
        <v>0</v>
      </c>
      <c r="I803" t="s">
        <v>383</v>
      </c>
    </row>
    <row r="804" spans="1:9" x14ac:dyDescent="0.25">
      <c r="A804" t="s">
        <v>1138</v>
      </c>
      <c r="B804">
        <f t="shared" si="12"/>
        <v>6132</v>
      </c>
      <c r="C804" t="s">
        <v>1139</v>
      </c>
      <c r="D804" t="s">
        <v>364</v>
      </c>
      <c r="E804" t="s">
        <v>119</v>
      </c>
      <c r="F804" t="s">
        <v>327</v>
      </c>
      <c r="G804" t="s">
        <v>24</v>
      </c>
      <c r="H804">
        <v>0</v>
      </c>
      <c r="I804" t="s">
        <v>383</v>
      </c>
    </row>
    <row r="805" spans="1:9" x14ac:dyDescent="0.25">
      <c r="A805" t="s">
        <v>191</v>
      </c>
      <c r="B805">
        <f t="shared" si="12"/>
        <v>6151</v>
      </c>
      <c r="C805" t="s">
        <v>192</v>
      </c>
      <c r="D805" t="s">
        <v>72</v>
      </c>
      <c r="E805" t="s">
        <v>119</v>
      </c>
      <c r="F805" t="s">
        <v>327</v>
      </c>
      <c r="G805" t="s">
        <v>29</v>
      </c>
      <c r="H805">
        <v>0</v>
      </c>
      <c r="I805" t="s">
        <v>391</v>
      </c>
    </row>
    <row r="806" spans="1:9" x14ac:dyDescent="0.25">
      <c r="A806" t="s">
        <v>974</v>
      </c>
      <c r="B806">
        <f t="shared" si="12"/>
        <v>6152</v>
      </c>
      <c r="C806" t="s">
        <v>975</v>
      </c>
      <c r="D806" t="s">
        <v>364</v>
      </c>
      <c r="E806" t="s">
        <v>119</v>
      </c>
      <c r="F806" t="s">
        <v>326</v>
      </c>
      <c r="G806" t="s">
        <v>324</v>
      </c>
      <c r="H806">
        <v>0</v>
      </c>
      <c r="I806" t="s">
        <v>379</v>
      </c>
    </row>
    <row r="807" spans="1:9" x14ac:dyDescent="0.25">
      <c r="A807" t="s">
        <v>775</v>
      </c>
      <c r="B807">
        <f t="shared" si="12"/>
        <v>6155</v>
      </c>
      <c r="C807" t="s">
        <v>776</v>
      </c>
      <c r="D807" t="s">
        <v>364</v>
      </c>
      <c r="E807" t="s">
        <v>119</v>
      </c>
      <c r="F807" t="s">
        <v>326</v>
      </c>
      <c r="G807" t="s">
        <v>324</v>
      </c>
      <c r="H807">
        <v>0</v>
      </c>
      <c r="I807" t="s">
        <v>379</v>
      </c>
    </row>
    <row r="808" spans="1:9" x14ac:dyDescent="0.25">
      <c r="A808" t="s">
        <v>2235</v>
      </c>
      <c r="B808">
        <f t="shared" si="12"/>
        <v>6159</v>
      </c>
      <c r="C808" t="s">
        <v>2236</v>
      </c>
      <c r="D808" t="s">
        <v>364</v>
      </c>
      <c r="E808" t="s">
        <v>119</v>
      </c>
      <c r="F808" t="s">
        <v>318</v>
      </c>
      <c r="G808" t="s">
        <v>324</v>
      </c>
      <c r="H808">
        <v>0</v>
      </c>
      <c r="I808" t="s">
        <v>379</v>
      </c>
    </row>
    <row r="809" spans="1:9" x14ac:dyDescent="0.25">
      <c r="A809" t="s">
        <v>2237</v>
      </c>
      <c r="B809">
        <f t="shared" si="12"/>
        <v>6165</v>
      </c>
      <c r="C809" t="s">
        <v>2238</v>
      </c>
      <c r="D809" t="s">
        <v>364</v>
      </c>
      <c r="E809" t="s">
        <v>119</v>
      </c>
      <c r="F809" t="s">
        <v>664</v>
      </c>
      <c r="G809" t="s">
        <v>324</v>
      </c>
      <c r="H809">
        <v>0</v>
      </c>
      <c r="I809" t="s">
        <v>379</v>
      </c>
    </row>
    <row r="810" spans="1:9" x14ac:dyDescent="0.25">
      <c r="A810" t="s">
        <v>853</v>
      </c>
      <c r="B810">
        <f t="shared" si="12"/>
        <v>6170</v>
      </c>
      <c r="C810" t="s">
        <v>854</v>
      </c>
      <c r="D810" t="s">
        <v>364</v>
      </c>
      <c r="E810" t="s">
        <v>119</v>
      </c>
      <c r="F810" t="s">
        <v>318</v>
      </c>
      <c r="G810" t="s">
        <v>324</v>
      </c>
      <c r="H810">
        <v>0</v>
      </c>
      <c r="I810" t="s">
        <v>379</v>
      </c>
    </row>
    <row r="811" spans="1:9" x14ac:dyDescent="0.25">
      <c r="A811" t="s">
        <v>3150</v>
      </c>
      <c r="B811">
        <f t="shared" si="12"/>
        <v>6192</v>
      </c>
      <c r="C811" t="s">
        <v>3151</v>
      </c>
      <c r="D811" t="s">
        <v>364</v>
      </c>
      <c r="E811" t="s">
        <v>119</v>
      </c>
      <c r="F811" t="s">
        <v>327</v>
      </c>
      <c r="G811" t="s">
        <v>324</v>
      </c>
      <c r="H811">
        <v>0</v>
      </c>
      <c r="I811" t="s">
        <v>379</v>
      </c>
    </row>
    <row r="812" spans="1:9" x14ac:dyDescent="0.25">
      <c r="A812" t="s">
        <v>2783</v>
      </c>
      <c r="B812">
        <f t="shared" si="12"/>
        <v>6194</v>
      </c>
      <c r="C812" t="s">
        <v>2784</v>
      </c>
      <c r="D812" t="s">
        <v>364</v>
      </c>
      <c r="E812" t="s">
        <v>119</v>
      </c>
      <c r="F812" t="s">
        <v>1717</v>
      </c>
      <c r="G812" t="s">
        <v>324</v>
      </c>
      <c r="H812">
        <v>0</v>
      </c>
      <c r="I812" t="s">
        <v>379</v>
      </c>
    </row>
    <row r="813" spans="1:9" x14ac:dyDescent="0.25">
      <c r="A813" t="s">
        <v>1489</v>
      </c>
      <c r="B813">
        <f t="shared" si="12"/>
        <v>6196</v>
      </c>
      <c r="C813" t="s">
        <v>1490</v>
      </c>
      <c r="D813" t="s">
        <v>364</v>
      </c>
      <c r="E813" t="s">
        <v>81</v>
      </c>
      <c r="F813" t="s">
        <v>81</v>
      </c>
      <c r="G813" t="s">
        <v>81</v>
      </c>
      <c r="H813">
        <v>0</v>
      </c>
      <c r="I813" t="s">
        <v>409</v>
      </c>
    </row>
    <row r="814" spans="1:9" x14ac:dyDescent="0.25">
      <c r="A814" t="s">
        <v>1491</v>
      </c>
      <c r="B814">
        <f t="shared" si="12"/>
        <v>6200</v>
      </c>
      <c r="C814" t="s">
        <v>1492</v>
      </c>
      <c r="D814" t="s">
        <v>364</v>
      </c>
      <c r="E814" t="s">
        <v>119</v>
      </c>
      <c r="F814" t="s">
        <v>327</v>
      </c>
      <c r="G814" t="s">
        <v>324</v>
      </c>
      <c r="H814">
        <v>0</v>
      </c>
      <c r="I814" t="s">
        <v>379</v>
      </c>
    </row>
    <row r="815" spans="1:9" x14ac:dyDescent="0.25">
      <c r="A815" t="s">
        <v>2239</v>
      </c>
      <c r="B815">
        <f t="shared" si="12"/>
        <v>6202</v>
      </c>
      <c r="C815" t="s">
        <v>2240</v>
      </c>
      <c r="D815" t="s">
        <v>364</v>
      </c>
      <c r="E815" t="s">
        <v>119</v>
      </c>
      <c r="F815" t="s">
        <v>328</v>
      </c>
      <c r="G815" t="s">
        <v>324</v>
      </c>
      <c r="H815">
        <v>0</v>
      </c>
      <c r="I815" t="s">
        <v>379</v>
      </c>
    </row>
    <row r="816" spans="1:9" x14ac:dyDescent="0.25">
      <c r="A816" t="s">
        <v>1140</v>
      </c>
      <c r="B816">
        <f t="shared" si="12"/>
        <v>6203</v>
      </c>
      <c r="C816" t="s">
        <v>1141</v>
      </c>
      <c r="D816" t="s">
        <v>364</v>
      </c>
      <c r="E816" t="s">
        <v>119</v>
      </c>
      <c r="F816" t="s">
        <v>327</v>
      </c>
      <c r="G816" t="s">
        <v>324</v>
      </c>
      <c r="H816">
        <v>0</v>
      </c>
      <c r="I816" t="s">
        <v>379</v>
      </c>
    </row>
    <row r="817" spans="1:9" x14ac:dyDescent="0.25">
      <c r="A817" t="s">
        <v>193</v>
      </c>
      <c r="B817">
        <f t="shared" si="12"/>
        <v>6205</v>
      </c>
      <c r="C817" t="s">
        <v>194</v>
      </c>
      <c r="D817" t="s">
        <v>364</v>
      </c>
      <c r="E817" t="s">
        <v>119</v>
      </c>
      <c r="F817" t="s">
        <v>327</v>
      </c>
      <c r="G817" t="s">
        <v>324</v>
      </c>
      <c r="H817">
        <v>0</v>
      </c>
      <c r="I817" t="s">
        <v>379</v>
      </c>
    </row>
    <row r="818" spans="1:9" x14ac:dyDescent="0.25">
      <c r="A818" t="s">
        <v>2241</v>
      </c>
      <c r="B818">
        <f t="shared" si="12"/>
        <v>6206</v>
      </c>
      <c r="C818" t="s">
        <v>2242</v>
      </c>
      <c r="D818" t="s">
        <v>364</v>
      </c>
      <c r="E818" t="s">
        <v>119</v>
      </c>
      <c r="F818" t="s">
        <v>326</v>
      </c>
      <c r="G818" t="s">
        <v>331</v>
      </c>
      <c r="H818">
        <v>0</v>
      </c>
      <c r="I818" t="s">
        <v>410</v>
      </c>
    </row>
    <row r="819" spans="1:9" x14ac:dyDescent="0.25">
      <c r="A819" t="s">
        <v>777</v>
      </c>
      <c r="B819">
        <f t="shared" si="12"/>
        <v>6207</v>
      </c>
      <c r="C819" t="s">
        <v>778</v>
      </c>
      <c r="D819" t="s">
        <v>364</v>
      </c>
      <c r="E819" t="s">
        <v>81</v>
      </c>
      <c r="F819" t="s">
        <v>81</v>
      </c>
      <c r="G819" t="s">
        <v>81</v>
      </c>
      <c r="H819">
        <v>0</v>
      </c>
      <c r="I819" t="s">
        <v>411</v>
      </c>
    </row>
    <row r="820" spans="1:9" x14ac:dyDescent="0.25">
      <c r="A820" t="s">
        <v>195</v>
      </c>
      <c r="B820">
        <f t="shared" si="12"/>
        <v>6209</v>
      </c>
      <c r="C820" t="s">
        <v>196</v>
      </c>
      <c r="D820" t="s">
        <v>72</v>
      </c>
      <c r="E820" t="s">
        <v>119</v>
      </c>
      <c r="F820" t="s">
        <v>323</v>
      </c>
      <c r="G820" t="s">
        <v>29</v>
      </c>
      <c r="H820">
        <v>0</v>
      </c>
      <c r="I820" t="s">
        <v>391</v>
      </c>
    </row>
    <row r="821" spans="1:9" x14ac:dyDescent="0.25">
      <c r="A821" t="s">
        <v>779</v>
      </c>
      <c r="B821">
        <f t="shared" si="12"/>
        <v>6210</v>
      </c>
      <c r="C821" t="s">
        <v>780</v>
      </c>
      <c r="D821" t="s">
        <v>72</v>
      </c>
      <c r="E821" t="s">
        <v>119</v>
      </c>
      <c r="F821" t="s">
        <v>327</v>
      </c>
      <c r="G821" t="s">
        <v>329</v>
      </c>
      <c r="H821">
        <v>0</v>
      </c>
      <c r="I821" t="s">
        <v>377</v>
      </c>
    </row>
    <row r="822" spans="1:9" x14ac:dyDescent="0.25">
      <c r="A822" t="s">
        <v>2243</v>
      </c>
      <c r="B822">
        <f t="shared" si="12"/>
        <v>6213</v>
      </c>
      <c r="C822" t="s">
        <v>2244</v>
      </c>
      <c r="D822" t="s">
        <v>364</v>
      </c>
      <c r="E822" t="s">
        <v>119</v>
      </c>
      <c r="F822" t="s">
        <v>330</v>
      </c>
      <c r="G822" t="s">
        <v>313</v>
      </c>
      <c r="H822">
        <v>0</v>
      </c>
      <c r="I822" t="s">
        <v>1963</v>
      </c>
    </row>
    <row r="823" spans="1:9" x14ac:dyDescent="0.25">
      <c r="A823" t="s">
        <v>2245</v>
      </c>
      <c r="B823">
        <f t="shared" si="12"/>
        <v>6214</v>
      </c>
      <c r="C823" t="s">
        <v>2246</v>
      </c>
      <c r="D823" t="s">
        <v>364</v>
      </c>
      <c r="E823" t="s">
        <v>119</v>
      </c>
      <c r="F823" t="s">
        <v>345</v>
      </c>
      <c r="G823" t="s">
        <v>324</v>
      </c>
      <c r="H823">
        <v>0</v>
      </c>
      <c r="I823" t="s">
        <v>379</v>
      </c>
    </row>
    <row r="824" spans="1:9" x14ac:dyDescent="0.25">
      <c r="A824" t="s">
        <v>197</v>
      </c>
      <c r="B824">
        <f t="shared" si="12"/>
        <v>6215</v>
      </c>
      <c r="C824" t="s">
        <v>198</v>
      </c>
      <c r="D824" t="s">
        <v>364</v>
      </c>
      <c r="E824" t="s">
        <v>81</v>
      </c>
      <c r="F824" t="s">
        <v>81</v>
      </c>
      <c r="G824" t="s">
        <v>81</v>
      </c>
      <c r="H824">
        <v>0</v>
      </c>
      <c r="I824" t="s">
        <v>408</v>
      </c>
    </row>
    <row r="825" spans="1:9" x14ac:dyDescent="0.25">
      <c r="A825" t="s">
        <v>1493</v>
      </c>
      <c r="B825">
        <f t="shared" si="12"/>
        <v>6217</v>
      </c>
      <c r="C825" t="s">
        <v>1494</v>
      </c>
      <c r="D825" t="s">
        <v>364</v>
      </c>
      <c r="E825" t="s">
        <v>119</v>
      </c>
      <c r="F825" t="s">
        <v>326</v>
      </c>
      <c r="G825" t="s">
        <v>26</v>
      </c>
      <c r="H825">
        <v>0</v>
      </c>
      <c r="I825" t="s">
        <v>394</v>
      </c>
    </row>
    <row r="826" spans="1:9" x14ac:dyDescent="0.25">
      <c r="A826" t="s">
        <v>1495</v>
      </c>
      <c r="B826">
        <f t="shared" si="12"/>
        <v>6218</v>
      </c>
      <c r="C826" t="s">
        <v>1496</v>
      </c>
      <c r="D826" t="s">
        <v>364</v>
      </c>
      <c r="E826" t="s">
        <v>119</v>
      </c>
      <c r="F826" t="s">
        <v>330</v>
      </c>
      <c r="G826" t="s">
        <v>317</v>
      </c>
      <c r="H826">
        <v>0</v>
      </c>
      <c r="I826" t="s">
        <v>384</v>
      </c>
    </row>
    <row r="827" spans="1:9" x14ac:dyDescent="0.25">
      <c r="A827" t="s">
        <v>1497</v>
      </c>
      <c r="B827">
        <f t="shared" si="12"/>
        <v>6219</v>
      </c>
      <c r="C827" t="s">
        <v>1498</v>
      </c>
      <c r="D827" t="s">
        <v>364</v>
      </c>
      <c r="E827" t="s">
        <v>119</v>
      </c>
      <c r="F827" t="s">
        <v>345</v>
      </c>
      <c r="G827" t="s">
        <v>314</v>
      </c>
      <c r="H827">
        <v>0</v>
      </c>
      <c r="I827" t="s">
        <v>1499</v>
      </c>
    </row>
    <row r="828" spans="1:9" x14ac:dyDescent="0.25">
      <c r="A828" t="s">
        <v>2247</v>
      </c>
      <c r="B828">
        <f t="shared" si="12"/>
        <v>6220</v>
      </c>
      <c r="C828" t="s">
        <v>2248</v>
      </c>
      <c r="D828" t="s">
        <v>364</v>
      </c>
      <c r="E828" t="s">
        <v>119</v>
      </c>
      <c r="F828" t="s">
        <v>328</v>
      </c>
      <c r="G828" t="s">
        <v>324</v>
      </c>
      <c r="H828">
        <v>0</v>
      </c>
      <c r="I828" t="s">
        <v>379</v>
      </c>
    </row>
    <row r="829" spans="1:9" x14ac:dyDescent="0.25">
      <c r="A829" t="s">
        <v>2785</v>
      </c>
      <c r="B829">
        <f t="shared" si="12"/>
        <v>6221</v>
      </c>
      <c r="C829" t="s">
        <v>2786</v>
      </c>
      <c r="D829" t="s">
        <v>364</v>
      </c>
      <c r="E829" t="s">
        <v>119</v>
      </c>
      <c r="F829" t="s">
        <v>323</v>
      </c>
      <c r="G829" t="s">
        <v>26</v>
      </c>
      <c r="H829">
        <v>0</v>
      </c>
      <c r="I829" t="s">
        <v>394</v>
      </c>
    </row>
    <row r="830" spans="1:9" x14ac:dyDescent="0.25">
      <c r="A830" t="s">
        <v>2249</v>
      </c>
      <c r="B830">
        <f t="shared" si="12"/>
        <v>6222</v>
      </c>
      <c r="C830" t="s">
        <v>2250</v>
      </c>
      <c r="D830" t="s">
        <v>364</v>
      </c>
      <c r="E830" t="s">
        <v>119</v>
      </c>
      <c r="F830" t="s">
        <v>330</v>
      </c>
      <c r="G830" t="s">
        <v>315</v>
      </c>
      <c r="H830">
        <v>0</v>
      </c>
      <c r="I830" t="s">
        <v>405</v>
      </c>
    </row>
    <row r="831" spans="1:9" x14ac:dyDescent="0.25">
      <c r="A831" t="s">
        <v>3007</v>
      </c>
      <c r="B831">
        <f t="shared" si="12"/>
        <v>6224</v>
      </c>
      <c r="C831" t="s">
        <v>3008</v>
      </c>
      <c r="D831" t="s">
        <v>364</v>
      </c>
      <c r="E831" t="s">
        <v>119</v>
      </c>
      <c r="F831" t="s">
        <v>325</v>
      </c>
      <c r="G831" t="s">
        <v>314</v>
      </c>
      <c r="H831">
        <v>0</v>
      </c>
      <c r="I831" t="s">
        <v>405</v>
      </c>
    </row>
    <row r="832" spans="1:9" x14ac:dyDescent="0.25">
      <c r="A832" t="s">
        <v>3131</v>
      </c>
      <c r="B832">
        <f t="shared" si="12"/>
        <v>6225</v>
      </c>
      <c r="C832" t="s">
        <v>3132</v>
      </c>
      <c r="D832" t="s">
        <v>364</v>
      </c>
      <c r="E832" t="s">
        <v>119</v>
      </c>
      <c r="F832" t="s">
        <v>327</v>
      </c>
      <c r="G832" t="s">
        <v>324</v>
      </c>
      <c r="H832">
        <v>0</v>
      </c>
      <c r="I832" t="s">
        <v>379</v>
      </c>
    </row>
    <row r="833" spans="1:9" x14ac:dyDescent="0.25">
      <c r="A833" t="s">
        <v>3314</v>
      </c>
      <c r="B833">
        <f t="shared" si="12"/>
        <v>6227</v>
      </c>
      <c r="C833" t="s">
        <v>3315</v>
      </c>
      <c r="D833" t="s">
        <v>364</v>
      </c>
      <c r="E833" t="s">
        <v>119</v>
      </c>
      <c r="F833" t="s">
        <v>318</v>
      </c>
      <c r="G833" t="s">
        <v>312</v>
      </c>
      <c r="H833">
        <v>0</v>
      </c>
      <c r="I833" t="s">
        <v>382</v>
      </c>
    </row>
    <row r="834" spans="1:9" x14ac:dyDescent="0.25">
      <c r="A834" t="s">
        <v>3494</v>
      </c>
      <c r="B834">
        <f t="shared" si="12"/>
        <v>6230</v>
      </c>
      <c r="C834" t="s">
        <v>3495</v>
      </c>
      <c r="D834" t="s">
        <v>72</v>
      </c>
      <c r="E834" t="s">
        <v>119</v>
      </c>
      <c r="F834" t="s">
        <v>326</v>
      </c>
      <c r="G834" t="s">
        <v>331</v>
      </c>
      <c r="H834">
        <v>0</v>
      </c>
      <c r="I834" t="s">
        <v>410</v>
      </c>
    </row>
    <row r="835" spans="1:9" x14ac:dyDescent="0.25">
      <c r="A835" t="s">
        <v>3755</v>
      </c>
      <c r="B835">
        <f t="shared" si="12"/>
        <v>6232</v>
      </c>
      <c r="C835" t="s">
        <v>3756</v>
      </c>
      <c r="D835" t="s">
        <v>72</v>
      </c>
      <c r="E835" t="s">
        <v>119</v>
      </c>
      <c r="F835" t="s">
        <v>467</v>
      </c>
      <c r="G835" t="s">
        <v>312</v>
      </c>
      <c r="H835">
        <v>0</v>
      </c>
      <c r="I835" t="s">
        <v>382</v>
      </c>
    </row>
    <row r="836" spans="1:9" x14ac:dyDescent="0.25">
      <c r="A836" t="s">
        <v>4224</v>
      </c>
      <c r="B836">
        <f t="shared" ref="B836:B899" si="13">_xlfn.NUMBERVALUE(A836,"#####")</f>
        <v>6234</v>
      </c>
      <c r="C836" t="s">
        <v>4225</v>
      </c>
      <c r="D836" t="s">
        <v>72</v>
      </c>
      <c r="E836" t="s">
        <v>119</v>
      </c>
      <c r="F836" t="s">
        <v>326</v>
      </c>
      <c r="G836" t="s">
        <v>324</v>
      </c>
      <c r="H836">
        <v>0</v>
      </c>
      <c r="I836" t="s">
        <v>379</v>
      </c>
    </row>
    <row r="837" spans="1:9" x14ac:dyDescent="0.25">
      <c r="A837" t="s">
        <v>2822</v>
      </c>
      <c r="B837">
        <f t="shared" si="13"/>
        <v>6235</v>
      </c>
      <c r="C837" t="s">
        <v>2823</v>
      </c>
      <c r="D837" t="s">
        <v>364</v>
      </c>
      <c r="E837" t="s">
        <v>119</v>
      </c>
      <c r="F837" t="s">
        <v>323</v>
      </c>
      <c r="G837" t="s">
        <v>324</v>
      </c>
      <c r="H837">
        <v>0</v>
      </c>
      <c r="I837" t="s">
        <v>379</v>
      </c>
    </row>
    <row r="838" spans="1:9" x14ac:dyDescent="0.25">
      <c r="A838" t="s">
        <v>1142</v>
      </c>
      <c r="B838">
        <f t="shared" si="13"/>
        <v>6236</v>
      </c>
      <c r="C838" t="s">
        <v>1143</v>
      </c>
      <c r="D838" t="s">
        <v>364</v>
      </c>
      <c r="E838" t="s">
        <v>698</v>
      </c>
      <c r="F838" t="s">
        <v>1014</v>
      </c>
      <c r="G838" t="s">
        <v>1041</v>
      </c>
      <c r="H838">
        <v>0</v>
      </c>
      <c r="I838" t="s">
        <v>1042</v>
      </c>
    </row>
    <row r="839" spans="1:9" x14ac:dyDescent="0.25">
      <c r="A839" t="s">
        <v>1144</v>
      </c>
      <c r="B839">
        <f t="shared" si="13"/>
        <v>6238</v>
      </c>
      <c r="C839" t="s">
        <v>1145</v>
      </c>
      <c r="D839" t="s">
        <v>364</v>
      </c>
      <c r="E839" t="s">
        <v>119</v>
      </c>
      <c r="F839" t="s">
        <v>327</v>
      </c>
      <c r="G839" t="s">
        <v>324</v>
      </c>
      <c r="H839">
        <v>0</v>
      </c>
      <c r="I839" t="s">
        <v>379</v>
      </c>
    </row>
    <row r="840" spans="1:9" x14ac:dyDescent="0.25">
      <c r="A840" t="s">
        <v>199</v>
      </c>
      <c r="B840">
        <f t="shared" si="13"/>
        <v>6239</v>
      </c>
      <c r="C840" t="s">
        <v>200</v>
      </c>
      <c r="D840" t="s">
        <v>72</v>
      </c>
      <c r="E840" t="s">
        <v>119</v>
      </c>
      <c r="F840" t="s">
        <v>325</v>
      </c>
      <c r="G840" t="s">
        <v>72</v>
      </c>
      <c r="H840">
        <v>0</v>
      </c>
      <c r="I840" t="s">
        <v>390</v>
      </c>
    </row>
    <row r="841" spans="1:9" x14ac:dyDescent="0.25">
      <c r="A841" t="s">
        <v>1500</v>
      </c>
      <c r="B841">
        <f t="shared" si="13"/>
        <v>6240</v>
      </c>
      <c r="C841" t="s">
        <v>1501</v>
      </c>
      <c r="D841" t="s">
        <v>364</v>
      </c>
      <c r="E841" t="s">
        <v>119</v>
      </c>
      <c r="F841" t="s">
        <v>1359</v>
      </c>
      <c r="G841" t="s">
        <v>324</v>
      </c>
      <c r="H841">
        <v>0</v>
      </c>
      <c r="I841" t="s">
        <v>379</v>
      </c>
    </row>
    <row r="842" spans="1:9" x14ac:dyDescent="0.25">
      <c r="A842" t="s">
        <v>4063</v>
      </c>
      <c r="B842">
        <f t="shared" si="13"/>
        <v>6242</v>
      </c>
      <c r="C842" t="s">
        <v>4064</v>
      </c>
      <c r="D842" t="s">
        <v>72</v>
      </c>
      <c r="E842" t="s">
        <v>119</v>
      </c>
      <c r="F842" t="s">
        <v>327</v>
      </c>
      <c r="G842" t="s">
        <v>23</v>
      </c>
      <c r="H842">
        <v>0</v>
      </c>
      <c r="I842" t="s">
        <v>397</v>
      </c>
    </row>
    <row r="843" spans="1:9" x14ac:dyDescent="0.25">
      <c r="A843" t="s">
        <v>4226</v>
      </c>
      <c r="B843">
        <f t="shared" si="13"/>
        <v>6243</v>
      </c>
      <c r="C843" t="s">
        <v>4227</v>
      </c>
      <c r="D843" t="s">
        <v>72</v>
      </c>
      <c r="E843" t="s">
        <v>119</v>
      </c>
      <c r="F843" t="s">
        <v>327</v>
      </c>
      <c r="G843" t="s">
        <v>23</v>
      </c>
      <c r="H843">
        <v>0</v>
      </c>
      <c r="I843" t="s">
        <v>397</v>
      </c>
    </row>
    <row r="844" spans="1:9" x14ac:dyDescent="0.25">
      <c r="A844" t="s">
        <v>4521</v>
      </c>
      <c r="B844">
        <f t="shared" si="13"/>
        <v>6244</v>
      </c>
      <c r="C844" t="s">
        <v>4522</v>
      </c>
      <c r="D844" t="s">
        <v>72</v>
      </c>
      <c r="E844" t="s">
        <v>119</v>
      </c>
      <c r="F844" t="s">
        <v>327</v>
      </c>
      <c r="G844" t="s">
        <v>324</v>
      </c>
      <c r="H844">
        <v>0</v>
      </c>
      <c r="I844" t="s">
        <v>379</v>
      </c>
    </row>
    <row r="845" spans="1:9" x14ac:dyDescent="0.25">
      <c r="A845" t="s">
        <v>4523</v>
      </c>
      <c r="B845">
        <f t="shared" si="13"/>
        <v>6245</v>
      </c>
      <c r="C845" t="s">
        <v>4524</v>
      </c>
      <c r="D845" t="s">
        <v>72</v>
      </c>
      <c r="E845" t="s">
        <v>81</v>
      </c>
      <c r="F845" t="s">
        <v>81</v>
      </c>
      <c r="G845" t="s">
        <v>81</v>
      </c>
      <c r="H845">
        <v>0</v>
      </c>
      <c r="I845" t="s">
        <v>4525</v>
      </c>
    </row>
    <row r="846" spans="1:9" x14ac:dyDescent="0.25">
      <c r="A846" t="s">
        <v>2251</v>
      </c>
      <c r="B846">
        <f t="shared" si="13"/>
        <v>6257</v>
      </c>
      <c r="C846" t="s">
        <v>2252</v>
      </c>
      <c r="D846" t="s">
        <v>364</v>
      </c>
      <c r="E846" t="s">
        <v>81</v>
      </c>
      <c r="F846" t="s">
        <v>81</v>
      </c>
      <c r="G846" t="s">
        <v>81</v>
      </c>
      <c r="H846">
        <v>0</v>
      </c>
      <c r="I846" t="s">
        <v>2253</v>
      </c>
    </row>
    <row r="847" spans="1:9" x14ac:dyDescent="0.25">
      <c r="A847" t="s">
        <v>2254</v>
      </c>
      <c r="B847">
        <f t="shared" si="13"/>
        <v>6270</v>
      </c>
      <c r="C847" t="s">
        <v>2255</v>
      </c>
      <c r="D847" t="s">
        <v>364</v>
      </c>
      <c r="E847" t="s">
        <v>119</v>
      </c>
      <c r="F847" t="s">
        <v>327</v>
      </c>
      <c r="G847" t="s">
        <v>324</v>
      </c>
      <c r="H847">
        <v>0</v>
      </c>
      <c r="I847" t="s">
        <v>379</v>
      </c>
    </row>
    <row r="848" spans="1:9" x14ac:dyDescent="0.25">
      <c r="A848" t="s">
        <v>201</v>
      </c>
      <c r="B848">
        <f t="shared" si="13"/>
        <v>6273</v>
      </c>
      <c r="C848" t="s">
        <v>202</v>
      </c>
      <c r="D848" t="s">
        <v>72</v>
      </c>
      <c r="E848" t="s">
        <v>119</v>
      </c>
      <c r="F848" t="s">
        <v>323</v>
      </c>
      <c r="G848" t="s">
        <v>315</v>
      </c>
      <c r="H848">
        <v>0</v>
      </c>
      <c r="I848" t="s">
        <v>681</v>
      </c>
    </row>
    <row r="849" spans="1:9" x14ac:dyDescent="0.25">
      <c r="A849" t="s">
        <v>2787</v>
      </c>
      <c r="B849">
        <f t="shared" si="13"/>
        <v>6274</v>
      </c>
      <c r="C849" t="s">
        <v>2788</v>
      </c>
      <c r="D849" t="s">
        <v>364</v>
      </c>
      <c r="E849" t="s">
        <v>119</v>
      </c>
      <c r="F849" t="s">
        <v>1717</v>
      </c>
      <c r="G849" t="s">
        <v>324</v>
      </c>
      <c r="H849">
        <v>0</v>
      </c>
      <c r="I849" t="s">
        <v>379</v>
      </c>
    </row>
    <row r="850" spans="1:9" x14ac:dyDescent="0.25">
      <c r="A850" t="s">
        <v>3047</v>
      </c>
      <c r="B850">
        <f t="shared" si="13"/>
        <v>6281</v>
      </c>
      <c r="C850" t="s">
        <v>3063</v>
      </c>
      <c r="D850" t="s">
        <v>364</v>
      </c>
      <c r="E850" t="s">
        <v>119</v>
      </c>
      <c r="F850" t="s">
        <v>327</v>
      </c>
      <c r="G850" t="s">
        <v>324</v>
      </c>
      <c r="H850">
        <v>0</v>
      </c>
      <c r="I850" t="s">
        <v>379</v>
      </c>
    </row>
    <row r="851" spans="1:9" x14ac:dyDescent="0.25">
      <c r="A851" t="s">
        <v>898</v>
      </c>
      <c r="B851">
        <f t="shared" si="13"/>
        <v>6284</v>
      </c>
      <c r="C851" t="s">
        <v>899</v>
      </c>
      <c r="D851" t="s">
        <v>364</v>
      </c>
      <c r="E851" t="s">
        <v>119</v>
      </c>
      <c r="F851" t="s">
        <v>326</v>
      </c>
      <c r="G851" t="s">
        <v>329</v>
      </c>
      <c r="H851">
        <v>0</v>
      </c>
      <c r="I851" t="s">
        <v>377</v>
      </c>
    </row>
    <row r="852" spans="1:9" x14ac:dyDescent="0.25">
      <c r="A852" t="s">
        <v>4526</v>
      </c>
      <c r="B852">
        <f t="shared" si="13"/>
        <v>6286</v>
      </c>
      <c r="C852" t="s">
        <v>4527</v>
      </c>
      <c r="D852" t="s">
        <v>72</v>
      </c>
      <c r="E852" t="s">
        <v>119</v>
      </c>
      <c r="F852" t="s">
        <v>328</v>
      </c>
      <c r="G852" t="s">
        <v>346</v>
      </c>
      <c r="H852">
        <v>0</v>
      </c>
      <c r="I852" t="s">
        <v>377</v>
      </c>
    </row>
    <row r="853" spans="1:9" x14ac:dyDescent="0.25">
      <c r="A853" t="s">
        <v>4228</v>
      </c>
      <c r="B853">
        <f t="shared" si="13"/>
        <v>6289</v>
      </c>
      <c r="C853" t="s">
        <v>4229</v>
      </c>
      <c r="D853" t="s">
        <v>72</v>
      </c>
      <c r="E853" t="s">
        <v>119</v>
      </c>
      <c r="F853" t="s">
        <v>318</v>
      </c>
      <c r="G853" t="s">
        <v>324</v>
      </c>
      <c r="H853">
        <v>0</v>
      </c>
      <c r="I853" t="s">
        <v>379</v>
      </c>
    </row>
    <row r="854" spans="1:9" x14ac:dyDescent="0.25">
      <c r="A854" t="s">
        <v>1502</v>
      </c>
      <c r="B854">
        <f t="shared" si="13"/>
        <v>6294</v>
      </c>
      <c r="C854" t="s">
        <v>1503</v>
      </c>
      <c r="D854" t="s">
        <v>364</v>
      </c>
      <c r="E854" t="s">
        <v>119</v>
      </c>
      <c r="F854" t="s">
        <v>345</v>
      </c>
      <c r="G854" t="s">
        <v>324</v>
      </c>
      <c r="H854">
        <v>0</v>
      </c>
      <c r="I854" t="s">
        <v>379</v>
      </c>
    </row>
    <row r="855" spans="1:9" x14ac:dyDescent="0.25">
      <c r="A855" t="s">
        <v>3257</v>
      </c>
      <c r="B855">
        <f t="shared" si="13"/>
        <v>6295</v>
      </c>
      <c r="C855" t="s">
        <v>3258</v>
      </c>
      <c r="D855" t="s">
        <v>72</v>
      </c>
      <c r="E855" t="s">
        <v>119</v>
      </c>
      <c r="F855" t="s">
        <v>326</v>
      </c>
      <c r="G855" t="s">
        <v>329</v>
      </c>
      <c r="H855">
        <v>0</v>
      </c>
      <c r="I855" t="s">
        <v>377</v>
      </c>
    </row>
    <row r="856" spans="1:9" x14ac:dyDescent="0.25">
      <c r="A856" t="s">
        <v>3544</v>
      </c>
      <c r="B856">
        <f t="shared" si="13"/>
        <v>6296</v>
      </c>
      <c r="C856" t="s">
        <v>3545</v>
      </c>
      <c r="D856" t="s">
        <v>364</v>
      </c>
      <c r="E856" t="s">
        <v>119</v>
      </c>
      <c r="F856" t="s">
        <v>328</v>
      </c>
      <c r="G856" t="s">
        <v>25</v>
      </c>
      <c r="H856">
        <v>0</v>
      </c>
      <c r="I856" t="s">
        <v>386</v>
      </c>
    </row>
    <row r="857" spans="1:9" x14ac:dyDescent="0.25">
      <c r="A857" t="s">
        <v>781</v>
      </c>
      <c r="B857">
        <f t="shared" si="13"/>
        <v>6297</v>
      </c>
      <c r="C857" t="s">
        <v>782</v>
      </c>
      <c r="D857" t="s">
        <v>72</v>
      </c>
      <c r="E857" t="s">
        <v>119</v>
      </c>
      <c r="F857" t="s">
        <v>328</v>
      </c>
      <c r="G857" t="s">
        <v>329</v>
      </c>
      <c r="H857">
        <v>0</v>
      </c>
      <c r="I857" t="s">
        <v>377</v>
      </c>
    </row>
    <row r="858" spans="1:9" x14ac:dyDescent="0.25">
      <c r="A858" t="s">
        <v>682</v>
      </c>
      <c r="B858">
        <f t="shared" si="13"/>
        <v>6298</v>
      </c>
      <c r="C858" t="s">
        <v>683</v>
      </c>
      <c r="D858" t="s">
        <v>364</v>
      </c>
      <c r="E858" t="s">
        <v>119</v>
      </c>
      <c r="F858" t="s">
        <v>326</v>
      </c>
      <c r="G858" t="s">
        <v>324</v>
      </c>
      <c r="H858">
        <v>0</v>
      </c>
      <c r="I858" t="s">
        <v>379</v>
      </c>
    </row>
    <row r="859" spans="1:9" x14ac:dyDescent="0.25">
      <c r="A859" t="s">
        <v>4528</v>
      </c>
      <c r="B859">
        <f t="shared" si="13"/>
        <v>6299</v>
      </c>
      <c r="C859" t="s">
        <v>4529</v>
      </c>
      <c r="D859" t="s">
        <v>72</v>
      </c>
      <c r="E859" t="s">
        <v>119</v>
      </c>
      <c r="F859" t="s">
        <v>327</v>
      </c>
      <c r="G859" t="s">
        <v>324</v>
      </c>
      <c r="H859">
        <v>0</v>
      </c>
      <c r="I859" t="s">
        <v>379</v>
      </c>
    </row>
    <row r="860" spans="1:9" x14ac:dyDescent="0.25">
      <c r="A860" t="s">
        <v>2256</v>
      </c>
      <c r="B860">
        <f t="shared" si="13"/>
        <v>6300</v>
      </c>
      <c r="C860" t="s">
        <v>2257</v>
      </c>
      <c r="D860" t="s">
        <v>364</v>
      </c>
      <c r="E860" t="s">
        <v>119</v>
      </c>
      <c r="F860" t="s">
        <v>327</v>
      </c>
      <c r="G860" t="s">
        <v>324</v>
      </c>
      <c r="H860">
        <v>0</v>
      </c>
      <c r="I860" t="s">
        <v>379</v>
      </c>
    </row>
    <row r="861" spans="1:9" x14ac:dyDescent="0.25">
      <c r="A861" t="s">
        <v>2258</v>
      </c>
      <c r="B861">
        <f t="shared" si="13"/>
        <v>6314</v>
      </c>
      <c r="C861" t="s">
        <v>2259</v>
      </c>
      <c r="D861" t="s">
        <v>364</v>
      </c>
      <c r="E861" t="s">
        <v>119</v>
      </c>
      <c r="F861" t="s">
        <v>664</v>
      </c>
      <c r="G861" t="s">
        <v>324</v>
      </c>
      <c r="H861">
        <v>0</v>
      </c>
      <c r="I861" t="s">
        <v>379</v>
      </c>
    </row>
    <row r="862" spans="1:9" x14ac:dyDescent="0.25">
      <c r="A862" t="s">
        <v>3197</v>
      </c>
      <c r="B862">
        <f t="shared" si="13"/>
        <v>6317</v>
      </c>
      <c r="C862" t="s">
        <v>3198</v>
      </c>
      <c r="D862" t="s">
        <v>72</v>
      </c>
      <c r="E862" t="s">
        <v>81</v>
      </c>
      <c r="F862" t="s">
        <v>81</v>
      </c>
      <c r="G862" t="s">
        <v>81</v>
      </c>
      <c r="H862">
        <v>0</v>
      </c>
      <c r="I862" t="s">
        <v>618</v>
      </c>
    </row>
    <row r="863" spans="1:9" x14ac:dyDescent="0.25">
      <c r="A863" t="s">
        <v>3546</v>
      </c>
      <c r="B863">
        <f t="shared" si="13"/>
        <v>6321</v>
      </c>
      <c r="C863" t="s">
        <v>3547</v>
      </c>
      <c r="D863" t="s">
        <v>72</v>
      </c>
      <c r="E863" t="s">
        <v>119</v>
      </c>
      <c r="F863" t="s">
        <v>326</v>
      </c>
      <c r="G863" t="s">
        <v>324</v>
      </c>
      <c r="H863">
        <v>0</v>
      </c>
      <c r="I863" t="s">
        <v>379</v>
      </c>
    </row>
    <row r="864" spans="1:9" x14ac:dyDescent="0.25">
      <c r="A864" t="s">
        <v>1504</v>
      </c>
      <c r="B864">
        <f t="shared" si="13"/>
        <v>6322</v>
      </c>
      <c r="C864" t="s">
        <v>1505</v>
      </c>
      <c r="D864" t="s">
        <v>364</v>
      </c>
      <c r="E864" t="s">
        <v>119</v>
      </c>
      <c r="F864" t="s">
        <v>327</v>
      </c>
      <c r="G864" t="s">
        <v>324</v>
      </c>
      <c r="H864">
        <v>0</v>
      </c>
      <c r="I864" t="s">
        <v>379</v>
      </c>
    </row>
    <row r="865" spans="1:9" x14ac:dyDescent="0.25">
      <c r="A865" t="s">
        <v>2260</v>
      </c>
      <c r="B865">
        <f t="shared" si="13"/>
        <v>6329</v>
      </c>
      <c r="C865" t="s">
        <v>2261</v>
      </c>
      <c r="D865" t="s">
        <v>72</v>
      </c>
      <c r="E865" t="s">
        <v>119</v>
      </c>
      <c r="F865" t="s">
        <v>326</v>
      </c>
      <c r="G865" t="s">
        <v>324</v>
      </c>
      <c r="H865">
        <v>0</v>
      </c>
      <c r="I865" t="s">
        <v>379</v>
      </c>
    </row>
    <row r="866" spans="1:9" x14ac:dyDescent="0.25">
      <c r="A866" t="s">
        <v>3009</v>
      </c>
      <c r="B866">
        <f t="shared" si="13"/>
        <v>6341</v>
      </c>
      <c r="C866" t="s">
        <v>3010</v>
      </c>
      <c r="D866" t="s">
        <v>364</v>
      </c>
      <c r="E866" t="s">
        <v>119</v>
      </c>
      <c r="F866" t="s">
        <v>327</v>
      </c>
      <c r="G866" t="s">
        <v>346</v>
      </c>
      <c r="H866">
        <v>0</v>
      </c>
      <c r="I866" t="s">
        <v>380</v>
      </c>
    </row>
    <row r="867" spans="1:9" x14ac:dyDescent="0.25">
      <c r="A867" t="s">
        <v>4530</v>
      </c>
      <c r="B867">
        <f t="shared" si="13"/>
        <v>6475</v>
      </c>
      <c r="C867" t="s">
        <v>4531</v>
      </c>
      <c r="D867" t="s">
        <v>364</v>
      </c>
      <c r="E867" t="s">
        <v>119</v>
      </c>
      <c r="F867" t="s">
        <v>318</v>
      </c>
      <c r="G867" t="s">
        <v>324</v>
      </c>
      <c r="H867">
        <v>0</v>
      </c>
      <c r="I867" t="s">
        <v>379</v>
      </c>
    </row>
    <row r="868" spans="1:9" x14ac:dyDescent="0.25">
      <c r="A868" t="s">
        <v>900</v>
      </c>
      <c r="B868">
        <f t="shared" si="13"/>
        <v>6476</v>
      </c>
      <c r="C868" t="s">
        <v>901</v>
      </c>
      <c r="D868" t="s">
        <v>72</v>
      </c>
      <c r="E868" t="s">
        <v>119</v>
      </c>
      <c r="F868" t="s">
        <v>318</v>
      </c>
      <c r="G868" t="s">
        <v>324</v>
      </c>
      <c r="H868">
        <v>0</v>
      </c>
      <c r="I868" t="s">
        <v>379</v>
      </c>
    </row>
    <row r="869" spans="1:9" x14ac:dyDescent="0.25">
      <c r="A869" t="s">
        <v>2262</v>
      </c>
      <c r="B869">
        <f t="shared" si="13"/>
        <v>6479</v>
      </c>
      <c r="C869" t="s">
        <v>2263</v>
      </c>
      <c r="D869" t="s">
        <v>364</v>
      </c>
      <c r="E869" t="s">
        <v>81</v>
      </c>
      <c r="F869" t="s">
        <v>81</v>
      </c>
      <c r="G869" t="s">
        <v>81</v>
      </c>
      <c r="H869">
        <v>0</v>
      </c>
      <c r="I869" t="s">
        <v>3011</v>
      </c>
    </row>
    <row r="870" spans="1:9" x14ac:dyDescent="0.25">
      <c r="A870" t="s">
        <v>1506</v>
      </c>
      <c r="B870">
        <f t="shared" si="13"/>
        <v>6480</v>
      </c>
      <c r="C870" t="s">
        <v>1507</v>
      </c>
      <c r="D870" t="s">
        <v>364</v>
      </c>
      <c r="E870" t="s">
        <v>119</v>
      </c>
      <c r="F870" t="s">
        <v>318</v>
      </c>
      <c r="G870" t="s">
        <v>312</v>
      </c>
      <c r="H870">
        <v>0</v>
      </c>
      <c r="I870" t="s">
        <v>382</v>
      </c>
    </row>
    <row r="871" spans="1:9" x14ac:dyDescent="0.25">
      <c r="A871" t="s">
        <v>2264</v>
      </c>
      <c r="B871">
        <f t="shared" si="13"/>
        <v>6482</v>
      </c>
      <c r="C871" t="s">
        <v>2265</v>
      </c>
      <c r="D871" t="s">
        <v>364</v>
      </c>
      <c r="E871" t="s">
        <v>119</v>
      </c>
      <c r="F871" t="s">
        <v>327</v>
      </c>
      <c r="G871" t="s">
        <v>324</v>
      </c>
      <c r="H871">
        <v>0</v>
      </c>
      <c r="I871" t="s">
        <v>379</v>
      </c>
    </row>
    <row r="872" spans="1:9" x14ac:dyDescent="0.25">
      <c r="A872" t="s">
        <v>2266</v>
      </c>
      <c r="B872">
        <f t="shared" si="13"/>
        <v>6485</v>
      </c>
      <c r="C872" t="s">
        <v>2267</v>
      </c>
      <c r="D872" t="s">
        <v>364</v>
      </c>
      <c r="E872" t="s">
        <v>119</v>
      </c>
      <c r="F872" t="s">
        <v>327</v>
      </c>
      <c r="G872" t="s">
        <v>324</v>
      </c>
      <c r="H872">
        <v>0</v>
      </c>
      <c r="I872" t="s">
        <v>379</v>
      </c>
    </row>
    <row r="873" spans="1:9" x14ac:dyDescent="0.25">
      <c r="A873" t="s">
        <v>2268</v>
      </c>
      <c r="B873">
        <f t="shared" si="13"/>
        <v>6487</v>
      </c>
      <c r="C873" t="s">
        <v>2269</v>
      </c>
      <c r="D873" t="s">
        <v>364</v>
      </c>
      <c r="E873" t="s">
        <v>119</v>
      </c>
      <c r="F873" t="s">
        <v>318</v>
      </c>
      <c r="G873" t="s">
        <v>312</v>
      </c>
      <c r="H873">
        <v>0</v>
      </c>
      <c r="I873" t="s">
        <v>382</v>
      </c>
    </row>
    <row r="874" spans="1:9" x14ac:dyDescent="0.25">
      <c r="A874" t="s">
        <v>203</v>
      </c>
      <c r="B874">
        <f t="shared" si="13"/>
        <v>6497</v>
      </c>
      <c r="C874" t="s">
        <v>204</v>
      </c>
      <c r="D874" t="s">
        <v>72</v>
      </c>
      <c r="E874" t="s">
        <v>81</v>
      </c>
      <c r="F874" t="s">
        <v>81</v>
      </c>
      <c r="G874" t="s">
        <v>81</v>
      </c>
      <c r="H874">
        <v>0</v>
      </c>
      <c r="I874" t="s">
        <v>1146</v>
      </c>
    </row>
    <row r="875" spans="1:9" x14ac:dyDescent="0.25">
      <c r="A875" t="s">
        <v>1508</v>
      </c>
      <c r="B875">
        <f t="shared" si="13"/>
        <v>6498</v>
      </c>
      <c r="C875" t="s">
        <v>1509</v>
      </c>
      <c r="D875" t="s">
        <v>364</v>
      </c>
      <c r="E875" t="s">
        <v>119</v>
      </c>
      <c r="F875" t="s">
        <v>327</v>
      </c>
      <c r="G875" t="s">
        <v>324</v>
      </c>
      <c r="H875">
        <v>0</v>
      </c>
      <c r="I875" t="s">
        <v>379</v>
      </c>
    </row>
    <row r="876" spans="1:9" x14ac:dyDescent="0.25">
      <c r="A876" t="s">
        <v>783</v>
      </c>
      <c r="B876">
        <f t="shared" si="13"/>
        <v>6499</v>
      </c>
      <c r="C876" t="s">
        <v>784</v>
      </c>
      <c r="D876" t="s">
        <v>72</v>
      </c>
      <c r="E876" t="s">
        <v>119</v>
      </c>
      <c r="F876" t="s">
        <v>318</v>
      </c>
      <c r="G876" t="s">
        <v>329</v>
      </c>
      <c r="H876">
        <v>0</v>
      </c>
      <c r="I876" t="s">
        <v>377</v>
      </c>
    </row>
    <row r="877" spans="1:9" x14ac:dyDescent="0.25">
      <c r="A877" t="s">
        <v>1147</v>
      </c>
      <c r="B877">
        <f t="shared" si="13"/>
        <v>6520</v>
      </c>
      <c r="C877" t="s">
        <v>1148</v>
      </c>
      <c r="D877" t="s">
        <v>364</v>
      </c>
      <c r="E877" t="s">
        <v>119</v>
      </c>
      <c r="F877" t="s">
        <v>345</v>
      </c>
      <c r="G877" t="s">
        <v>329</v>
      </c>
      <c r="H877">
        <v>0</v>
      </c>
      <c r="I877" t="s">
        <v>377</v>
      </c>
    </row>
    <row r="878" spans="1:9" x14ac:dyDescent="0.25">
      <c r="A878" t="s">
        <v>1510</v>
      </c>
      <c r="B878">
        <f t="shared" si="13"/>
        <v>6539</v>
      </c>
      <c r="C878" t="s">
        <v>1511</v>
      </c>
      <c r="D878" t="s">
        <v>364</v>
      </c>
      <c r="E878" t="s">
        <v>119</v>
      </c>
      <c r="F878" t="s">
        <v>326</v>
      </c>
      <c r="G878" t="s">
        <v>25</v>
      </c>
      <c r="H878">
        <v>0</v>
      </c>
      <c r="I878" t="s">
        <v>386</v>
      </c>
    </row>
    <row r="879" spans="1:9" x14ac:dyDescent="0.25">
      <c r="A879" t="s">
        <v>3224</v>
      </c>
      <c r="B879">
        <f t="shared" si="13"/>
        <v>6541</v>
      </c>
      <c r="C879" t="s">
        <v>3225</v>
      </c>
      <c r="D879" t="s">
        <v>364</v>
      </c>
      <c r="E879" t="s">
        <v>119</v>
      </c>
      <c r="F879" t="s">
        <v>327</v>
      </c>
      <c r="G879" t="s">
        <v>628</v>
      </c>
      <c r="H879">
        <v>0</v>
      </c>
      <c r="I879" t="s">
        <v>3226</v>
      </c>
    </row>
    <row r="880" spans="1:9" x14ac:dyDescent="0.25">
      <c r="A880" t="s">
        <v>3185</v>
      </c>
      <c r="B880">
        <f t="shared" si="13"/>
        <v>6559</v>
      </c>
      <c r="C880" t="s">
        <v>3186</v>
      </c>
      <c r="D880" t="s">
        <v>364</v>
      </c>
      <c r="E880" t="s">
        <v>81</v>
      </c>
      <c r="F880" t="s">
        <v>81</v>
      </c>
      <c r="G880" t="s">
        <v>81</v>
      </c>
      <c r="H880">
        <v>0</v>
      </c>
      <c r="I880" t="s">
        <v>420</v>
      </c>
    </row>
    <row r="881" spans="1:9" x14ac:dyDescent="0.25">
      <c r="A881" t="s">
        <v>3862</v>
      </c>
      <c r="B881">
        <f t="shared" si="13"/>
        <v>6560</v>
      </c>
      <c r="C881" t="s">
        <v>3863</v>
      </c>
      <c r="D881" t="s">
        <v>364</v>
      </c>
      <c r="E881" t="s">
        <v>119</v>
      </c>
      <c r="F881" t="s">
        <v>326</v>
      </c>
      <c r="G881" t="s">
        <v>324</v>
      </c>
      <c r="H881">
        <v>0</v>
      </c>
      <c r="I881" t="s">
        <v>379</v>
      </c>
    </row>
    <row r="882" spans="1:9" x14ac:dyDescent="0.25">
      <c r="A882" t="s">
        <v>3757</v>
      </c>
      <c r="B882">
        <f t="shared" si="13"/>
        <v>6564</v>
      </c>
      <c r="C882" t="s">
        <v>3758</v>
      </c>
      <c r="D882" t="s">
        <v>364</v>
      </c>
      <c r="E882" t="s">
        <v>81</v>
      </c>
      <c r="F882" t="s">
        <v>81</v>
      </c>
      <c r="G882" t="s">
        <v>81</v>
      </c>
      <c r="H882">
        <v>0</v>
      </c>
      <c r="I882" t="s">
        <v>1537</v>
      </c>
    </row>
    <row r="883" spans="1:9" x14ac:dyDescent="0.25">
      <c r="A883" t="s">
        <v>2270</v>
      </c>
      <c r="B883">
        <f t="shared" si="13"/>
        <v>6576</v>
      </c>
      <c r="C883" t="s">
        <v>2271</v>
      </c>
      <c r="D883" t="s">
        <v>364</v>
      </c>
      <c r="E883" t="s">
        <v>119</v>
      </c>
      <c r="F883" t="s">
        <v>327</v>
      </c>
      <c r="G883" t="s">
        <v>29</v>
      </c>
      <c r="H883">
        <v>0</v>
      </c>
      <c r="I883" t="s">
        <v>391</v>
      </c>
    </row>
    <row r="884" spans="1:9" x14ac:dyDescent="0.25">
      <c r="A884" t="s">
        <v>1512</v>
      </c>
      <c r="B884">
        <f t="shared" si="13"/>
        <v>6579</v>
      </c>
      <c r="C884" t="s">
        <v>1513</v>
      </c>
      <c r="D884" t="s">
        <v>364</v>
      </c>
      <c r="E884" t="s">
        <v>119</v>
      </c>
      <c r="F884" t="s">
        <v>327</v>
      </c>
      <c r="G884" t="s">
        <v>324</v>
      </c>
      <c r="H884">
        <v>0</v>
      </c>
      <c r="I884" t="s">
        <v>379</v>
      </c>
    </row>
    <row r="885" spans="1:9" x14ac:dyDescent="0.25">
      <c r="A885" t="s">
        <v>2272</v>
      </c>
      <c r="B885">
        <f t="shared" si="13"/>
        <v>6582</v>
      </c>
      <c r="C885" t="s">
        <v>2273</v>
      </c>
      <c r="D885" t="s">
        <v>364</v>
      </c>
      <c r="E885" t="s">
        <v>119</v>
      </c>
      <c r="F885" t="s">
        <v>318</v>
      </c>
      <c r="G885" t="s">
        <v>349</v>
      </c>
      <c r="H885">
        <v>0</v>
      </c>
      <c r="I885" t="s">
        <v>2274</v>
      </c>
    </row>
    <row r="886" spans="1:9" x14ac:dyDescent="0.25">
      <c r="A886" t="s">
        <v>2275</v>
      </c>
      <c r="B886">
        <f t="shared" si="13"/>
        <v>6584</v>
      </c>
      <c r="C886" t="s">
        <v>2276</v>
      </c>
      <c r="D886" t="s">
        <v>72</v>
      </c>
      <c r="E886" t="s">
        <v>119</v>
      </c>
      <c r="F886" t="s">
        <v>318</v>
      </c>
      <c r="G886" t="s">
        <v>29</v>
      </c>
      <c r="H886">
        <v>0</v>
      </c>
      <c r="I886" t="s">
        <v>391</v>
      </c>
    </row>
    <row r="887" spans="1:9" x14ac:dyDescent="0.25">
      <c r="A887" t="s">
        <v>1514</v>
      </c>
      <c r="B887">
        <f t="shared" si="13"/>
        <v>6585</v>
      </c>
      <c r="C887" t="s">
        <v>1515</v>
      </c>
      <c r="D887" t="s">
        <v>364</v>
      </c>
      <c r="E887" t="s">
        <v>119</v>
      </c>
      <c r="F887" t="s">
        <v>318</v>
      </c>
      <c r="G887" t="s">
        <v>29</v>
      </c>
      <c r="H887">
        <v>0</v>
      </c>
      <c r="I887" t="s">
        <v>391</v>
      </c>
    </row>
    <row r="888" spans="1:9" x14ac:dyDescent="0.25">
      <c r="A888" t="s">
        <v>2277</v>
      </c>
      <c r="B888">
        <f t="shared" si="13"/>
        <v>6586</v>
      </c>
      <c r="C888" t="s">
        <v>2278</v>
      </c>
      <c r="D888" t="s">
        <v>364</v>
      </c>
      <c r="E888" t="s">
        <v>119</v>
      </c>
      <c r="F888" t="s">
        <v>318</v>
      </c>
      <c r="G888" t="s">
        <v>346</v>
      </c>
      <c r="H888">
        <v>0</v>
      </c>
      <c r="I888" t="s">
        <v>380</v>
      </c>
    </row>
    <row r="889" spans="1:9" x14ac:dyDescent="0.25">
      <c r="A889" t="s">
        <v>4065</v>
      </c>
      <c r="B889">
        <f t="shared" si="13"/>
        <v>6591</v>
      </c>
      <c r="C889" t="s">
        <v>4066</v>
      </c>
      <c r="D889" t="s">
        <v>72</v>
      </c>
      <c r="E889" t="s">
        <v>119</v>
      </c>
      <c r="F889" t="s">
        <v>326</v>
      </c>
      <c r="G889" t="s">
        <v>24</v>
      </c>
      <c r="H889">
        <v>0</v>
      </c>
      <c r="I889" t="s">
        <v>383</v>
      </c>
    </row>
    <row r="890" spans="1:9" x14ac:dyDescent="0.25">
      <c r="A890" t="s">
        <v>4230</v>
      </c>
      <c r="B890">
        <f t="shared" si="13"/>
        <v>6592</v>
      </c>
      <c r="C890" t="s">
        <v>4231</v>
      </c>
      <c r="D890" t="s">
        <v>72</v>
      </c>
      <c r="E890" t="s">
        <v>81</v>
      </c>
      <c r="F890" t="s">
        <v>81</v>
      </c>
      <c r="G890" t="s">
        <v>81</v>
      </c>
      <c r="H890">
        <v>0</v>
      </c>
      <c r="I890" t="s">
        <v>4232</v>
      </c>
    </row>
    <row r="891" spans="1:9" x14ac:dyDescent="0.25">
      <c r="A891" t="s">
        <v>2279</v>
      </c>
      <c r="B891">
        <f t="shared" si="13"/>
        <v>6597</v>
      </c>
      <c r="C891" t="s">
        <v>2280</v>
      </c>
      <c r="D891" t="s">
        <v>364</v>
      </c>
      <c r="E891" t="s">
        <v>119</v>
      </c>
      <c r="F891" t="s">
        <v>318</v>
      </c>
      <c r="G891" t="s">
        <v>324</v>
      </c>
      <c r="H891">
        <v>0</v>
      </c>
      <c r="I891" t="s">
        <v>379</v>
      </c>
    </row>
    <row r="892" spans="1:9" x14ac:dyDescent="0.25">
      <c r="A892" t="s">
        <v>902</v>
      </c>
      <c r="B892">
        <f t="shared" si="13"/>
        <v>6605</v>
      </c>
      <c r="C892" t="s">
        <v>903</v>
      </c>
      <c r="D892" t="s">
        <v>364</v>
      </c>
      <c r="E892" t="s">
        <v>119</v>
      </c>
      <c r="F892" t="s">
        <v>318</v>
      </c>
      <c r="G892" t="s">
        <v>324</v>
      </c>
      <c r="H892">
        <v>0</v>
      </c>
      <c r="I892" t="s">
        <v>379</v>
      </c>
    </row>
    <row r="893" spans="1:9" x14ac:dyDescent="0.25">
      <c r="A893" t="s">
        <v>3889</v>
      </c>
      <c r="B893">
        <f t="shared" si="13"/>
        <v>6609</v>
      </c>
      <c r="C893" t="s">
        <v>3890</v>
      </c>
      <c r="D893" t="s">
        <v>72</v>
      </c>
      <c r="E893" t="s">
        <v>119</v>
      </c>
      <c r="F893" t="s">
        <v>327</v>
      </c>
      <c r="G893" t="s">
        <v>27</v>
      </c>
      <c r="H893">
        <v>0</v>
      </c>
      <c r="I893" t="s">
        <v>387</v>
      </c>
    </row>
    <row r="894" spans="1:9" x14ac:dyDescent="0.25">
      <c r="A894" t="s">
        <v>2281</v>
      </c>
      <c r="B894">
        <f t="shared" si="13"/>
        <v>6611</v>
      </c>
      <c r="C894" t="s">
        <v>2282</v>
      </c>
      <c r="D894" t="s">
        <v>364</v>
      </c>
      <c r="E894" t="s">
        <v>119</v>
      </c>
      <c r="F894" t="s">
        <v>327</v>
      </c>
      <c r="G894" t="s">
        <v>329</v>
      </c>
      <c r="H894">
        <v>0</v>
      </c>
      <c r="I894" t="s">
        <v>377</v>
      </c>
    </row>
    <row r="895" spans="1:9" x14ac:dyDescent="0.25">
      <c r="A895" t="s">
        <v>1149</v>
      </c>
      <c r="B895">
        <f t="shared" si="13"/>
        <v>6613</v>
      </c>
      <c r="C895" t="s">
        <v>1150</v>
      </c>
      <c r="D895" t="s">
        <v>364</v>
      </c>
      <c r="E895" t="s">
        <v>119</v>
      </c>
      <c r="F895" t="s">
        <v>327</v>
      </c>
      <c r="G895" t="s">
        <v>324</v>
      </c>
      <c r="H895">
        <v>0</v>
      </c>
      <c r="I895" t="s">
        <v>378</v>
      </c>
    </row>
    <row r="896" spans="1:9" x14ac:dyDescent="0.25">
      <c r="A896" t="s">
        <v>2283</v>
      </c>
      <c r="B896">
        <f t="shared" si="13"/>
        <v>6614</v>
      </c>
      <c r="C896" t="s">
        <v>2284</v>
      </c>
      <c r="D896" t="s">
        <v>364</v>
      </c>
      <c r="E896" t="s">
        <v>119</v>
      </c>
      <c r="F896" t="s">
        <v>327</v>
      </c>
      <c r="G896" t="s">
        <v>346</v>
      </c>
      <c r="H896">
        <v>0</v>
      </c>
      <c r="I896" t="s">
        <v>380</v>
      </c>
    </row>
    <row r="897" spans="1:9" x14ac:dyDescent="0.25">
      <c r="A897" t="s">
        <v>2285</v>
      </c>
      <c r="B897">
        <f t="shared" si="13"/>
        <v>6661</v>
      </c>
      <c r="C897" t="s">
        <v>2286</v>
      </c>
      <c r="D897" t="s">
        <v>364</v>
      </c>
      <c r="E897" t="s">
        <v>119</v>
      </c>
      <c r="F897" t="s">
        <v>327</v>
      </c>
      <c r="G897" t="s">
        <v>312</v>
      </c>
      <c r="H897">
        <v>0</v>
      </c>
      <c r="I897" t="s">
        <v>382</v>
      </c>
    </row>
    <row r="898" spans="1:9" x14ac:dyDescent="0.25">
      <c r="A898" t="s">
        <v>2914</v>
      </c>
      <c r="B898">
        <f t="shared" si="13"/>
        <v>6663</v>
      </c>
      <c r="C898" t="s">
        <v>2915</v>
      </c>
      <c r="D898" t="s">
        <v>364</v>
      </c>
      <c r="E898" t="s">
        <v>119</v>
      </c>
      <c r="F898" t="s">
        <v>318</v>
      </c>
      <c r="G898" t="s">
        <v>29</v>
      </c>
      <c r="H898">
        <v>0</v>
      </c>
      <c r="I898" t="s">
        <v>391</v>
      </c>
    </row>
    <row r="899" spans="1:9" x14ac:dyDescent="0.25">
      <c r="A899" t="s">
        <v>2287</v>
      </c>
      <c r="B899">
        <f t="shared" si="13"/>
        <v>6665</v>
      </c>
      <c r="C899" t="s">
        <v>2288</v>
      </c>
      <c r="D899" t="s">
        <v>364</v>
      </c>
      <c r="E899" t="s">
        <v>119</v>
      </c>
      <c r="F899" t="s">
        <v>325</v>
      </c>
      <c r="G899" t="s">
        <v>329</v>
      </c>
      <c r="H899">
        <v>0</v>
      </c>
      <c r="I899" t="s">
        <v>377</v>
      </c>
    </row>
    <row r="900" spans="1:9" x14ac:dyDescent="0.25">
      <c r="A900" t="s">
        <v>4532</v>
      </c>
      <c r="B900">
        <f t="shared" ref="B900:B963" si="14">_xlfn.NUMBERVALUE(A900,"#####")</f>
        <v>6666</v>
      </c>
      <c r="C900" t="s">
        <v>4533</v>
      </c>
      <c r="D900" t="s">
        <v>364</v>
      </c>
      <c r="E900" t="s">
        <v>119</v>
      </c>
      <c r="F900" t="s">
        <v>327</v>
      </c>
      <c r="G900" t="s">
        <v>29</v>
      </c>
      <c r="H900">
        <v>0</v>
      </c>
      <c r="I900" t="s">
        <v>391</v>
      </c>
    </row>
    <row r="901" spans="1:9" x14ac:dyDescent="0.25">
      <c r="A901" t="s">
        <v>1151</v>
      </c>
      <c r="B901">
        <f t="shared" si="14"/>
        <v>6672</v>
      </c>
      <c r="C901" t="s">
        <v>1152</v>
      </c>
      <c r="D901" t="s">
        <v>364</v>
      </c>
      <c r="E901" t="s">
        <v>119</v>
      </c>
      <c r="F901" t="s">
        <v>327</v>
      </c>
      <c r="G901" t="s">
        <v>26</v>
      </c>
      <c r="H901">
        <v>0</v>
      </c>
      <c r="I901" t="s">
        <v>394</v>
      </c>
    </row>
    <row r="902" spans="1:9" x14ac:dyDescent="0.25">
      <c r="A902" t="s">
        <v>1516</v>
      </c>
      <c r="B902">
        <f t="shared" si="14"/>
        <v>6674</v>
      </c>
      <c r="C902" t="s">
        <v>1517</v>
      </c>
      <c r="D902" t="s">
        <v>364</v>
      </c>
      <c r="E902" t="s">
        <v>119</v>
      </c>
      <c r="F902" t="s">
        <v>664</v>
      </c>
      <c r="G902" t="s">
        <v>324</v>
      </c>
      <c r="H902">
        <v>0</v>
      </c>
      <c r="I902" t="s">
        <v>1518</v>
      </c>
    </row>
    <row r="903" spans="1:9" x14ac:dyDescent="0.25">
      <c r="A903" t="s">
        <v>1519</v>
      </c>
      <c r="B903">
        <f t="shared" si="14"/>
        <v>6675</v>
      </c>
      <c r="C903" t="s">
        <v>1520</v>
      </c>
      <c r="D903" t="s">
        <v>364</v>
      </c>
      <c r="E903" t="s">
        <v>119</v>
      </c>
      <c r="F903" t="s">
        <v>664</v>
      </c>
      <c r="G903" t="s">
        <v>313</v>
      </c>
      <c r="H903">
        <v>0</v>
      </c>
      <c r="I903" t="s">
        <v>382</v>
      </c>
    </row>
    <row r="904" spans="1:9" x14ac:dyDescent="0.25">
      <c r="A904" t="s">
        <v>3187</v>
      </c>
      <c r="B904">
        <f t="shared" si="14"/>
        <v>6678</v>
      </c>
      <c r="C904" t="s">
        <v>3188</v>
      </c>
      <c r="D904" t="s">
        <v>364</v>
      </c>
      <c r="E904" t="s">
        <v>119</v>
      </c>
      <c r="F904" t="s">
        <v>323</v>
      </c>
      <c r="G904" t="s">
        <v>324</v>
      </c>
      <c r="H904">
        <v>0</v>
      </c>
      <c r="I904" t="s">
        <v>379</v>
      </c>
    </row>
    <row r="905" spans="1:9" x14ac:dyDescent="0.25">
      <c r="A905" t="s">
        <v>3221</v>
      </c>
      <c r="B905">
        <f t="shared" si="14"/>
        <v>6679</v>
      </c>
      <c r="C905" t="s">
        <v>3222</v>
      </c>
      <c r="D905" t="s">
        <v>364</v>
      </c>
      <c r="E905" t="s">
        <v>119</v>
      </c>
      <c r="F905" t="s">
        <v>326</v>
      </c>
      <c r="G905" t="s">
        <v>324</v>
      </c>
      <c r="H905">
        <v>0</v>
      </c>
      <c r="I905" t="s">
        <v>379</v>
      </c>
    </row>
    <row r="906" spans="1:9" x14ac:dyDescent="0.25">
      <c r="A906" t="s">
        <v>4534</v>
      </c>
      <c r="B906">
        <f t="shared" si="14"/>
        <v>6684</v>
      </c>
      <c r="C906" t="s">
        <v>4535</v>
      </c>
      <c r="D906" t="s">
        <v>72</v>
      </c>
      <c r="E906" t="s">
        <v>119</v>
      </c>
      <c r="F906" t="s">
        <v>318</v>
      </c>
      <c r="G906" t="s">
        <v>28</v>
      </c>
      <c r="H906">
        <v>0</v>
      </c>
      <c r="I906" t="s">
        <v>376</v>
      </c>
    </row>
    <row r="907" spans="1:9" x14ac:dyDescent="0.25">
      <c r="A907" t="s">
        <v>3064</v>
      </c>
      <c r="B907">
        <f t="shared" si="14"/>
        <v>6703</v>
      </c>
      <c r="C907" t="s">
        <v>3065</v>
      </c>
      <c r="D907" t="s">
        <v>364</v>
      </c>
      <c r="E907" t="s">
        <v>119</v>
      </c>
      <c r="F907" t="s">
        <v>327</v>
      </c>
      <c r="G907" t="s">
        <v>346</v>
      </c>
      <c r="H907">
        <v>0</v>
      </c>
      <c r="I907" t="s">
        <v>380</v>
      </c>
    </row>
    <row r="908" spans="1:9" x14ac:dyDescent="0.25">
      <c r="A908" t="s">
        <v>2289</v>
      </c>
      <c r="B908">
        <f t="shared" si="14"/>
        <v>6706</v>
      </c>
      <c r="C908" t="s">
        <v>2290</v>
      </c>
      <c r="D908" t="s">
        <v>364</v>
      </c>
      <c r="E908" t="s">
        <v>81</v>
      </c>
      <c r="F908" t="s">
        <v>81</v>
      </c>
      <c r="G908" t="s">
        <v>81</v>
      </c>
      <c r="H908">
        <v>0</v>
      </c>
      <c r="I908" t="s">
        <v>2291</v>
      </c>
    </row>
    <row r="909" spans="1:9" x14ac:dyDescent="0.25">
      <c r="A909" t="s">
        <v>684</v>
      </c>
      <c r="B909">
        <f t="shared" si="14"/>
        <v>6711</v>
      </c>
      <c r="C909" t="s">
        <v>685</v>
      </c>
      <c r="D909" t="s">
        <v>72</v>
      </c>
      <c r="E909" t="s">
        <v>81</v>
      </c>
      <c r="F909" t="s">
        <v>81</v>
      </c>
      <c r="G909" t="s">
        <v>81</v>
      </c>
      <c r="H909">
        <v>0</v>
      </c>
      <c r="I909" t="s">
        <v>686</v>
      </c>
    </row>
    <row r="910" spans="1:9" x14ac:dyDescent="0.25">
      <c r="A910" t="s">
        <v>3215</v>
      </c>
      <c r="B910">
        <f t="shared" si="14"/>
        <v>6712</v>
      </c>
      <c r="C910" t="s">
        <v>3216</v>
      </c>
      <c r="D910" t="s">
        <v>364</v>
      </c>
      <c r="E910" t="s">
        <v>119</v>
      </c>
      <c r="F910" t="s">
        <v>325</v>
      </c>
      <c r="G910" t="s">
        <v>25</v>
      </c>
      <c r="H910">
        <v>0</v>
      </c>
      <c r="I910" t="s">
        <v>386</v>
      </c>
    </row>
    <row r="911" spans="1:9" x14ac:dyDescent="0.25">
      <c r="A911" t="s">
        <v>205</v>
      </c>
      <c r="B911">
        <f t="shared" si="14"/>
        <v>6725</v>
      </c>
      <c r="C911" t="s">
        <v>206</v>
      </c>
      <c r="D911" t="s">
        <v>364</v>
      </c>
      <c r="E911" t="s">
        <v>81</v>
      </c>
      <c r="F911" t="s">
        <v>81</v>
      </c>
      <c r="G911" t="s">
        <v>81</v>
      </c>
      <c r="H911">
        <v>0</v>
      </c>
      <c r="I911" t="s">
        <v>1153</v>
      </c>
    </row>
    <row r="912" spans="1:9" x14ac:dyDescent="0.25">
      <c r="A912" t="s">
        <v>2292</v>
      </c>
      <c r="B912">
        <f t="shared" si="14"/>
        <v>6729</v>
      </c>
      <c r="C912" t="s">
        <v>2293</v>
      </c>
      <c r="D912" t="s">
        <v>364</v>
      </c>
      <c r="E912" t="s">
        <v>119</v>
      </c>
      <c r="F912" t="s">
        <v>1717</v>
      </c>
      <c r="G912" t="s">
        <v>312</v>
      </c>
      <c r="H912">
        <v>0</v>
      </c>
      <c r="I912" t="s">
        <v>382</v>
      </c>
    </row>
    <row r="913" spans="1:9" x14ac:dyDescent="0.25">
      <c r="A913" t="s">
        <v>2294</v>
      </c>
      <c r="B913">
        <f t="shared" si="14"/>
        <v>6730</v>
      </c>
      <c r="C913" t="s">
        <v>2295</v>
      </c>
      <c r="D913" t="s">
        <v>364</v>
      </c>
      <c r="E913" t="s">
        <v>119</v>
      </c>
      <c r="F913" t="s">
        <v>318</v>
      </c>
      <c r="G913" t="s">
        <v>324</v>
      </c>
      <c r="H913">
        <v>0</v>
      </c>
      <c r="I913" t="s">
        <v>379</v>
      </c>
    </row>
    <row r="914" spans="1:9" x14ac:dyDescent="0.25">
      <c r="A914" t="s">
        <v>4536</v>
      </c>
      <c r="B914">
        <f t="shared" si="14"/>
        <v>6735</v>
      </c>
      <c r="C914" t="s">
        <v>4537</v>
      </c>
      <c r="D914" t="s">
        <v>72</v>
      </c>
      <c r="E914" t="s">
        <v>119</v>
      </c>
      <c r="F914" t="s">
        <v>318</v>
      </c>
      <c r="G914" t="s">
        <v>324</v>
      </c>
      <c r="H914">
        <v>0</v>
      </c>
      <c r="I914" t="s">
        <v>379</v>
      </c>
    </row>
    <row r="915" spans="1:9" x14ac:dyDescent="0.25">
      <c r="A915" t="s">
        <v>4538</v>
      </c>
      <c r="B915">
        <f t="shared" si="14"/>
        <v>6740</v>
      </c>
      <c r="C915" t="s">
        <v>4539</v>
      </c>
      <c r="D915" t="s">
        <v>364</v>
      </c>
      <c r="E915" t="s">
        <v>119</v>
      </c>
      <c r="F915" t="s">
        <v>327</v>
      </c>
      <c r="G915" t="s">
        <v>324</v>
      </c>
      <c r="H915">
        <v>0</v>
      </c>
      <c r="I915" t="s">
        <v>379</v>
      </c>
    </row>
    <row r="916" spans="1:9" x14ac:dyDescent="0.25">
      <c r="A916" t="s">
        <v>687</v>
      </c>
      <c r="B916">
        <f t="shared" si="14"/>
        <v>6745</v>
      </c>
      <c r="C916" t="s">
        <v>688</v>
      </c>
      <c r="D916" t="s">
        <v>364</v>
      </c>
      <c r="E916" t="s">
        <v>119</v>
      </c>
      <c r="F916" t="s">
        <v>326</v>
      </c>
      <c r="G916" t="s">
        <v>324</v>
      </c>
      <c r="H916">
        <v>0</v>
      </c>
      <c r="I916" t="s">
        <v>379</v>
      </c>
    </row>
    <row r="917" spans="1:9" x14ac:dyDescent="0.25">
      <c r="A917" t="s">
        <v>3759</v>
      </c>
      <c r="B917">
        <f t="shared" si="14"/>
        <v>6755</v>
      </c>
      <c r="C917" t="s">
        <v>3760</v>
      </c>
      <c r="D917" t="s">
        <v>364</v>
      </c>
      <c r="E917" t="s">
        <v>119</v>
      </c>
      <c r="F917" t="s">
        <v>328</v>
      </c>
      <c r="G917" t="s">
        <v>324</v>
      </c>
      <c r="H917">
        <v>0</v>
      </c>
      <c r="I917" t="s">
        <v>379</v>
      </c>
    </row>
    <row r="918" spans="1:9" x14ac:dyDescent="0.25">
      <c r="A918" t="s">
        <v>4540</v>
      </c>
      <c r="B918">
        <f t="shared" si="14"/>
        <v>6757</v>
      </c>
      <c r="C918" t="s">
        <v>4541</v>
      </c>
      <c r="D918" t="s">
        <v>72</v>
      </c>
      <c r="E918" t="s">
        <v>119</v>
      </c>
      <c r="F918" t="s">
        <v>318</v>
      </c>
      <c r="G918" t="s">
        <v>324</v>
      </c>
      <c r="H918">
        <v>0</v>
      </c>
      <c r="I918" t="s">
        <v>379</v>
      </c>
    </row>
    <row r="919" spans="1:9" x14ac:dyDescent="0.25">
      <c r="A919" t="s">
        <v>4542</v>
      </c>
      <c r="B919">
        <f t="shared" si="14"/>
        <v>6914</v>
      </c>
      <c r="C919" t="s">
        <v>4543</v>
      </c>
      <c r="D919" t="s">
        <v>72</v>
      </c>
      <c r="E919" t="s">
        <v>119</v>
      </c>
      <c r="F919" t="s">
        <v>318</v>
      </c>
      <c r="G919" t="s">
        <v>29</v>
      </c>
      <c r="H919">
        <v>0</v>
      </c>
      <c r="I919" t="s">
        <v>391</v>
      </c>
    </row>
    <row r="920" spans="1:9" x14ac:dyDescent="0.25">
      <c r="A920" t="s">
        <v>3548</v>
      </c>
      <c r="B920">
        <f t="shared" si="14"/>
        <v>6915</v>
      </c>
      <c r="C920" t="s">
        <v>3549</v>
      </c>
      <c r="D920" t="s">
        <v>364</v>
      </c>
      <c r="E920" t="s">
        <v>119</v>
      </c>
      <c r="F920" t="s">
        <v>327</v>
      </c>
      <c r="G920" t="s">
        <v>324</v>
      </c>
      <c r="H920">
        <v>0</v>
      </c>
      <c r="I920" t="s">
        <v>379</v>
      </c>
    </row>
    <row r="921" spans="1:9" x14ac:dyDescent="0.25">
      <c r="A921" t="s">
        <v>1154</v>
      </c>
      <c r="B921">
        <f t="shared" si="14"/>
        <v>6918</v>
      </c>
      <c r="C921" t="s">
        <v>1155</v>
      </c>
      <c r="D921" t="s">
        <v>72</v>
      </c>
      <c r="E921" t="s">
        <v>81</v>
      </c>
      <c r="F921" t="s">
        <v>81</v>
      </c>
      <c r="G921" t="s">
        <v>81</v>
      </c>
      <c r="H921">
        <v>1</v>
      </c>
      <c r="I921" t="s">
        <v>1019</v>
      </c>
    </row>
    <row r="922" spans="1:9" x14ac:dyDescent="0.25">
      <c r="A922" t="s">
        <v>207</v>
      </c>
      <c r="B922">
        <f t="shared" si="14"/>
        <v>6919</v>
      </c>
      <c r="C922" t="s">
        <v>208</v>
      </c>
      <c r="D922" t="s">
        <v>72</v>
      </c>
      <c r="E922" t="s">
        <v>119</v>
      </c>
      <c r="F922" t="s">
        <v>327</v>
      </c>
      <c r="G922" t="s">
        <v>72</v>
      </c>
      <c r="H922">
        <v>1</v>
      </c>
      <c r="I922" t="s">
        <v>1156</v>
      </c>
    </row>
    <row r="923" spans="1:9" x14ac:dyDescent="0.25">
      <c r="A923" t="s">
        <v>2789</v>
      </c>
      <c r="B923">
        <f t="shared" si="14"/>
        <v>6921</v>
      </c>
      <c r="C923" t="s">
        <v>2790</v>
      </c>
      <c r="D923" t="s">
        <v>364</v>
      </c>
      <c r="E923" t="s">
        <v>119</v>
      </c>
      <c r="F923" t="s">
        <v>1717</v>
      </c>
      <c r="G923" t="s">
        <v>324</v>
      </c>
      <c r="H923">
        <v>0</v>
      </c>
      <c r="I923" t="s">
        <v>379</v>
      </c>
    </row>
    <row r="924" spans="1:9" x14ac:dyDescent="0.25">
      <c r="A924" t="s">
        <v>2296</v>
      </c>
      <c r="B924">
        <f t="shared" si="14"/>
        <v>6926</v>
      </c>
      <c r="C924" t="s">
        <v>2297</v>
      </c>
      <c r="D924" t="s">
        <v>364</v>
      </c>
      <c r="E924" t="s">
        <v>119</v>
      </c>
      <c r="F924" t="s">
        <v>327</v>
      </c>
      <c r="G924" t="s">
        <v>324</v>
      </c>
      <c r="H924">
        <v>0</v>
      </c>
      <c r="I924" t="s">
        <v>379</v>
      </c>
    </row>
    <row r="925" spans="1:9" x14ac:dyDescent="0.25">
      <c r="A925" t="s">
        <v>2298</v>
      </c>
      <c r="B925">
        <f t="shared" si="14"/>
        <v>6928</v>
      </c>
      <c r="C925" t="s">
        <v>2299</v>
      </c>
      <c r="D925" t="s">
        <v>364</v>
      </c>
      <c r="E925" t="s">
        <v>119</v>
      </c>
      <c r="F925" t="s">
        <v>327</v>
      </c>
      <c r="G925" t="s">
        <v>324</v>
      </c>
      <c r="H925">
        <v>0</v>
      </c>
      <c r="I925" t="s">
        <v>379</v>
      </c>
    </row>
    <row r="926" spans="1:9" x14ac:dyDescent="0.25">
      <c r="A926" t="s">
        <v>2300</v>
      </c>
      <c r="B926">
        <f t="shared" si="14"/>
        <v>6930</v>
      </c>
      <c r="C926" t="s">
        <v>2301</v>
      </c>
      <c r="D926" t="s">
        <v>364</v>
      </c>
      <c r="E926" t="s">
        <v>119</v>
      </c>
      <c r="F926" t="s">
        <v>325</v>
      </c>
      <c r="G926" t="s">
        <v>27</v>
      </c>
      <c r="H926">
        <v>0</v>
      </c>
      <c r="I926" t="s">
        <v>387</v>
      </c>
    </row>
    <row r="927" spans="1:9" x14ac:dyDescent="0.25">
      <c r="A927" t="s">
        <v>1688</v>
      </c>
      <c r="B927">
        <f t="shared" si="14"/>
        <v>6948</v>
      </c>
      <c r="C927" t="s">
        <v>1689</v>
      </c>
      <c r="D927" t="s">
        <v>364</v>
      </c>
      <c r="E927" t="s">
        <v>81</v>
      </c>
      <c r="F927" t="s">
        <v>81</v>
      </c>
      <c r="G927" t="s">
        <v>81</v>
      </c>
      <c r="H927">
        <v>0</v>
      </c>
      <c r="I927" t="s">
        <v>1690</v>
      </c>
    </row>
    <row r="928" spans="1:9" x14ac:dyDescent="0.25">
      <c r="A928" t="s">
        <v>4544</v>
      </c>
      <c r="B928">
        <f t="shared" si="14"/>
        <v>6955</v>
      </c>
      <c r="C928" t="s">
        <v>4545</v>
      </c>
      <c r="D928" t="s">
        <v>364</v>
      </c>
      <c r="E928" t="s">
        <v>119</v>
      </c>
      <c r="F928" t="s">
        <v>318</v>
      </c>
      <c r="G928" t="s">
        <v>28</v>
      </c>
      <c r="H928">
        <v>0</v>
      </c>
      <c r="I928" t="s">
        <v>376</v>
      </c>
    </row>
    <row r="929" spans="1:9" x14ac:dyDescent="0.25">
      <c r="A929" t="s">
        <v>1521</v>
      </c>
      <c r="B929">
        <f t="shared" si="14"/>
        <v>6981</v>
      </c>
      <c r="C929" t="s">
        <v>1522</v>
      </c>
      <c r="D929" t="s">
        <v>364</v>
      </c>
      <c r="E929" t="s">
        <v>119</v>
      </c>
      <c r="F929" t="s">
        <v>325</v>
      </c>
      <c r="G929" t="s">
        <v>29</v>
      </c>
      <c r="H929">
        <v>0</v>
      </c>
      <c r="I929" t="s">
        <v>391</v>
      </c>
    </row>
    <row r="930" spans="1:9" x14ac:dyDescent="0.25">
      <c r="A930" t="s">
        <v>1157</v>
      </c>
      <c r="B930">
        <f t="shared" si="14"/>
        <v>6984</v>
      </c>
      <c r="C930" t="s">
        <v>1158</v>
      </c>
      <c r="D930" t="s">
        <v>364</v>
      </c>
      <c r="E930" t="s">
        <v>119</v>
      </c>
      <c r="F930" t="s">
        <v>1022</v>
      </c>
      <c r="G930" t="s">
        <v>324</v>
      </c>
      <c r="H930">
        <v>0</v>
      </c>
      <c r="I930" t="s">
        <v>379</v>
      </c>
    </row>
    <row r="931" spans="1:9" x14ac:dyDescent="0.25">
      <c r="A931" t="s">
        <v>2302</v>
      </c>
      <c r="B931">
        <f t="shared" si="14"/>
        <v>6985</v>
      </c>
      <c r="C931" t="s">
        <v>2303</v>
      </c>
      <c r="D931" t="s">
        <v>364</v>
      </c>
      <c r="E931" t="s">
        <v>119</v>
      </c>
      <c r="F931" t="s">
        <v>327</v>
      </c>
      <c r="G931" t="s">
        <v>29</v>
      </c>
      <c r="H931">
        <v>0</v>
      </c>
      <c r="I931" t="s">
        <v>391</v>
      </c>
    </row>
    <row r="932" spans="1:9" x14ac:dyDescent="0.25">
      <c r="A932" t="s">
        <v>2824</v>
      </c>
      <c r="B932">
        <f t="shared" si="14"/>
        <v>6986</v>
      </c>
      <c r="C932" t="s">
        <v>2825</v>
      </c>
      <c r="D932" t="s">
        <v>364</v>
      </c>
      <c r="E932" t="s">
        <v>119</v>
      </c>
      <c r="F932" t="s">
        <v>1717</v>
      </c>
      <c r="G932" t="s">
        <v>324</v>
      </c>
      <c r="H932">
        <v>0</v>
      </c>
      <c r="I932" t="s">
        <v>379</v>
      </c>
    </row>
    <row r="933" spans="1:9" x14ac:dyDescent="0.25">
      <c r="A933" t="s">
        <v>2304</v>
      </c>
      <c r="B933">
        <f t="shared" si="14"/>
        <v>6994</v>
      </c>
      <c r="C933" t="s">
        <v>2305</v>
      </c>
      <c r="D933" t="s">
        <v>364</v>
      </c>
      <c r="E933" t="s">
        <v>119</v>
      </c>
      <c r="F933" t="s">
        <v>664</v>
      </c>
      <c r="G933" t="s">
        <v>317</v>
      </c>
      <c r="H933">
        <v>0</v>
      </c>
      <c r="I933" t="s">
        <v>1985</v>
      </c>
    </row>
    <row r="934" spans="1:9" x14ac:dyDescent="0.25">
      <c r="A934" t="s">
        <v>785</v>
      </c>
      <c r="B934">
        <f t="shared" si="14"/>
        <v>6998</v>
      </c>
      <c r="C934" t="s">
        <v>786</v>
      </c>
      <c r="D934" t="s">
        <v>72</v>
      </c>
      <c r="E934" t="s">
        <v>81</v>
      </c>
      <c r="F934" t="s">
        <v>81</v>
      </c>
      <c r="G934" t="s">
        <v>81</v>
      </c>
      <c r="H934">
        <v>0</v>
      </c>
      <c r="I934" t="s">
        <v>399</v>
      </c>
    </row>
    <row r="935" spans="1:9" x14ac:dyDescent="0.25">
      <c r="A935" t="s">
        <v>2306</v>
      </c>
      <c r="B935">
        <f t="shared" si="14"/>
        <v>7000</v>
      </c>
      <c r="C935" t="s">
        <v>2307</v>
      </c>
      <c r="D935" t="s">
        <v>364</v>
      </c>
      <c r="E935" t="s">
        <v>119</v>
      </c>
      <c r="F935" t="s">
        <v>327</v>
      </c>
      <c r="G935" t="s">
        <v>324</v>
      </c>
      <c r="H935">
        <v>0</v>
      </c>
      <c r="I935" t="s">
        <v>379</v>
      </c>
    </row>
    <row r="936" spans="1:9" x14ac:dyDescent="0.25">
      <c r="A936" t="s">
        <v>1722</v>
      </c>
      <c r="B936">
        <f t="shared" si="14"/>
        <v>7008</v>
      </c>
      <c r="C936" t="s">
        <v>1723</v>
      </c>
      <c r="D936" t="s">
        <v>364</v>
      </c>
      <c r="E936" t="s">
        <v>119</v>
      </c>
      <c r="F936" t="s">
        <v>325</v>
      </c>
      <c r="G936" t="s">
        <v>28</v>
      </c>
      <c r="H936">
        <v>0</v>
      </c>
      <c r="I936" t="s">
        <v>376</v>
      </c>
    </row>
    <row r="937" spans="1:9" x14ac:dyDescent="0.25">
      <c r="A937" t="s">
        <v>2308</v>
      </c>
      <c r="B937">
        <f t="shared" si="14"/>
        <v>7009</v>
      </c>
      <c r="C937" t="s">
        <v>2309</v>
      </c>
      <c r="D937" t="s">
        <v>364</v>
      </c>
      <c r="E937" t="s">
        <v>119</v>
      </c>
      <c r="F937" t="s">
        <v>318</v>
      </c>
      <c r="G937" t="s">
        <v>346</v>
      </c>
      <c r="H937">
        <v>0</v>
      </c>
      <c r="I937" t="s">
        <v>380</v>
      </c>
    </row>
    <row r="938" spans="1:9" x14ac:dyDescent="0.25">
      <c r="A938" t="s">
        <v>1159</v>
      </c>
      <c r="B938">
        <f t="shared" si="14"/>
        <v>7010</v>
      </c>
      <c r="C938" t="s">
        <v>1160</v>
      </c>
      <c r="D938" t="s">
        <v>364</v>
      </c>
      <c r="E938" t="s">
        <v>119</v>
      </c>
      <c r="F938" t="s">
        <v>325</v>
      </c>
      <c r="G938" t="s">
        <v>324</v>
      </c>
      <c r="H938">
        <v>0</v>
      </c>
      <c r="I938" t="s">
        <v>379</v>
      </c>
    </row>
    <row r="939" spans="1:9" x14ac:dyDescent="0.25">
      <c r="A939" t="s">
        <v>2764</v>
      </c>
      <c r="B939">
        <f t="shared" si="14"/>
        <v>7016</v>
      </c>
      <c r="C939" t="s">
        <v>2765</v>
      </c>
      <c r="D939" t="s">
        <v>72</v>
      </c>
      <c r="E939" t="s">
        <v>119</v>
      </c>
      <c r="F939" t="s">
        <v>327</v>
      </c>
      <c r="G939" t="s">
        <v>324</v>
      </c>
      <c r="H939">
        <v>0</v>
      </c>
      <c r="I939" t="s">
        <v>379</v>
      </c>
    </row>
    <row r="940" spans="1:9" x14ac:dyDescent="0.25">
      <c r="A940" t="s">
        <v>2310</v>
      </c>
      <c r="B940">
        <f t="shared" si="14"/>
        <v>7017</v>
      </c>
      <c r="C940" t="s">
        <v>2311</v>
      </c>
      <c r="D940" t="s">
        <v>364</v>
      </c>
      <c r="E940" t="s">
        <v>81</v>
      </c>
      <c r="F940" t="s">
        <v>81</v>
      </c>
      <c r="G940" t="s">
        <v>81</v>
      </c>
      <c r="H940">
        <v>1</v>
      </c>
      <c r="I940" t="s">
        <v>411</v>
      </c>
    </row>
    <row r="941" spans="1:9" x14ac:dyDescent="0.25">
      <c r="A941" t="s">
        <v>1691</v>
      </c>
      <c r="B941">
        <f t="shared" si="14"/>
        <v>7019</v>
      </c>
      <c r="C941" t="s">
        <v>1692</v>
      </c>
      <c r="D941" t="s">
        <v>364</v>
      </c>
      <c r="E941" t="s">
        <v>119</v>
      </c>
      <c r="F941" t="s">
        <v>327</v>
      </c>
      <c r="G941" t="s">
        <v>26</v>
      </c>
      <c r="H941">
        <v>0</v>
      </c>
      <c r="I941" t="s">
        <v>394</v>
      </c>
    </row>
    <row r="942" spans="1:9" x14ac:dyDescent="0.25">
      <c r="A942" t="s">
        <v>1724</v>
      </c>
      <c r="B942">
        <f t="shared" si="14"/>
        <v>7021</v>
      </c>
      <c r="C942" t="s">
        <v>1725</v>
      </c>
      <c r="D942" t="s">
        <v>364</v>
      </c>
      <c r="E942" t="s">
        <v>119</v>
      </c>
      <c r="F942" t="s">
        <v>325</v>
      </c>
      <c r="G942" t="s">
        <v>313</v>
      </c>
      <c r="H942">
        <v>0</v>
      </c>
      <c r="I942" t="s">
        <v>980</v>
      </c>
    </row>
    <row r="943" spans="1:9" x14ac:dyDescent="0.25">
      <c r="A943" t="s">
        <v>2962</v>
      </c>
      <c r="B943">
        <f t="shared" si="14"/>
        <v>7023</v>
      </c>
      <c r="C943" t="s">
        <v>2963</v>
      </c>
      <c r="D943" t="s">
        <v>364</v>
      </c>
      <c r="E943" t="s">
        <v>119</v>
      </c>
      <c r="F943" t="s">
        <v>327</v>
      </c>
      <c r="G943" t="s">
        <v>329</v>
      </c>
      <c r="H943">
        <v>0</v>
      </c>
      <c r="I943" t="s">
        <v>537</v>
      </c>
    </row>
    <row r="944" spans="1:9" x14ac:dyDescent="0.25">
      <c r="A944" t="s">
        <v>3550</v>
      </c>
      <c r="B944">
        <f t="shared" si="14"/>
        <v>7024</v>
      </c>
      <c r="C944" t="s">
        <v>3551</v>
      </c>
      <c r="D944" t="s">
        <v>364</v>
      </c>
      <c r="E944" t="s">
        <v>119</v>
      </c>
      <c r="F944" t="s">
        <v>323</v>
      </c>
      <c r="G944" t="s">
        <v>324</v>
      </c>
      <c r="H944">
        <v>0</v>
      </c>
      <c r="I944" t="s">
        <v>379</v>
      </c>
    </row>
    <row r="945" spans="1:9" x14ac:dyDescent="0.25">
      <c r="A945" t="s">
        <v>2312</v>
      </c>
      <c r="B945">
        <f t="shared" si="14"/>
        <v>7026</v>
      </c>
      <c r="C945" t="s">
        <v>2313</v>
      </c>
      <c r="D945" t="s">
        <v>364</v>
      </c>
      <c r="E945" t="s">
        <v>81</v>
      </c>
      <c r="F945" t="s">
        <v>81</v>
      </c>
      <c r="G945" t="s">
        <v>81</v>
      </c>
      <c r="H945">
        <v>1</v>
      </c>
      <c r="I945" t="s">
        <v>389</v>
      </c>
    </row>
    <row r="946" spans="1:9" x14ac:dyDescent="0.25">
      <c r="A946" t="s">
        <v>3012</v>
      </c>
      <c r="B946">
        <f t="shared" si="14"/>
        <v>7027</v>
      </c>
      <c r="C946" t="s">
        <v>3013</v>
      </c>
      <c r="D946" t="s">
        <v>364</v>
      </c>
      <c r="E946" t="s">
        <v>119</v>
      </c>
      <c r="F946" t="s">
        <v>318</v>
      </c>
      <c r="G946" t="s">
        <v>28</v>
      </c>
      <c r="H946">
        <v>0</v>
      </c>
      <c r="I946" t="s">
        <v>376</v>
      </c>
    </row>
    <row r="947" spans="1:9" x14ac:dyDescent="0.25">
      <c r="A947" t="s">
        <v>2314</v>
      </c>
      <c r="B947">
        <f t="shared" si="14"/>
        <v>7031</v>
      </c>
      <c r="C947" t="s">
        <v>2315</v>
      </c>
      <c r="D947" t="s">
        <v>364</v>
      </c>
      <c r="E947" t="s">
        <v>119</v>
      </c>
      <c r="F947" t="s">
        <v>325</v>
      </c>
      <c r="G947" t="s">
        <v>324</v>
      </c>
      <c r="H947">
        <v>0</v>
      </c>
      <c r="I947" t="s">
        <v>379</v>
      </c>
    </row>
    <row r="948" spans="1:9" x14ac:dyDescent="0.25">
      <c r="A948" t="s">
        <v>3761</v>
      </c>
      <c r="B948">
        <f t="shared" si="14"/>
        <v>7034</v>
      </c>
      <c r="C948" t="s">
        <v>3762</v>
      </c>
      <c r="D948" t="s">
        <v>72</v>
      </c>
      <c r="E948" t="s">
        <v>119</v>
      </c>
      <c r="F948" t="s">
        <v>325</v>
      </c>
      <c r="G948" t="s">
        <v>324</v>
      </c>
      <c r="H948">
        <v>0</v>
      </c>
      <c r="I948" t="s">
        <v>379</v>
      </c>
    </row>
    <row r="949" spans="1:9" x14ac:dyDescent="0.25">
      <c r="A949" t="s">
        <v>4067</v>
      </c>
      <c r="B949">
        <f t="shared" si="14"/>
        <v>7035</v>
      </c>
      <c r="C949" t="s">
        <v>4068</v>
      </c>
      <c r="D949" t="s">
        <v>72</v>
      </c>
      <c r="E949" t="s">
        <v>119</v>
      </c>
      <c r="F949" t="s">
        <v>325</v>
      </c>
      <c r="G949" t="s">
        <v>25</v>
      </c>
      <c r="H949">
        <v>0</v>
      </c>
      <c r="I949" t="s">
        <v>386</v>
      </c>
    </row>
    <row r="950" spans="1:9" x14ac:dyDescent="0.25">
      <c r="A950" t="s">
        <v>904</v>
      </c>
      <c r="B950">
        <f t="shared" si="14"/>
        <v>7042</v>
      </c>
      <c r="C950" t="s">
        <v>905</v>
      </c>
      <c r="D950" t="s">
        <v>364</v>
      </c>
      <c r="E950" t="s">
        <v>119</v>
      </c>
      <c r="F950" t="s">
        <v>327</v>
      </c>
      <c r="G950" t="s">
        <v>324</v>
      </c>
      <c r="H950">
        <v>0</v>
      </c>
      <c r="I950" t="s">
        <v>379</v>
      </c>
    </row>
    <row r="951" spans="1:9" x14ac:dyDescent="0.25">
      <c r="A951" t="s">
        <v>3291</v>
      </c>
      <c r="B951">
        <f t="shared" si="14"/>
        <v>7063</v>
      </c>
      <c r="C951" t="s">
        <v>3292</v>
      </c>
      <c r="D951" t="s">
        <v>72</v>
      </c>
      <c r="E951" t="s">
        <v>119</v>
      </c>
      <c r="F951" t="s">
        <v>467</v>
      </c>
      <c r="G951" t="s">
        <v>29</v>
      </c>
      <c r="H951">
        <v>1</v>
      </c>
      <c r="I951" t="s">
        <v>391</v>
      </c>
    </row>
    <row r="952" spans="1:9" x14ac:dyDescent="0.25">
      <c r="A952" t="s">
        <v>3330</v>
      </c>
      <c r="B952">
        <f t="shared" si="14"/>
        <v>7074</v>
      </c>
      <c r="C952" t="s">
        <v>3331</v>
      </c>
      <c r="D952" t="s">
        <v>364</v>
      </c>
      <c r="E952" t="s">
        <v>119</v>
      </c>
      <c r="F952" t="s">
        <v>323</v>
      </c>
      <c r="G952" t="s">
        <v>324</v>
      </c>
      <c r="H952">
        <v>0</v>
      </c>
      <c r="I952" t="s">
        <v>379</v>
      </c>
    </row>
    <row r="953" spans="1:9" x14ac:dyDescent="0.25">
      <c r="A953" t="s">
        <v>4546</v>
      </c>
      <c r="B953">
        <f t="shared" si="14"/>
        <v>7077</v>
      </c>
      <c r="C953" t="s">
        <v>4547</v>
      </c>
      <c r="D953" t="s">
        <v>72</v>
      </c>
      <c r="E953" t="s">
        <v>119</v>
      </c>
      <c r="F953" t="s">
        <v>318</v>
      </c>
      <c r="G953" t="s">
        <v>28</v>
      </c>
      <c r="H953">
        <v>0</v>
      </c>
      <c r="I953" t="s">
        <v>376</v>
      </c>
    </row>
    <row r="954" spans="1:9" x14ac:dyDescent="0.25">
      <c r="A954" t="s">
        <v>689</v>
      </c>
      <c r="B954">
        <f t="shared" si="14"/>
        <v>7081</v>
      </c>
      <c r="C954" t="s">
        <v>690</v>
      </c>
      <c r="D954" t="s">
        <v>72</v>
      </c>
      <c r="E954" t="s">
        <v>119</v>
      </c>
      <c r="F954" t="s">
        <v>328</v>
      </c>
      <c r="G954" t="s">
        <v>29</v>
      </c>
      <c r="H954">
        <v>0</v>
      </c>
      <c r="I954" t="s">
        <v>391</v>
      </c>
    </row>
    <row r="955" spans="1:9" x14ac:dyDescent="0.25">
      <c r="A955" t="s">
        <v>2316</v>
      </c>
      <c r="B955">
        <f t="shared" si="14"/>
        <v>7082</v>
      </c>
      <c r="C955" t="s">
        <v>2317</v>
      </c>
      <c r="D955" t="s">
        <v>364</v>
      </c>
      <c r="E955" t="s">
        <v>119</v>
      </c>
      <c r="F955" t="s">
        <v>318</v>
      </c>
      <c r="G955" t="s">
        <v>324</v>
      </c>
      <c r="H955">
        <v>0</v>
      </c>
      <c r="I955" t="s">
        <v>379</v>
      </c>
    </row>
    <row r="956" spans="1:9" x14ac:dyDescent="0.25">
      <c r="A956" t="s">
        <v>1161</v>
      </c>
      <c r="B956">
        <f t="shared" si="14"/>
        <v>7084</v>
      </c>
      <c r="C956" t="s">
        <v>1162</v>
      </c>
      <c r="D956" t="s">
        <v>364</v>
      </c>
      <c r="E956" t="s">
        <v>119</v>
      </c>
      <c r="F956" t="s">
        <v>326</v>
      </c>
      <c r="G956" t="s">
        <v>324</v>
      </c>
      <c r="H956">
        <v>0</v>
      </c>
      <c r="I956" t="s">
        <v>379</v>
      </c>
    </row>
    <row r="957" spans="1:9" x14ac:dyDescent="0.25">
      <c r="A957" t="s">
        <v>2885</v>
      </c>
      <c r="B957">
        <f t="shared" si="14"/>
        <v>7086</v>
      </c>
      <c r="C957" t="s">
        <v>2886</v>
      </c>
      <c r="D957" t="s">
        <v>364</v>
      </c>
      <c r="E957" t="s">
        <v>119</v>
      </c>
      <c r="F957" t="s">
        <v>327</v>
      </c>
      <c r="G957" t="s">
        <v>313</v>
      </c>
      <c r="H957">
        <v>0</v>
      </c>
      <c r="I957" t="s">
        <v>532</v>
      </c>
    </row>
    <row r="958" spans="1:9" x14ac:dyDescent="0.25">
      <c r="A958" t="s">
        <v>2862</v>
      </c>
      <c r="B958">
        <f t="shared" si="14"/>
        <v>7087</v>
      </c>
      <c r="C958" t="s">
        <v>2863</v>
      </c>
      <c r="D958" t="s">
        <v>364</v>
      </c>
      <c r="E958" t="s">
        <v>119</v>
      </c>
      <c r="F958" t="s">
        <v>1717</v>
      </c>
      <c r="G958" t="s">
        <v>324</v>
      </c>
      <c r="H958">
        <v>0</v>
      </c>
      <c r="I958" t="s">
        <v>378</v>
      </c>
    </row>
    <row r="959" spans="1:9" x14ac:dyDescent="0.25">
      <c r="A959" t="s">
        <v>1523</v>
      </c>
      <c r="B959">
        <f t="shared" si="14"/>
        <v>7088</v>
      </c>
      <c r="C959" t="s">
        <v>1524</v>
      </c>
      <c r="D959" t="s">
        <v>364</v>
      </c>
      <c r="E959" t="s">
        <v>119</v>
      </c>
      <c r="F959" t="s">
        <v>318</v>
      </c>
      <c r="G959" t="s">
        <v>324</v>
      </c>
      <c r="H959">
        <v>0</v>
      </c>
      <c r="I959" t="s">
        <v>379</v>
      </c>
    </row>
    <row r="960" spans="1:9" x14ac:dyDescent="0.25">
      <c r="A960" t="s">
        <v>1163</v>
      </c>
      <c r="B960">
        <f t="shared" si="14"/>
        <v>7090</v>
      </c>
      <c r="C960" t="s">
        <v>1164</v>
      </c>
      <c r="D960" t="s">
        <v>364</v>
      </c>
      <c r="E960" t="s">
        <v>119</v>
      </c>
      <c r="F960" t="s">
        <v>318</v>
      </c>
      <c r="G960" t="s">
        <v>312</v>
      </c>
      <c r="H960">
        <v>0</v>
      </c>
      <c r="I960" t="s">
        <v>382</v>
      </c>
    </row>
    <row r="961" spans="1:9" x14ac:dyDescent="0.25">
      <c r="A961" t="s">
        <v>2318</v>
      </c>
      <c r="B961">
        <f t="shared" si="14"/>
        <v>7091</v>
      </c>
      <c r="C961" t="s">
        <v>2319</v>
      </c>
      <c r="D961" t="s">
        <v>364</v>
      </c>
      <c r="E961" t="s">
        <v>119</v>
      </c>
      <c r="F961" t="s">
        <v>323</v>
      </c>
      <c r="G961" t="s">
        <v>324</v>
      </c>
      <c r="H961">
        <v>0</v>
      </c>
      <c r="I961" t="s">
        <v>379</v>
      </c>
    </row>
    <row r="962" spans="1:9" x14ac:dyDescent="0.25">
      <c r="A962" t="s">
        <v>787</v>
      </c>
      <c r="B962">
        <f t="shared" si="14"/>
        <v>7098</v>
      </c>
      <c r="C962" t="s">
        <v>788</v>
      </c>
      <c r="D962" t="s">
        <v>364</v>
      </c>
      <c r="E962" t="s">
        <v>119</v>
      </c>
      <c r="F962" t="s">
        <v>327</v>
      </c>
      <c r="G962" t="s">
        <v>324</v>
      </c>
      <c r="H962">
        <v>0</v>
      </c>
      <c r="I962" t="s">
        <v>379</v>
      </c>
    </row>
    <row r="963" spans="1:9" x14ac:dyDescent="0.25">
      <c r="A963" t="s">
        <v>1525</v>
      </c>
      <c r="B963">
        <f t="shared" si="14"/>
        <v>7099</v>
      </c>
      <c r="C963" t="s">
        <v>1526</v>
      </c>
      <c r="D963" t="s">
        <v>364</v>
      </c>
      <c r="E963" t="s">
        <v>119</v>
      </c>
      <c r="F963" t="s">
        <v>318</v>
      </c>
      <c r="G963" t="s">
        <v>324</v>
      </c>
      <c r="H963">
        <v>0</v>
      </c>
      <c r="I963" t="s">
        <v>379</v>
      </c>
    </row>
    <row r="964" spans="1:9" x14ac:dyDescent="0.25">
      <c r="A964" t="s">
        <v>209</v>
      </c>
      <c r="B964">
        <f t="shared" ref="B964:B1027" si="15">_xlfn.NUMBERVALUE(A964,"#####")</f>
        <v>7256</v>
      </c>
      <c r="C964" t="s">
        <v>210</v>
      </c>
      <c r="D964" t="s">
        <v>72</v>
      </c>
      <c r="E964" t="s">
        <v>81</v>
      </c>
      <c r="F964" t="s">
        <v>81</v>
      </c>
      <c r="G964" t="s">
        <v>81</v>
      </c>
      <c r="H964">
        <v>1</v>
      </c>
      <c r="I964" t="s">
        <v>691</v>
      </c>
    </row>
    <row r="965" spans="1:9" x14ac:dyDescent="0.25">
      <c r="A965" t="s">
        <v>2320</v>
      </c>
      <c r="B965">
        <f t="shared" si="15"/>
        <v>7257</v>
      </c>
      <c r="C965" t="s">
        <v>2321</v>
      </c>
      <c r="D965" t="s">
        <v>72</v>
      </c>
      <c r="E965" t="s">
        <v>119</v>
      </c>
      <c r="F965" t="s">
        <v>326</v>
      </c>
      <c r="G965" t="s">
        <v>329</v>
      </c>
      <c r="H965">
        <v>0</v>
      </c>
      <c r="I965" t="s">
        <v>377</v>
      </c>
    </row>
    <row r="966" spans="1:9" x14ac:dyDescent="0.25">
      <c r="A966" t="s">
        <v>4012</v>
      </c>
      <c r="B966">
        <f t="shared" si="15"/>
        <v>7268</v>
      </c>
      <c r="C966" t="s">
        <v>4013</v>
      </c>
      <c r="D966" t="s">
        <v>364</v>
      </c>
      <c r="E966" t="s">
        <v>119</v>
      </c>
      <c r="F966" t="s">
        <v>327</v>
      </c>
      <c r="G966" t="s">
        <v>324</v>
      </c>
      <c r="H966">
        <v>0</v>
      </c>
      <c r="I966" t="s">
        <v>379</v>
      </c>
    </row>
    <row r="967" spans="1:9" x14ac:dyDescent="0.25">
      <c r="A967" t="s">
        <v>1527</v>
      </c>
      <c r="B967">
        <f t="shared" si="15"/>
        <v>7269</v>
      </c>
      <c r="C967" t="s">
        <v>1528</v>
      </c>
      <c r="D967" t="s">
        <v>364</v>
      </c>
      <c r="E967" t="s">
        <v>119</v>
      </c>
      <c r="F967" t="s">
        <v>327</v>
      </c>
      <c r="G967" t="s">
        <v>324</v>
      </c>
      <c r="H967">
        <v>0</v>
      </c>
      <c r="I967" t="s">
        <v>379</v>
      </c>
    </row>
    <row r="968" spans="1:9" x14ac:dyDescent="0.25">
      <c r="A968" t="s">
        <v>2322</v>
      </c>
      <c r="B968">
        <f t="shared" si="15"/>
        <v>7270</v>
      </c>
      <c r="C968" t="s">
        <v>2323</v>
      </c>
      <c r="D968" t="s">
        <v>364</v>
      </c>
      <c r="E968" t="s">
        <v>119</v>
      </c>
      <c r="F968" t="s">
        <v>325</v>
      </c>
      <c r="G968" t="s">
        <v>324</v>
      </c>
      <c r="H968">
        <v>0</v>
      </c>
      <c r="I968" t="s">
        <v>379</v>
      </c>
    </row>
    <row r="969" spans="1:9" x14ac:dyDescent="0.25">
      <c r="A969" t="s">
        <v>692</v>
      </c>
      <c r="B969">
        <f t="shared" si="15"/>
        <v>7273</v>
      </c>
      <c r="C969" t="s">
        <v>693</v>
      </c>
      <c r="D969" t="s">
        <v>364</v>
      </c>
      <c r="E969" t="s">
        <v>81</v>
      </c>
      <c r="F969" t="s">
        <v>81</v>
      </c>
      <c r="G969" t="s">
        <v>81</v>
      </c>
      <c r="H969">
        <v>1</v>
      </c>
      <c r="I969" t="s">
        <v>396</v>
      </c>
    </row>
    <row r="970" spans="1:9" x14ac:dyDescent="0.25">
      <c r="A970" t="s">
        <v>4233</v>
      </c>
      <c r="B970">
        <f t="shared" si="15"/>
        <v>7276</v>
      </c>
      <c r="C970" t="s">
        <v>4234</v>
      </c>
      <c r="D970" t="s">
        <v>72</v>
      </c>
      <c r="E970" t="s">
        <v>119</v>
      </c>
      <c r="F970" t="s">
        <v>323</v>
      </c>
      <c r="G970" t="s">
        <v>324</v>
      </c>
      <c r="H970">
        <v>0</v>
      </c>
      <c r="I970" t="s">
        <v>379</v>
      </c>
    </row>
    <row r="971" spans="1:9" x14ac:dyDescent="0.25">
      <c r="A971" t="s">
        <v>3014</v>
      </c>
      <c r="B971">
        <f t="shared" si="15"/>
        <v>7278</v>
      </c>
      <c r="C971" t="s">
        <v>3015</v>
      </c>
      <c r="D971" t="s">
        <v>364</v>
      </c>
      <c r="E971" t="s">
        <v>119</v>
      </c>
      <c r="F971" t="s">
        <v>323</v>
      </c>
      <c r="G971" t="s">
        <v>324</v>
      </c>
      <c r="H971">
        <v>0</v>
      </c>
      <c r="I971" t="s">
        <v>379</v>
      </c>
    </row>
    <row r="972" spans="1:9" x14ac:dyDescent="0.25">
      <c r="A972" t="s">
        <v>3552</v>
      </c>
      <c r="B972">
        <f t="shared" si="15"/>
        <v>7284</v>
      </c>
      <c r="C972" t="s">
        <v>3553</v>
      </c>
      <c r="D972" t="s">
        <v>364</v>
      </c>
      <c r="E972" t="s">
        <v>119</v>
      </c>
      <c r="F972" t="s">
        <v>318</v>
      </c>
      <c r="G972" t="s">
        <v>27</v>
      </c>
      <c r="H972">
        <v>0</v>
      </c>
      <c r="I972" t="s">
        <v>387</v>
      </c>
    </row>
    <row r="973" spans="1:9" x14ac:dyDescent="0.25">
      <c r="A973" t="s">
        <v>4069</v>
      </c>
      <c r="B973">
        <f t="shared" si="15"/>
        <v>7285</v>
      </c>
      <c r="C973" t="s">
        <v>4070</v>
      </c>
      <c r="D973" t="s">
        <v>72</v>
      </c>
      <c r="E973" t="s">
        <v>119</v>
      </c>
      <c r="F973" t="s">
        <v>318</v>
      </c>
      <c r="G973" t="s">
        <v>324</v>
      </c>
      <c r="H973">
        <v>0</v>
      </c>
      <c r="I973" t="s">
        <v>379</v>
      </c>
    </row>
    <row r="974" spans="1:9" x14ac:dyDescent="0.25">
      <c r="A974" t="s">
        <v>211</v>
      </c>
      <c r="B974">
        <f t="shared" si="15"/>
        <v>7292</v>
      </c>
      <c r="C974" t="s">
        <v>212</v>
      </c>
      <c r="D974" t="s">
        <v>364</v>
      </c>
      <c r="E974" t="s">
        <v>81</v>
      </c>
      <c r="F974" t="s">
        <v>81</v>
      </c>
      <c r="G974" t="s">
        <v>81</v>
      </c>
      <c r="H974">
        <v>1</v>
      </c>
      <c r="I974" t="s">
        <v>381</v>
      </c>
    </row>
    <row r="975" spans="1:9" x14ac:dyDescent="0.25">
      <c r="A975" t="s">
        <v>1165</v>
      </c>
      <c r="B975">
        <f t="shared" si="15"/>
        <v>7294</v>
      </c>
      <c r="C975" t="s">
        <v>1166</v>
      </c>
      <c r="D975" t="s">
        <v>364</v>
      </c>
      <c r="E975" t="s">
        <v>81</v>
      </c>
      <c r="F975" t="s">
        <v>81</v>
      </c>
      <c r="G975" t="s">
        <v>81</v>
      </c>
      <c r="H975">
        <v>0</v>
      </c>
      <c r="I975" t="s">
        <v>415</v>
      </c>
    </row>
    <row r="976" spans="1:9" x14ac:dyDescent="0.25">
      <c r="A976" t="s">
        <v>4235</v>
      </c>
      <c r="B976">
        <f t="shared" si="15"/>
        <v>7296</v>
      </c>
      <c r="C976" t="s">
        <v>4236</v>
      </c>
      <c r="D976" t="s">
        <v>72</v>
      </c>
      <c r="E976" t="s">
        <v>119</v>
      </c>
      <c r="F976" t="s">
        <v>326</v>
      </c>
      <c r="G976" t="s">
        <v>324</v>
      </c>
      <c r="H976">
        <v>0</v>
      </c>
      <c r="I976" t="s">
        <v>379</v>
      </c>
    </row>
    <row r="977" spans="1:9" x14ac:dyDescent="0.25">
      <c r="A977" t="s">
        <v>4548</v>
      </c>
      <c r="B977">
        <f t="shared" si="15"/>
        <v>7304</v>
      </c>
      <c r="C977" t="s">
        <v>4549</v>
      </c>
      <c r="D977" t="s">
        <v>364</v>
      </c>
      <c r="E977" t="s">
        <v>119</v>
      </c>
      <c r="F977" t="s">
        <v>318</v>
      </c>
      <c r="G977" t="s">
        <v>29</v>
      </c>
      <c r="H977">
        <v>0</v>
      </c>
      <c r="I977" t="s">
        <v>391</v>
      </c>
    </row>
    <row r="978" spans="1:9" x14ac:dyDescent="0.25">
      <c r="A978" t="s">
        <v>4550</v>
      </c>
      <c r="B978">
        <f t="shared" si="15"/>
        <v>7306</v>
      </c>
      <c r="C978" t="s">
        <v>4551</v>
      </c>
      <c r="D978" t="s">
        <v>72</v>
      </c>
      <c r="E978" t="s">
        <v>119</v>
      </c>
      <c r="F978" t="s">
        <v>318</v>
      </c>
      <c r="G978" t="s">
        <v>28</v>
      </c>
      <c r="H978">
        <v>0</v>
      </c>
      <c r="I978" t="s">
        <v>376</v>
      </c>
    </row>
    <row r="979" spans="1:9" x14ac:dyDescent="0.25">
      <c r="A979" t="s">
        <v>1529</v>
      </c>
      <c r="B979">
        <f t="shared" si="15"/>
        <v>7324</v>
      </c>
      <c r="C979" t="s">
        <v>1530</v>
      </c>
      <c r="D979" t="s">
        <v>364</v>
      </c>
      <c r="E979" t="s">
        <v>119</v>
      </c>
      <c r="F979" t="s">
        <v>318</v>
      </c>
      <c r="G979" t="s">
        <v>29</v>
      </c>
      <c r="H979">
        <v>0</v>
      </c>
      <c r="I979" t="s">
        <v>391</v>
      </c>
    </row>
    <row r="980" spans="1:9" x14ac:dyDescent="0.25">
      <c r="A980" t="s">
        <v>4552</v>
      </c>
      <c r="B980">
        <f t="shared" si="15"/>
        <v>7345</v>
      </c>
      <c r="C980" t="s">
        <v>4553</v>
      </c>
      <c r="D980" t="s">
        <v>364</v>
      </c>
      <c r="E980" t="s">
        <v>119</v>
      </c>
      <c r="F980" t="s">
        <v>318</v>
      </c>
      <c r="G980" t="s">
        <v>324</v>
      </c>
      <c r="H980">
        <v>0</v>
      </c>
      <c r="I980" t="s">
        <v>376</v>
      </c>
    </row>
    <row r="981" spans="1:9" x14ac:dyDescent="0.25">
      <c r="A981" t="s">
        <v>2324</v>
      </c>
      <c r="B981">
        <f t="shared" si="15"/>
        <v>7346</v>
      </c>
      <c r="C981" t="s">
        <v>2325</v>
      </c>
      <c r="D981" t="s">
        <v>364</v>
      </c>
      <c r="E981" t="s">
        <v>119</v>
      </c>
      <c r="F981" t="s">
        <v>318</v>
      </c>
      <c r="G981" t="s">
        <v>329</v>
      </c>
      <c r="H981">
        <v>0</v>
      </c>
      <c r="I981" t="s">
        <v>377</v>
      </c>
    </row>
    <row r="982" spans="1:9" x14ac:dyDescent="0.25">
      <c r="A982" t="s">
        <v>2326</v>
      </c>
      <c r="B982">
        <f t="shared" si="15"/>
        <v>7347</v>
      </c>
      <c r="C982" t="s">
        <v>2327</v>
      </c>
      <c r="D982" t="s">
        <v>364</v>
      </c>
      <c r="E982" t="s">
        <v>119</v>
      </c>
      <c r="F982" t="s">
        <v>345</v>
      </c>
      <c r="G982" t="s">
        <v>26</v>
      </c>
      <c r="H982">
        <v>0</v>
      </c>
      <c r="I982" t="s">
        <v>394</v>
      </c>
    </row>
    <row r="983" spans="1:9" x14ac:dyDescent="0.25">
      <c r="A983" t="s">
        <v>1167</v>
      </c>
      <c r="B983">
        <f t="shared" si="15"/>
        <v>7348</v>
      </c>
      <c r="C983" t="s">
        <v>1168</v>
      </c>
      <c r="D983" t="s">
        <v>364</v>
      </c>
      <c r="E983" t="s">
        <v>698</v>
      </c>
      <c r="F983" t="s">
        <v>1014</v>
      </c>
      <c r="G983" t="s">
        <v>605</v>
      </c>
      <c r="H983">
        <v>0</v>
      </c>
      <c r="I983" t="s">
        <v>699</v>
      </c>
    </row>
    <row r="984" spans="1:9" x14ac:dyDescent="0.25">
      <c r="A984" t="s">
        <v>2328</v>
      </c>
      <c r="B984">
        <f t="shared" si="15"/>
        <v>7351</v>
      </c>
      <c r="C984" t="s">
        <v>2329</v>
      </c>
      <c r="D984" t="s">
        <v>364</v>
      </c>
      <c r="E984" t="s">
        <v>119</v>
      </c>
      <c r="F984" t="s">
        <v>323</v>
      </c>
      <c r="G984" t="s">
        <v>324</v>
      </c>
      <c r="H984">
        <v>0</v>
      </c>
      <c r="I984" t="s">
        <v>379</v>
      </c>
    </row>
    <row r="985" spans="1:9" x14ac:dyDescent="0.25">
      <c r="A985" t="s">
        <v>213</v>
      </c>
      <c r="B985">
        <f t="shared" si="15"/>
        <v>7360</v>
      </c>
      <c r="C985" t="s">
        <v>214</v>
      </c>
      <c r="D985" t="s">
        <v>72</v>
      </c>
      <c r="E985" t="s">
        <v>81</v>
      </c>
      <c r="F985" t="s">
        <v>81</v>
      </c>
      <c r="G985" t="s">
        <v>81</v>
      </c>
      <c r="H985">
        <v>1</v>
      </c>
      <c r="I985" t="s">
        <v>3066</v>
      </c>
    </row>
    <row r="986" spans="1:9" x14ac:dyDescent="0.25">
      <c r="A986" t="s">
        <v>360</v>
      </c>
      <c r="B986">
        <f t="shared" si="15"/>
        <v>7361</v>
      </c>
      <c r="C986" t="s">
        <v>361</v>
      </c>
      <c r="D986" t="s">
        <v>364</v>
      </c>
      <c r="E986" t="s">
        <v>119</v>
      </c>
      <c r="F986" t="s">
        <v>327</v>
      </c>
      <c r="G986" t="s">
        <v>324</v>
      </c>
      <c r="H986">
        <v>0</v>
      </c>
      <c r="I986" t="s">
        <v>379</v>
      </c>
    </row>
    <row r="987" spans="1:9" x14ac:dyDescent="0.25">
      <c r="A987" t="s">
        <v>2330</v>
      </c>
      <c r="B987">
        <f t="shared" si="15"/>
        <v>7362</v>
      </c>
      <c r="C987" t="s">
        <v>2331</v>
      </c>
      <c r="D987" t="s">
        <v>364</v>
      </c>
      <c r="E987" t="s">
        <v>119</v>
      </c>
      <c r="F987" t="s">
        <v>323</v>
      </c>
      <c r="G987" t="s">
        <v>314</v>
      </c>
      <c r="H987">
        <v>0</v>
      </c>
      <c r="I987" t="s">
        <v>405</v>
      </c>
    </row>
    <row r="988" spans="1:9" x14ac:dyDescent="0.25">
      <c r="A988" t="s">
        <v>350</v>
      </c>
      <c r="B988">
        <f t="shared" si="15"/>
        <v>7364</v>
      </c>
      <c r="C988" t="s">
        <v>351</v>
      </c>
      <c r="D988" t="s">
        <v>72</v>
      </c>
      <c r="E988" t="s">
        <v>119</v>
      </c>
      <c r="F988" t="s">
        <v>318</v>
      </c>
      <c r="G988" t="s">
        <v>72</v>
      </c>
      <c r="H988">
        <v>1</v>
      </c>
      <c r="I988" t="s">
        <v>390</v>
      </c>
    </row>
    <row r="989" spans="1:9" x14ac:dyDescent="0.25">
      <c r="A989" t="s">
        <v>3259</v>
      </c>
      <c r="B989">
        <f t="shared" si="15"/>
        <v>7367</v>
      </c>
      <c r="C989" t="s">
        <v>3260</v>
      </c>
      <c r="D989" t="s">
        <v>72</v>
      </c>
      <c r="E989" t="s">
        <v>81</v>
      </c>
      <c r="F989" t="s">
        <v>81</v>
      </c>
      <c r="G989" t="s">
        <v>81</v>
      </c>
      <c r="H989">
        <v>0</v>
      </c>
      <c r="I989" t="s">
        <v>392</v>
      </c>
    </row>
    <row r="990" spans="1:9" x14ac:dyDescent="0.25">
      <c r="A990" t="s">
        <v>2332</v>
      </c>
      <c r="B990">
        <f t="shared" si="15"/>
        <v>7385</v>
      </c>
      <c r="C990" t="s">
        <v>2333</v>
      </c>
      <c r="D990" t="s">
        <v>364</v>
      </c>
      <c r="E990" t="s">
        <v>119</v>
      </c>
      <c r="F990" t="s">
        <v>318</v>
      </c>
      <c r="G990" t="s">
        <v>324</v>
      </c>
      <c r="H990">
        <v>0</v>
      </c>
      <c r="I990" t="s">
        <v>379</v>
      </c>
    </row>
    <row r="991" spans="1:9" x14ac:dyDescent="0.25">
      <c r="A991" t="s">
        <v>2334</v>
      </c>
      <c r="B991">
        <f t="shared" si="15"/>
        <v>7388</v>
      </c>
      <c r="C991" t="s">
        <v>2335</v>
      </c>
      <c r="D991" t="s">
        <v>364</v>
      </c>
      <c r="E991" t="s">
        <v>119</v>
      </c>
      <c r="F991" t="s">
        <v>327</v>
      </c>
      <c r="G991" t="s">
        <v>324</v>
      </c>
      <c r="H991">
        <v>0</v>
      </c>
      <c r="I991" t="s">
        <v>379</v>
      </c>
    </row>
    <row r="992" spans="1:9" x14ac:dyDescent="0.25">
      <c r="A992" t="s">
        <v>2336</v>
      </c>
      <c r="B992">
        <f t="shared" si="15"/>
        <v>7390</v>
      </c>
      <c r="C992" t="s">
        <v>2337</v>
      </c>
      <c r="D992" t="s">
        <v>364</v>
      </c>
      <c r="E992" t="s">
        <v>119</v>
      </c>
      <c r="F992" t="s">
        <v>327</v>
      </c>
      <c r="G992" t="s">
        <v>331</v>
      </c>
      <c r="H992">
        <v>0</v>
      </c>
      <c r="I992" t="s">
        <v>410</v>
      </c>
    </row>
    <row r="993" spans="1:9" x14ac:dyDescent="0.25">
      <c r="A993" t="s">
        <v>1531</v>
      </c>
      <c r="B993">
        <f t="shared" si="15"/>
        <v>7391</v>
      </c>
      <c r="C993" t="s">
        <v>1532</v>
      </c>
      <c r="D993" t="s">
        <v>364</v>
      </c>
      <c r="E993" t="s">
        <v>119</v>
      </c>
      <c r="F993" t="s">
        <v>327</v>
      </c>
      <c r="G993" t="s">
        <v>324</v>
      </c>
      <c r="H993">
        <v>0</v>
      </c>
      <c r="I993" t="s">
        <v>379</v>
      </c>
    </row>
    <row r="994" spans="1:9" x14ac:dyDescent="0.25">
      <c r="A994" t="s">
        <v>215</v>
      </c>
      <c r="B994">
        <f t="shared" si="15"/>
        <v>7392</v>
      </c>
      <c r="C994" t="s">
        <v>216</v>
      </c>
      <c r="D994" t="s">
        <v>72</v>
      </c>
      <c r="E994" t="s">
        <v>119</v>
      </c>
      <c r="F994" t="s">
        <v>327</v>
      </c>
      <c r="G994" t="s">
        <v>329</v>
      </c>
      <c r="H994">
        <v>0</v>
      </c>
      <c r="I994" t="s">
        <v>377</v>
      </c>
    </row>
    <row r="995" spans="1:9" x14ac:dyDescent="0.25">
      <c r="A995" t="s">
        <v>2338</v>
      </c>
      <c r="B995">
        <f t="shared" si="15"/>
        <v>7394</v>
      </c>
      <c r="C995" t="s">
        <v>2339</v>
      </c>
      <c r="D995" t="s">
        <v>364</v>
      </c>
      <c r="E995" t="s">
        <v>81</v>
      </c>
      <c r="F995" t="s">
        <v>81</v>
      </c>
      <c r="G995" t="s">
        <v>81</v>
      </c>
      <c r="H995">
        <v>0</v>
      </c>
      <c r="I995" t="s">
        <v>412</v>
      </c>
    </row>
    <row r="996" spans="1:9" x14ac:dyDescent="0.25">
      <c r="A996" t="s">
        <v>4554</v>
      </c>
      <c r="B996">
        <f t="shared" si="15"/>
        <v>7401</v>
      </c>
      <c r="C996" t="s">
        <v>4555</v>
      </c>
      <c r="D996" t="s">
        <v>364</v>
      </c>
      <c r="E996" t="s">
        <v>119</v>
      </c>
      <c r="F996" t="s">
        <v>327</v>
      </c>
      <c r="G996" t="s">
        <v>312</v>
      </c>
      <c r="H996">
        <v>0</v>
      </c>
      <c r="I996" t="s">
        <v>382</v>
      </c>
    </row>
    <row r="997" spans="1:9" x14ac:dyDescent="0.25">
      <c r="A997" t="s">
        <v>2340</v>
      </c>
      <c r="B997">
        <f t="shared" si="15"/>
        <v>7450</v>
      </c>
      <c r="C997" t="s">
        <v>2341</v>
      </c>
      <c r="D997" t="s">
        <v>364</v>
      </c>
      <c r="E997" t="s">
        <v>119</v>
      </c>
      <c r="F997" t="s">
        <v>323</v>
      </c>
      <c r="G997" t="s">
        <v>324</v>
      </c>
      <c r="H997">
        <v>0</v>
      </c>
      <c r="I997" t="s">
        <v>379</v>
      </c>
    </row>
    <row r="998" spans="1:9" x14ac:dyDescent="0.25">
      <c r="A998" t="s">
        <v>4014</v>
      </c>
      <c r="B998">
        <f t="shared" si="15"/>
        <v>7451</v>
      </c>
      <c r="C998" t="s">
        <v>4015</v>
      </c>
      <c r="D998" t="s">
        <v>72</v>
      </c>
      <c r="E998" t="s">
        <v>119</v>
      </c>
      <c r="F998" t="s">
        <v>318</v>
      </c>
      <c r="G998" t="s">
        <v>324</v>
      </c>
      <c r="H998">
        <v>0</v>
      </c>
      <c r="I998" t="s">
        <v>379</v>
      </c>
    </row>
    <row r="999" spans="1:9" x14ac:dyDescent="0.25">
      <c r="A999" t="s">
        <v>4102</v>
      </c>
      <c r="B999">
        <f t="shared" si="15"/>
        <v>7474</v>
      </c>
      <c r="C999" t="s">
        <v>4103</v>
      </c>
      <c r="D999" t="s">
        <v>72</v>
      </c>
      <c r="E999" t="s">
        <v>119</v>
      </c>
      <c r="F999" t="s">
        <v>326</v>
      </c>
      <c r="G999" t="s">
        <v>324</v>
      </c>
      <c r="H999">
        <v>0</v>
      </c>
      <c r="I999" t="s">
        <v>379</v>
      </c>
    </row>
    <row r="1000" spans="1:9" x14ac:dyDescent="0.25">
      <c r="A1000" t="s">
        <v>3592</v>
      </c>
      <c r="B1000">
        <f t="shared" si="15"/>
        <v>7475</v>
      </c>
      <c r="C1000" t="s">
        <v>3593</v>
      </c>
      <c r="D1000" t="s">
        <v>72</v>
      </c>
      <c r="E1000" t="s">
        <v>81</v>
      </c>
      <c r="F1000" t="s">
        <v>81</v>
      </c>
      <c r="G1000" t="s">
        <v>81</v>
      </c>
      <c r="H1000">
        <v>0</v>
      </c>
      <c r="I1000" t="s">
        <v>3594</v>
      </c>
    </row>
    <row r="1001" spans="1:9" x14ac:dyDescent="0.25">
      <c r="A1001" t="s">
        <v>3016</v>
      </c>
      <c r="B1001">
        <f t="shared" si="15"/>
        <v>7477</v>
      </c>
      <c r="C1001" t="s">
        <v>3017</v>
      </c>
      <c r="D1001" t="s">
        <v>364</v>
      </c>
      <c r="E1001" t="s">
        <v>119</v>
      </c>
      <c r="F1001" t="s">
        <v>326</v>
      </c>
      <c r="G1001" t="s">
        <v>324</v>
      </c>
      <c r="H1001">
        <v>0</v>
      </c>
      <c r="I1001" t="s">
        <v>379</v>
      </c>
    </row>
    <row r="1002" spans="1:9" x14ac:dyDescent="0.25">
      <c r="A1002" t="s">
        <v>4556</v>
      </c>
      <c r="B1002">
        <f t="shared" si="15"/>
        <v>7478</v>
      </c>
      <c r="C1002" t="s">
        <v>4557</v>
      </c>
      <c r="D1002" t="s">
        <v>72</v>
      </c>
      <c r="E1002" t="s">
        <v>119</v>
      </c>
      <c r="F1002" t="s">
        <v>326</v>
      </c>
      <c r="G1002" t="s">
        <v>324</v>
      </c>
      <c r="H1002">
        <v>0</v>
      </c>
      <c r="I1002" t="s">
        <v>379</v>
      </c>
    </row>
    <row r="1003" spans="1:9" x14ac:dyDescent="0.25">
      <c r="A1003" t="s">
        <v>1169</v>
      </c>
      <c r="B1003">
        <f t="shared" si="15"/>
        <v>7481</v>
      </c>
      <c r="C1003" t="s">
        <v>1170</v>
      </c>
      <c r="D1003" t="s">
        <v>364</v>
      </c>
      <c r="E1003" t="s">
        <v>119</v>
      </c>
      <c r="F1003" t="s">
        <v>872</v>
      </c>
      <c r="G1003" t="s">
        <v>324</v>
      </c>
      <c r="H1003">
        <v>0</v>
      </c>
      <c r="I1003" t="s">
        <v>379</v>
      </c>
    </row>
    <row r="1004" spans="1:9" x14ac:dyDescent="0.25">
      <c r="A1004" t="s">
        <v>2342</v>
      </c>
      <c r="B1004">
        <f t="shared" si="15"/>
        <v>7488</v>
      </c>
      <c r="C1004" t="s">
        <v>2343</v>
      </c>
      <c r="D1004" t="s">
        <v>364</v>
      </c>
      <c r="E1004" t="s">
        <v>119</v>
      </c>
      <c r="F1004" t="s">
        <v>323</v>
      </c>
      <c r="G1004" t="s">
        <v>316</v>
      </c>
      <c r="H1004">
        <v>0</v>
      </c>
      <c r="I1004" t="s">
        <v>1912</v>
      </c>
    </row>
    <row r="1005" spans="1:9" x14ac:dyDescent="0.25">
      <c r="A1005" t="s">
        <v>1171</v>
      </c>
      <c r="B1005">
        <f t="shared" si="15"/>
        <v>7489</v>
      </c>
      <c r="C1005" t="s">
        <v>1172</v>
      </c>
      <c r="D1005" t="s">
        <v>364</v>
      </c>
      <c r="E1005" t="s">
        <v>119</v>
      </c>
      <c r="F1005" t="s">
        <v>1022</v>
      </c>
      <c r="G1005" t="s">
        <v>329</v>
      </c>
      <c r="H1005">
        <v>0</v>
      </c>
      <c r="I1005" t="s">
        <v>377</v>
      </c>
    </row>
    <row r="1006" spans="1:9" x14ac:dyDescent="0.25">
      <c r="A1006" t="s">
        <v>1726</v>
      </c>
      <c r="B1006">
        <f t="shared" si="15"/>
        <v>7490</v>
      </c>
      <c r="C1006" t="s">
        <v>1727</v>
      </c>
      <c r="D1006" t="s">
        <v>364</v>
      </c>
      <c r="E1006" t="s">
        <v>119</v>
      </c>
      <c r="F1006" t="s">
        <v>325</v>
      </c>
      <c r="G1006" t="s">
        <v>313</v>
      </c>
      <c r="H1006">
        <v>0</v>
      </c>
      <c r="I1006" t="s">
        <v>980</v>
      </c>
    </row>
    <row r="1007" spans="1:9" x14ac:dyDescent="0.25">
      <c r="A1007" t="s">
        <v>3018</v>
      </c>
      <c r="B1007">
        <f t="shared" si="15"/>
        <v>7492</v>
      </c>
      <c r="C1007" t="s">
        <v>3019</v>
      </c>
      <c r="D1007" t="s">
        <v>364</v>
      </c>
      <c r="E1007" t="s">
        <v>119</v>
      </c>
      <c r="F1007" t="s">
        <v>318</v>
      </c>
      <c r="G1007" t="s">
        <v>312</v>
      </c>
      <c r="H1007">
        <v>0</v>
      </c>
      <c r="I1007" t="s">
        <v>382</v>
      </c>
    </row>
    <row r="1008" spans="1:9" x14ac:dyDescent="0.25">
      <c r="A1008" t="s">
        <v>976</v>
      </c>
      <c r="B1008">
        <f t="shared" si="15"/>
        <v>7497</v>
      </c>
      <c r="C1008" t="s">
        <v>977</v>
      </c>
      <c r="D1008" t="s">
        <v>364</v>
      </c>
      <c r="E1008" t="s">
        <v>119</v>
      </c>
      <c r="F1008" t="s">
        <v>325</v>
      </c>
      <c r="G1008" t="s">
        <v>27</v>
      </c>
      <c r="H1008">
        <v>0</v>
      </c>
      <c r="I1008" t="s">
        <v>387</v>
      </c>
    </row>
    <row r="1009" spans="1:9" x14ac:dyDescent="0.25">
      <c r="A1009" t="s">
        <v>2916</v>
      </c>
      <c r="B1009">
        <f t="shared" si="15"/>
        <v>7498</v>
      </c>
      <c r="C1009" t="s">
        <v>2917</v>
      </c>
      <c r="D1009" t="s">
        <v>364</v>
      </c>
      <c r="E1009" t="s">
        <v>119</v>
      </c>
      <c r="F1009" t="s">
        <v>327</v>
      </c>
      <c r="G1009" t="s">
        <v>329</v>
      </c>
      <c r="H1009">
        <v>0</v>
      </c>
      <c r="I1009" t="s">
        <v>377</v>
      </c>
    </row>
    <row r="1010" spans="1:9" x14ac:dyDescent="0.25">
      <c r="A1010" t="s">
        <v>4558</v>
      </c>
      <c r="B1010">
        <f t="shared" si="15"/>
        <v>7504</v>
      </c>
      <c r="C1010" t="s">
        <v>4559</v>
      </c>
      <c r="D1010" t="s">
        <v>72</v>
      </c>
      <c r="E1010" t="s">
        <v>119</v>
      </c>
      <c r="F1010" t="s">
        <v>327</v>
      </c>
      <c r="G1010" t="s">
        <v>28</v>
      </c>
      <c r="H1010">
        <v>0</v>
      </c>
      <c r="I1010" t="s">
        <v>376</v>
      </c>
    </row>
    <row r="1011" spans="1:9" x14ac:dyDescent="0.25">
      <c r="A1011" t="s">
        <v>217</v>
      </c>
      <c r="B1011">
        <f t="shared" si="15"/>
        <v>7508</v>
      </c>
      <c r="C1011" t="s">
        <v>218</v>
      </c>
      <c r="D1011" t="s">
        <v>72</v>
      </c>
      <c r="E1011" t="s">
        <v>81</v>
      </c>
      <c r="F1011" t="s">
        <v>81</v>
      </c>
      <c r="G1011" t="s">
        <v>81</v>
      </c>
      <c r="H1011">
        <v>1</v>
      </c>
      <c r="I1011" t="s">
        <v>381</v>
      </c>
    </row>
    <row r="1012" spans="1:9" x14ac:dyDescent="0.25">
      <c r="A1012" t="s">
        <v>2344</v>
      </c>
      <c r="B1012">
        <f t="shared" si="15"/>
        <v>7509</v>
      </c>
      <c r="C1012" t="s">
        <v>2345</v>
      </c>
      <c r="D1012" t="s">
        <v>364</v>
      </c>
      <c r="E1012" t="s">
        <v>119</v>
      </c>
      <c r="F1012" t="s">
        <v>318</v>
      </c>
      <c r="G1012" t="s">
        <v>324</v>
      </c>
      <c r="H1012">
        <v>0</v>
      </c>
      <c r="I1012" t="s">
        <v>379</v>
      </c>
    </row>
    <row r="1013" spans="1:9" x14ac:dyDescent="0.25">
      <c r="A1013" t="s">
        <v>2918</v>
      </c>
      <c r="B1013">
        <f t="shared" si="15"/>
        <v>7511</v>
      </c>
      <c r="C1013" t="s">
        <v>3133</v>
      </c>
      <c r="D1013" t="s">
        <v>364</v>
      </c>
      <c r="E1013" t="s">
        <v>119</v>
      </c>
      <c r="F1013" t="s">
        <v>327</v>
      </c>
      <c r="G1013" t="s">
        <v>324</v>
      </c>
      <c r="H1013">
        <v>0</v>
      </c>
      <c r="I1013" t="s">
        <v>379</v>
      </c>
    </row>
    <row r="1014" spans="1:9" x14ac:dyDescent="0.25">
      <c r="A1014" t="s">
        <v>906</v>
      </c>
      <c r="B1014">
        <f t="shared" si="15"/>
        <v>7530</v>
      </c>
      <c r="C1014" t="s">
        <v>907</v>
      </c>
      <c r="D1014" t="s">
        <v>364</v>
      </c>
      <c r="E1014" t="s">
        <v>119</v>
      </c>
      <c r="F1014" t="s">
        <v>323</v>
      </c>
      <c r="G1014" t="s">
        <v>331</v>
      </c>
      <c r="H1014">
        <v>0</v>
      </c>
      <c r="I1014" t="s">
        <v>410</v>
      </c>
    </row>
    <row r="1015" spans="1:9" x14ac:dyDescent="0.25">
      <c r="A1015" t="s">
        <v>2791</v>
      </c>
      <c r="B1015">
        <f t="shared" si="15"/>
        <v>7536</v>
      </c>
      <c r="C1015" t="s">
        <v>2792</v>
      </c>
      <c r="D1015" t="s">
        <v>364</v>
      </c>
      <c r="E1015" t="s">
        <v>119</v>
      </c>
      <c r="F1015" t="s">
        <v>1717</v>
      </c>
      <c r="G1015" t="s">
        <v>316</v>
      </c>
      <c r="H1015">
        <v>0</v>
      </c>
      <c r="I1015" t="s">
        <v>2793</v>
      </c>
    </row>
    <row r="1016" spans="1:9" x14ac:dyDescent="0.25">
      <c r="A1016" t="s">
        <v>2346</v>
      </c>
      <c r="B1016">
        <f t="shared" si="15"/>
        <v>7537</v>
      </c>
      <c r="C1016" t="s">
        <v>2347</v>
      </c>
      <c r="D1016" t="s">
        <v>364</v>
      </c>
      <c r="E1016" t="s">
        <v>119</v>
      </c>
      <c r="F1016" t="s">
        <v>327</v>
      </c>
      <c r="G1016" t="s">
        <v>27</v>
      </c>
      <c r="H1016">
        <v>0</v>
      </c>
      <c r="I1016" t="s">
        <v>387</v>
      </c>
    </row>
    <row r="1017" spans="1:9" x14ac:dyDescent="0.25">
      <c r="A1017" t="s">
        <v>3171</v>
      </c>
      <c r="B1017">
        <f t="shared" si="15"/>
        <v>7549</v>
      </c>
      <c r="C1017" t="s">
        <v>3172</v>
      </c>
      <c r="D1017" t="s">
        <v>364</v>
      </c>
      <c r="E1017" t="s">
        <v>119</v>
      </c>
      <c r="F1017" t="s">
        <v>323</v>
      </c>
      <c r="G1017" t="s">
        <v>316</v>
      </c>
      <c r="H1017">
        <v>0</v>
      </c>
      <c r="I1017" t="s">
        <v>3173</v>
      </c>
    </row>
    <row r="1018" spans="1:9" x14ac:dyDescent="0.25">
      <c r="A1018" t="s">
        <v>2348</v>
      </c>
      <c r="B1018">
        <f t="shared" si="15"/>
        <v>7551</v>
      </c>
      <c r="C1018" t="s">
        <v>2349</v>
      </c>
      <c r="D1018" t="s">
        <v>364</v>
      </c>
      <c r="E1018" t="s">
        <v>119</v>
      </c>
      <c r="F1018" t="s">
        <v>327</v>
      </c>
      <c r="G1018" t="s">
        <v>324</v>
      </c>
      <c r="H1018">
        <v>0</v>
      </c>
      <c r="I1018" t="s">
        <v>379</v>
      </c>
    </row>
    <row r="1019" spans="1:9" x14ac:dyDescent="0.25">
      <c r="A1019" t="s">
        <v>3174</v>
      </c>
      <c r="B1019">
        <f t="shared" si="15"/>
        <v>7552</v>
      </c>
      <c r="C1019" t="s">
        <v>3175</v>
      </c>
      <c r="D1019" t="s">
        <v>72</v>
      </c>
      <c r="E1019" t="s">
        <v>81</v>
      </c>
      <c r="F1019" t="s">
        <v>81</v>
      </c>
      <c r="G1019" t="s">
        <v>81</v>
      </c>
      <c r="H1019">
        <v>0</v>
      </c>
      <c r="I1019" t="s">
        <v>1119</v>
      </c>
    </row>
    <row r="1020" spans="1:9" x14ac:dyDescent="0.25">
      <c r="A1020" t="s">
        <v>3664</v>
      </c>
      <c r="B1020">
        <f t="shared" si="15"/>
        <v>7564</v>
      </c>
      <c r="C1020" t="s">
        <v>3665</v>
      </c>
      <c r="D1020" t="s">
        <v>72</v>
      </c>
      <c r="E1020" t="s">
        <v>119</v>
      </c>
      <c r="F1020" t="s">
        <v>327</v>
      </c>
      <c r="G1020" t="s">
        <v>329</v>
      </c>
      <c r="H1020">
        <v>0</v>
      </c>
      <c r="I1020" t="s">
        <v>377</v>
      </c>
    </row>
    <row r="1021" spans="1:9" x14ac:dyDescent="0.25">
      <c r="A1021" t="s">
        <v>2350</v>
      </c>
      <c r="B1021">
        <f t="shared" si="15"/>
        <v>7568</v>
      </c>
      <c r="C1021" t="s">
        <v>2351</v>
      </c>
      <c r="D1021" t="s">
        <v>364</v>
      </c>
      <c r="E1021" t="s">
        <v>119</v>
      </c>
      <c r="F1021" t="s">
        <v>323</v>
      </c>
      <c r="G1021" t="s">
        <v>324</v>
      </c>
      <c r="H1021">
        <v>0</v>
      </c>
      <c r="I1021" t="s">
        <v>379</v>
      </c>
    </row>
    <row r="1022" spans="1:9" x14ac:dyDescent="0.25">
      <c r="A1022" t="s">
        <v>1533</v>
      </c>
      <c r="B1022">
        <f t="shared" si="15"/>
        <v>7573</v>
      </c>
      <c r="C1022" t="s">
        <v>1534</v>
      </c>
      <c r="D1022" t="s">
        <v>364</v>
      </c>
      <c r="E1022" t="s">
        <v>119</v>
      </c>
      <c r="F1022" t="s">
        <v>328</v>
      </c>
      <c r="G1022" t="s">
        <v>26</v>
      </c>
      <c r="H1022">
        <v>0</v>
      </c>
      <c r="I1022" t="s">
        <v>394</v>
      </c>
    </row>
    <row r="1023" spans="1:9" x14ac:dyDescent="0.25">
      <c r="A1023" t="s">
        <v>1535</v>
      </c>
      <c r="B1023">
        <f t="shared" si="15"/>
        <v>7579</v>
      </c>
      <c r="C1023" t="s">
        <v>1536</v>
      </c>
      <c r="D1023" t="s">
        <v>72</v>
      </c>
      <c r="E1023" t="s">
        <v>119</v>
      </c>
      <c r="F1023" t="s">
        <v>328</v>
      </c>
      <c r="G1023" t="s">
        <v>324</v>
      </c>
      <c r="H1023">
        <v>0</v>
      </c>
      <c r="I1023" t="s">
        <v>379</v>
      </c>
    </row>
    <row r="1024" spans="1:9" x14ac:dyDescent="0.25">
      <c r="A1024" t="s">
        <v>2352</v>
      </c>
      <c r="B1024">
        <f t="shared" si="15"/>
        <v>7583</v>
      </c>
      <c r="C1024" t="s">
        <v>2353</v>
      </c>
      <c r="D1024" t="s">
        <v>364</v>
      </c>
      <c r="E1024" t="s">
        <v>119</v>
      </c>
      <c r="F1024" t="s">
        <v>323</v>
      </c>
      <c r="G1024" t="s">
        <v>314</v>
      </c>
      <c r="H1024">
        <v>0</v>
      </c>
      <c r="I1024" t="s">
        <v>405</v>
      </c>
    </row>
    <row r="1025" spans="1:9" x14ac:dyDescent="0.25">
      <c r="A1025" t="s">
        <v>2354</v>
      </c>
      <c r="B1025">
        <f t="shared" si="15"/>
        <v>7588</v>
      </c>
      <c r="C1025" t="s">
        <v>2355</v>
      </c>
      <c r="D1025" t="s">
        <v>364</v>
      </c>
      <c r="E1025" t="s">
        <v>119</v>
      </c>
      <c r="F1025" t="s">
        <v>664</v>
      </c>
      <c r="G1025" t="s">
        <v>29</v>
      </c>
      <c r="H1025">
        <v>0</v>
      </c>
      <c r="I1025" t="s">
        <v>391</v>
      </c>
    </row>
    <row r="1026" spans="1:9" x14ac:dyDescent="0.25">
      <c r="A1026" t="s">
        <v>2887</v>
      </c>
      <c r="B1026">
        <f t="shared" si="15"/>
        <v>7590</v>
      </c>
      <c r="C1026" t="s">
        <v>2888</v>
      </c>
      <c r="D1026" t="s">
        <v>364</v>
      </c>
      <c r="E1026" t="s">
        <v>119</v>
      </c>
      <c r="F1026" t="s">
        <v>327</v>
      </c>
      <c r="G1026" t="s">
        <v>324</v>
      </c>
      <c r="H1026">
        <v>0</v>
      </c>
      <c r="I1026" t="s">
        <v>379</v>
      </c>
    </row>
    <row r="1027" spans="1:9" x14ac:dyDescent="0.25">
      <c r="A1027" t="s">
        <v>3479</v>
      </c>
      <c r="B1027">
        <f t="shared" si="15"/>
        <v>7593</v>
      </c>
      <c r="C1027" t="s">
        <v>3480</v>
      </c>
      <c r="D1027" t="s">
        <v>364</v>
      </c>
      <c r="E1027" t="s">
        <v>119</v>
      </c>
      <c r="F1027" t="s">
        <v>327</v>
      </c>
      <c r="G1027" t="s">
        <v>25</v>
      </c>
      <c r="H1027">
        <v>0</v>
      </c>
      <c r="I1027" t="s">
        <v>386</v>
      </c>
    </row>
    <row r="1028" spans="1:9" x14ac:dyDescent="0.25">
      <c r="A1028" t="s">
        <v>4560</v>
      </c>
      <c r="B1028">
        <f t="shared" ref="B1028:B1091" si="16">_xlfn.NUMBERVALUE(A1028,"#####")</f>
        <v>7676</v>
      </c>
      <c r="C1028" t="s">
        <v>4561</v>
      </c>
      <c r="D1028" t="s">
        <v>72</v>
      </c>
      <c r="E1028" t="s">
        <v>119</v>
      </c>
      <c r="F1028" t="s">
        <v>327</v>
      </c>
      <c r="G1028" t="s">
        <v>324</v>
      </c>
      <c r="H1028">
        <v>0</v>
      </c>
      <c r="I1028" t="s">
        <v>379</v>
      </c>
    </row>
    <row r="1029" spans="1:9" x14ac:dyDescent="0.25">
      <c r="A1029" t="s">
        <v>2356</v>
      </c>
      <c r="B1029">
        <f t="shared" si="16"/>
        <v>7678</v>
      </c>
      <c r="C1029" t="s">
        <v>2357</v>
      </c>
      <c r="D1029" t="s">
        <v>364</v>
      </c>
      <c r="E1029" t="s">
        <v>119</v>
      </c>
      <c r="F1029" t="s">
        <v>318</v>
      </c>
      <c r="G1029" t="s">
        <v>324</v>
      </c>
      <c r="H1029">
        <v>0</v>
      </c>
      <c r="I1029" t="s">
        <v>379</v>
      </c>
    </row>
    <row r="1030" spans="1:9" x14ac:dyDescent="0.25">
      <c r="A1030" t="s">
        <v>2358</v>
      </c>
      <c r="B1030">
        <f t="shared" si="16"/>
        <v>7679</v>
      </c>
      <c r="C1030" t="s">
        <v>2359</v>
      </c>
      <c r="D1030" t="s">
        <v>364</v>
      </c>
      <c r="E1030" t="s">
        <v>119</v>
      </c>
      <c r="F1030" t="s">
        <v>327</v>
      </c>
      <c r="G1030" t="s">
        <v>25</v>
      </c>
      <c r="H1030">
        <v>0</v>
      </c>
      <c r="I1030" t="s">
        <v>386</v>
      </c>
    </row>
    <row r="1031" spans="1:9" x14ac:dyDescent="0.25">
      <c r="A1031" t="s">
        <v>2360</v>
      </c>
      <c r="B1031">
        <f t="shared" si="16"/>
        <v>7680</v>
      </c>
      <c r="C1031" t="s">
        <v>2361</v>
      </c>
      <c r="D1031" t="s">
        <v>364</v>
      </c>
      <c r="E1031" t="s">
        <v>119</v>
      </c>
      <c r="F1031" t="s">
        <v>327</v>
      </c>
      <c r="G1031" t="s">
        <v>346</v>
      </c>
      <c r="H1031">
        <v>0</v>
      </c>
      <c r="I1031" t="s">
        <v>380</v>
      </c>
    </row>
    <row r="1032" spans="1:9" x14ac:dyDescent="0.25">
      <c r="A1032" t="s">
        <v>2362</v>
      </c>
      <c r="B1032">
        <f t="shared" si="16"/>
        <v>7685</v>
      </c>
      <c r="C1032" t="s">
        <v>2363</v>
      </c>
      <c r="D1032" t="s">
        <v>364</v>
      </c>
      <c r="E1032" t="s">
        <v>119</v>
      </c>
      <c r="F1032" t="s">
        <v>318</v>
      </c>
      <c r="G1032" t="s">
        <v>29</v>
      </c>
      <c r="H1032">
        <v>0</v>
      </c>
      <c r="I1032" t="s">
        <v>391</v>
      </c>
    </row>
    <row r="1033" spans="1:9" x14ac:dyDescent="0.25">
      <c r="A1033" t="s">
        <v>1538</v>
      </c>
      <c r="B1033">
        <f t="shared" si="16"/>
        <v>7697</v>
      </c>
      <c r="C1033" t="s">
        <v>1539</v>
      </c>
      <c r="D1033" t="s">
        <v>364</v>
      </c>
      <c r="E1033" t="s">
        <v>119</v>
      </c>
      <c r="F1033" t="s">
        <v>872</v>
      </c>
      <c r="G1033" t="s">
        <v>1000</v>
      </c>
      <c r="H1033">
        <v>0</v>
      </c>
      <c r="I1033" t="s">
        <v>1205</v>
      </c>
    </row>
    <row r="1034" spans="1:9" x14ac:dyDescent="0.25">
      <c r="A1034" t="s">
        <v>1173</v>
      </c>
      <c r="B1034">
        <f t="shared" si="16"/>
        <v>7699</v>
      </c>
      <c r="C1034" t="s">
        <v>1174</v>
      </c>
      <c r="D1034" t="s">
        <v>364</v>
      </c>
      <c r="E1034" t="s">
        <v>119</v>
      </c>
      <c r="F1034" t="s">
        <v>318</v>
      </c>
      <c r="G1034" t="s">
        <v>324</v>
      </c>
      <c r="H1034">
        <v>0</v>
      </c>
      <c r="I1034" t="s">
        <v>379</v>
      </c>
    </row>
    <row r="1035" spans="1:9" x14ac:dyDescent="0.25">
      <c r="A1035" t="s">
        <v>1175</v>
      </c>
      <c r="B1035">
        <f t="shared" si="16"/>
        <v>7700</v>
      </c>
      <c r="C1035" t="s">
        <v>1176</v>
      </c>
      <c r="D1035" t="s">
        <v>364</v>
      </c>
      <c r="E1035" t="s">
        <v>81</v>
      </c>
      <c r="F1035" t="s">
        <v>81</v>
      </c>
      <c r="G1035" t="s">
        <v>81</v>
      </c>
      <c r="H1035">
        <v>0</v>
      </c>
      <c r="I1035" t="s">
        <v>404</v>
      </c>
    </row>
    <row r="1036" spans="1:9" x14ac:dyDescent="0.25">
      <c r="A1036" t="s">
        <v>3481</v>
      </c>
      <c r="B1036">
        <f t="shared" si="16"/>
        <v>7734</v>
      </c>
      <c r="C1036" t="s">
        <v>3482</v>
      </c>
      <c r="D1036" t="s">
        <v>72</v>
      </c>
      <c r="E1036" t="s">
        <v>119</v>
      </c>
      <c r="F1036" t="s">
        <v>326</v>
      </c>
      <c r="G1036" t="s">
        <v>324</v>
      </c>
      <c r="H1036">
        <v>0</v>
      </c>
      <c r="I1036" t="s">
        <v>379</v>
      </c>
    </row>
    <row r="1037" spans="1:9" x14ac:dyDescent="0.25">
      <c r="A1037" t="s">
        <v>4237</v>
      </c>
      <c r="B1037">
        <f t="shared" si="16"/>
        <v>7736</v>
      </c>
      <c r="C1037" t="s">
        <v>4238</v>
      </c>
      <c r="D1037" t="s">
        <v>72</v>
      </c>
      <c r="E1037" t="s">
        <v>119</v>
      </c>
      <c r="F1037" t="s">
        <v>326</v>
      </c>
      <c r="G1037" t="s">
        <v>324</v>
      </c>
      <c r="H1037">
        <v>0</v>
      </c>
      <c r="I1037" t="s">
        <v>379</v>
      </c>
    </row>
    <row r="1038" spans="1:9" x14ac:dyDescent="0.25">
      <c r="A1038" t="s">
        <v>219</v>
      </c>
      <c r="B1038">
        <f t="shared" si="16"/>
        <v>7738</v>
      </c>
      <c r="C1038" t="s">
        <v>220</v>
      </c>
      <c r="D1038" t="s">
        <v>72</v>
      </c>
      <c r="E1038" t="s">
        <v>119</v>
      </c>
      <c r="F1038" t="s">
        <v>326</v>
      </c>
      <c r="G1038" t="s">
        <v>72</v>
      </c>
      <c r="H1038">
        <v>1</v>
      </c>
      <c r="I1038" t="s">
        <v>390</v>
      </c>
    </row>
    <row r="1039" spans="1:9" x14ac:dyDescent="0.25">
      <c r="A1039" t="s">
        <v>2364</v>
      </c>
      <c r="B1039">
        <f t="shared" si="16"/>
        <v>7740</v>
      </c>
      <c r="C1039" t="s">
        <v>2365</v>
      </c>
      <c r="D1039" t="s">
        <v>364</v>
      </c>
      <c r="E1039" t="s">
        <v>119</v>
      </c>
      <c r="F1039" t="s">
        <v>318</v>
      </c>
      <c r="G1039" t="s">
        <v>324</v>
      </c>
      <c r="H1039">
        <v>0</v>
      </c>
      <c r="I1039" t="s">
        <v>379</v>
      </c>
    </row>
    <row r="1040" spans="1:9" x14ac:dyDescent="0.25">
      <c r="A1040" t="s">
        <v>2826</v>
      </c>
      <c r="B1040">
        <f t="shared" si="16"/>
        <v>7741</v>
      </c>
      <c r="C1040" t="s">
        <v>2827</v>
      </c>
      <c r="D1040" t="s">
        <v>364</v>
      </c>
      <c r="E1040" t="s">
        <v>119</v>
      </c>
      <c r="F1040" t="s">
        <v>327</v>
      </c>
      <c r="G1040" t="s">
        <v>27</v>
      </c>
      <c r="H1040">
        <v>0</v>
      </c>
      <c r="I1040" t="s">
        <v>387</v>
      </c>
    </row>
    <row r="1041" spans="1:9" x14ac:dyDescent="0.25">
      <c r="A1041" t="s">
        <v>221</v>
      </c>
      <c r="B1041">
        <f t="shared" si="16"/>
        <v>7753</v>
      </c>
      <c r="C1041" t="s">
        <v>222</v>
      </c>
      <c r="D1041" t="s">
        <v>364</v>
      </c>
      <c r="E1041" t="s">
        <v>119</v>
      </c>
      <c r="F1041" t="s">
        <v>326</v>
      </c>
      <c r="G1041" t="s">
        <v>29</v>
      </c>
      <c r="H1041">
        <v>0</v>
      </c>
      <c r="I1041" t="s">
        <v>391</v>
      </c>
    </row>
    <row r="1042" spans="1:9" x14ac:dyDescent="0.25">
      <c r="A1042" t="s">
        <v>789</v>
      </c>
      <c r="B1042">
        <f t="shared" si="16"/>
        <v>7754</v>
      </c>
      <c r="C1042" t="s">
        <v>790</v>
      </c>
      <c r="D1042" t="s">
        <v>364</v>
      </c>
      <c r="E1042" t="s">
        <v>81</v>
      </c>
      <c r="F1042" t="s">
        <v>81</v>
      </c>
      <c r="G1042" t="s">
        <v>81</v>
      </c>
      <c r="H1042">
        <v>1</v>
      </c>
      <c r="I1042" t="s">
        <v>791</v>
      </c>
    </row>
    <row r="1043" spans="1:9" x14ac:dyDescent="0.25">
      <c r="A1043" t="s">
        <v>2366</v>
      </c>
      <c r="B1043">
        <f t="shared" si="16"/>
        <v>7757</v>
      </c>
      <c r="C1043" t="s">
        <v>2367</v>
      </c>
      <c r="D1043" t="s">
        <v>364</v>
      </c>
      <c r="E1043" t="s">
        <v>119</v>
      </c>
      <c r="F1043" t="s">
        <v>327</v>
      </c>
      <c r="G1043" t="s">
        <v>324</v>
      </c>
      <c r="H1043">
        <v>0</v>
      </c>
      <c r="I1043" t="s">
        <v>379</v>
      </c>
    </row>
    <row r="1044" spans="1:9" x14ac:dyDescent="0.25">
      <c r="A1044" t="s">
        <v>4562</v>
      </c>
      <c r="B1044">
        <f t="shared" si="16"/>
        <v>7758</v>
      </c>
      <c r="C1044" t="s">
        <v>4563</v>
      </c>
      <c r="D1044" t="s">
        <v>72</v>
      </c>
      <c r="E1044" t="s">
        <v>81</v>
      </c>
      <c r="F1044" t="s">
        <v>81</v>
      </c>
      <c r="G1044" t="s">
        <v>81</v>
      </c>
      <c r="H1044">
        <v>0</v>
      </c>
      <c r="I1044" t="s">
        <v>4564</v>
      </c>
    </row>
    <row r="1045" spans="1:9" x14ac:dyDescent="0.25">
      <c r="A1045" t="s">
        <v>1177</v>
      </c>
      <c r="B1045">
        <f t="shared" si="16"/>
        <v>7759</v>
      </c>
      <c r="C1045" t="s">
        <v>1178</v>
      </c>
      <c r="D1045" t="s">
        <v>364</v>
      </c>
      <c r="E1045" t="s">
        <v>119</v>
      </c>
      <c r="F1045" t="s">
        <v>664</v>
      </c>
      <c r="G1045" t="s">
        <v>317</v>
      </c>
      <c r="H1045">
        <v>0</v>
      </c>
      <c r="I1045" t="s">
        <v>1179</v>
      </c>
    </row>
    <row r="1046" spans="1:9" x14ac:dyDescent="0.25">
      <c r="A1046" t="s">
        <v>2368</v>
      </c>
      <c r="B1046">
        <f t="shared" si="16"/>
        <v>7760</v>
      </c>
      <c r="C1046" t="s">
        <v>2369</v>
      </c>
      <c r="D1046" t="s">
        <v>364</v>
      </c>
      <c r="E1046" t="s">
        <v>119</v>
      </c>
      <c r="F1046" t="s">
        <v>330</v>
      </c>
      <c r="G1046" t="s">
        <v>315</v>
      </c>
      <c r="H1046">
        <v>0</v>
      </c>
      <c r="I1046" t="s">
        <v>405</v>
      </c>
    </row>
    <row r="1047" spans="1:9" x14ac:dyDescent="0.25">
      <c r="A1047" t="s">
        <v>4239</v>
      </c>
      <c r="B1047">
        <f t="shared" si="16"/>
        <v>7761</v>
      </c>
      <c r="C1047" t="s">
        <v>4240</v>
      </c>
      <c r="D1047" t="s">
        <v>72</v>
      </c>
      <c r="E1047" t="s">
        <v>119</v>
      </c>
      <c r="F1047" t="s">
        <v>323</v>
      </c>
      <c r="G1047" t="s">
        <v>25</v>
      </c>
      <c r="H1047">
        <v>0</v>
      </c>
      <c r="I1047" t="s">
        <v>386</v>
      </c>
    </row>
    <row r="1048" spans="1:9" x14ac:dyDescent="0.25">
      <c r="A1048" t="s">
        <v>2370</v>
      </c>
      <c r="B1048">
        <f t="shared" si="16"/>
        <v>7800</v>
      </c>
      <c r="C1048" t="s">
        <v>2371</v>
      </c>
      <c r="D1048" t="s">
        <v>364</v>
      </c>
      <c r="E1048" t="s">
        <v>119</v>
      </c>
      <c r="F1048" t="s">
        <v>318</v>
      </c>
      <c r="G1048" t="s">
        <v>312</v>
      </c>
      <c r="H1048">
        <v>0</v>
      </c>
      <c r="I1048" t="s">
        <v>382</v>
      </c>
    </row>
    <row r="1049" spans="1:9" x14ac:dyDescent="0.25">
      <c r="A1049" t="s">
        <v>3891</v>
      </c>
      <c r="B1049">
        <f t="shared" si="16"/>
        <v>7803</v>
      </c>
      <c r="C1049" t="s">
        <v>3892</v>
      </c>
      <c r="D1049" t="s">
        <v>364</v>
      </c>
      <c r="E1049" t="s">
        <v>119</v>
      </c>
      <c r="F1049" t="s">
        <v>318</v>
      </c>
      <c r="G1049" t="s">
        <v>324</v>
      </c>
      <c r="H1049">
        <v>0</v>
      </c>
      <c r="I1049" t="s">
        <v>379</v>
      </c>
    </row>
    <row r="1050" spans="1:9" x14ac:dyDescent="0.25">
      <c r="A1050" t="s">
        <v>1693</v>
      </c>
      <c r="B1050">
        <f t="shared" si="16"/>
        <v>7804</v>
      </c>
      <c r="C1050" t="s">
        <v>1694</v>
      </c>
      <c r="D1050" t="s">
        <v>364</v>
      </c>
      <c r="E1050" t="s">
        <v>119</v>
      </c>
      <c r="F1050" t="s">
        <v>872</v>
      </c>
      <c r="G1050" t="s">
        <v>1002</v>
      </c>
      <c r="H1050">
        <v>0</v>
      </c>
      <c r="I1050" t="s">
        <v>1328</v>
      </c>
    </row>
    <row r="1051" spans="1:9" x14ac:dyDescent="0.25">
      <c r="A1051" t="s">
        <v>1180</v>
      </c>
      <c r="B1051">
        <f t="shared" si="16"/>
        <v>7806</v>
      </c>
      <c r="C1051" t="s">
        <v>1181</v>
      </c>
      <c r="D1051" t="s">
        <v>364</v>
      </c>
      <c r="E1051" t="s">
        <v>119</v>
      </c>
      <c r="F1051" t="s">
        <v>327</v>
      </c>
      <c r="G1051" t="s">
        <v>331</v>
      </c>
      <c r="H1051">
        <v>0</v>
      </c>
      <c r="I1051" t="s">
        <v>410</v>
      </c>
    </row>
    <row r="1052" spans="1:9" x14ac:dyDescent="0.25">
      <c r="A1052" t="s">
        <v>3893</v>
      </c>
      <c r="B1052">
        <f t="shared" si="16"/>
        <v>7815</v>
      </c>
      <c r="C1052" t="s">
        <v>3894</v>
      </c>
      <c r="D1052" t="s">
        <v>72</v>
      </c>
      <c r="E1052" t="s">
        <v>119</v>
      </c>
      <c r="F1052" t="s">
        <v>318</v>
      </c>
      <c r="G1052" t="s">
        <v>324</v>
      </c>
      <c r="H1052">
        <v>0</v>
      </c>
      <c r="I1052" t="s">
        <v>379</v>
      </c>
    </row>
    <row r="1053" spans="1:9" x14ac:dyDescent="0.25">
      <c r="A1053" t="s">
        <v>1540</v>
      </c>
      <c r="B1053">
        <f t="shared" si="16"/>
        <v>7817</v>
      </c>
      <c r="C1053" t="s">
        <v>1541</v>
      </c>
      <c r="D1053" t="s">
        <v>364</v>
      </c>
      <c r="E1053" t="s">
        <v>119</v>
      </c>
      <c r="F1053" t="s">
        <v>318</v>
      </c>
      <c r="G1053" t="s">
        <v>312</v>
      </c>
      <c r="H1053">
        <v>0</v>
      </c>
      <c r="I1053" t="s">
        <v>382</v>
      </c>
    </row>
    <row r="1054" spans="1:9" x14ac:dyDescent="0.25">
      <c r="A1054" t="s">
        <v>3067</v>
      </c>
      <c r="B1054">
        <f t="shared" si="16"/>
        <v>7819</v>
      </c>
      <c r="C1054" t="s">
        <v>3068</v>
      </c>
      <c r="D1054" t="s">
        <v>72</v>
      </c>
      <c r="E1054" t="s">
        <v>81</v>
      </c>
      <c r="F1054" t="s">
        <v>81</v>
      </c>
      <c r="G1054" t="s">
        <v>81</v>
      </c>
      <c r="H1054">
        <v>0</v>
      </c>
      <c r="I1054" t="s">
        <v>3069</v>
      </c>
    </row>
    <row r="1055" spans="1:9" x14ac:dyDescent="0.25">
      <c r="A1055" t="s">
        <v>1542</v>
      </c>
      <c r="B1055">
        <f t="shared" si="16"/>
        <v>7821</v>
      </c>
      <c r="C1055" t="s">
        <v>1543</v>
      </c>
      <c r="D1055" t="s">
        <v>364</v>
      </c>
      <c r="E1055" t="s">
        <v>119</v>
      </c>
      <c r="F1055" t="s">
        <v>345</v>
      </c>
      <c r="G1055" t="s">
        <v>26</v>
      </c>
      <c r="H1055">
        <v>0</v>
      </c>
      <c r="I1055" t="s">
        <v>394</v>
      </c>
    </row>
    <row r="1056" spans="1:9" x14ac:dyDescent="0.25">
      <c r="A1056" t="s">
        <v>3367</v>
      </c>
      <c r="B1056">
        <f t="shared" si="16"/>
        <v>7823</v>
      </c>
      <c r="C1056" t="s">
        <v>3368</v>
      </c>
      <c r="D1056" t="s">
        <v>364</v>
      </c>
      <c r="E1056" t="s">
        <v>119</v>
      </c>
      <c r="F1056" t="s">
        <v>318</v>
      </c>
      <c r="G1056" t="s">
        <v>324</v>
      </c>
      <c r="H1056">
        <v>0</v>
      </c>
      <c r="I1056" t="s">
        <v>379</v>
      </c>
    </row>
    <row r="1057" spans="1:9" x14ac:dyDescent="0.25">
      <c r="A1057" t="s">
        <v>4104</v>
      </c>
      <c r="B1057">
        <f t="shared" si="16"/>
        <v>7825</v>
      </c>
      <c r="C1057" t="s">
        <v>4105</v>
      </c>
      <c r="D1057" t="s">
        <v>72</v>
      </c>
      <c r="E1057" t="s">
        <v>119</v>
      </c>
      <c r="F1057" t="s">
        <v>318</v>
      </c>
      <c r="G1057" t="s">
        <v>324</v>
      </c>
      <c r="H1057">
        <v>0</v>
      </c>
      <c r="I1057" t="s">
        <v>379</v>
      </c>
    </row>
    <row r="1058" spans="1:9" x14ac:dyDescent="0.25">
      <c r="A1058" t="s">
        <v>223</v>
      </c>
      <c r="B1058">
        <f t="shared" si="16"/>
        <v>7841</v>
      </c>
      <c r="C1058" t="s">
        <v>224</v>
      </c>
      <c r="D1058" t="s">
        <v>364</v>
      </c>
      <c r="E1058" t="s">
        <v>81</v>
      </c>
      <c r="F1058" t="s">
        <v>81</v>
      </c>
      <c r="G1058" t="s">
        <v>81</v>
      </c>
      <c r="H1058">
        <v>0</v>
      </c>
      <c r="I1058" t="s">
        <v>908</v>
      </c>
    </row>
    <row r="1059" spans="1:9" x14ac:dyDescent="0.25">
      <c r="A1059" t="s">
        <v>2372</v>
      </c>
      <c r="B1059">
        <f t="shared" si="16"/>
        <v>7842</v>
      </c>
      <c r="C1059" t="s">
        <v>2373</v>
      </c>
      <c r="D1059" t="s">
        <v>364</v>
      </c>
      <c r="E1059" t="s">
        <v>119</v>
      </c>
      <c r="F1059" t="s">
        <v>318</v>
      </c>
      <c r="G1059" t="s">
        <v>324</v>
      </c>
      <c r="H1059">
        <v>0</v>
      </c>
      <c r="I1059" t="s">
        <v>379</v>
      </c>
    </row>
    <row r="1060" spans="1:9" x14ac:dyDescent="0.25">
      <c r="A1060" t="s">
        <v>2374</v>
      </c>
      <c r="B1060">
        <f t="shared" si="16"/>
        <v>7843</v>
      </c>
      <c r="C1060" t="s">
        <v>2375</v>
      </c>
      <c r="D1060" t="s">
        <v>364</v>
      </c>
      <c r="E1060" t="s">
        <v>119</v>
      </c>
      <c r="F1060" t="s">
        <v>323</v>
      </c>
      <c r="G1060" t="s">
        <v>324</v>
      </c>
      <c r="H1060">
        <v>0</v>
      </c>
      <c r="I1060" t="s">
        <v>379</v>
      </c>
    </row>
    <row r="1061" spans="1:9" x14ac:dyDescent="0.25">
      <c r="A1061" t="s">
        <v>2376</v>
      </c>
      <c r="B1061">
        <f t="shared" si="16"/>
        <v>7844</v>
      </c>
      <c r="C1061" t="s">
        <v>2377</v>
      </c>
      <c r="D1061" t="s">
        <v>364</v>
      </c>
      <c r="E1061" t="s">
        <v>119</v>
      </c>
      <c r="F1061" t="s">
        <v>318</v>
      </c>
      <c r="G1061" t="s">
        <v>324</v>
      </c>
      <c r="H1061">
        <v>0</v>
      </c>
      <c r="I1061" t="s">
        <v>379</v>
      </c>
    </row>
    <row r="1062" spans="1:9" x14ac:dyDescent="0.25">
      <c r="A1062" t="s">
        <v>225</v>
      </c>
      <c r="B1062">
        <f t="shared" si="16"/>
        <v>7845</v>
      </c>
      <c r="C1062" t="s">
        <v>226</v>
      </c>
      <c r="D1062" t="s">
        <v>364</v>
      </c>
      <c r="E1062" t="s">
        <v>119</v>
      </c>
      <c r="F1062" t="s">
        <v>326</v>
      </c>
      <c r="G1062" t="s">
        <v>324</v>
      </c>
      <c r="H1062">
        <v>0</v>
      </c>
      <c r="I1062" t="s">
        <v>377</v>
      </c>
    </row>
    <row r="1063" spans="1:9" x14ac:dyDescent="0.25">
      <c r="A1063" t="s">
        <v>2378</v>
      </c>
      <c r="B1063">
        <f t="shared" si="16"/>
        <v>7850</v>
      </c>
      <c r="C1063" t="s">
        <v>2379</v>
      </c>
      <c r="D1063" t="s">
        <v>364</v>
      </c>
      <c r="E1063" t="s">
        <v>119</v>
      </c>
      <c r="F1063" t="s">
        <v>326</v>
      </c>
      <c r="G1063" t="s">
        <v>324</v>
      </c>
      <c r="H1063">
        <v>0</v>
      </c>
      <c r="I1063" t="s">
        <v>379</v>
      </c>
    </row>
    <row r="1064" spans="1:9" x14ac:dyDescent="0.25">
      <c r="A1064" t="s">
        <v>2380</v>
      </c>
      <c r="B1064">
        <f t="shared" si="16"/>
        <v>7851</v>
      </c>
      <c r="C1064" t="s">
        <v>2381</v>
      </c>
      <c r="D1064" t="s">
        <v>364</v>
      </c>
      <c r="E1064" t="s">
        <v>119</v>
      </c>
      <c r="F1064" t="s">
        <v>345</v>
      </c>
      <c r="G1064" t="s">
        <v>26</v>
      </c>
      <c r="H1064">
        <v>0</v>
      </c>
      <c r="I1064" t="s">
        <v>394</v>
      </c>
    </row>
    <row r="1065" spans="1:9" x14ac:dyDescent="0.25">
      <c r="A1065" t="s">
        <v>1544</v>
      </c>
      <c r="B1065">
        <f t="shared" si="16"/>
        <v>7852</v>
      </c>
      <c r="C1065" t="s">
        <v>1545</v>
      </c>
      <c r="D1065" t="s">
        <v>72</v>
      </c>
      <c r="E1065" t="s">
        <v>81</v>
      </c>
      <c r="F1065" t="s">
        <v>81</v>
      </c>
      <c r="G1065" t="s">
        <v>81</v>
      </c>
      <c r="H1065">
        <v>1</v>
      </c>
      <c r="I1065" t="s">
        <v>418</v>
      </c>
    </row>
    <row r="1066" spans="1:9" x14ac:dyDescent="0.25">
      <c r="A1066" t="s">
        <v>3369</v>
      </c>
      <c r="B1066">
        <f t="shared" si="16"/>
        <v>7867</v>
      </c>
      <c r="C1066" t="s">
        <v>3370</v>
      </c>
      <c r="D1066" t="s">
        <v>364</v>
      </c>
      <c r="E1066" t="s">
        <v>119</v>
      </c>
      <c r="F1066" t="s">
        <v>327</v>
      </c>
      <c r="G1066" t="s">
        <v>346</v>
      </c>
      <c r="H1066">
        <v>0</v>
      </c>
      <c r="I1066" t="s">
        <v>3363</v>
      </c>
    </row>
    <row r="1067" spans="1:9" x14ac:dyDescent="0.25">
      <c r="A1067" t="s">
        <v>694</v>
      </c>
      <c r="B1067">
        <f t="shared" si="16"/>
        <v>7910</v>
      </c>
      <c r="C1067" t="s">
        <v>695</v>
      </c>
      <c r="D1067" t="s">
        <v>364</v>
      </c>
      <c r="E1067" t="s">
        <v>119</v>
      </c>
      <c r="F1067" t="s">
        <v>327</v>
      </c>
      <c r="G1067" t="s">
        <v>23</v>
      </c>
      <c r="H1067">
        <v>0</v>
      </c>
      <c r="I1067" t="s">
        <v>397</v>
      </c>
    </row>
    <row r="1068" spans="1:9" x14ac:dyDescent="0.25">
      <c r="A1068" t="s">
        <v>1546</v>
      </c>
      <c r="B1068">
        <f t="shared" si="16"/>
        <v>7916</v>
      </c>
      <c r="C1068" t="s">
        <v>1547</v>
      </c>
      <c r="D1068" t="s">
        <v>364</v>
      </c>
      <c r="E1068" t="s">
        <v>119</v>
      </c>
      <c r="F1068" t="s">
        <v>1359</v>
      </c>
      <c r="G1068" t="s">
        <v>324</v>
      </c>
      <c r="H1068">
        <v>0</v>
      </c>
      <c r="I1068" t="s">
        <v>379</v>
      </c>
    </row>
    <row r="1069" spans="1:9" x14ac:dyDescent="0.25">
      <c r="A1069" t="s">
        <v>3353</v>
      </c>
      <c r="B1069">
        <f t="shared" si="16"/>
        <v>7917</v>
      </c>
      <c r="C1069" t="s">
        <v>3354</v>
      </c>
      <c r="D1069" t="s">
        <v>72</v>
      </c>
      <c r="E1069" t="s">
        <v>81</v>
      </c>
      <c r="F1069" t="s">
        <v>81</v>
      </c>
      <c r="G1069" t="s">
        <v>81</v>
      </c>
      <c r="H1069">
        <v>1</v>
      </c>
      <c r="I1069" t="s">
        <v>389</v>
      </c>
    </row>
    <row r="1070" spans="1:9" x14ac:dyDescent="0.25">
      <c r="A1070" t="s">
        <v>1548</v>
      </c>
      <c r="B1070">
        <f t="shared" si="16"/>
        <v>7919</v>
      </c>
      <c r="C1070" t="s">
        <v>1549</v>
      </c>
      <c r="D1070" t="s">
        <v>364</v>
      </c>
      <c r="E1070" t="s">
        <v>119</v>
      </c>
      <c r="F1070" t="s">
        <v>330</v>
      </c>
      <c r="G1070" t="s">
        <v>324</v>
      </c>
      <c r="H1070">
        <v>0</v>
      </c>
      <c r="I1070" t="s">
        <v>379</v>
      </c>
    </row>
    <row r="1071" spans="1:9" x14ac:dyDescent="0.25">
      <c r="A1071" t="s">
        <v>3244</v>
      </c>
      <c r="B1071">
        <f t="shared" si="16"/>
        <v>7920</v>
      </c>
      <c r="C1071" t="s">
        <v>3245</v>
      </c>
      <c r="D1071" t="s">
        <v>72</v>
      </c>
      <c r="E1071" t="s">
        <v>119</v>
      </c>
      <c r="F1071" t="s">
        <v>318</v>
      </c>
      <c r="G1071" t="s">
        <v>29</v>
      </c>
      <c r="H1071">
        <v>0</v>
      </c>
      <c r="I1071" t="s">
        <v>384</v>
      </c>
    </row>
    <row r="1072" spans="1:9" x14ac:dyDescent="0.25">
      <c r="A1072" t="s">
        <v>2382</v>
      </c>
      <c r="B1072">
        <f t="shared" si="16"/>
        <v>7921</v>
      </c>
      <c r="C1072" t="s">
        <v>2383</v>
      </c>
      <c r="D1072" t="s">
        <v>364</v>
      </c>
      <c r="E1072" t="s">
        <v>119</v>
      </c>
      <c r="F1072" t="s">
        <v>327</v>
      </c>
      <c r="G1072" t="s">
        <v>324</v>
      </c>
      <c r="H1072">
        <v>0</v>
      </c>
      <c r="I1072" t="s">
        <v>379</v>
      </c>
    </row>
    <row r="1073" spans="1:9" x14ac:dyDescent="0.25">
      <c r="A1073" t="s">
        <v>2384</v>
      </c>
      <c r="B1073">
        <f t="shared" si="16"/>
        <v>7931</v>
      </c>
      <c r="C1073" t="s">
        <v>2385</v>
      </c>
      <c r="D1073" t="s">
        <v>364</v>
      </c>
      <c r="E1073" t="s">
        <v>119</v>
      </c>
      <c r="F1073" t="s">
        <v>327</v>
      </c>
      <c r="G1073" t="s">
        <v>324</v>
      </c>
      <c r="H1073">
        <v>0</v>
      </c>
      <c r="I1073" t="s">
        <v>379</v>
      </c>
    </row>
    <row r="1074" spans="1:9" x14ac:dyDescent="0.25">
      <c r="A1074" t="s">
        <v>2828</v>
      </c>
      <c r="B1074">
        <f t="shared" si="16"/>
        <v>7932</v>
      </c>
      <c r="C1074" t="s">
        <v>2829</v>
      </c>
      <c r="D1074" t="s">
        <v>364</v>
      </c>
      <c r="E1074" t="s">
        <v>119</v>
      </c>
      <c r="F1074" t="s">
        <v>1717</v>
      </c>
      <c r="G1074" t="s">
        <v>324</v>
      </c>
      <c r="H1074">
        <v>0</v>
      </c>
      <c r="I1074" t="s">
        <v>379</v>
      </c>
    </row>
    <row r="1075" spans="1:9" x14ac:dyDescent="0.25">
      <c r="A1075" t="s">
        <v>3895</v>
      </c>
      <c r="B1075">
        <f t="shared" si="16"/>
        <v>7933</v>
      </c>
      <c r="C1075" t="s">
        <v>3896</v>
      </c>
      <c r="D1075" t="s">
        <v>364</v>
      </c>
      <c r="E1075" t="s">
        <v>119</v>
      </c>
      <c r="F1075" t="s">
        <v>325</v>
      </c>
      <c r="G1075" t="s">
        <v>28</v>
      </c>
      <c r="H1075">
        <v>0</v>
      </c>
      <c r="I1075" t="s">
        <v>376</v>
      </c>
    </row>
    <row r="1076" spans="1:9" x14ac:dyDescent="0.25">
      <c r="A1076" t="s">
        <v>2386</v>
      </c>
      <c r="B1076">
        <f t="shared" si="16"/>
        <v>7935</v>
      </c>
      <c r="C1076" t="s">
        <v>2387</v>
      </c>
      <c r="D1076" t="s">
        <v>364</v>
      </c>
      <c r="E1076" t="s">
        <v>119</v>
      </c>
      <c r="F1076" t="s">
        <v>327</v>
      </c>
      <c r="G1076" t="s">
        <v>312</v>
      </c>
      <c r="H1076">
        <v>0</v>
      </c>
      <c r="I1076" t="s">
        <v>382</v>
      </c>
    </row>
    <row r="1077" spans="1:9" x14ac:dyDescent="0.25">
      <c r="A1077" t="s">
        <v>2388</v>
      </c>
      <c r="B1077">
        <f t="shared" si="16"/>
        <v>7961</v>
      </c>
      <c r="C1077" t="s">
        <v>2389</v>
      </c>
      <c r="D1077" t="s">
        <v>364</v>
      </c>
      <c r="E1077" t="s">
        <v>119</v>
      </c>
      <c r="F1077" t="s">
        <v>345</v>
      </c>
      <c r="G1077" t="s">
        <v>324</v>
      </c>
      <c r="H1077">
        <v>0</v>
      </c>
      <c r="I1077" t="s">
        <v>379</v>
      </c>
    </row>
    <row r="1078" spans="1:9" x14ac:dyDescent="0.25">
      <c r="A1078" t="s">
        <v>227</v>
      </c>
      <c r="B1078">
        <f t="shared" si="16"/>
        <v>8024</v>
      </c>
      <c r="C1078" t="s">
        <v>228</v>
      </c>
      <c r="D1078" t="s">
        <v>364</v>
      </c>
      <c r="E1078" t="s">
        <v>81</v>
      </c>
      <c r="F1078" t="s">
        <v>81</v>
      </c>
      <c r="G1078" t="s">
        <v>81</v>
      </c>
      <c r="H1078">
        <v>1</v>
      </c>
      <c r="I1078" t="s">
        <v>381</v>
      </c>
    </row>
    <row r="1079" spans="1:9" x14ac:dyDescent="0.25">
      <c r="A1079" t="s">
        <v>2390</v>
      </c>
      <c r="B1079">
        <f t="shared" si="16"/>
        <v>8025</v>
      </c>
      <c r="C1079" t="s">
        <v>2391</v>
      </c>
      <c r="D1079" t="s">
        <v>364</v>
      </c>
      <c r="E1079" t="s">
        <v>119</v>
      </c>
      <c r="F1079" t="s">
        <v>318</v>
      </c>
      <c r="G1079" t="s">
        <v>312</v>
      </c>
      <c r="H1079">
        <v>0</v>
      </c>
      <c r="I1079" t="s">
        <v>382</v>
      </c>
    </row>
    <row r="1080" spans="1:9" x14ac:dyDescent="0.25">
      <c r="A1080" t="s">
        <v>1182</v>
      </c>
      <c r="B1080">
        <f t="shared" si="16"/>
        <v>8026</v>
      </c>
      <c r="C1080" t="s">
        <v>1183</v>
      </c>
      <c r="D1080" t="s">
        <v>364</v>
      </c>
      <c r="E1080" t="s">
        <v>119</v>
      </c>
      <c r="F1080" t="s">
        <v>345</v>
      </c>
      <c r="G1080" t="s">
        <v>324</v>
      </c>
      <c r="H1080">
        <v>0</v>
      </c>
      <c r="I1080" t="s">
        <v>379</v>
      </c>
    </row>
    <row r="1081" spans="1:9" x14ac:dyDescent="0.25">
      <c r="A1081" t="s">
        <v>3152</v>
      </c>
      <c r="B1081">
        <f t="shared" si="16"/>
        <v>8027</v>
      </c>
      <c r="C1081" t="s">
        <v>3153</v>
      </c>
      <c r="D1081" t="s">
        <v>72</v>
      </c>
      <c r="E1081" t="s">
        <v>119</v>
      </c>
      <c r="F1081" t="s">
        <v>318</v>
      </c>
      <c r="G1081" t="s">
        <v>29</v>
      </c>
      <c r="H1081">
        <v>0</v>
      </c>
      <c r="I1081" t="s">
        <v>391</v>
      </c>
    </row>
    <row r="1082" spans="1:9" x14ac:dyDescent="0.25">
      <c r="A1082" t="s">
        <v>4388</v>
      </c>
      <c r="B1082">
        <f t="shared" si="16"/>
        <v>8038</v>
      </c>
      <c r="C1082" t="s">
        <v>4389</v>
      </c>
      <c r="D1082" t="s">
        <v>72</v>
      </c>
      <c r="E1082" t="s">
        <v>119</v>
      </c>
      <c r="F1082" t="s">
        <v>318</v>
      </c>
      <c r="G1082" t="s">
        <v>324</v>
      </c>
      <c r="H1082">
        <v>0</v>
      </c>
      <c r="I1082" t="s">
        <v>379</v>
      </c>
    </row>
    <row r="1083" spans="1:9" x14ac:dyDescent="0.25">
      <c r="A1083" t="s">
        <v>792</v>
      </c>
      <c r="B1083">
        <f t="shared" si="16"/>
        <v>8040</v>
      </c>
      <c r="C1083" t="s">
        <v>793</v>
      </c>
      <c r="D1083" t="s">
        <v>364</v>
      </c>
      <c r="E1083" t="s">
        <v>119</v>
      </c>
      <c r="F1083" t="s">
        <v>664</v>
      </c>
      <c r="G1083" t="s">
        <v>324</v>
      </c>
      <c r="H1083">
        <v>0</v>
      </c>
      <c r="I1083" t="s">
        <v>379</v>
      </c>
    </row>
    <row r="1084" spans="1:9" x14ac:dyDescent="0.25">
      <c r="A1084" t="s">
        <v>2392</v>
      </c>
      <c r="B1084">
        <f t="shared" si="16"/>
        <v>8041</v>
      </c>
      <c r="C1084" t="s">
        <v>2393</v>
      </c>
      <c r="D1084" t="s">
        <v>364</v>
      </c>
      <c r="E1084" t="s">
        <v>81</v>
      </c>
      <c r="F1084" t="s">
        <v>81</v>
      </c>
      <c r="G1084" t="s">
        <v>81</v>
      </c>
      <c r="H1084">
        <v>1</v>
      </c>
      <c r="I1084" t="s">
        <v>2394</v>
      </c>
    </row>
    <row r="1085" spans="1:9" x14ac:dyDescent="0.25">
      <c r="A1085" t="s">
        <v>909</v>
      </c>
      <c r="B1085">
        <f t="shared" si="16"/>
        <v>8043</v>
      </c>
      <c r="C1085" t="s">
        <v>910</v>
      </c>
      <c r="D1085" t="s">
        <v>364</v>
      </c>
      <c r="E1085" t="s">
        <v>119</v>
      </c>
      <c r="F1085" t="s">
        <v>327</v>
      </c>
      <c r="G1085" t="s">
        <v>324</v>
      </c>
      <c r="H1085">
        <v>0</v>
      </c>
      <c r="I1085" t="s">
        <v>379</v>
      </c>
    </row>
    <row r="1086" spans="1:9" x14ac:dyDescent="0.25">
      <c r="A1086" t="s">
        <v>978</v>
      </c>
      <c r="B1086">
        <f t="shared" si="16"/>
        <v>8046</v>
      </c>
      <c r="C1086" t="s">
        <v>979</v>
      </c>
      <c r="D1086" t="s">
        <v>364</v>
      </c>
      <c r="E1086" t="s">
        <v>119</v>
      </c>
      <c r="F1086" t="s">
        <v>327</v>
      </c>
      <c r="G1086" t="s">
        <v>25</v>
      </c>
      <c r="H1086">
        <v>0</v>
      </c>
      <c r="I1086" t="s">
        <v>386</v>
      </c>
    </row>
    <row r="1087" spans="1:9" x14ac:dyDescent="0.25">
      <c r="A1087" t="s">
        <v>2830</v>
      </c>
      <c r="B1087">
        <f t="shared" si="16"/>
        <v>8047</v>
      </c>
      <c r="C1087" t="s">
        <v>2831</v>
      </c>
      <c r="D1087" t="s">
        <v>364</v>
      </c>
      <c r="E1087" t="s">
        <v>119</v>
      </c>
      <c r="F1087" t="s">
        <v>326</v>
      </c>
      <c r="G1087" t="s">
        <v>28</v>
      </c>
      <c r="H1087">
        <v>0</v>
      </c>
      <c r="I1087" t="s">
        <v>376</v>
      </c>
    </row>
    <row r="1088" spans="1:9" x14ac:dyDescent="0.25">
      <c r="A1088" t="s">
        <v>1184</v>
      </c>
      <c r="B1088">
        <f t="shared" si="16"/>
        <v>8048</v>
      </c>
      <c r="C1088" t="s">
        <v>1185</v>
      </c>
      <c r="D1088" t="s">
        <v>364</v>
      </c>
      <c r="E1088" t="s">
        <v>119</v>
      </c>
      <c r="F1088" t="s">
        <v>318</v>
      </c>
      <c r="G1088" t="s">
        <v>324</v>
      </c>
      <c r="H1088">
        <v>0</v>
      </c>
      <c r="I1088" t="s">
        <v>379</v>
      </c>
    </row>
    <row r="1089" spans="1:9" x14ac:dyDescent="0.25">
      <c r="A1089" t="s">
        <v>4565</v>
      </c>
      <c r="B1089">
        <f t="shared" si="16"/>
        <v>8049</v>
      </c>
      <c r="C1089" t="s">
        <v>4566</v>
      </c>
      <c r="D1089" t="s">
        <v>364</v>
      </c>
      <c r="E1089" t="s">
        <v>119</v>
      </c>
      <c r="F1089" t="s">
        <v>326</v>
      </c>
      <c r="G1089" t="s">
        <v>324</v>
      </c>
      <c r="H1089">
        <v>0</v>
      </c>
      <c r="I1089" t="s">
        <v>379</v>
      </c>
    </row>
    <row r="1090" spans="1:9" x14ac:dyDescent="0.25">
      <c r="A1090" t="s">
        <v>3993</v>
      </c>
      <c r="B1090">
        <f t="shared" si="16"/>
        <v>8061</v>
      </c>
      <c r="C1090" t="s">
        <v>3994</v>
      </c>
      <c r="D1090" t="s">
        <v>364</v>
      </c>
      <c r="E1090" t="s">
        <v>119</v>
      </c>
      <c r="F1090" t="s">
        <v>323</v>
      </c>
      <c r="G1090" t="s">
        <v>316</v>
      </c>
      <c r="H1090">
        <v>0</v>
      </c>
      <c r="I1090" t="s">
        <v>1831</v>
      </c>
    </row>
    <row r="1091" spans="1:9" x14ac:dyDescent="0.25">
      <c r="A1091" t="s">
        <v>2395</v>
      </c>
      <c r="B1091">
        <f t="shared" si="16"/>
        <v>8070</v>
      </c>
      <c r="C1091" t="s">
        <v>2396</v>
      </c>
      <c r="D1091" t="s">
        <v>364</v>
      </c>
      <c r="E1091" t="s">
        <v>119</v>
      </c>
      <c r="F1091" t="s">
        <v>318</v>
      </c>
      <c r="G1091" t="s">
        <v>346</v>
      </c>
      <c r="H1091">
        <v>0</v>
      </c>
      <c r="I1091" t="s">
        <v>380</v>
      </c>
    </row>
    <row r="1092" spans="1:9" x14ac:dyDescent="0.25">
      <c r="A1092" t="s">
        <v>3070</v>
      </c>
      <c r="B1092">
        <f t="shared" ref="B1092:B1155" si="17">_xlfn.NUMBERVALUE(A1092,"#####")</f>
        <v>8072</v>
      </c>
      <c r="C1092" t="s">
        <v>3071</v>
      </c>
      <c r="D1092" t="s">
        <v>364</v>
      </c>
      <c r="E1092" t="s">
        <v>119</v>
      </c>
      <c r="F1092" t="s">
        <v>1717</v>
      </c>
      <c r="G1092" t="s">
        <v>324</v>
      </c>
      <c r="H1092">
        <v>0</v>
      </c>
      <c r="I1092" t="s">
        <v>379</v>
      </c>
    </row>
    <row r="1093" spans="1:9" x14ac:dyDescent="0.25">
      <c r="A1093" t="s">
        <v>1186</v>
      </c>
      <c r="B1093">
        <f t="shared" si="17"/>
        <v>8073</v>
      </c>
      <c r="C1093" t="s">
        <v>1187</v>
      </c>
      <c r="D1093" t="s">
        <v>364</v>
      </c>
      <c r="E1093" t="s">
        <v>119</v>
      </c>
      <c r="F1093" t="s">
        <v>345</v>
      </c>
      <c r="G1093" t="s">
        <v>313</v>
      </c>
      <c r="H1093">
        <v>0</v>
      </c>
      <c r="I1093" t="s">
        <v>382</v>
      </c>
    </row>
    <row r="1094" spans="1:9" x14ac:dyDescent="0.25">
      <c r="A1094" t="s">
        <v>2832</v>
      </c>
      <c r="B1094">
        <f t="shared" si="17"/>
        <v>8077</v>
      </c>
      <c r="C1094" t="s">
        <v>2833</v>
      </c>
      <c r="D1094" t="s">
        <v>364</v>
      </c>
      <c r="E1094" t="s">
        <v>119</v>
      </c>
      <c r="F1094" t="s">
        <v>1717</v>
      </c>
      <c r="G1094" t="s">
        <v>316</v>
      </c>
      <c r="H1094">
        <v>0</v>
      </c>
      <c r="I1094" t="s">
        <v>2774</v>
      </c>
    </row>
    <row r="1095" spans="1:9" x14ac:dyDescent="0.25">
      <c r="A1095" t="s">
        <v>3227</v>
      </c>
      <c r="B1095">
        <f t="shared" si="17"/>
        <v>8080</v>
      </c>
      <c r="C1095" t="s">
        <v>3228</v>
      </c>
      <c r="D1095" t="s">
        <v>364</v>
      </c>
      <c r="E1095" t="s">
        <v>119</v>
      </c>
      <c r="F1095" t="s">
        <v>327</v>
      </c>
      <c r="G1095" t="s">
        <v>467</v>
      </c>
      <c r="H1095">
        <v>0</v>
      </c>
      <c r="I1095" t="s">
        <v>2230</v>
      </c>
    </row>
    <row r="1096" spans="1:9" x14ac:dyDescent="0.25">
      <c r="A1096" t="s">
        <v>794</v>
      </c>
      <c r="B1096">
        <f t="shared" si="17"/>
        <v>8082</v>
      </c>
      <c r="C1096" t="s">
        <v>795</v>
      </c>
      <c r="D1096" t="s">
        <v>364</v>
      </c>
      <c r="E1096" t="s">
        <v>119</v>
      </c>
      <c r="F1096" t="s">
        <v>323</v>
      </c>
      <c r="G1096" t="s">
        <v>570</v>
      </c>
      <c r="H1096">
        <v>0</v>
      </c>
      <c r="I1096" t="s">
        <v>796</v>
      </c>
    </row>
    <row r="1097" spans="1:9" x14ac:dyDescent="0.25">
      <c r="A1097" t="s">
        <v>2397</v>
      </c>
      <c r="B1097">
        <f t="shared" si="17"/>
        <v>8091</v>
      </c>
      <c r="C1097" t="s">
        <v>2398</v>
      </c>
      <c r="D1097" t="s">
        <v>364</v>
      </c>
      <c r="E1097" t="s">
        <v>119</v>
      </c>
      <c r="F1097" t="s">
        <v>323</v>
      </c>
      <c r="G1097" t="s">
        <v>23</v>
      </c>
      <c r="H1097">
        <v>0</v>
      </c>
      <c r="I1097" t="s">
        <v>397</v>
      </c>
    </row>
    <row r="1098" spans="1:9" x14ac:dyDescent="0.25">
      <c r="A1098" t="s">
        <v>1550</v>
      </c>
      <c r="B1098">
        <f t="shared" si="17"/>
        <v>8096</v>
      </c>
      <c r="C1098" t="s">
        <v>1551</v>
      </c>
      <c r="D1098" t="s">
        <v>364</v>
      </c>
      <c r="E1098" t="s">
        <v>119</v>
      </c>
      <c r="F1098" t="s">
        <v>318</v>
      </c>
      <c r="G1098" t="s">
        <v>312</v>
      </c>
      <c r="H1098">
        <v>0</v>
      </c>
      <c r="I1098" t="s">
        <v>382</v>
      </c>
    </row>
    <row r="1099" spans="1:9" x14ac:dyDescent="0.25">
      <c r="A1099" t="s">
        <v>3332</v>
      </c>
      <c r="B1099">
        <f t="shared" si="17"/>
        <v>8097</v>
      </c>
      <c r="C1099" t="s">
        <v>3333</v>
      </c>
      <c r="D1099" t="s">
        <v>364</v>
      </c>
      <c r="E1099" t="s">
        <v>119</v>
      </c>
      <c r="F1099" t="s">
        <v>327</v>
      </c>
      <c r="G1099" t="s">
        <v>312</v>
      </c>
      <c r="H1099">
        <v>0</v>
      </c>
      <c r="I1099" t="s">
        <v>382</v>
      </c>
    </row>
    <row r="1100" spans="1:9" x14ac:dyDescent="0.25">
      <c r="A1100" t="s">
        <v>4241</v>
      </c>
      <c r="B1100">
        <f t="shared" si="17"/>
        <v>8135</v>
      </c>
      <c r="C1100" t="s">
        <v>4242</v>
      </c>
      <c r="D1100" t="s">
        <v>364</v>
      </c>
      <c r="E1100" t="s">
        <v>119</v>
      </c>
      <c r="F1100" t="s">
        <v>325</v>
      </c>
      <c r="G1100" t="s">
        <v>324</v>
      </c>
      <c r="H1100">
        <v>0</v>
      </c>
      <c r="I1100" t="s">
        <v>379</v>
      </c>
    </row>
    <row r="1101" spans="1:9" x14ac:dyDescent="0.25">
      <c r="A1101" t="s">
        <v>1188</v>
      </c>
      <c r="B1101">
        <f t="shared" si="17"/>
        <v>8137</v>
      </c>
      <c r="C1101" t="s">
        <v>1189</v>
      </c>
      <c r="D1101" t="s">
        <v>364</v>
      </c>
      <c r="E1101" t="s">
        <v>119</v>
      </c>
      <c r="F1101" t="s">
        <v>327</v>
      </c>
      <c r="G1101" t="s">
        <v>324</v>
      </c>
      <c r="H1101">
        <v>0</v>
      </c>
      <c r="I1101" t="s">
        <v>379</v>
      </c>
    </row>
    <row r="1102" spans="1:9" x14ac:dyDescent="0.25">
      <c r="A1102" t="s">
        <v>229</v>
      </c>
      <c r="B1102">
        <f t="shared" si="17"/>
        <v>8138</v>
      </c>
      <c r="C1102" t="s">
        <v>230</v>
      </c>
      <c r="D1102" t="s">
        <v>364</v>
      </c>
      <c r="E1102" t="s">
        <v>119</v>
      </c>
      <c r="F1102" t="s">
        <v>327</v>
      </c>
      <c r="G1102" t="s">
        <v>312</v>
      </c>
      <c r="H1102">
        <v>0</v>
      </c>
      <c r="I1102" t="s">
        <v>382</v>
      </c>
    </row>
    <row r="1103" spans="1:9" x14ac:dyDescent="0.25">
      <c r="A1103" t="s">
        <v>2399</v>
      </c>
      <c r="B1103">
        <f t="shared" si="17"/>
        <v>8142</v>
      </c>
      <c r="C1103" t="s">
        <v>2400</v>
      </c>
      <c r="D1103" t="s">
        <v>364</v>
      </c>
      <c r="E1103" t="s">
        <v>119</v>
      </c>
      <c r="F1103" t="s">
        <v>327</v>
      </c>
      <c r="G1103" t="s">
        <v>29</v>
      </c>
      <c r="H1103">
        <v>0</v>
      </c>
      <c r="I1103" t="s">
        <v>391</v>
      </c>
    </row>
    <row r="1104" spans="1:9" x14ac:dyDescent="0.25">
      <c r="A1104" t="s">
        <v>2401</v>
      </c>
      <c r="B1104">
        <f t="shared" si="17"/>
        <v>8143</v>
      </c>
      <c r="C1104" t="s">
        <v>2402</v>
      </c>
      <c r="D1104" t="s">
        <v>364</v>
      </c>
      <c r="E1104" t="s">
        <v>119</v>
      </c>
      <c r="F1104" t="s">
        <v>326</v>
      </c>
      <c r="G1104" t="s">
        <v>23</v>
      </c>
      <c r="H1104">
        <v>0</v>
      </c>
      <c r="I1104" t="s">
        <v>397</v>
      </c>
    </row>
    <row r="1105" spans="1:9" x14ac:dyDescent="0.25">
      <c r="A1105" t="s">
        <v>1190</v>
      </c>
      <c r="B1105">
        <f t="shared" si="17"/>
        <v>8154</v>
      </c>
      <c r="C1105" t="s">
        <v>1191</v>
      </c>
      <c r="D1105" t="s">
        <v>364</v>
      </c>
      <c r="E1105" t="s">
        <v>119</v>
      </c>
      <c r="F1105" t="s">
        <v>872</v>
      </c>
      <c r="G1105" t="s">
        <v>324</v>
      </c>
      <c r="H1105">
        <v>0</v>
      </c>
      <c r="I1105" t="s">
        <v>379</v>
      </c>
    </row>
    <row r="1106" spans="1:9" x14ac:dyDescent="0.25">
      <c r="A1106" t="s">
        <v>1192</v>
      </c>
      <c r="B1106">
        <f t="shared" si="17"/>
        <v>8155</v>
      </c>
      <c r="C1106" t="s">
        <v>1193</v>
      </c>
      <c r="D1106" t="s">
        <v>364</v>
      </c>
      <c r="E1106" t="s">
        <v>119</v>
      </c>
      <c r="F1106" t="s">
        <v>327</v>
      </c>
      <c r="G1106" t="s">
        <v>324</v>
      </c>
      <c r="H1106">
        <v>0</v>
      </c>
      <c r="I1106" t="s">
        <v>379</v>
      </c>
    </row>
    <row r="1107" spans="1:9" x14ac:dyDescent="0.25">
      <c r="A1107" t="s">
        <v>3897</v>
      </c>
      <c r="B1107">
        <f t="shared" si="17"/>
        <v>8157</v>
      </c>
      <c r="C1107" t="s">
        <v>3898</v>
      </c>
      <c r="D1107" t="s">
        <v>72</v>
      </c>
      <c r="E1107" t="s">
        <v>119</v>
      </c>
      <c r="F1107" t="s">
        <v>323</v>
      </c>
      <c r="G1107" t="s">
        <v>324</v>
      </c>
      <c r="H1107">
        <v>0</v>
      </c>
      <c r="I1107" t="s">
        <v>399</v>
      </c>
    </row>
    <row r="1108" spans="1:9" x14ac:dyDescent="0.25">
      <c r="A1108" t="s">
        <v>2403</v>
      </c>
      <c r="B1108">
        <f t="shared" si="17"/>
        <v>8165</v>
      </c>
      <c r="C1108" t="s">
        <v>2404</v>
      </c>
      <c r="D1108" t="s">
        <v>364</v>
      </c>
      <c r="E1108" t="s">
        <v>119</v>
      </c>
      <c r="F1108" t="s">
        <v>318</v>
      </c>
      <c r="G1108" t="s">
        <v>312</v>
      </c>
      <c r="H1108">
        <v>0</v>
      </c>
      <c r="I1108" t="s">
        <v>382</v>
      </c>
    </row>
    <row r="1109" spans="1:9" x14ac:dyDescent="0.25">
      <c r="A1109" t="s">
        <v>4390</v>
      </c>
      <c r="B1109">
        <f t="shared" si="17"/>
        <v>8170</v>
      </c>
      <c r="C1109" t="s">
        <v>4391</v>
      </c>
      <c r="D1109" t="s">
        <v>72</v>
      </c>
      <c r="E1109" t="s">
        <v>119</v>
      </c>
      <c r="F1109" t="s">
        <v>318</v>
      </c>
      <c r="G1109" t="s">
        <v>324</v>
      </c>
      <c r="H1109">
        <v>0</v>
      </c>
      <c r="I1109" t="s">
        <v>379</v>
      </c>
    </row>
    <row r="1110" spans="1:9" x14ac:dyDescent="0.25">
      <c r="A1110" t="s">
        <v>2889</v>
      </c>
      <c r="B1110">
        <f t="shared" si="17"/>
        <v>8171</v>
      </c>
      <c r="C1110" t="s">
        <v>2890</v>
      </c>
      <c r="D1110" t="s">
        <v>364</v>
      </c>
      <c r="E1110" t="s">
        <v>81</v>
      </c>
      <c r="F1110" t="s">
        <v>81</v>
      </c>
      <c r="G1110" t="s">
        <v>81</v>
      </c>
      <c r="H1110">
        <v>0</v>
      </c>
      <c r="I1110" t="s">
        <v>2891</v>
      </c>
    </row>
    <row r="1111" spans="1:9" x14ac:dyDescent="0.25">
      <c r="A1111" t="s">
        <v>2405</v>
      </c>
      <c r="B1111">
        <f t="shared" si="17"/>
        <v>8172</v>
      </c>
      <c r="C1111" t="s">
        <v>2406</v>
      </c>
      <c r="D1111" t="s">
        <v>364</v>
      </c>
      <c r="E1111" t="s">
        <v>119</v>
      </c>
      <c r="F1111" t="s">
        <v>318</v>
      </c>
      <c r="G1111" t="s">
        <v>346</v>
      </c>
      <c r="H1111">
        <v>0</v>
      </c>
      <c r="I1111" t="s">
        <v>380</v>
      </c>
    </row>
    <row r="1112" spans="1:9" x14ac:dyDescent="0.25">
      <c r="A1112" t="s">
        <v>2407</v>
      </c>
      <c r="B1112">
        <f t="shared" si="17"/>
        <v>8176</v>
      </c>
      <c r="C1112" t="s">
        <v>2408</v>
      </c>
      <c r="D1112" t="s">
        <v>364</v>
      </c>
      <c r="E1112" t="s">
        <v>119</v>
      </c>
      <c r="F1112" t="s">
        <v>326</v>
      </c>
      <c r="G1112" t="s">
        <v>23</v>
      </c>
      <c r="H1112">
        <v>0</v>
      </c>
      <c r="I1112" t="s">
        <v>397</v>
      </c>
    </row>
    <row r="1113" spans="1:9" x14ac:dyDescent="0.25">
      <c r="A1113" t="s">
        <v>3020</v>
      </c>
      <c r="B1113">
        <f t="shared" si="17"/>
        <v>8177</v>
      </c>
      <c r="C1113" t="s">
        <v>3021</v>
      </c>
      <c r="D1113" t="s">
        <v>364</v>
      </c>
      <c r="E1113" t="s">
        <v>119</v>
      </c>
      <c r="F1113" t="s">
        <v>327</v>
      </c>
      <c r="G1113" t="s">
        <v>329</v>
      </c>
      <c r="H1113">
        <v>0</v>
      </c>
      <c r="I1113" t="s">
        <v>377</v>
      </c>
    </row>
    <row r="1114" spans="1:9" x14ac:dyDescent="0.25">
      <c r="A1114" t="s">
        <v>3457</v>
      </c>
      <c r="B1114">
        <f t="shared" si="17"/>
        <v>8178</v>
      </c>
      <c r="C1114" t="s">
        <v>3458</v>
      </c>
      <c r="D1114" t="s">
        <v>364</v>
      </c>
      <c r="E1114" t="s">
        <v>119</v>
      </c>
      <c r="F1114" t="s">
        <v>318</v>
      </c>
      <c r="G1114" t="s">
        <v>324</v>
      </c>
      <c r="H1114">
        <v>0</v>
      </c>
      <c r="I1114" t="s">
        <v>379</v>
      </c>
    </row>
    <row r="1115" spans="1:9" x14ac:dyDescent="0.25">
      <c r="A1115" t="s">
        <v>1194</v>
      </c>
      <c r="B1115">
        <f t="shared" si="17"/>
        <v>8180</v>
      </c>
      <c r="C1115" t="s">
        <v>1195</v>
      </c>
      <c r="D1115" t="s">
        <v>364</v>
      </c>
      <c r="E1115" t="s">
        <v>119</v>
      </c>
      <c r="F1115" t="s">
        <v>327</v>
      </c>
      <c r="G1115" t="s">
        <v>27</v>
      </c>
      <c r="H1115">
        <v>0</v>
      </c>
      <c r="I1115" t="s">
        <v>387</v>
      </c>
    </row>
    <row r="1116" spans="1:9" x14ac:dyDescent="0.25">
      <c r="A1116" t="s">
        <v>2919</v>
      </c>
      <c r="B1116">
        <f t="shared" si="17"/>
        <v>8181</v>
      </c>
      <c r="C1116" t="s">
        <v>2920</v>
      </c>
      <c r="D1116" t="s">
        <v>364</v>
      </c>
      <c r="E1116" t="s">
        <v>81</v>
      </c>
      <c r="F1116" t="s">
        <v>81</v>
      </c>
      <c r="G1116" t="s">
        <v>81</v>
      </c>
      <c r="H1116">
        <v>0</v>
      </c>
      <c r="I1116" t="s">
        <v>2921</v>
      </c>
    </row>
    <row r="1117" spans="1:9" x14ac:dyDescent="0.25">
      <c r="A1117" t="s">
        <v>4106</v>
      </c>
      <c r="B1117">
        <f t="shared" si="17"/>
        <v>8184</v>
      </c>
      <c r="C1117" t="s">
        <v>4107</v>
      </c>
      <c r="D1117" t="s">
        <v>72</v>
      </c>
      <c r="E1117" t="s">
        <v>119</v>
      </c>
      <c r="F1117" t="s">
        <v>325</v>
      </c>
      <c r="G1117" t="s">
        <v>312</v>
      </c>
      <c r="H1117">
        <v>0</v>
      </c>
      <c r="I1117" t="s">
        <v>4108</v>
      </c>
    </row>
    <row r="1118" spans="1:9" x14ac:dyDescent="0.25">
      <c r="A1118" t="s">
        <v>797</v>
      </c>
      <c r="B1118">
        <f t="shared" si="17"/>
        <v>8185</v>
      </c>
      <c r="C1118" t="s">
        <v>798</v>
      </c>
      <c r="D1118" t="s">
        <v>364</v>
      </c>
      <c r="E1118" t="s">
        <v>119</v>
      </c>
      <c r="F1118" t="s">
        <v>327</v>
      </c>
      <c r="G1118" t="s">
        <v>24</v>
      </c>
      <c r="H1118">
        <v>0</v>
      </c>
      <c r="I1118" t="s">
        <v>383</v>
      </c>
    </row>
    <row r="1119" spans="1:9" x14ac:dyDescent="0.25">
      <c r="A1119" t="s">
        <v>231</v>
      </c>
      <c r="B1119">
        <f t="shared" si="17"/>
        <v>8191</v>
      </c>
      <c r="C1119" t="s">
        <v>232</v>
      </c>
      <c r="D1119" t="s">
        <v>364</v>
      </c>
      <c r="E1119" t="s">
        <v>81</v>
      </c>
      <c r="F1119" t="s">
        <v>81</v>
      </c>
      <c r="G1119" t="s">
        <v>81</v>
      </c>
      <c r="H1119">
        <v>1</v>
      </c>
      <c r="I1119" t="s">
        <v>413</v>
      </c>
    </row>
    <row r="1120" spans="1:9" x14ac:dyDescent="0.25">
      <c r="A1120" t="s">
        <v>1695</v>
      </c>
      <c r="B1120">
        <f t="shared" si="17"/>
        <v>8194</v>
      </c>
      <c r="C1120" t="s">
        <v>1696</v>
      </c>
      <c r="D1120" t="s">
        <v>364</v>
      </c>
      <c r="E1120" t="s">
        <v>119</v>
      </c>
      <c r="F1120" t="s">
        <v>327</v>
      </c>
      <c r="G1120" t="s">
        <v>28</v>
      </c>
      <c r="H1120">
        <v>0</v>
      </c>
      <c r="I1120" t="s">
        <v>376</v>
      </c>
    </row>
    <row r="1121" spans="1:9" x14ac:dyDescent="0.25">
      <c r="A1121" t="s">
        <v>4016</v>
      </c>
      <c r="B1121">
        <f t="shared" si="17"/>
        <v>8195</v>
      </c>
      <c r="C1121" t="s">
        <v>4017</v>
      </c>
      <c r="D1121" t="s">
        <v>72</v>
      </c>
      <c r="E1121" t="s">
        <v>119</v>
      </c>
      <c r="F1121" t="s">
        <v>318</v>
      </c>
      <c r="G1121" t="s">
        <v>324</v>
      </c>
      <c r="H1121">
        <v>0</v>
      </c>
      <c r="I1121" t="s">
        <v>379</v>
      </c>
    </row>
    <row r="1122" spans="1:9" x14ac:dyDescent="0.25">
      <c r="A1122" t="s">
        <v>233</v>
      </c>
      <c r="B1122">
        <f t="shared" si="17"/>
        <v>8196</v>
      </c>
      <c r="C1122" t="s">
        <v>234</v>
      </c>
      <c r="D1122" t="s">
        <v>364</v>
      </c>
      <c r="E1122" t="s">
        <v>81</v>
      </c>
      <c r="F1122" t="s">
        <v>81</v>
      </c>
      <c r="G1122" t="s">
        <v>81</v>
      </c>
      <c r="H1122">
        <v>1</v>
      </c>
      <c r="I1122" t="s">
        <v>418</v>
      </c>
    </row>
    <row r="1123" spans="1:9" x14ac:dyDescent="0.25">
      <c r="A1123" t="s">
        <v>2794</v>
      </c>
      <c r="B1123">
        <f t="shared" si="17"/>
        <v>8201</v>
      </c>
      <c r="C1123" t="s">
        <v>2795</v>
      </c>
      <c r="D1123" t="s">
        <v>364</v>
      </c>
      <c r="E1123" t="s">
        <v>119</v>
      </c>
      <c r="F1123" t="s">
        <v>1022</v>
      </c>
      <c r="G1123" t="s">
        <v>324</v>
      </c>
      <c r="H1123">
        <v>0</v>
      </c>
      <c r="I1123" t="s">
        <v>379</v>
      </c>
    </row>
    <row r="1124" spans="1:9" x14ac:dyDescent="0.25">
      <c r="A1124" t="s">
        <v>2409</v>
      </c>
      <c r="B1124">
        <f t="shared" si="17"/>
        <v>8204</v>
      </c>
      <c r="C1124" t="s">
        <v>2410</v>
      </c>
      <c r="D1124" t="s">
        <v>364</v>
      </c>
      <c r="E1124" t="s">
        <v>119</v>
      </c>
      <c r="F1124" t="s">
        <v>328</v>
      </c>
      <c r="G1124" t="s">
        <v>324</v>
      </c>
      <c r="H1124">
        <v>0</v>
      </c>
      <c r="I1124" t="s">
        <v>379</v>
      </c>
    </row>
    <row r="1125" spans="1:9" x14ac:dyDescent="0.25">
      <c r="A1125" t="s">
        <v>2411</v>
      </c>
      <c r="B1125">
        <f t="shared" si="17"/>
        <v>8207</v>
      </c>
      <c r="C1125" t="s">
        <v>2412</v>
      </c>
      <c r="D1125" t="s">
        <v>364</v>
      </c>
      <c r="E1125" t="s">
        <v>119</v>
      </c>
      <c r="F1125" t="s">
        <v>318</v>
      </c>
      <c r="G1125" t="s">
        <v>324</v>
      </c>
      <c r="H1125">
        <v>0</v>
      </c>
      <c r="I1125" t="s">
        <v>379</v>
      </c>
    </row>
    <row r="1126" spans="1:9" x14ac:dyDescent="0.25">
      <c r="A1126" t="s">
        <v>799</v>
      </c>
      <c r="B1126">
        <f t="shared" si="17"/>
        <v>8208</v>
      </c>
      <c r="C1126" t="s">
        <v>800</v>
      </c>
      <c r="D1126" t="s">
        <v>364</v>
      </c>
      <c r="E1126" t="s">
        <v>119</v>
      </c>
      <c r="F1126" t="s">
        <v>872</v>
      </c>
      <c r="G1126" t="s">
        <v>324</v>
      </c>
      <c r="H1126">
        <v>0</v>
      </c>
      <c r="I1126" t="s">
        <v>379</v>
      </c>
    </row>
    <row r="1127" spans="1:9" x14ac:dyDescent="0.25">
      <c r="A1127" t="s">
        <v>911</v>
      </c>
      <c r="B1127">
        <f t="shared" si="17"/>
        <v>8211</v>
      </c>
      <c r="C1127" t="s">
        <v>912</v>
      </c>
      <c r="D1127" t="s">
        <v>364</v>
      </c>
      <c r="E1127" t="s">
        <v>119</v>
      </c>
      <c r="F1127" t="s">
        <v>318</v>
      </c>
      <c r="G1127" t="s">
        <v>324</v>
      </c>
      <c r="H1127">
        <v>0</v>
      </c>
      <c r="I1127" t="s">
        <v>379</v>
      </c>
    </row>
    <row r="1128" spans="1:9" x14ac:dyDescent="0.25">
      <c r="A1128" t="s">
        <v>3995</v>
      </c>
      <c r="B1128">
        <f t="shared" si="17"/>
        <v>8216</v>
      </c>
      <c r="C1128" t="s">
        <v>3996</v>
      </c>
      <c r="D1128" t="s">
        <v>72</v>
      </c>
      <c r="E1128" t="s">
        <v>119</v>
      </c>
      <c r="F1128" t="s">
        <v>325</v>
      </c>
      <c r="G1128" t="s">
        <v>329</v>
      </c>
      <c r="H1128">
        <v>0</v>
      </c>
      <c r="I1128" t="s">
        <v>377</v>
      </c>
    </row>
    <row r="1129" spans="1:9" x14ac:dyDescent="0.25">
      <c r="A1129" t="s">
        <v>2964</v>
      </c>
      <c r="B1129">
        <f t="shared" si="17"/>
        <v>8219</v>
      </c>
      <c r="C1129" t="s">
        <v>2965</v>
      </c>
      <c r="D1129" t="s">
        <v>364</v>
      </c>
      <c r="E1129" t="s">
        <v>119</v>
      </c>
      <c r="F1129" t="s">
        <v>318</v>
      </c>
      <c r="G1129" t="s">
        <v>324</v>
      </c>
      <c r="H1129">
        <v>0</v>
      </c>
      <c r="I1129" t="s">
        <v>379</v>
      </c>
    </row>
    <row r="1130" spans="1:9" x14ac:dyDescent="0.25">
      <c r="A1130" t="s">
        <v>4567</v>
      </c>
      <c r="B1130">
        <f t="shared" si="17"/>
        <v>8229</v>
      </c>
      <c r="C1130" t="s">
        <v>4568</v>
      </c>
      <c r="D1130" t="s">
        <v>72</v>
      </c>
      <c r="E1130" t="s">
        <v>119</v>
      </c>
      <c r="F1130" t="s">
        <v>326</v>
      </c>
      <c r="G1130" t="s">
        <v>324</v>
      </c>
      <c r="H1130">
        <v>0</v>
      </c>
      <c r="I1130" t="s">
        <v>379</v>
      </c>
    </row>
    <row r="1131" spans="1:9" x14ac:dyDescent="0.25">
      <c r="A1131" t="s">
        <v>4243</v>
      </c>
      <c r="B1131">
        <f t="shared" si="17"/>
        <v>8230</v>
      </c>
      <c r="C1131" t="s">
        <v>4244</v>
      </c>
      <c r="D1131" t="s">
        <v>72</v>
      </c>
      <c r="E1131" t="s">
        <v>119</v>
      </c>
      <c r="F1131" t="s">
        <v>326</v>
      </c>
      <c r="G1131" t="s">
        <v>324</v>
      </c>
      <c r="H1131">
        <v>0</v>
      </c>
      <c r="I1131" t="s">
        <v>379</v>
      </c>
    </row>
    <row r="1132" spans="1:9" x14ac:dyDescent="0.25">
      <c r="A1132" t="s">
        <v>235</v>
      </c>
      <c r="B1132">
        <f t="shared" si="17"/>
        <v>8231</v>
      </c>
      <c r="C1132" t="s">
        <v>236</v>
      </c>
      <c r="D1132" t="s">
        <v>72</v>
      </c>
      <c r="E1132" t="s">
        <v>81</v>
      </c>
      <c r="F1132" t="s">
        <v>81</v>
      </c>
      <c r="G1132" t="s">
        <v>81</v>
      </c>
      <c r="H1132">
        <v>0</v>
      </c>
      <c r="I1132" t="s">
        <v>381</v>
      </c>
    </row>
    <row r="1133" spans="1:9" x14ac:dyDescent="0.25">
      <c r="A1133" t="s">
        <v>4569</v>
      </c>
      <c r="B1133">
        <f t="shared" si="17"/>
        <v>8235</v>
      </c>
      <c r="C1133" t="s">
        <v>4570</v>
      </c>
      <c r="D1133" t="s">
        <v>72</v>
      </c>
      <c r="E1133" t="s">
        <v>119</v>
      </c>
      <c r="F1133" t="s">
        <v>326</v>
      </c>
      <c r="G1133" t="s">
        <v>324</v>
      </c>
      <c r="H1133">
        <v>0</v>
      </c>
      <c r="I1133" t="s">
        <v>379</v>
      </c>
    </row>
    <row r="1134" spans="1:9" x14ac:dyDescent="0.25">
      <c r="A1134" t="s">
        <v>2413</v>
      </c>
      <c r="B1134">
        <f t="shared" si="17"/>
        <v>8237</v>
      </c>
      <c r="C1134" t="s">
        <v>2414</v>
      </c>
      <c r="D1134" t="s">
        <v>364</v>
      </c>
      <c r="E1134" t="s">
        <v>119</v>
      </c>
      <c r="F1134" t="s">
        <v>330</v>
      </c>
      <c r="G1134" t="s">
        <v>315</v>
      </c>
      <c r="H1134">
        <v>0</v>
      </c>
      <c r="I1134" t="s">
        <v>468</v>
      </c>
    </row>
    <row r="1135" spans="1:9" x14ac:dyDescent="0.25">
      <c r="A1135" t="s">
        <v>801</v>
      </c>
      <c r="B1135">
        <f t="shared" si="17"/>
        <v>8240</v>
      </c>
      <c r="C1135" t="s">
        <v>802</v>
      </c>
      <c r="D1135" t="s">
        <v>364</v>
      </c>
      <c r="E1135" t="s">
        <v>119</v>
      </c>
      <c r="F1135" t="s">
        <v>318</v>
      </c>
      <c r="G1135" t="s">
        <v>312</v>
      </c>
      <c r="H1135">
        <v>0</v>
      </c>
      <c r="I1135" t="s">
        <v>382</v>
      </c>
    </row>
    <row r="1136" spans="1:9" x14ac:dyDescent="0.25">
      <c r="A1136" t="s">
        <v>2415</v>
      </c>
      <c r="B1136">
        <f t="shared" si="17"/>
        <v>8242</v>
      </c>
      <c r="C1136" t="s">
        <v>2416</v>
      </c>
      <c r="D1136" t="s">
        <v>72</v>
      </c>
      <c r="E1136" t="s">
        <v>119</v>
      </c>
      <c r="F1136" t="s">
        <v>327</v>
      </c>
      <c r="G1136" t="s">
        <v>29</v>
      </c>
      <c r="H1136">
        <v>0</v>
      </c>
      <c r="I1136" t="s">
        <v>391</v>
      </c>
    </row>
    <row r="1137" spans="1:9" x14ac:dyDescent="0.25">
      <c r="A1137" t="s">
        <v>2417</v>
      </c>
      <c r="B1137">
        <f t="shared" si="17"/>
        <v>8243</v>
      </c>
      <c r="C1137" t="s">
        <v>2418</v>
      </c>
      <c r="D1137" t="s">
        <v>364</v>
      </c>
      <c r="E1137" t="s">
        <v>119</v>
      </c>
      <c r="F1137" t="s">
        <v>318</v>
      </c>
      <c r="G1137" t="s">
        <v>324</v>
      </c>
      <c r="H1137">
        <v>0</v>
      </c>
      <c r="I1137" t="s">
        <v>379</v>
      </c>
    </row>
    <row r="1138" spans="1:9" x14ac:dyDescent="0.25">
      <c r="A1138" t="s">
        <v>3625</v>
      </c>
      <c r="B1138">
        <f t="shared" si="17"/>
        <v>8247</v>
      </c>
      <c r="C1138" t="s">
        <v>3626</v>
      </c>
      <c r="D1138" t="s">
        <v>364</v>
      </c>
      <c r="E1138" t="s">
        <v>119</v>
      </c>
      <c r="F1138" t="s">
        <v>318</v>
      </c>
      <c r="G1138" t="s">
        <v>324</v>
      </c>
      <c r="H1138">
        <v>0</v>
      </c>
      <c r="I1138" t="s">
        <v>379</v>
      </c>
    </row>
    <row r="1139" spans="1:9" x14ac:dyDescent="0.25">
      <c r="A1139" t="s">
        <v>2419</v>
      </c>
      <c r="B1139">
        <f t="shared" si="17"/>
        <v>8249</v>
      </c>
      <c r="C1139" t="s">
        <v>2420</v>
      </c>
      <c r="D1139" t="s">
        <v>364</v>
      </c>
      <c r="E1139" t="s">
        <v>119</v>
      </c>
      <c r="F1139" t="s">
        <v>318</v>
      </c>
      <c r="G1139" t="s">
        <v>324</v>
      </c>
      <c r="H1139">
        <v>0</v>
      </c>
      <c r="I1139" t="s">
        <v>379</v>
      </c>
    </row>
    <row r="1140" spans="1:9" x14ac:dyDescent="0.25">
      <c r="A1140" t="s">
        <v>2421</v>
      </c>
      <c r="B1140">
        <f t="shared" si="17"/>
        <v>8250</v>
      </c>
      <c r="C1140" t="s">
        <v>2422</v>
      </c>
      <c r="D1140" t="s">
        <v>364</v>
      </c>
      <c r="E1140" t="s">
        <v>119</v>
      </c>
      <c r="F1140" t="s">
        <v>327</v>
      </c>
      <c r="G1140" t="s">
        <v>312</v>
      </c>
      <c r="H1140">
        <v>0</v>
      </c>
      <c r="I1140" t="s">
        <v>382</v>
      </c>
    </row>
    <row r="1141" spans="1:9" x14ac:dyDescent="0.25">
      <c r="A1141" t="s">
        <v>3261</v>
      </c>
      <c r="B1141">
        <f t="shared" si="17"/>
        <v>8255</v>
      </c>
      <c r="C1141" t="s">
        <v>3262</v>
      </c>
      <c r="D1141" t="s">
        <v>364</v>
      </c>
      <c r="E1141" t="s">
        <v>119</v>
      </c>
      <c r="F1141" t="s">
        <v>327</v>
      </c>
      <c r="G1141" t="s">
        <v>467</v>
      </c>
      <c r="H1141">
        <v>0</v>
      </c>
      <c r="I1141" t="s">
        <v>2230</v>
      </c>
    </row>
    <row r="1142" spans="1:9" x14ac:dyDescent="0.25">
      <c r="A1142" t="s">
        <v>3554</v>
      </c>
      <c r="B1142">
        <f t="shared" si="17"/>
        <v>8258</v>
      </c>
      <c r="C1142" t="s">
        <v>3555</v>
      </c>
      <c r="D1142" t="s">
        <v>72</v>
      </c>
      <c r="E1142" t="s">
        <v>81</v>
      </c>
      <c r="F1142" t="s">
        <v>81</v>
      </c>
      <c r="G1142" t="s">
        <v>81</v>
      </c>
      <c r="H1142">
        <v>0</v>
      </c>
      <c r="I1142" t="s">
        <v>3627</v>
      </c>
    </row>
    <row r="1143" spans="1:9" x14ac:dyDescent="0.25">
      <c r="A1143" t="s">
        <v>2423</v>
      </c>
      <c r="B1143">
        <f t="shared" si="17"/>
        <v>8260</v>
      </c>
      <c r="C1143" t="s">
        <v>2424</v>
      </c>
      <c r="D1143" t="s">
        <v>364</v>
      </c>
      <c r="E1143" t="s">
        <v>119</v>
      </c>
      <c r="F1143" t="s">
        <v>318</v>
      </c>
      <c r="G1143" t="s">
        <v>324</v>
      </c>
      <c r="H1143">
        <v>0</v>
      </c>
      <c r="I1143" t="s">
        <v>379</v>
      </c>
    </row>
    <row r="1144" spans="1:9" x14ac:dyDescent="0.25">
      <c r="A1144" t="s">
        <v>4571</v>
      </c>
      <c r="B1144">
        <f t="shared" si="17"/>
        <v>8263</v>
      </c>
      <c r="C1144" t="s">
        <v>4572</v>
      </c>
      <c r="D1144" t="s">
        <v>72</v>
      </c>
      <c r="E1144" t="s">
        <v>119</v>
      </c>
      <c r="F1144" t="s">
        <v>326</v>
      </c>
      <c r="G1144" t="s">
        <v>324</v>
      </c>
      <c r="H1144">
        <v>0</v>
      </c>
      <c r="I1144" t="s">
        <v>379</v>
      </c>
    </row>
    <row r="1145" spans="1:9" x14ac:dyDescent="0.25">
      <c r="A1145" t="s">
        <v>2425</v>
      </c>
      <c r="B1145">
        <f t="shared" si="17"/>
        <v>8265</v>
      </c>
      <c r="C1145" t="s">
        <v>2426</v>
      </c>
      <c r="D1145" t="s">
        <v>364</v>
      </c>
      <c r="E1145" t="s">
        <v>119</v>
      </c>
      <c r="F1145" t="s">
        <v>345</v>
      </c>
      <c r="G1145" t="s">
        <v>313</v>
      </c>
      <c r="H1145">
        <v>0</v>
      </c>
      <c r="I1145" t="s">
        <v>382</v>
      </c>
    </row>
    <row r="1146" spans="1:9" x14ac:dyDescent="0.25">
      <c r="A1146" t="s">
        <v>696</v>
      </c>
      <c r="B1146">
        <f t="shared" si="17"/>
        <v>8276</v>
      </c>
      <c r="C1146" t="s">
        <v>697</v>
      </c>
      <c r="D1146" t="s">
        <v>364</v>
      </c>
      <c r="E1146" t="s">
        <v>119</v>
      </c>
      <c r="F1146" t="s">
        <v>327</v>
      </c>
      <c r="G1146" t="s">
        <v>324</v>
      </c>
      <c r="H1146">
        <v>0</v>
      </c>
      <c r="I1146" t="s">
        <v>379</v>
      </c>
    </row>
    <row r="1147" spans="1:9" x14ac:dyDescent="0.25">
      <c r="A1147" t="s">
        <v>3965</v>
      </c>
      <c r="B1147">
        <f t="shared" si="17"/>
        <v>8277</v>
      </c>
      <c r="C1147" t="s">
        <v>3966</v>
      </c>
      <c r="D1147" t="s">
        <v>72</v>
      </c>
      <c r="E1147" t="s">
        <v>119</v>
      </c>
      <c r="F1147" t="s">
        <v>325</v>
      </c>
      <c r="G1147" t="s">
        <v>329</v>
      </c>
      <c r="H1147">
        <v>0</v>
      </c>
      <c r="I1147" t="s">
        <v>377</v>
      </c>
    </row>
    <row r="1148" spans="1:9" x14ac:dyDescent="0.25">
      <c r="A1148" t="s">
        <v>3134</v>
      </c>
      <c r="B1148">
        <f t="shared" si="17"/>
        <v>8280</v>
      </c>
      <c r="C1148" t="s">
        <v>3135</v>
      </c>
      <c r="D1148" t="s">
        <v>364</v>
      </c>
      <c r="E1148" t="s">
        <v>119</v>
      </c>
      <c r="F1148" t="s">
        <v>327</v>
      </c>
      <c r="G1148" t="s">
        <v>324</v>
      </c>
      <c r="H1148">
        <v>0</v>
      </c>
      <c r="I1148" t="s">
        <v>379</v>
      </c>
    </row>
    <row r="1149" spans="1:9" x14ac:dyDescent="0.25">
      <c r="A1149" t="s">
        <v>2427</v>
      </c>
      <c r="B1149">
        <f t="shared" si="17"/>
        <v>8281</v>
      </c>
      <c r="C1149" t="s">
        <v>2428</v>
      </c>
      <c r="D1149" t="s">
        <v>364</v>
      </c>
      <c r="E1149" t="s">
        <v>119</v>
      </c>
      <c r="F1149" t="s">
        <v>318</v>
      </c>
      <c r="G1149" t="s">
        <v>346</v>
      </c>
      <c r="H1149">
        <v>0</v>
      </c>
      <c r="I1149" t="s">
        <v>380</v>
      </c>
    </row>
    <row r="1150" spans="1:9" x14ac:dyDescent="0.25">
      <c r="A1150" t="s">
        <v>2922</v>
      </c>
      <c r="B1150">
        <f t="shared" si="17"/>
        <v>8284</v>
      </c>
      <c r="C1150" t="s">
        <v>2923</v>
      </c>
      <c r="D1150" t="s">
        <v>364</v>
      </c>
      <c r="E1150" t="s">
        <v>119</v>
      </c>
      <c r="F1150" t="s">
        <v>1717</v>
      </c>
      <c r="G1150" t="s">
        <v>324</v>
      </c>
      <c r="H1150">
        <v>0</v>
      </c>
      <c r="I1150" t="s">
        <v>379</v>
      </c>
    </row>
    <row r="1151" spans="1:9" x14ac:dyDescent="0.25">
      <c r="A1151" t="s">
        <v>3899</v>
      </c>
      <c r="B1151">
        <f t="shared" si="17"/>
        <v>8286</v>
      </c>
      <c r="C1151" t="s">
        <v>3900</v>
      </c>
      <c r="D1151" t="s">
        <v>72</v>
      </c>
      <c r="E1151" t="s">
        <v>81</v>
      </c>
      <c r="F1151" t="s">
        <v>81</v>
      </c>
      <c r="G1151" t="s">
        <v>81</v>
      </c>
      <c r="H1151">
        <v>0</v>
      </c>
      <c r="I1151" t="s">
        <v>409</v>
      </c>
    </row>
    <row r="1152" spans="1:9" x14ac:dyDescent="0.25">
      <c r="A1152" t="s">
        <v>4573</v>
      </c>
      <c r="B1152">
        <f t="shared" si="17"/>
        <v>8291</v>
      </c>
      <c r="C1152" t="s">
        <v>4574</v>
      </c>
      <c r="D1152" t="s">
        <v>72</v>
      </c>
      <c r="E1152" t="s">
        <v>119</v>
      </c>
      <c r="F1152" t="s">
        <v>318</v>
      </c>
      <c r="G1152" t="s">
        <v>312</v>
      </c>
      <c r="H1152">
        <v>0</v>
      </c>
      <c r="I1152" t="s">
        <v>382</v>
      </c>
    </row>
    <row r="1153" spans="1:9" x14ac:dyDescent="0.25">
      <c r="A1153" t="s">
        <v>237</v>
      </c>
      <c r="B1153">
        <f t="shared" si="17"/>
        <v>8292</v>
      </c>
      <c r="C1153" t="s">
        <v>238</v>
      </c>
      <c r="D1153" t="s">
        <v>72</v>
      </c>
      <c r="E1153" t="s">
        <v>81</v>
      </c>
      <c r="F1153" t="s">
        <v>81</v>
      </c>
      <c r="G1153" t="s">
        <v>81</v>
      </c>
      <c r="H1153">
        <v>0</v>
      </c>
      <c r="I1153" t="s">
        <v>2857</v>
      </c>
    </row>
    <row r="1154" spans="1:9" x14ac:dyDescent="0.25">
      <c r="A1154" t="s">
        <v>803</v>
      </c>
      <c r="B1154">
        <f t="shared" si="17"/>
        <v>8300</v>
      </c>
      <c r="C1154" t="s">
        <v>804</v>
      </c>
      <c r="D1154" t="s">
        <v>364</v>
      </c>
      <c r="E1154" t="s">
        <v>119</v>
      </c>
      <c r="F1154" t="s">
        <v>327</v>
      </c>
      <c r="G1154" t="s">
        <v>324</v>
      </c>
      <c r="H1154">
        <v>0</v>
      </c>
      <c r="I1154" t="s">
        <v>379</v>
      </c>
    </row>
    <row r="1155" spans="1:9" x14ac:dyDescent="0.25">
      <c r="A1155" t="s">
        <v>1552</v>
      </c>
      <c r="B1155">
        <f t="shared" si="17"/>
        <v>8301</v>
      </c>
      <c r="C1155" t="s">
        <v>1553</v>
      </c>
      <c r="D1155" t="s">
        <v>364</v>
      </c>
      <c r="E1155" t="s">
        <v>119</v>
      </c>
      <c r="F1155" t="s">
        <v>327</v>
      </c>
      <c r="G1155" t="s">
        <v>329</v>
      </c>
      <c r="H1155">
        <v>0</v>
      </c>
      <c r="I1155" t="s">
        <v>377</v>
      </c>
    </row>
    <row r="1156" spans="1:9" x14ac:dyDescent="0.25">
      <c r="A1156" t="s">
        <v>805</v>
      </c>
      <c r="B1156">
        <f t="shared" ref="B1156:B1219" si="18">_xlfn.NUMBERVALUE(A1156,"#####")</f>
        <v>8302</v>
      </c>
      <c r="C1156" t="s">
        <v>806</v>
      </c>
      <c r="D1156" t="s">
        <v>72</v>
      </c>
      <c r="E1156" t="s">
        <v>81</v>
      </c>
      <c r="F1156" t="s">
        <v>81</v>
      </c>
      <c r="G1156" t="s">
        <v>81</v>
      </c>
      <c r="H1156">
        <v>1</v>
      </c>
      <c r="I1156" t="s">
        <v>807</v>
      </c>
    </row>
    <row r="1157" spans="1:9" x14ac:dyDescent="0.25">
      <c r="A1157" t="s">
        <v>981</v>
      </c>
      <c r="B1157">
        <f t="shared" si="18"/>
        <v>8303</v>
      </c>
      <c r="C1157" t="s">
        <v>982</v>
      </c>
      <c r="D1157" t="s">
        <v>364</v>
      </c>
      <c r="E1157" t="s">
        <v>119</v>
      </c>
      <c r="F1157" t="s">
        <v>328</v>
      </c>
      <c r="G1157" t="s">
        <v>324</v>
      </c>
      <c r="H1157">
        <v>0</v>
      </c>
      <c r="I1157" t="s">
        <v>379</v>
      </c>
    </row>
    <row r="1158" spans="1:9" x14ac:dyDescent="0.25">
      <c r="A1158" t="s">
        <v>1554</v>
      </c>
      <c r="B1158">
        <f t="shared" si="18"/>
        <v>8304</v>
      </c>
      <c r="C1158" t="s">
        <v>1555</v>
      </c>
      <c r="D1158" t="s">
        <v>364</v>
      </c>
      <c r="E1158" t="s">
        <v>119</v>
      </c>
      <c r="F1158" t="s">
        <v>664</v>
      </c>
      <c r="G1158" t="s">
        <v>329</v>
      </c>
      <c r="H1158">
        <v>0</v>
      </c>
      <c r="I1158" t="s">
        <v>377</v>
      </c>
    </row>
    <row r="1159" spans="1:9" x14ac:dyDescent="0.25">
      <c r="A1159" t="s">
        <v>4575</v>
      </c>
      <c r="B1159">
        <f t="shared" si="18"/>
        <v>8308</v>
      </c>
      <c r="C1159" t="s">
        <v>4576</v>
      </c>
      <c r="D1159" t="s">
        <v>72</v>
      </c>
      <c r="E1159" t="s">
        <v>119</v>
      </c>
      <c r="F1159" t="s">
        <v>327</v>
      </c>
      <c r="G1159" t="s">
        <v>329</v>
      </c>
      <c r="H1159">
        <v>0</v>
      </c>
      <c r="I1159" t="s">
        <v>377</v>
      </c>
    </row>
    <row r="1160" spans="1:9" x14ac:dyDescent="0.25">
      <c r="A1160" t="s">
        <v>4577</v>
      </c>
      <c r="B1160">
        <f t="shared" si="18"/>
        <v>8309</v>
      </c>
      <c r="C1160" t="s">
        <v>4578</v>
      </c>
      <c r="D1160" t="s">
        <v>72</v>
      </c>
      <c r="E1160" t="s">
        <v>119</v>
      </c>
      <c r="F1160" t="s">
        <v>327</v>
      </c>
      <c r="G1160" t="s">
        <v>324</v>
      </c>
      <c r="H1160">
        <v>0</v>
      </c>
      <c r="I1160" t="s">
        <v>379</v>
      </c>
    </row>
    <row r="1161" spans="1:9" x14ac:dyDescent="0.25">
      <c r="A1161" t="s">
        <v>239</v>
      </c>
      <c r="B1161">
        <f t="shared" si="18"/>
        <v>8317</v>
      </c>
      <c r="C1161" t="s">
        <v>240</v>
      </c>
      <c r="D1161" t="s">
        <v>72</v>
      </c>
      <c r="E1161" t="s">
        <v>81</v>
      </c>
      <c r="F1161" t="s">
        <v>81</v>
      </c>
      <c r="G1161" t="s">
        <v>81</v>
      </c>
      <c r="H1161">
        <v>1</v>
      </c>
      <c r="I1161" t="s">
        <v>3652</v>
      </c>
    </row>
    <row r="1162" spans="1:9" x14ac:dyDescent="0.25">
      <c r="A1162" t="s">
        <v>241</v>
      </c>
      <c r="B1162">
        <f t="shared" si="18"/>
        <v>8325</v>
      </c>
      <c r="C1162" t="s">
        <v>242</v>
      </c>
      <c r="D1162" t="s">
        <v>72</v>
      </c>
      <c r="E1162" t="s">
        <v>81</v>
      </c>
      <c r="F1162" t="s">
        <v>81</v>
      </c>
      <c r="G1162" t="s">
        <v>81</v>
      </c>
      <c r="H1162">
        <v>0</v>
      </c>
      <c r="I1162" t="s">
        <v>381</v>
      </c>
    </row>
    <row r="1163" spans="1:9" x14ac:dyDescent="0.25">
      <c r="A1163" t="s">
        <v>1556</v>
      </c>
      <c r="B1163">
        <f t="shared" si="18"/>
        <v>8328</v>
      </c>
      <c r="C1163" t="s">
        <v>1557</v>
      </c>
      <c r="D1163" t="s">
        <v>72</v>
      </c>
      <c r="E1163" t="s">
        <v>119</v>
      </c>
      <c r="F1163" t="s">
        <v>326</v>
      </c>
      <c r="G1163" t="s">
        <v>324</v>
      </c>
      <c r="H1163">
        <v>0</v>
      </c>
      <c r="I1163" t="s">
        <v>379</v>
      </c>
    </row>
    <row r="1164" spans="1:9" x14ac:dyDescent="0.25">
      <c r="A1164" t="s">
        <v>3483</v>
      </c>
      <c r="B1164">
        <f t="shared" si="18"/>
        <v>8329</v>
      </c>
      <c r="C1164" t="s">
        <v>3484</v>
      </c>
      <c r="D1164" t="s">
        <v>364</v>
      </c>
      <c r="E1164" t="s">
        <v>119</v>
      </c>
      <c r="F1164" t="s">
        <v>327</v>
      </c>
      <c r="G1164" t="s">
        <v>331</v>
      </c>
      <c r="H1164">
        <v>0</v>
      </c>
      <c r="I1164" t="s">
        <v>410</v>
      </c>
    </row>
    <row r="1165" spans="1:9" x14ac:dyDescent="0.25">
      <c r="A1165" t="s">
        <v>2429</v>
      </c>
      <c r="B1165">
        <f t="shared" si="18"/>
        <v>8330</v>
      </c>
      <c r="C1165" t="s">
        <v>2430</v>
      </c>
      <c r="D1165" t="s">
        <v>364</v>
      </c>
      <c r="E1165" t="s">
        <v>119</v>
      </c>
      <c r="F1165" t="s">
        <v>318</v>
      </c>
      <c r="G1165" t="s">
        <v>324</v>
      </c>
      <c r="H1165">
        <v>0</v>
      </c>
      <c r="I1165" t="s">
        <v>379</v>
      </c>
    </row>
    <row r="1166" spans="1:9" x14ac:dyDescent="0.25">
      <c r="A1166" t="s">
        <v>2924</v>
      </c>
      <c r="B1166">
        <f t="shared" si="18"/>
        <v>8332</v>
      </c>
      <c r="C1166" t="s">
        <v>2925</v>
      </c>
      <c r="D1166" t="s">
        <v>72</v>
      </c>
      <c r="E1166" t="s">
        <v>119</v>
      </c>
      <c r="F1166" t="s">
        <v>318</v>
      </c>
      <c r="G1166" t="s">
        <v>29</v>
      </c>
      <c r="H1166">
        <v>0</v>
      </c>
      <c r="I1166" t="s">
        <v>384</v>
      </c>
    </row>
    <row r="1167" spans="1:9" x14ac:dyDescent="0.25">
      <c r="A1167" t="s">
        <v>1558</v>
      </c>
      <c r="B1167">
        <f t="shared" si="18"/>
        <v>8334</v>
      </c>
      <c r="C1167" t="s">
        <v>1559</v>
      </c>
      <c r="D1167" t="s">
        <v>364</v>
      </c>
      <c r="E1167" t="s">
        <v>119</v>
      </c>
      <c r="F1167" t="s">
        <v>318</v>
      </c>
      <c r="G1167" t="s">
        <v>26</v>
      </c>
      <c r="H1167">
        <v>0</v>
      </c>
      <c r="I1167" t="s">
        <v>394</v>
      </c>
    </row>
    <row r="1168" spans="1:9" x14ac:dyDescent="0.25">
      <c r="A1168" t="s">
        <v>2431</v>
      </c>
      <c r="B1168">
        <f t="shared" si="18"/>
        <v>8335</v>
      </c>
      <c r="C1168" t="s">
        <v>3366</v>
      </c>
      <c r="D1168" t="s">
        <v>364</v>
      </c>
      <c r="E1168" t="s">
        <v>119</v>
      </c>
      <c r="F1168" t="s">
        <v>318</v>
      </c>
      <c r="G1168" t="s">
        <v>312</v>
      </c>
      <c r="H1168">
        <v>0</v>
      </c>
      <c r="I1168" t="s">
        <v>382</v>
      </c>
    </row>
    <row r="1169" spans="1:9" x14ac:dyDescent="0.25">
      <c r="A1169" t="s">
        <v>3642</v>
      </c>
      <c r="B1169">
        <f t="shared" si="18"/>
        <v>8336</v>
      </c>
      <c r="C1169" t="s">
        <v>3643</v>
      </c>
      <c r="D1169" t="s">
        <v>364</v>
      </c>
      <c r="E1169" t="s">
        <v>119</v>
      </c>
      <c r="F1169" t="s">
        <v>318</v>
      </c>
      <c r="G1169" t="s">
        <v>312</v>
      </c>
      <c r="H1169">
        <v>0</v>
      </c>
      <c r="I1169" t="s">
        <v>382</v>
      </c>
    </row>
    <row r="1170" spans="1:9" x14ac:dyDescent="0.25">
      <c r="A1170" t="s">
        <v>2432</v>
      </c>
      <c r="B1170">
        <f t="shared" si="18"/>
        <v>8340</v>
      </c>
      <c r="C1170" t="s">
        <v>2433</v>
      </c>
      <c r="D1170" t="s">
        <v>364</v>
      </c>
      <c r="E1170" t="s">
        <v>119</v>
      </c>
      <c r="F1170" t="s">
        <v>327</v>
      </c>
      <c r="G1170" t="s">
        <v>324</v>
      </c>
      <c r="H1170">
        <v>0</v>
      </c>
      <c r="I1170" t="s">
        <v>379</v>
      </c>
    </row>
    <row r="1171" spans="1:9" x14ac:dyDescent="0.25">
      <c r="A1171" t="s">
        <v>1560</v>
      </c>
      <c r="B1171">
        <f t="shared" si="18"/>
        <v>8341</v>
      </c>
      <c r="C1171" t="s">
        <v>1561</v>
      </c>
      <c r="D1171" t="s">
        <v>364</v>
      </c>
      <c r="E1171" t="s">
        <v>119</v>
      </c>
      <c r="F1171" t="s">
        <v>327</v>
      </c>
      <c r="G1171" t="s">
        <v>324</v>
      </c>
      <c r="H1171">
        <v>0</v>
      </c>
      <c r="I1171" t="s">
        <v>379</v>
      </c>
    </row>
    <row r="1172" spans="1:9" x14ac:dyDescent="0.25">
      <c r="A1172" t="s">
        <v>1562</v>
      </c>
      <c r="B1172">
        <f t="shared" si="18"/>
        <v>8342</v>
      </c>
      <c r="C1172" t="s">
        <v>1563</v>
      </c>
      <c r="D1172" t="s">
        <v>364</v>
      </c>
      <c r="E1172" t="s">
        <v>119</v>
      </c>
      <c r="F1172" t="s">
        <v>1359</v>
      </c>
      <c r="G1172" t="s">
        <v>28</v>
      </c>
      <c r="H1172">
        <v>0</v>
      </c>
      <c r="I1172" t="s">
        <v>376</v>
      </c>
    </row>
    <row r="1173" spans="1:9" x14ac:dyDescent="0.25">
      <c r="A1173" t="s">
        <v>3136</v>
      </c>
      <c r="B1173">
        <f t="shared" si="18"/>
        <v>8343</v>
      </c>
      <c r="C1173" t="s">
        <v>3137</v>
      </c>
      <c r="D1173" t="s">
        <v>364</v>
      </c>
      <c r="E1173" t="s">
        <v>119</v>
      </c>
      <c r="F1173" t="s">
        <v>327</v>
      </c>
      <c r="G1173" t="s">
        <v>312</v>
      </c>
      <c r="H1173">
        <v>0</v>
      </c>
      <c r="I1173" t="s">
        <v>382</v>
      </c>
    </row>
    <row r="1174" spans="1:9" x14ac:dyDescent="0.25">
      <c r="A1174" t="s">
        <v>4579</v>
      </c>
      <c r="B1174">
        <f t="shared" si="18"/>
        <v>8344</v>
      </c>
      <c r="C1174" t="s">
        <v>4580</v>
      </c>
      <c r="D1174" t="s">
        <v>72</v>
      </c>
      <c r="E1174" t="s">
        <v>119</v>
      </c>
      <c r="F1174" t="s">
        <v>318</v>
      </c>
      <c r="G1174" t="s">
        <v>28</v>
      </c>
      <c r="H1174">
        <v>0</v>
      </c>
      <c r="I1174" t="s">
        <v>376</v>
      </c>
    </row>
    <row r="1175" spans="1:9" x14ac:dyDescent="0.25">
      <c r="A1175" t="s">
        <v>2434</v>
      </c>
      <c r="B1175">
        <f t="shared" si="18"/>
        <v>8345</v>
      </c>
      <c r="C1175" t="s">
        <v>2435</v>
      </c>
      <c r="D1175" t="s">
        <v>364</v>
      </c>
      <c r="E1175" t="s">
        <v>119</v>
      </c>
      <c r="F1175" t="s">
        <v>318</v>
      </c>
      <c r="G1175" t="s">
        <v>324</v>
      </c>
      <c r="H1175">
        <v>0</v>
      </c>
      <c r="I1175" t="s">
        <v>379</v>
      </c>
    </row>
    <row r="1176" spans="1:9" x14ac:dyDescent="0.25">
      <c r="A1176" t="s">
        <v>3901</v>
      </c>
      <c r="B1176">
        <f t="shared" si="18"/>
        <v>8346</v>
      </c>
      <c r="C1176" t="s">
        <v>3902</v>
      </c>
      <c r="D1176" t="s">
        <v>72</v>
      </c>
      <c r="E1176" t="s">
        <v>119</v>
      </c>
      <c r="F1176" t="s">
        <v>327</v>
      </c>
      <c r="G1176" t="s">
        <v>72</v>
      </c>
      <c r="H1176">
        <v>0</v>
      </c>
      <c r="I1176" t="s">
        <v>390</v>
      </c>
    </row>
    <row r="1177" spans="1:9" x14ac:dyDescent="0.25">
      <c r="A1177" t="s">
        <v>4581</v>
      </c>
      <c r="B1177">
        <f t="shared" si="18"/>
        <v>8350</v>
      </c>
      <c r="C1177" t="s">
        <v>4582</v>
      </c>
      <c r="D1177" t="s">
        <v>72</v>
      </c>
      <c r="E1177" t="s">
        <v>119</v>
      </c>
      <c r="F1177" t="s">
        <v>325</v>
      </c>
      <c r="G1177" t="s">
        <v>24</v>
      </c>
      <c r="H1177">
        <v>0</v>
      </c>
      <c r="I1177" t="s">
        <v>383</v>
      </c>
    </row>
    <row r="1178" spans="1:9" x14ac:dyDescent="0.25">
      <c r="A1178" t="s">
        <v>4583</v>
      </c>
      <c r="B1178">
        <f t="shared" si="18"/>
        <v>8351</v>
      </c>
      <c r="C1178" t="s">
        <v>4584</v>
      </c>
      <c r="D1178" t="s">
        <v>364</v>
      </c>
      <c r="E1178" t="s">
        <v>119</v>
      </c>
      <c r="F1178" t="s">
        <v>323</v>
      </c>
      <c r="G1178" t="s">
        <v>27</v>
      </c>
      <c r="H1178">
        <v>0</v>
      </c>
      <c r="I1178" t="s">
        <v>1802</v>
      </c>
    </row>
    <row r="1179" spans="1:9" x14ac:dyDescent="0.25">
      <c r="A1179" t="s">
        <v>1196</v>
      </c>
      <c r="B1179">
        <f t="shared" si="18"/>
        <v>8377</v>
      </c>
      <c r="C1179" t="s">
        <v>1197</v>
      </c>
      <c r="D1179" t="s">
        <v>364</v>
      </c>
      <c r="E1179" t="s">
        <v>119</v>
      </c>
      <c r="F1179" t="s">
        <v>327</v>
      </c>
      <c r="G1179" t="s">
        <v>324</v>
      </c>
      <c r="H1179">
        <v>0</v>
      </c>
      <c r="I1179" t="s">
        <v>379</v>
      </c>
    </row>
    <row r="1180" spans="1:9" x14ac:dyDescent="0.25">
      <c r="A1180" t="s">
        <v>4018</v>
      </c>
      <c r="B1180">
        <f t="shared" si="18"/>
        <v>8378</v>
      </c>
      <c r="C1180" t="s">
        <v>4019</v>
      </c>
      <c r="D1180" t="s">
        <v>72</v>
      </c>
      <c r="E1180" t="s">
        <v>81</v>
      </c>
      <c r="F1180" t="s">
        <v>81</v>
      </c>
      <c r="G1180" t="s">
        <v>81</v>
      </c>
      <c r="H1180">
        <v>1</v>
      </c>
      <c r="I1180" t="s">
        <v>79</v>
      </c>
    </row>
    <row r="1181" spans="1:9" x14ac:dyDescent="0.25">
      <c r="A1181" t="s">
        <v>913</v>
      </c>
      <c r="B1181">
        <f t="shared" si="18"/>
        <v>8385</v>
      </c>
      <c r="C1181" t="s">
        <v>914</v>
      </c>
      <c r="D1181" t="s">
        <v>72</v>
      </c>
      <c r="E1181" t="s">
        <v>119</v>
      </c>
      <c r="F1181" t="s">
        <v>327</v>
      </c>
      <c r="G1181" t="s">
        <v>324</v>
      </c>
      <c r="H1181">
        <v>0</v>
      </c>
      <c r="I1181" t="s">
        <v>379</v>
      </c>
    </row>
    <row r="1182" spans="1:9" x14ac:dyDescent="0.25">
      <c r="A1182" t="s">
        <v>4245</v>
      </c>
      <c r="B1182">
        <f t="shared" si="18"/>
        <v>8386</v>
      </c>
      <c r="C1182" t="s">
        <v>4246</v>
      </c>
      <c r="D1182" t="s">
        <v>72</v>
      </c>
      <c r="E1182" t="s">
        <v>119</v>
      </c>
      <c r="F1182" t="s">
        <v>325</v>
      </c>
      <c r="G1182" t="s">
        <v>27</v>
      </c>
      <c r="H1182">
        <v>0</v>
      </c>
      <c r="I1182" t="s">
        <v>387</v>
      </c>
    </row>
    <row r="1183" spans="1:9" x14ac:dyDescent="0.25">
      <c r="A1183" t="s">
        <v>2436</v>
      </c>
      <c r="B1183">
        <f t="shared" si="18"/>
        <v>8395</v>
      </c>
      <c r="C1183" t="s">
        <v>2437</v>
      </c>
      <c r="D1183" t="s">
        <v>364</v>
      </c>
      <c r="E1183" t="s">
        <v>119</v>
      </c>
      <c r="F1183" t="s">
        <v>318</v>
      </c>
      <c r="G1183" t="s">
        <v>312</v>
      </c>
      <c r="H1183">
        <v>0</v>
      </c>
      <c r="I1183" t="s">
        <v>382</v>
      </c>
    </row>
    <row r="1184" spans="1:9" x14ac:dyDescent="0.25">
      <c r="A1184" t="s">
        <v>1564</v>
      </c>
      <c r="B1184">
        <f t="shared" si="18"/>
        <v>8398</v>
      </c>
      <c r="C1184" t="s">
        <v>1565</v>
      </c>
      <c r="D1184" t="s">
        <v>364</v>
      </c>
      <c r="E1184" t="s">
        <v>119</v>
      </c>
      <c r="F1184" t="s">
        <v>328</v>
      </c>
      <c r="G1184" t="s">
        <v>312</v>
      </c>
      <c r="H1184">
        <v>0</v>
      </c>
      <c r="I1184" t="s">
        <v>382</v>
      </c>
    </row>
    <row r="1185" spans="1:9" x14ac:dyDescent="0.25">
      <c r="A1185" t="s">
        <v>1198</v>
      </c>
      <c r="B1185">
        <f t="shared" si="18"/>
        <v>8399</v>
      </c>
      <c r="C1185" t="s">
        <v>1199</v>
      </c>
      <c r="D1185" t="s">
        <v>364</v>
      </c>
      <c r="E1185" t="s">
        <v>119</v>
      </c>
      <c r="F1185" t="s">
        <v>326</v>
      </c>
      <c r="G1185" t="s">
        <v>324</v>
      </c>
      <c r="H1185">
        <v>0</v>
      </c>
      <c r="I1185" t="s">
        <v>379</v>
      </c>
    </row>
    <row r="1186" spans="1:9" x14ac:dyDescent="0.25">
      <c r="A1186" t="s">
        <v>3217</v>
      </c>
      <c r="B1186">
        <f t="shared" si="18"/>
        <v>8403</v>
      </c>
      <c r="C1186" t="s">
        <v>3218</v>
      </c>
      <c r="D1186" t="s">
        <v>72</v>
      </c>
      <c r="E1186" t="s">
        <v>81</v>
      </c>
      <c r="F1186" t="s">
        <v>81</v>
      </c>
      <c r="G1186" t="s">
        <v>81</v>
      </c>
      <c r="H1186">
        <v>1</v>
      </c>
      <c r="I1186" t="s">
        <v>791</v>
      </c>
    </row>
    <row r="1187" spans="1:9" x14ac:dyDescent="0.25">
      <c r="A1187" t="s">
        <v>4585</v>
      </c>
      <c r="B1187">
        <f t="shared" si="18"/>
        <v>8404</v>
      </c>
      <c r="C1187" t="s">
        <v>4586</v>
      </c>
      <c r="D1187" t="s">
        <v>72</v>
      </c>
      <c r="E1187" t="s">
        <v>119</v>
      </c>
      <c r="F1187" t="s">
        <v>323</v>
      </c>
      <c r="G1187" t="s">
        <v>324</v>
      </c>
      <c r="H1187">
        <v>0</v>
      </c>
      <c r="I1187" t="s">
        <v>379</v>
      </c>
    </row>
    <row r="1188" spans="1:9" x14ac:dyDescent="0.25">
      <c r="A1188" t="s">
        <v>2438</v>
      </c>
      <c r="B1188">
        <f t="shared" si="18"/>
        <v>8405</v>
      </c>
      <c r="C1188" t="s">
        <v>2439</v>
      </c>
      <c r="D1188" t="s">
        <v>364</v>
      </c>
      <c r="E1188" t="s">
        <v>81</v>
      </c>
      <c r="F1188" t="s">
        <v>81</v>
      </c>
      <c r="G1188" t="s">
        <v>81</v>
      </c>
      <c r="H1188">
        <v>0</v>
      </c>
      <c r="I1188" t="s">
        <v>2440</v>
      </c>
    </row>
    <row r="1189" spans="1:9" x14ac:dyDescent="0.25">
      <c r="A1189" t="s">
        <v>3903</v>
      </c>
      <c r="B1189">
        <f t="shared" si="18"/>
        <v>8427</v>
      </c>
      <c r="C1189" t="s">
        <v>3904</v>
      </c>
      <c r="D1189" t="s">
        <v>72</v>
      </c>
      <c r="E1189" t="s">
        <v>119</v>
      </c>
      <c r="F1189" t="s">
        <v>327</v>
      </c>
      <c r="G1189" t="s">
        <v>324</v>
      </c>
      <c r="H1189">
        <v>0</v>
      </c>
      <c r="I1189" t="s">
        <v>379</v>
      </c>
    </row>
    <row r="1190" spans="1:9" x14ac:dyDescent="0.25">
      <c r="A1190" t="s">
        <v>2441</v>
      </c>
      <c r="B1190">
        <f t="shared" si="18"/>
        <v>8430</v>
      </c>
      <c r="C1190" t="s">
        <v>2442</v>
      </c>
      <c r="D1190" t="s">
        <v>364</v>
      </c>
      <c r="E1190" t="s">
        <v>119</v>
      </c>
      <c r="F1190" t="s">
        <v>318</v>
      </c>
      <c r="G1190" t="s">
        <v>29</v>
      </c>
      <c r="H1190">
        <v>0</v>
      </c>
      <c r="I1190" t="s">
        <v>391</v>
      </c>
    </row>
    <row r="1191" spans="1:9" x14ac:dyDescent="0.25">
      <c r="A1191" t="s">
        <v>1200</v>
      </c>
      <c r="B1191">
        <f t="shared" si="18"/>
        <v>8439</v>
      </c>
      <c r="C1191" t="s">
        <v>1201</v>
      </c>
      <c r="D1191" t="s">
        <v>364</v>
      </c>
      <c r="E1191" t="s">
        <v>119</v>
      </c>
      <c r="F1191" t="s">
        <v>327</v>
      </c>
      <c r="G1191" t="s">
        <v>324</v>
      </c>
      <c r="H1191">
        <v>0</v>
      </c>
      <c r="I1191" t="s">
        <v>379</v>
      </c>
    </row>
    <row r="1192" spans="1:9" x14ac:dyDescent="0.25">
      <c r="A1192" t="s">
        <v>3343</v>
      </c>
      <c r="B1192">
        <f t="shared" si="18"/>
        <v>8440</v>
      </c>
      <c r="C1192" t="s">
        <v>3344</v>
      </c>
      <c r="D1192" t="s">
        <v>364</v>
      </c>
      <c r="E1192" t="s">
        <v>119</v>
      </c>
      <c r="F1192" t="s">
        <v>327</v>
      </c>
      <c r="G1192" t="s">
        <v>324</v>
      </c>
      <c r="H1192">
        <v>0</v>
      </c>
      <c r="I1192" t="s">
        <v>379</v>
      </c>
    </row>
    <row r="1193" spans="1:9" x14ac:dyDescent="0.25">
      <c r="A1193" t="s">
        <v>3385</v>
      </c>
      <c r="B1193">
        <f t="shared" si="18"/>
        <v>8441</v>
      </c>
      <c r="C1193" t="s">
        <v>3398</v>
      </c>
      <c r="D1193" t="s">
        <v>72</v>
      </c>
      <c r="E1193" t="s">
        <v>81</v>
      </c>
      <c r="F1193" t="s">
        <v>81</v>
      </c>
      <c r="G1193" t="s">
        <v>81</v>
      </c>
      <c r="H1193">
        <v>0</v>
      </c>
      <c r="I1193" t="s">
        <v>411</v>
      </c>
    </row>
    <row r="1194" spans="1:9" x14ac:dyDescent="0.25">
      <c r="A1194" t="s">
        <v>2766</v>
      </c>
      <c r="B1194">
        <f t="shared" si="18"/>
        <v>8442</v>
      </c>
      <c r="C1194" t="s">
        <v>2767</v>
      </c>
      <c r="D1194" t="s">
        <v>364</v>
      </c>
      <c r="E1194" t="s">
        <v>119</v>
      </c>
      <c r="F1194" t="s">
        <v>327</v>
      </c>
      <c r="G1194" t="s">
        <v>324</v>
      </c>
      <c r="H1194">
        <v>0</v>
      </c>
      <c r="I1194" t="s">
        <v>2834</v>
      </c>
    </row>
    <row r="1195" spans="1:9" x14ac:dyDescent="0.25">
      <c r="A1195" t="s">
        <v>2768</v>
      </c>
      <c r="B1195">
        <f t="shared" si="18"/>
        <v>8445</v>
      </c>
      <c r="C1195" t="s">
        <v>2769</v>
      </c>
      <c r="D1195" t="s">
        <v>364</v>
      </c>
      <c r="E1195" t="s">
        <v>119</v>
      </c>
      <c r="F1195" t="s">
        <v>327</v>
      </c>
      <c r="G1195" t="s">
        <v>28</v>
      </c>
      <c r="H1195">
        <v>0</v>
      </c>
      <c r="I1195" t="s">
        <v>376</v>
      </c>
    </row>
    <row r="1196" spans="1:9" x14ac:dyDescent="0.25">
      <c r="A1196" t="s">
        <v>243</v>
      </c>
      <c r="B1196">
        <f t="shared" si="18"/>
        <v>8451</v>
      </c>
      <c r="C1196" t="s">
        <v>244</v>
      </c>
      <c r="D1196" t="s">
        <v>72</v>
      </c>
      <c r="E1196" t="s">
        <v>81</v>
      </c>
      <c r="F1196" t="s">
        <v>81</v>
      </c>
      <c r="G1196" t="s">
        <v>81</v>
      </c>
      <c r="H1196">
        <v>0</v>
      </c>
      <c r="I1196" t="s">
        <v>414</v>
      </c>
    </row>
    <row r="1197" spans="1:9" x14ac:dyDescent="0.25">
      <c r="A1197" t="s">
        <v>2443</v>
      </c>
      <c r="B1197">
        <f t="shared" si="18"/>
        <v>8452</v>
      </c>
      <c r="C1197" t="s">
        <v>2444</v>
      </c>
      <c r="D1197" t="s">
        <v>364</v>
      </c>
      <c r="E1197" t="s">
        <v>119</v>
      </c>
      <c r="F1197" t="s">
        <v>318</v>
      </c>
      <c r="G1197" t="s">
        <v>27</v>
      </c>
      <c r="H1197">
        <v>0</v>
      </c>
      <c r="I1197" t="s">
        <v>387</v>
      </c>
    </row>
    <row r="1198" spans="1:9" x14ac:dyDescent="0.25">
      <c r="A1198" t="s">
        <v>2445</v>
      </c>
      <c r="B1198">
        <f t="shared" si="18"/>
        <v>8453</v>
      </c>
      <c r="C1198" t="s">
        <v>2446</v>
      </c>
      <c r="D1198" t="s">
        <v>364</v>
      </c>
      <c r="E1198" t="s">
        <v>119</v>
      </c>
      <c r="F1198" t="s">
        <v>327</v>
      </c>
      <c r="G1198" t="s">
        <v>324</v>
      </c>
      <c r="H1198">
        <v>0</v>
      </c>
      <c r="I1198" t="s">
        <v>379</v>
      </c>
    </row>
    <row r="1199" spans="1:9" x14ac:dyDescent="0.25">
      <c r="A1199" t="s">
        <v>3022</v>
      </c>
      <c r="B1199">
        <f t="shared" si="18"/>
        <v>8458</v>
      </c>
      <c r="C1199" t="s">
        <v>3023</v>
      </c>
      <c r="D1199" t="s">
        <v>364</v>
      </c>
      <c r="E1199" t="s">
        <v>119</v>
      </c>
      <c r="F1199" t="s">
        <v>327</v>
      </c>
      <c r="G1199" t="s">
        <v>29</v>
      </c>
      <c r="H1199">
        <v>0</v>
      </c>
      <c r="I1199" t="s">
        <v>391</v>
      </c>
    </row>
    <row r="1200" spans="1:9" x14ac:dyDescent="0.25">
      <c r="A1200" t="s">
        <v>1566</v>
      </c>
      <c r="B1200">
        <f t="shared" si="18"/>
        <v>8461</v>
      </c>
      <c r="C1200" t="s">
        <v>1567</v>
      </c>
      <c r="D1200" t="s">
        <v>364</v>
      </c>
      <c r="E1200" t="s">
        <v>119</v>
      </c>
      <c r="F1200" t="s">
        <v>318</v>
      </c>
      <c r="G1200" t="s">
        <v>29</v>
      </c>
      <c r="H1200">
        <v>0</v>
      </c>
      <c r="I1200" t="s">
        <v>391</v>
      </c>
    </row>
    <row r="1201" spans="1:9" x14ac:dyDescent="0.25">
      <c r="A1201" t="s">
        <v>4247</v>
      </c>
      <c r="B1201">
        <f t="shared" si="18"/>
        <v>8467</v>
      </c>
      <c r="C1201" t="s">
        <v>4248</v>
      </c>
      <c r="D1201" t="s">
        <v>72</v>
      </c>
      <c r="E1201" t="s">
        <v>119</v>
      </c>
      <c r="F1201" t="s">
        <v>318</v>
      </c>
      <c r="G1201" t="s">
        <v>324</v>
      </c>
      <c r="H1201">
        <v>0</v>
      </c>
      <c r="I1201" t="s">
        <v>379</v>
      </c>
    </row>
    <row r="1202" spans="1:9" x14ac:dyDescent="0.25">
      <c r="A1202" t="s">
        <v>2835</v>
      </c>
      <c r="B1202">
        <f t="shared" si="18"/>
        <v>8471</v>
      </c>
      <c r="C1202" t="s">
        <v>2836</v>
      </c>
      <c r="D1202" t="s">
        <v>364</v>
      </c>
      <c r="E1202" t="s">
        <v>119</v>
      </c>
      <c r="F1202" t="s">
        <v>1717</v>
      </c>
      <c r="G1202" t="s">
        <v>324</v>
      </c>
      <c r="H1202">
        <v>0</v>
      </c>
      <c r="I1202" t="s">
        <v>379</v>
      </c>
    </row>
    <row r="1203" spans="1:9" x14ac:dyDescent="0.25">
      <c r="A1203" t="s">
        <v>2447</v>
      </c>
      <c r="B1203">
        <f t="shared" si="18"/>
        <v>8472</v>
      </c>
      <c r="C1203" t="s">
        <v>2448</v>
      </c>
      <c r="D1203" t="s">
        <v>364</v>
      </c>
      <c r="E1203" t="s">
        <v>81</v>
      </c>
      <c r="F1203" t="s">
        <v>81</v>
      </c>
      <c r="G1203" t="s">
        <v>81</v>
      </c>
      <c r="H1203">
        <v>0</v>
      </c>
      <c r="I1203" t="s">
        <v>415</v>
      </c>
    </row>
    <row r="1204" spans="1:9" x14ac:dyDescent="0.25">
      <c r="A1204" t="s">
        <v>2449</v>
      </c>
      <c r="B1204">
        <f t="shared" si="18"/>
        <v>8476</v>
      </c>
      <c r="C1204" t="s">
        <v>2450</v>
      </c>
      <c r="D1204" t="s">
        <v>364</v>
      </c>
      <c r="E1204" t="s">
        <v>119</v>
      </c>
      <c r="F1204" t="s">
        <v>327</v>
      </c>
      <c r="G1204" t="s">
        <v>329</v>
      </c>
      <c r="H1204">
        <v>0</v>
      </c>
      <c r="I1204" t="s">
        <v>377</v>
      </c>
    </row>
    <row r="1205" spans="1:9" x14ac:dyDescent="0.25">
      <c r="A1205" t="s">
        <v>2451</v>
      </c>
      <c r="B1205">
        <f t="shared" si="18"/>
        <v>8477</v>
      </c>
      <c r="C1205" t="s">
        <v>2452</v>
      </c>
      <c r="D1205" t="s">
        <v>364</v>
      </c>
      <c r="E1205" t="s">
        <v>119</v>
      </c>
      <c r="F1205" t="s">
        <v>323</v>
      </c>
      <c r="G1205" t="s">
        <v>329</v>
      </c>
      <c r="H1205">
        <v>0</v>
      </c>
      <c r="I1205" t="s">
        <v>377</v>
      </c>
    </row>
    <row r="1206" spans="1:9" x14ac:dyDescent="0.25">
      <c r="A1206" t="s">
        <v>915</v>
      </c>
      <c r="B1206">
        <f t="shared" si="18"/>
        <v>8479</v>
      </c>
      <c r="C1206" t="s">
        <v>916</v>
      </c>
      <c r="D1206" t="s">
        <v>364</v>
      </c>
      <c r="E1206" t="s">
        <v>119</v>
      </c>
      <c r="F1206" t="s">
        <v>327</v>
      </c>
      <c r="G1206" t="s">
        <v>28</v>
      </c>
      <c r="H1206">
        <v>0</v>
      </c>
      <c r="I1206" t="s">
        <v>376</v>
      </c>
    </row>
    <row r="1207" spans="1:9" x14ac:dyDescent="0.25">
      <c r="A1207" t="s">
        <v>1728</v>
      </c>
      <c r="B1207">
        <f t="shared" si="18"/>
        <v>8481</v>
      </c>
      <c r="C1207" t="s">
        <v>1729</v>
      </c>
      <c r="D1207" t="s">
        <v>364</v>
      </c>
      <c r="E1207" t="s">
        <v>119</v>
      </c>
      <c r="F1207" t="s">
        <v>327</v>
      </c>
      <c r="G1207" t="s">
        <v>324</v>
      </c>
      <c r="H1207">
        <v>0</v>
      </c>
      <c r="I1207" t="s">
        <v>379</v>
      </c>
    </row>
    <row r="1208" spans="1:9" x14ac:dyDescent="0.25">
      <c r="A1208" t="s">
        <v>2453</v>
      </c>
      <c r="B1208">
        <f t="shared" si="18"/>
        <v>8483</v>
      </c>
      <c r="C1208" t="s">
        <v>2454</v>
      </c>
      <c r="D1208" t="s">
        <v>364</v>
      </c>
      <c r="E1208" t="s">
        <v>119</v>
      </c>
      <c r="F1208" t="s">
        <v>330</v>
      </c>
      <c r="G1208" t="s">
        <v>313</v>
      </c>
      <c r="H1208">
        <v>0</v>
      </c>
      <c r="I1208" t="s">
        <v>1963</v>
      </c>
    </row>
    <row r="1209" spans="1:9" x14ac:dyDescent="0.25">
      <c r="A1209" t="s">
        <v>1568</v>
      </c>
      <c r="B1209">
        <f t="shared" si="18"/>
        <v>8485</v>
      </c>
      <c r="C1209" t="s">
        <v>1569</v>
      </c>
      <c r="D1209" t="s">
        <v>364</v>
      </c>
      <c r="E1209" t="s">
        <v>119</v>
      </c>
      <c r="F1209" t="s">
        <v>318</v>
      </c>
      <c r="G1209" t="s">
        <v>26</v>
      </c>
      <c r="H1209">
        <v>0</v>
      </c>
      <c r="I1209" t="s">
        <v>394</v>
      </c>
    </row>
    <row r="1210" spans="1:9" x14ac:dyDescent="0.25">
      <c r="A1210" t="s">
        <v>3273</v>
      </c>
      <c r="B1210">
        <f t="shared" si="18"/>
        <v>8487</v>
      </c>
      <c r="C1210" t="s">
        <v>3274</v>
      </c>
      <c r="D1210" t="s">
        <v>364</v>
      </c>
      <c r="E1210" t="s">
        <v>119</v>
      </c>
      <c r="F1210" t="s">
        <v>325</v>
      </c>
      <c r="G1210" t="s">
        <v>312</v>
      </c>
      <c r="H1210">
        <v>0</v>
      </c>
      <c r="I1210" t="s">
        <v>382</v>
      </c>
    </row>
    <row r="1211" spans="1:9" x14ac:dyDescent="0.25">
      <c r="A1211" t="s">
        <v>4587</v>
      </c>
      <c r="B1211">
        <f t="shared" si="18"/>
        <v>8504</v>
      </c>
      <c r="C1211" t="s">
        <v>4588</v>
      </c>
      <c r="D1211" t="s">
        <v>72</v>
      </c>
      <c r="E1211" t="s">
        <v>119</v>
      </c>
      <c r="F1211" t="s">
        <v>327</v>
      </c>
      <c r="G1211" t="s">
        <v>24</v>
      </c>
      <c r="H1211">
        <v>0</v>
      </c>
      <c r="I1211" t="s">
        <v>383</v>
      </c>
    </row>
    <row r="1212" spans="1:9" x14ac:dyDescent="0.25">
      <c r="A1212" t="s">
        <v>1203</v>
      </c>
      <c r="B1212">
        <f t="shared" si="18"/>
        <v>8507</v>
      </c>
      <c r="C1212" t="s">
        <v>1204</v>
      </c>
      <c r="D1212" t="s">
        <v>364</v>
      </c>
      <c r="E1212" t="s">
        <v>119</v>
      </c>
      <c r="F1212" t="s">
        <v>872</v>
      </c>
      <c r="G1212" t="s">
        <v>1000</v>
      </c>
      <c r="H1212">
        <v>0</v>
      </c>
      <c r="I1212" t="s">
        <v>1205</v>
      </c>
    </row>
    <row r="1213" spans="1:9" x14ac:dyDescent="0.25">
      <c r="A1213" t="s">
        <v>2455</v>
      </c>
      <c r="B1213">
        <f t="shared" si="18"/>
        <v>8509</v>
      </c>
      <c r="C1213" t="s">
        <v>2456</v>
      </c>
      <c r="D1213" t="s">
        <v>364</v>
      </c>
      <c r="E1213" t="s">
        <v>119</v>
      </c>
      <c r="F1213" t="s">
        <v>318</v>
      </c>
      <c r="G1213" t="s">
        <v>312</v>
      </c>
      <c r="H1213">
        <v>0</v>
      </c>
      <c r="I1213" t="s">
        <v>382</v>
      </c>
    </row>
    <row r="1214" spans="1:9" x14ac:dyDescent="0.25">
      <c r="A1214" t="s">
        <v>1570</v>
      </c>
      <c r="B1214">
        <f t="shared" si="18"/>
        <v>8510</v>
      </c>
      <c r="C1214" t="s">
        <v>1571</v>
      </c>
      <c r="D1214" t="s">
        <v>364</v>
      </c>
      <c r="E1214" t="s">
        <v>119</v>
      </c>
      <c r="F1214" t="s">
        <v>872</v>
      </c>
      <c r="G1214" t="s">
        <v>998</v>
      </c>
      <c r="H1214">
        <v>0</v>
      </c>
      <c r="I1214" t="s">
        <v>1572</v>
      </c>
    </row>
    <row r="1215" spans="1:9" x14ac:dyDescent="0.25">
      <c r="A1215" t="s">
        <v>1206</v>
      </c>
      <c r="B1215">
        <f t="shared" si="18"/>
        <v>8511</v>
      </c>
      <c r="C1215" t="s">
        <v>1207</v>
      </c>
      <c r="D1215" t="s">
        <v>364</v>
      </c>
      <c r="E1215" t="s">
        <v>119</v>
      </c>
      <c r="F1215" t="s">
        <v>328</v>
      </c>
      <c r="G1215" t="s">
        <v>329</v>
      </c>
      <c r="H1215">
        <v>0</v>
      </c>
      <c r="I1215" t="s">
        <v>377</v>
      </c>
    </row>
    <row r="1216" spans="1:9" x14ac:dyDescent="0.25">
      <c r="A1216" t="s">
        <v>2457</v>
      </c>
      <c r="B1216">
        <f t="shared" si="18"/>
        <v>8515</v>
      </c>
      <c r="C1216" t="s">
        <v>2458</v>
      </c>
      <c r="D1216" t="s">
        <v>364</v>
      </c>
      <c r="E1216" t="s">
        <v>81</v>
      </c>
      <c r="F1216" t="s">
        <v>81</v>
      </c>
      <c r="G1216" t="s">
        <v>81</v>
      </c>
      <c r="H1216">
        <v>0</v>
      </c>
      <c r="I1216" t="s">
        <v>2459</v>
      </c>
    </row>
    <row r="1217" spans="1:9" x14ac:dyDescent="0.25">
      <c r="A1217" t="s">
        <v>3345</v>
      </c>
      <c r="B1217">
        <f t="shared" si="18"/>
        <v>8518</v>
      </c>
      <c r="C1217" t="s">
        <v>3346</v>
      </c>
      <c r="D1217" t="s">
        <v>364</v>
      </c>
      <c r="E1217" t="s">
        <v>119</v>
      </c>
      <c r="F1217" t="s">
        <v>326</v>
      </c>
      <c r="G1217" t="s">
        <v>324</v>
      </c>
      <c r="H1217">
        <v>0</v>
      </c>
      <c r="I1217" t="s">
        <v>379</v>
      </c>
    </row>
    <row r="1218" spans="1:9" x14ac:dyDescent="0.25">
      <c r="A1218" t="s">
        <v>3666</v>
      </c>
      <c r="B1218">
        <f t="shared" si="18"/>
        <v>8520</v>
      </c>
      <c r="C1218" t="s">
        <v>3667</v>
      </c>
      <c r="D1218" t="s">
        <v>72</v>
      </c>
      <c r="E1218" t="s">
        <v>81</v>
      </c>
      <c r="F1218" t="s">
        <v>81</v>
      </c>
      <c r="G1218" t="s">
        <v>81</v>
      </c>
      <c r="H1218">
        <v>0</v>
      </c>
      <c r="I1218" t="s">
        <v>3668</v>
      </c>
    </row>
    <row r="1219" spans="1:9" x14ac:dyDescent="0.25">
      <c r="A1219" t="s">
        <v>4589</v>
      </c>
      <c r="B1219">
        <f t="shared" si="18"/>
        <v>8521</v>
      </c>
      <c r="C1219" t="s">
        <v>4590</v>
      </c>
      <c r="D1219" t="s">
        <v>72</v>
      </c>
      <c r="E1219" t="s">
        <v>119</v>
      </c>
      <c r="F1219" t="s">
        <v>323</v>
      </c>
      <c r="G1219" t="s">
        <v>324</v>
      </c>
      <c r="H1219">
        <v>0</v>
      </c>
      <c r="I1219" t="s">
        <v>379</v>
      </c>
    </row>
    <row r="1220" spans="1:9" x14ac:dyDescent="0.25">
      <c r="A1220" t="s">
        <v>245</v>
      </c>
      <c r="B1220">
        <f t="shared" ref="B1220:B1283" si="19">_xlfn.NUMBERVALUE(A1220,"#####")</f>
        <v>8523</v>
      </c>
      <c r="C1220" t="s">
        <v>246</v>
      </c>
      <c r="D1220" t="s">
        <v>72</v>
      </c>
      <c r="E1220" t="s">
        <v>81</v>
      </c>
      <c r="F1220" t="s">
        <v>81</v>
      </c>
      <c r="G1220" t="s">
        <v>81</v>
      </c>
      <c r="H1220">
        <v>1</v>
      </c>
      <c r="I1220" t="s">
        <v>416</v>
      </c>
    </row>
    <row r="1221" spans="1:9" x14ac:dyDescent="0.25">
      <c r="A1221" t="s">
        <v>2460</v>
      </c>
      <c r="B1221">
        <f t="shared" si="19"/>
        <v>8524</v>
      </c>
      <c r="C1221" t="s">
        <v>2461</v>
      </c>
      <c r="D1221" t="s">
        <v>364</v>
      </c>
      <c r="E1221" t="s">
        <v>119</v>
      </c>
      <c r="F1221" t="s">
        <v>330</v>
      </c>
      <c r="G1221" t="s">
        <v>324</v>
      </c>
      <c r="H1221">
        <v>0</v>
      </c>
      <c r="I1221" t="s">
        <v>379</v>
      </c>
    </row>
    <row r="1222" spans="1:9" x14ac:dyDescent="0.25">
      <c r="A1222" t="s">
        <v>2462</v>
      </c>
      <c r="B1222">
        <f t="shared" si="19"/>
        <v>8525</v>
      </c>
      <c r="C1222" t="s">
        <v>2463</v>
      </c>
      <c r="D1222" t="s">
        <v>364</v>
      </c>
      <c r="E1222" t="s">
        <v>119</v>
      </c>
      <c r="F1222" t="s">
        <v>328</v>
      </c>
      <c r="G1222" t="s">
        <v>28</v>
      </c>
      <c r="H1222">
        <v>0</v>
      </c>
      <c r="I1222" t="s">
        <v>376</v>
      </c>
    </row>
    <row r="1223" spans="1:9" x14ac:dyDescent="0.25">
      <c r="A1223" t="s">
        <v>2464</v>
      </c>
      <c r="B1223">
        <f t="shared" si="19"/>
        <v>8526</v>
      </c>
      <c r="C1223" t="s">
        <v>2465</v>
      </c>
      <c r="D1223" t="s">
        <v>364</v>
      </c>
      <c r="E1223" t="s">
        <v>119</v>
      </c>
      <c r="F1223" t="s">
        <v>318</v>
      </c>
      <c r="G1223" t="s">
        <v>324</v>
      </c>
      <c r="H1223">
        <v>0</v>
      </c>
      <c r="I1223" t="s">
        <v>379</v>
      </c>
    </row>
    <row r="1224" spans="1:9" x14ac:dyDescent="0.25">
      <c r="A1224" t="s">
        <v>2466</v>
      </c>
      <c r="B1224">
        <f t="shared" si="19"/>
        <v>8527</v>
      </c>
      <c r="C1224" t="s">
        <v>2467</v>
      </c>
      <c r="D1224" t="s">
        <v>364</v>
      </c>
      <c r="E1224" t="s">
        <v>119</v>
      </c>
      <c r="F1224" t="s">
        <v>1717</v>
      </c>
      <c r="G1224" t="s">
        <v>563</v>
      </c>
      <c r="H1224">
        <v>0</v>
      </c>
      <c r="I1224" t="s">
        <v>2468</v>
      </c>
    </row>
    <row r="1225" spans="1:9" x14ac:dyDescent="0.25">
      <c r="A1225" t="s">
        <v>3459</v>
      </c>
      <c r="B1225">
        <f t="shared" si="19"/>
        <v>8529</v>
      </c>
      <c r="C1225" t="s">
        <v>3460</v>
      </c>
      <c r="D1225" t="s">
        <v>364</v>
      </c>
      <c r="E1225" t="s">
        <v>119</v>
      </c>
      <c r="F1225" t="s">
        <v>318</v>
      </c>
      <c r="G1225" t="s">
        <v>324</v>
      </c>
      <c r="H1225">
        <v>0</v>
      </c>
      <c r="I1225" t="s">
        <v>379</v>
      </c>
    </row>
    <row r="1226" spans="1:9" x14ac:dyDescent="0.25">
      <c r="A1226" t="s">
        <v>2469</v>
      </c>
      <c r="B1226">
        <f t="shared" si="19"/>
        <v>8532</v>
      </c>
      <c r="C1226" t="s">
        <v>2470</v>
      </c>
      <c r="D1226" t="s">
        <v>364</v>
      </c>
      <c r="E1226" t="s">
        <v>119</v>
      </c>
      <c r="F1226" t="s">
        <v>330</v>
      </c>
      <c r="G1226" t="s">
        <v>315</v>
      </c>
      <c r="H1226">
        <v>0</v>
      </c>
      <c r="I1226" t="s">
        <v>468</v>
      </c>
    </row>
    <row r="1227" spans="1:9" x14ac:dyDescent="0.25">
      <c r="A1227" t="s">
        <v>3024</v>
      </c>
      <c r="B1227">
        <f t="shared" si="19"/>
        <v>8534</v>
      </c>
      <c r="C1227" t="s">
        <v>3025</v>
      </c>
      <c r="D1227" t="s">
        <v>364</v>
      </c>
      <c r="E1227" t="s">
        <v>119</v>
      </c>
      <c r="F1227" t="s">
        <v>327</v>
      </c>
      <c r="G1227" t="s">
        <v>28</v>
      </c>
      <c r="H1227">
        <v>0</v>
      </c>
      <c r="I1227" t="s">
        <v>376</v>
      </c>
    </row>
    <row r="1228" spans="1:9" x14ac:dyDescent="0.25">
      <c r="A1228" t="s">
        <v>4249</v>
      </c>
      <c r="B1228">
        <f t="shared" si="19"/>
        <v>8538</v>
      </c>
      <c r="C1228" t="s">
        <v>4250</v>
      </c>
      <c r="D1228" t="s">
        <v>72</v>
      </c>
      <c r="E1228" t="s">
        <v>119</v>
      </c>
      <c r="F1228" t="s">
        <v>325</v>
      </c>
      <c r="G1228" t="s">
        <v>27</v>
      </c>
      <c r="H1228">
        <v>0</v>
      </c>
      <c r="I1228" t="s">
        <v>387</v>
      </c>
    </row>
    <row r="1229" spans="1:9" x14ac:dyDescent="0.25">
      <c r="A1229" t="s">
        <v>4591</v>
      </c>
      <c r="B1229">
        <f t="shared" si="19"/>
        <v>8540</v>
      </c>
      <c r="C1229" t="s">
        <v>4592</v>
      </c>
      <c r="D1229" t="s">
        <v>72</v>
      </c>
      <c r="E1229" t="s">
        <v>81</v>
      </c>
      <c r="F1229" t="s">
        <v>81</v>
      </c>
      <c r="G1229" t="s">
        <v>81</v>
      </c>
      <c r="H1229">
        <v>0</v>
      </c>
      <c r="I1229" t="s">
        <v>618</v>
      </c>
    </row>
    <row r="1230" spans="1:9" x14ac:dyDescent="0.25">
      <c r="A1230" t="s">
        <v>2471</v>
      </c>
      <c r="B1230">
        <f t="shared" si="19"/>
        <v>8551</v>
      </c>
      <c r="C1230" t="s">
        <v>2472</v>
      </c>
      <c r="D1230" t="s">
        <v>364</v>
      </c>
      <c r="E1230" t="s">
        <v>119</v>
      </c>
      <c r="F1230" t="s">
        <v>318</v>
      </c>
      <c r="G1230" t="s">
        <v>346</v>
      </c>
      <c r="H1230">
        <v>0</v>
      </c>
      <c r="I1230" t="s">
        <v>380</v>
      </c>
    </row>
    <row r="1231" spans="1:9" x14ac:dyDescent="0.25">
      <c r="A1231" t="s">
        <v>2926</v>
      </c>
      <c r="B1231">
        <f t="shared" si="19"/>
        <v>8559</v>
      </c>
      <c r="C1231" t="s">
        <v>2927</v>
      </c>
      <c r="D1231" t="s">
        <v>72</v>
      </c>
      <c r="E1231" t="s">
        <v>81</v>
      </c>
      <c r="F1231" t="s">
        <v>81</v>
      </c>
      <c r="G1231" t="s">
        <v>81</v>
      </c>
      <c r="H1231">
        <v>1</v>
      </c>
      <c r="I1231" t="s">
        <v>791</v>
      </c>
    </row>
    <row r="1232" spans="1:9" x14ac:dyDescent="0.25">
      <c r="A1232" t="s">
        <v>3763</v>
      </c>
      <c r="B1232">
        <f t="shared" si="19"/>
        <v>8564</v>
      </c>
      <c r="C1232" t="s">
        <v>3764</v>
      </c>
      <c r="D1232" t="s">
        <v>72</v>
      </c>
      <c r="E1232" t="s">
        <v>119</v>
      </c>
      <c r="F1232" t="s">
        <v>318</v>
      </c>
      <c r="G1232" t="s">
        <v>324</v>
      </c>
      <c r="H1232">
        <v>0</v>
      </c>
      <c r="I1232" t="s">
        <v>379</v>
      </c>
    </row>
    <row r="1233" spans="1:9" x14ac:dyDescent="0.25">
      <c r="A1233" t="s">
        <v>247</v>
      </c>
      <c r="B1233">
        <f t="shared" si="19"/>
        <v>8600</v>
      </c>
      <c r="C1233" t="s">
        <v>248</v>
      </c>
      <c r="D1233" t="s">
        <v>72</v>
      </c>
      <c r="E1233" t="s">
        <v>81</v>
      </c>
      <c r="F1233" t="s">
        <v>81</v>
      </c>
      <c r="G1233" t="s">
        <v>81</v>
      </c>
      <c r="H1233">
        <v>1</v>
      </c>
      <c r="I1233" t="s">
        <v>417</v>
      </c>
    </row>
    <row r="1234" spans="1:9" x14ac:dyDescent="0.25">
      <c r="A1234" t="s">
        <v>1208</v>
      </c>
      <c r="B1234">
        <f t="shared" si="19"/>
        <v>8602</v>
      </c>
      <c r="C1234" t="s">
        <v>1209</v>
      </c>
      <c r="D1234" t="s">
        <v>364</v>
      </c>
      <c r="E1234" t="s">
        <v>119</v>
      </c>
      <c r="F1234" t="s">
        <v>1022</v>
      </c>
      <c r="G1234" t="s">
        <v>324</v>
      </c>
      <c r="H1234">
        <v>0</v>
      </c>
      <c r="I1234" t="s">
        <v>379</v>
      </c>
    </row>
    <row r="1235" spans="1:9" x14ac:dyDescent="0.25">
      <c r="A1235" t="s">
        <v>2966</v>
      </c>
      <c r="B1235">
        <f t="shared" si="19"/>
        <v>8604</v>
      </c>
      <c r="C1235" t="s">
        <v>2967</v>
      </c>
      <c r="D1235" t="s">
        <v>364</v>
      </c>
      <c r="E1235" t="s">
        <v>119</v>
      </c>
      <c r="F1235" t="s">
        <v>327</v>
      </c>
      <c r="G1235" t="s">
        <v>324</v>
      </c>
      <c r="H1235">
        <v>0</v>
      </c>
      <c r="I1235" t="s">
        <v>379</v>
      </c>
    </row>
    <row r="1236" spans="1:9" x14ac:dyDescent="0.25">
      <c r="A1236" t="s">
        <v>3474</v>
      </c>
      <c r="B1236">
        <f t="shared" si="19"/>
        <v>8605</v>
      </c>
      <c r="C1236" t="s">
        <v>3475</v>
      </c>
      <c r="D1236" t="s">
        <v>364</v>
      </c>
      <c r="E1236" t="s">
        <v>119</v>
      </c>
      <c r="F1236" t="s">
        <v>327</v>
      </c>
      <c r="G1236" t="s">
        <v>27</v>
      </c>
      <c r="H1236">
        <v>0</v>
      </c>
      <c r="I1236" t="s">
        <v>387</v>
      </c>
    </row>
    <row r="1237" spans="1:9" x14ac:dyDescent="0.25">
      <c r="A1237" t="s">
        <v>2473</v>
      </c>
      <c r="B1237">
        <f t="shared" si="19"/>
        <v>8613</v>
      </c>
      <c r="C1237" t="s">
        <v>2474</v>
      </c>
      <c r="D1237" t="s">
        <v>364</v>
      </c>
      <c r="E1237" t="s">
        <v>119</v>
      </c>
      <c r="F1237" t="s">
        <v>318</v>
      </c>
      <c r="G1237" t="s">
        <v>312</v>
      </c>
      <c r="H1237">
        <v>0</v>
      </c>
      <c r="I1237" t="s">
        <v>382</v>
      </c>
    </row>
    <row r="1238" spans="1:9" x14ac:dyDescent="0.25">
      <c r="A1238" t="s">
        <v>2837</v>
      </c>
      <c r="B1238">
        <f t="shared" si="19"/>
        <v>8616</v>
      </c>
      <c r="C1238" t="s">
        <v>2838</v>
      </c>
      <c r="D1238" t="s">
        <v>72</v>
      </c>
      <c r="E1238" t="s">
        <v>81</v>
      </c>
      <c r="F1238" t="s">
        <v>81</v>
      </c>
      <c r="G1238" t="s">
        <v>81</v>
      </c>
      <c r="H1238">
        <v>0</v>
      </c>
      <c r="I1238" t="s">
        <v>2839</v>
      </c>
    </row>
    <row r="1239" spans="1:9" x14ac:dyDescent="0.25">
      <c r="A1239" t="s">
        <v>3644</v>
      </c>
      <c r="B1239">
        <f t="shared" si="19"/>
        <v>8668</v>
      </c>
      <c r="C1239" t="s">
        <v>3645</v>
      </c>
      <c r="D1239" t="s">
        <v>72</v>
      </c>
      <c r="E1239" t="s">
        <v>119</v>
      </c>
      <c r="F1239" t="s">
        <v>326</v>
      </c>
      <c r="G1239" t="s">
        <v>29</v>
      </c>
      <c r="H1239">
        <v>0</v>
      </c>
      <c r="I1239" t="s">
        <v>391</v>
      </c>
    </row>
    <row r="1240" spans="1:9" x14ac:dyDescent="0.25">
      <c r="A1240" t="s">
        <v>3556</v>
      </c>
      <c r="B1240">
        <f t="shared" si="19"/>
        <v>8671</v>
      </c>
      <c r="C1240" t="s">
        <v>3557</v>
      </c>
      <c r="D1240" t="s">
        <v>364</v>
      </c>
      <c r="E1240" t="s">
        <v>119</v>
      </c>
      <c r="F1240" t="s">
        <v>327</v>
      </c>
      <c r="G1240" t="s">
        <v>346</v>
      </c>
      <c r="H1240">
        <v>0</v>
      </c>
      <c r="I1240" t="s">
        <v>3363</v>
      </c>
    </row>
    <row r="1241" spans="1:9" x14ac:dyDescent="0.25">
      <c r="A1241" t="s">
        <v>3308</v>
      </c>
      <c r="B1241">
        <f t="shared" si="19"/>
        <v>8684</v>
      </c>
      <c r="C1241" t="s">
        <v>3309</v>
      </c>
      <c r="D1241" t="s">
        <v>364</v>
      </c>
      <c r="E1241" t="s">
        <v>119</v>
      </c>
      <c r="F1241" t="s">
        <v>325</v>
      </c>
      <c r="G1241" t="s">
        <v>28</v>
      </c>
      <c r="H1241">
        <v>0</v>
      </c>
      <c r="I1241" t="s">
        <v>376</v>
      </c>
    </row>
    <row r="1242" spans="1:9" x14ac:dyDescent="0.25">
      <c r="A1242" t="s">
        <v>2475</v>
      </c>
      <c r="B1242">
        <f t="shared" si="19"/>
        <v>8685</v>
      </c>
      <c r="C1242" t="s">
        <v>2476</v>
      </c>
      <c r="D1242" t="s">
        <v>72</v>
      </c>
      <c r="E1242" t="s">
        <v>119</v>
      </c>
      <c r="F1242" t="s">
        <v>318</v>
      </c>
      <c r="G1242" t="s">
        <v>329</v>
      </c>
      <c r="H1242">
        <v>0</v>
      </c>
      <c r="I1242" t="s">
        <v>377</v>
      </c>
    </row>
    <row r="1243" spans="1:9" x14ac:dyDescent="0.25">
      <c r="A1243" t="s">
        <v>2477</v>
      </c>
      <c r="B1243">
        <f t="shared" si="19"/>
        <v>8686</v>
      </c>
      <c r="C1243" t="s">
        <v>2478</v>
      </c>
      <c r="D1243" t="s">
        <v>364</v>
      </c>
      <c r="E1243" t="s">
        <v>119</v>
      </c>
      <c r="F1243" t="s">
        <v>327</v>
      </c>
      <c r="G1243" t="s">
        <v>312</v>
      </c>
      <c r="H1243">
        <v>0</v>
      </c>
      <c r="I1243" t="s">
        <v>382</v>
      </c>
    </row>
    <row r="1244" spans="1:9" x14ac:dyDescent="0.25">
      <c r="A1244" t="s">
        <v>2479</v>
      </c>
      <c r="B1244">
        <f t="shared" si="19"/>
        <v>8687</v>
      </c>
      <c r="C1244" t="s">
        <v>2480</v>
      </c>
      <c r="D1244" t="s">
        <v>364</v>
      </c>
      <c r="E1244" t="s">
        <v>119</v>
      </c>
      <c r="F1244" t="s">
        <v>323</v>
      </c>
      <c r="G1244" t="s">
        <v>29</v>
      </c>
      <c r="H1244">
        <v>0</v>
      </c>
      <c r="I1244" t="s">
        <v>391</v>
      </c>
    </row>
    <row r="1245" spans="1:9" x14ac:dyDescent="0.25">
      <c r="A1245" t="s">
        <v>373</v>
      </c>
      <c r="B1245">
        <f t="shared" si="19"/>
        <v>8688</v>
      </c>
      <c r="C1245" t="s">
        <v>374</v>
      </c>
      <c r="D1245" t="s">
        <v>364</v>
      </c>
      <c r="E1245" t="s">
        <v>119</v>
      </c>
      <c r="F1245" t="s">
        <v>318</v>
      </c>
      <c r="G1245" t="s">
        <v>329</v>
      </c>
      <c r="H1245">
        <v>0</v>
      </c>
      <c r="I1245" t="s">
        <v>377</v>
      </c>
    </row>
    <row r="1246" spans="1:9" x14ac:dyDescent="0.25">
      <c r="A1246" t="s">
        <v>2481</v>
      </c>
      <c r="B1246">
        <f t="shared" si="19"/>
        <v>8690</v>
      </c>
      <c r="C1246" t="s">
        <v>2482</v>
      </c>
      <c r="D1246" t="s">
        <v>364</v>
      </c>
      <c r="E1246" t="s">
        <v>698</v>
      </c>
      <c r="F1246" t="s">
        <v>2483</v>
      </c>
      <c r="G1246" t="s">
        <v>2484</v>
      </c>
      <c r="H1246">
        <v>0</v>
      </c>
      <c r="I1246" t="s">
        <v>699</v>
      </c>
    </row>
    <row r="1247" spans="1:9" x14ac:dyDescent="0.25">
      <c r="A1247" t="s">
        <v>3595</v>
      </c>
      <c r="B1247">
        <f t="shared" si="19"/>
        <v>8693</v>
      </c>
      <c r="C1247" t="s">
        <v>3596</v>
      </c>
      <c r="D1247" t="s">
        <v>72</v>
      </c>
      <c r="E1247" t="s">
        <v>119</v>
      </c>
      <c r="F1247" t="s">
        <v>323</v>
      </c>
      <c r="G1247" t="s">
        <v>72</v>
      </c>
      <c r="H1247">
        <v>0</v>
      </c>
      <c r="I1247" t="s">
        <v>390</v>
      </c>
    </row>
    <row r="1248" spans="1:9" x14ac:dyDescent="0.25">
      <c r="A1248" t="s">
        <v>249</v>
      </c>
      <c r="B1248">
        <f t="shared" si="19"/>
        <v>8700</v>
      </c>
      <c r="C1248" t="s">
        <v>250</v>
      </c>
      <c r="D1248" t="s">
        <v>72</v>
      </c>
      <c r="E1248" t="s">
        <v>81</v>
      </c>
      <c r="F1248" t="s">
        <v>81</v>
      </c>
      <c r="G1248" t="s">
        <v>81</v>
      </c>
      <c r="H1248">
        <v>1</v>
      </c>
      <c r="I1248" t="s">
        <v>381</v>
      </c>
    </row>
    <row r="1249" spans="1:9" x14ac:dyDescent="0.25">
      <c r="A1249" t="s">
        <v>2485</v>
      </c>
      <c r="B1249">
        <f t="shared" si="19"/>
        <v>8732</v>
      </c>
      <c r="C1249" t="s">
        <v>2486</v>
      </c>
      <c r="D1249" t="s">
        <v>364</v>
      </c>
      <c r="E1249" t="s">
        <v>119</v>
      </c>
      <c r="F1249" t="s">
        <v>318</v>
      </c>
      <c r="G1249" t="s">
        <v>29</v>
      </c>
      <c r="H1249">
        <v>0</v>
      </c>
      <c r="I1249" t="s">
        <v>391</v>
      </c>
    </row>
    <row r="1250" spans="1:9" x14ac:dyDescent="0.25">
      <c r="A1250" t="s">
        <v>808</v>
      </c>
      <c r="B1250">
        <f t="shared" si="19"/>
        <v>8735</v>
      </c>
      <c r="C1250" t="s">
        <v>855</v>
      </c>
      <c r="D1250" t="s">
        <v>364</v>
      </c>
      <c r="E1250" t="s">
        <v>119</v>
      </c>
      <c r="F1250" t="s">
        <v>328</v>
      </c>
      <c r="G1250" t="s">
        <v>324</v>
      </c>
      <c r="H1250">
        <v>0</v>
      </c>
      <c r="I1250" t="s">
        <v>379</v>
      </c>
    </row>
    <row r="1251" spans="1:9" x14ac:dyDescent="0.25">
      <c r="A1251" t="s">
        <v>2487</v>
      </c>
      <c r="B1251">
        <f t="shared" si="19"/>
        <v>8746</v>
      </c>
      <c r="C1251" t="s">
        <v>2488</v>
      </c>
      <c r="D1251" t="s">
        <v>364</v>
      </c>
      <c r="E1251" t="s">
        <v>119</v>
      </c>
      <c r="F1251" t="s">
        <v>318</v>
      </c>
      <c r="G1251" t="s">
        <v>324</v>
      </c>
      <c r="H1251">
        <v>0</v>
      </c>
      <c r="I1251" t="s">
        <v>379</v>
      </c>
    </row>
    <row r="1252" spans="1:9" x14ac:dyDescent="0.25">
      <c r="A1252" t="s">
        <v>352</v>
      </c>
      <c r="B1252">
        <f t="shared" si="19"/>
        <v>8756</v>
      </c>
      <c r="C1252" t="s">
        <v>353</v>
      </c>
      <c r="D1252" t="s">
        <v>364</v>
      </c>
      <c r="E1252" t="s">
        <v>119</v>
      </c>
      <c r="F1252" t="s">
        <v>327</v>
      </c>
      <c r="G1252" t="s">
        <v>324</v>
      </c>
      <c r="H1252">
        <v>0</v>
      </c>
      <c r="I1252" t="s">
        <v>379</v>
      </c>
    </row>
    <row r="1253" spans="1:9" x14ac:dyDescent="0.25">
      <c r="A1253" t="s">
        <v>1210</v>
      </c>
      <c r="B1253">
        <f t="shared" si="19"/>
        <v>8772</v>
      </c>
      <c r="C1253" t="s">
        <v>1211</v>
      </c>
      <c r="D1253" t="s">
        <v>364</v>
      </c>
      <c r="E1253" t="s">
        <v>119</v>
      </c>
      <c r="F1253" t="s">
        <v>318</v>
      </c>
      <c r="G1253" t="s">
        <v>27</v>
      </c>
      <c r="H1253">
        <v>0</v>
      </c>
      <c r="I1253" t="s">
        <v>387</v>
      </c>
    </row>
    <row r="1254" spans="1:9" x14ac:dyDescent="0.25">
      <c r="A1254" t="s">
        <v>3597</v>
      </c>
      <c r="B1254">
        <f t="shared" si="19"/>
        <v>8773</v>
      </c>
      <c r="C1254" t="s">
        <v>3598</v>
      </c>
      <c r="D1254" t="s">
        <v>364</v>
      </c>
      <c r="E1254" t="s">
        <v>119</v>
      </c>
      <c r="F1254" t="s">
        <v>318</v>
      </c>
      <c r="G1254" t="s">
        <v>26</v>
      </c>
      <c r="H1254">
        <v>0</v>
      </c>
      <c r="I1254" t="s">
        <v>394</v>
      </c>
    </row>
    <row r="1255" spans="1:9" x14ac:dyDescent="0.25">
      <c r="A1255" t="s">
        <v>1212</v>
      </c>
      <c r="B1255">
        <f t="shared" si="19"/>
        <v>8777</v>
      </c>
      <c r="C1255" t="s">
        <v>1213</v>
      </c>
      <c r="D1255" t="s">
        <v>364</v>
      </c>
      <c r="E1255" t="s">
        <v>119</v>
      </c>
      <c r="F1255" t="s">
        <v>327</v>
      </c>
      <c r="G1255" t="s">
        <v>312</v>
      </c>
      <c r="H1255">
        <v>0</v>
      </c>
      <c r="I1255" t="s">
        <v>382</v>
      </c>
    </row>
    <row r="1256" spans="1:9" x14ac:dyDescent="0.25">
      <c r="A1256" t="s">
        <v>3371</v>
      </c>
      <c r="B1256">
        <f t="shared" si="19"/>
        <v>8779</v>
      </c>
      <c r="C1256" t="s">
        <v>3372</v>
      </c>
      <c r="D1256" t="s">
        <v>364</v>
      </c>
      <c r="E1256" t="s">
        <v>81</v>
      </c>
      <c r="F1256" t="s">
        <v>81</v>
      </c>
      <c r="G1256" t="s">
        <v>81</v>
      </c>
      <c r="H1256">
        <v>0</v>
      </c>
      <c r="I1256" t="s">
        <v>3373</v>
      </c>
    </row>
    <row r="1257" spans="1:9" x14ac:dyDescent="0.25">
      <c r="A1257" t="s">
        <v>4251</v>
      </c>
      <c r="B1257">
        <f t="shared" si="19"/>
        <v>8780</v>
      </c>
      <c r="C1257" t="s">
        <v>4252</v>
      </c>
      <c r="D1257" t="s">
        <v>364</v>
      </c>
      <c r="E1257" t="s">
        <v>119</v>
      </c>
      <c r="F1257" t="s">
        <v>318</v>
      </c>
      <c r="G1257" t="s">
        <v>312</v>
      </c>
      <c r="H1257">
        <v>0</v>
      </c>
      <c r="I1257" t="s">
        <v>382</v>
      </c>
    </row>
    <row r="1258" spans="1:9" x14ac:dyDescent="0.25">
      <c r="A1258" t="s">
        <v>4593</v>
      </c>
      <c r="B1258">
        <f t="shared" si="19"/>
        <v>8781</v>
      </c>
      <c r="C1258" t="s">
        <v>4594</v>
      </c>
      <c r="D1258" t="s">
        <v>72</v>
      </c>
      <c r="E1258" t="s">
        <v>119</v>
      </c>
      <c r="F1258" t="s">
        <v>318</v>
      </c>
      <c r="G1258" t="s">
        <v>312</v>
      </c>
      <c r="H1258">
        <v>0</v>
      </c>
      <c r="I1258" t="s">
        <v>382</v>
      </c>
    </row>
    <row r="1259" spans="1:9" x14ac:dyDescent="0.25">
      <c r="A1259" t="s">
        <v>3905</v>
      </c>
      <c r="B1259">
        <f t="shared" si="19"/>
        <v>8784</v>
      </c>
      <c r="C1259" t="s">
        <v>3906</v>
      </c>
      <c r="D1259" t="s">
        <v>72</v>
      </c>
      <c r="E1259" t="s">
        <v>119</v>
      </c>
      <c r="F1259" t="s">
        <v>327</v>
      </c>
      <c r="G1259" t="s">
        <v>72</v>
      </c>
      <c r="H1259">
        <v>0</v>
      </c>
      <c r="I1259" t="s">
        <v>390</v>
      </c>
    </row>
    <row r="1260" spans="1:9" x14ac:dyDescent="0.25">
      <c r="A1260" t="s">
        <v>1573</v>
      </c>
      <c r="B1260">
        <f t="shared" si="19"/>
        <v>8786</v>
      </c>
      <c r="C1260" t="s">
        <v>1574</v>
      </c>
      <c r="D1260" t="s">
        <v>364</v>
      </c>
      <c r="E1260" t="s">
        <v>119</v>
      </c>
      <c r="F1260" t="s">
        <v>318</v>
      </c>
      <c r="G1260" t="s">
        <v>324</v>
      </c>
      <c r="H1260">
        <v>0</v>
      </c>
      <c r="I1260" t="s">
        <v>379</v>
      </c>
    </row>
    <row r="1261" spans="1:9" x14ac:dyDescent="0.25">
      <c r="A1261" t="s">
        <v>1575</v>
      </c>
      <c r="B1261">
        <f t="shared" si="19"/>
        <v>8787</v>
      </c>
      <c r="C1261" t="s">
        <v>1576</v>
      </c>
      <c r="D1261" t="s">
        <v>364</v>
      </c>
      <c r="E1261" t="s">
        <v>119</v>
      </c>
      <c r="F1261" t="s">
        <v>1359</v>
      </c>
      <c r="G1261" t="s">
        <v>329</v>
      </c>
      <c r="H1261">
        <v>0</v>
      </c>
      <c r="I1261" t="s">
        <v>377</v>
      </c>
    </row>
    <row r="1262" spans="1:9" x14ac:dyDescent="0.25">
      <c r="A1262" t="s">
        <v>856</v>
      </c>
      <c r="B1262">
        <f t="shared" si="19"/>
        <v>8790</v>
      </c>
      <c r="C1262" t="s">
        <v>857</v>
      </c>
      <c r="D1262" t="s">
        <v>364</v>
      </c>
      <c r="E1262" t="s">
        <v>119</v>
      </c>
      <c r="F1262" t="s">
        <v>318</v>
      </c>
      <c r="G1262" t="s">
        <v>312</v>
      </c>
      <c r="H1262">
        <v>0</v>
      </c>
      <c r="I1262" t="s">
        <v>382</v>
      </c>
    </row>
    <row r="1263" spans="1:9" x14ac:dyDescent="0.25">
      <c r="A1263" t="s">
        <v>1577</v>
      </c>
      <c r="B1263">
        <f t="shared" si="19"/>
        <v>8792</v>
      </c>
      <c r="C1263" t="s">
        <v>1578</v>
      </c>
      <c r="D1263" t="s">
        <v>364</v>
      </c>
      <c r="E1263" t="s">
        <v>119</v>
      </c>
      <c r="F1263" t="s">
        <v>330</v>
      </c>
      <c r="G1263" t="s">
        <v>312</v>
      </c>
      <c r="H1263">
        <v>0</v>
      </c>
      <c r="I1263" t="s">
        <v>382</v>
      </c>
    </row>
    <row r="1264" spans="1:9" x14ac:dyDescent="0.25">
      <c r="A1264" t="s">
        <v>251</v>
      </c>
      <c r="B1264">
        <f t="shared" si="19"/>
        <v>8797</v>
      </c>
      <c r="C1264" t="s">
        <v>252</v>
      </c>
      <c r="D1264" t="s">
        <v>72</v>
      </c>
      <c r="E1264" t="s">
        <v>81</v>
      </c>
      <c r="F1264" t="s">
        <v>81</v>
      </c>
      <c r="G1264" t="s">
        <v>81</v>
      </c>
      <c r="H1264">
        <v>0</v>
      </c>
      <c r="I1264" t="s">
        <v>399</v>
      </c>
    </row>
    <row r="1265" spans="1:9" x14ac:dyDescent="0.25">
      <c r="A1265" t="s">
        <v>253</v>
      </c>
      <c r="B1265">
        <f t="shared" si="19"/>
        <v>8798</v>
      </c>
      <c r="C1265" t="s">
        <v>254</v>
      </c>
      <c r="D1265" t="s">
        <v>72</v>
      </c>
      <c r="E1265" t="s">
        <v>119</v>
      </c>
      <c r="F1265" t="s">
        <v>327</v>
      </c>
      <c r="G1265" t="s">
        <v>72</v>
      </c>
      <c r="H1265">
        <v>0</v>
      </c>
      <c r="I1265" t="s">
        <v>390</v>
      </c>
    </row>
    <row r="1266" spans="1:9" x14ac:dyDescent="0.25">
      <c r="A1266" t="s">
        <v>4253</v>
      </c>
      <c r="B1266">
        <f t="shared" si="19"/>
        <v>8799</v>
      </c>
      <c r="C1266" t="s">
        <v>4254</v>
      </c>
      <c r="D1266" t="s">
        <v>72</v>
      </c>
      <c r="E1266" t="s">
        <v>119</v>
      </c>
      <c r="F1266" t="s">
        <v>323</v>
      </c>
      <c r="G1266" t="s">
        <v>329</v>
      </c>
      <c r="H1266">
        <v>0</v>
      </c>
      <c r="I1266" t="s">
        <v>377</v>
      </c>
    </row>
    <row r="1267" spans="1:9" x14ac:dyDescent="0.25">
      <c r="A1267" t="s">
        <v>3653</v>
      </c>
      <c r="B1267">
        <f t="shared" si="19"/>
        <v>8811</v>
      </c>
      <c r="C1267" t="s">
        <v>3654</v>
      </c>
      <c r="D1267" t="s">
        <v>364</v>
      </c>
      <c r="E1267" t="s">
        <v>119</v>
      </c>
      <c r="F1267" t="s">
        <v>327</v>
      </c>
      <c r="G1267" t="s">
        <v>324</v>
      </c>
      <c r="H1267">
        <v>0</v>
      </c>
      <c r="I1267" t="s">
        <v>379</v>
      </c>
    </row>
    <row r="1268" spans="1:9" x14ac:dyDescent="0.25">
      <c r="A1268" t="s">
        <v>1579</v>
      </c>
      <c r="B1268">
        <f t="shared" si="19"/>
        <v>8817</v>
      </c>
      <c r="C1268" t="s">
        <v>1580</v>
      </c>
      <c r="D1268" t="s">
        <v>364</v>
      </c>
      <c r="E1268" t="s">
        <v>119</v>
      </c>
      <c r="F1268" t="s">
        <v>327</v>
      </c>
      <c r="G1268" t="s">
        <v>24</v>
      </c>
      <c r="H1268">
        <v>0</v>
      </c>
      <c r="I1268" t="s">
        <v>383</v>
      </c>
    </row>
    <row r="1269" spans="1:9" x14ac:dyDescent="0.25">
      <c r="A1269" t="s">
        <v>3687</v>
      </c>
      <c r="B1269">
        <f t="shared" si="19"/>
        <v>8822</v>
      </c>
      <c r="C1269" t="s">
        <v>3688</v>
      </c>
      <c r="D1269" t="s">
        <v>72</v>
      </c>
      <c r="E1269" t="s">
        <v>119</v>
      </c>
      <c r="F1269" t="s">
        <v>318</v>
      </c>
      <c r="G1269" t="s">
        <v>72</v>
      </c>
      <c r="H1269">
        <v>0</v>
      </c>
      <c r="I1269" t="s">
        <v>390</v>
      </c>
    </row>
    <row r="1270" spans="1:9" x14ac:dyDescent="0.25">
      <c r="A1270" t="s">
        <v>1581</v>
      </c>
      <c r="B1270">
        <f t="shared" si="19"/>
        <v>8829</v>
      </c>
      <c r="C1270" t="s">
        <v>1582</v>
      </c>
      <c r="D1270" t="s">
        <v>364</v>
      </c>
      <c r="E1270" t="s">
        <v>119</v>
      </c>
      <c r="F1270" t="s">
        <v>872</v>
      </c>
      <c r="G1270" t="s">
        <v>1000</v>
      </c>
      <c r="H1270">
        <v>0</v>
      </c>
      <c r="I1270" t="s">
        <v>1205</v>
      </c>
    </row>
    <row r="1271" spans="1:9" x14ac:dyDescent="0.25">
      <c r="A1271" t="s">
        <v>1214</v>
      </c>
      <c r="B1271">
        <f t="shared" si="19"/>
        <v>8832</v>
      </c>
      <c r="C1271" t="s">
        <v>1215</v>
      </c>
      <c r="D1271" t="s">
        <v>364</v>
      </c>
      <c r="E1271" t="s">
        <v>119</v>
      </c>
      <c r="F1271" t="s">
        <v>327</v>
      </c>
      <c r="G1271" t="s">
        <v>329</v>
      </c>
      <c r="H1271">
        <v>0</v>
      </c>
      <c r="I1271" t="s">
        <v>377</v>
      </c>
    </row>
    <row r="1272" spans="1:9" x14ac:dyDescent="0.25">
      <c r="A1272" t="s">
        <v>255</v>
      </c>
      <c r="B1272">
        <f t="shared" si="19"/>
        <v>8833</v>
      </c>
      <c r="C1272" t="s">
        <v>256</v>
      </c>
      <c r="D1272" t="s">
        <v>364</v>
      </c>
      <c r="E1272" t="s">
        <v>119</v>
      </c>
      <c r="F1272" t="s">
        <v>326</v>
      </c>
      <c r="G1272" t="s">
        <v>29</v>
      </c>
      <c r="H1272">
        <v>0</v>
      </c>
      <c r="I1272" t="s">
        <v>391</v>
      </c>
    </row>
    <row r="1273" spans="1:9" x14ac:dyDescent="0.25">
      <c r="A1273" t="s">
        <v>2489</v>
      </c>
      <c r="B1273">
        <f t="shared" si="19"/>
        <v>8836</v>
      </c>
      <c r="C1273" t="s">
        <v>2490</v>
      </c>
      <c r="D1273" t="s">
        <v>364</v>
      </c>
      <c r="E1273" t="s">
        <v>119</v>
      </c>
      <c r="F1273" t="s">
        <v>327</v>
      </c>
      <c r="G1273" t="s">
        <v>324</v>
      </c>
      <c r="H1273">
        <v>0</v>
      </c>
      <c r="I1273" t="s">
        <v>379</v>
      </c>
    </row>
    <row r="1274" spans="1:9" x14ac:dyDescent="0.25">
      <c r="A1274" t="s">
        <v>2491</v>
      </c>
      <c r="B1274">
        <f t="shared" si="19"/>
        <v>8837</v>
      </c>
      <c r="C1274" t="s">
        <v>2492</v>
      </c>
      <c r="D1274" t="s">
        <v>364</v>
      </c>
      <c r="E1274" t="s">
        <v>119</v>
      </c>
      <c r="F1274" t="s">
        <v>318</v>
      </c>
      <c r="G1274" t="s">
        <v>324</v>
      </c>
      <c r="H1274">
        <v>0</v>
      </c>
      <c r="I1274" t="s">
        <v>379</v>
      </c>
    </row>
    <row r="1275" spans="1:9" x14ac:dyDescent="0.25">
      <c r="A1275" t="s">
        <v>1216</v>
      </c>
      <c r="B1275">
        <f t="shared" si="19"/>
        <v>8845</v>
      </c>
      <c r="C1275" t="s">
        <v>1217</v>
      </c>
      <c r="D1275" t="s">
        <v>364</v>
      </c>
      <c r="E1275" t="s">
        <v>119</v>
      </c>
      <c r="F1275" t="s">
        <v>327</v>
      </c>
      <c r="G1275" t="s">
        <v>25</v>
      </c>
      <c r="H1275">
        <v>0</v>
      </c>
      <c r="I1275" t="s">
        <v>386</v>
      </c>
    </row>
    <row r="1276" spans="1:9" x14ac:dyDescent="0.25">
      <c r="A1276" t="s">
        <v>1218</v>
      </c>
      <c r="B1276">
        <f t="shared" si="19"/>
        <v>8846</v>
      </c>
      <c r="C1276" t="s">
        <v>1219</v>
      </c>
      <c r="D1276" t="s">
        <v>364</v>
      </c>
      <c r="E1276" t="s">
        <v>119</v>
      </c>
      <c r="F1276" t="s">
        <v>664</v>
      </c>
      <c r="G1276" t="s">
        <v>324</v>
      </c>
      <c r="H1276">
        <v>0</v>
      </c>
      <c r="I1276" t="s">
        <v>379</v>
      </c>
    </row>
    <row r="1277" spans="1:9" x14ac:dyDescent="0.25">
      <c r="A1277" t="s">
        <v>2493</v>
      </c>
      <c r="B1277">
        <f t="shared" si="19"/>
        <v>8855</v>
      </c>
      <c r="C1277" t="s">
        <v>2494</v>
      </c>
      <c r="D1277" t="s">
        <v>364</v>
      </c>
      <c r="E1277" t="s">
        <v>119</v>
      </c>
      <c r="F1277" t="s">
        <v>326</v>
      </c>
      <c r="G1277" t="s">
        <v>331</v>
      </c>
      <c r="H1277">
        <v>0</v>
      </c>
      <c r="I1277" t="s">
        <v>410</v>
      </c>
    </row>
    <row r="1278" spans="1:9" x14ac:dyDescent="0.25">
      <c r="A1278" t="s">
        <v>2495</v>
      </c>
      <c r="B1278">
        <f t="shared" si="19"/>
        <v>8856</v>
      </c>
      <c r="C1278" t="s">
        <v>2496</v>
      </c>
      <c r="D1278" t="s">
        <v>364</v>
      </c>
      <c r="E1278" t="s">
        <v>119</v>
      </c>
      <c r="F1278" t="s">
        <v>327</v>
      </c>
      <c r="G1278" t="s">
        <v>29</v>
      </c>
      <c r="H1278">
        <v>0</v>
      </c>
      <c r="I1278" t="s">
        <v>391</v>
      </c>
    </row>
    <row r="1279" spans="1:9" x14ac:dyDescent="0.25">
      <c r="A1279" t="s">
        <v>2497</v>
      </c>
      <c r="B1279">
        <f t="shared" si="19"/>
        <v>8857</v>
      </c>
      <c r="C1279" t="s">
        <v>2498</v>
      </c>
      <c r="D1279" t="s">
        <v>364</v>
      </c>
      <c r="E1279" t="s">
        <v>119</v>
      </c>
      <c r="F1279" t="s">
        <v>1717</v>
      </c>
      <c r="G1279" t="s">
        <v>324</v>
      </c>
      <c r="H1279">
        <v>0</v>
      </c>
      <c r="I1279" t="s">
        <v>379</v>
      </c>
    </row>
    <row r="1280" spans="1:9" x14ac:dyDescent="0.25">
      <c r="A1280" t="s">
        <v>1583</v>
      </c>
      <c r="B1280">
        <f t="shared" si="19"/>
        <v>8858</v>
      </c>
      <c r="C1280" t="s">
        <v>1584</v>
      </c>
      <c r="D1280" t="s">
        <v>364</v>
      </c>
      <c r="E1280" t="s">
        <v>119</v>
      </c>
      <c r="F1280" t="s">
        <v>325</v>
      </c>
      <c r="G1280" t="s">
        <v>25</v>
      </c>
      <c r="H1280">
        <v>0</v>
      </c>
      <c r="I1280" t="s">
        <v>386</v>
      </c>
    </row>
    <row r="1281" spans="1:9" x14ac:dyDescent="0.25">
      <c r="A1281" t="s">
        <v>809</v>
      </c>
      <c r="B1281">
        <f t="shared" si="19"/>
        <v>8860</v>
      </c>
      <c r="C1281" t="s">
        <v>810</v>
      </c>
      <c r="D1281" t="s">
        <v>364</v>
      </c>
      <c r="E1281" t="s">
        <v>119</v>
      </c>
      <c r="F1281" t="s">
        <v>326</v>
      </c>
      <c r="G1281" t="s">
        <v>324</v>
      </c>
      <c r="H1281">
        <v>0</v>
      </c>
      <c r="I1281" t="s">
        <v>379</v>
      </c>
    </row>
    <row r="1282" spans="1:9" x14ac:dyDescent="0.25">
      <c r="A1282" t="s">
        <v>1697</v>
      </c>
      <c r="B1282">
        <f t="shared" si="19"/>
        <v>8861</v>
      </c>
      <c r="C1282" t="s">
        <v>1698</v>
      </c>
      <c r="D1282" t="s">
        <v>364</v>
      </c>
      <c r="E1282" t="s">
        <v>119</v>
      </c>
      <c r="F1282" t="s">
        <v>326</v>
      </c>
      <c r="G1282" t="s">
        <v>324</v>
      </c>
      <c r="H1282">
        <v>0</v>
      </c>
      <c r="I1282" t="s">
        <v>379</v>
      </c>
    </row>
    <row r="1283" spans="1:9" x14ac:dyDescent="0.25">
      <c r="A1283" t="s">
        <v>2499</v>
      </c>
      <c r="B1283">
        <f t="shared" si="19"/>
        <v>8862</v>
      </c>
      <c r="C1283" t="s">
        <v>2500</v>
      </c>
      <c r="D1283" t="s">
        <v>364</v>
      </c>
      <c r="E1283" t="s">
        <v>119</v>
      </c>
      <c r="F1283" t="s">
        <v>318</v>
      </c>
      <c r="G1283" t="s">
        <v>346</v>
      </c>
      <c r="H1283">
        <v>0</v>
      </c>
      <c r="I1283" t="s">
        <v>380</v>
      </c>
    </row>
    <row r="1284" spans="1:9" x14ac:dyDescent="0.25">
      <c r="A1284" t="s">
        <v>2796</v>
      </c>
      <c r="B1284">
        <f t="shared" ref="B1284:B1347" si="20">_xlfn.NUMBERVALUE(A1284,"#####")</f>
        <v>8864</v>
      </c>
      <c r="C1284" t="s">
        <v>2797</v>
      </c>
      <c r="D1284" t="s">
        <v>72</v>
      </c>
      <c r="E1284" t="s">
        <v>81</v>
      </c>
      <c r="F1284" t="s">
        <v>81</v>
      </c>
      <c r="G1284" t="s">
        <v>81</v>
      </c>
      <c r="H1284">
        <v>1</v>
      </c>
      <c r="I1284" t="s">
        <v>418</v>
      </c>
    </row>
    <row r="1285" spans="1:9" x14ac:dyDescent="0.25">
      <c r="A1285" t="s">
        <v>2928</v>
      </c>
      <c r="B1285">
        <f t="shared" si="20"/>
        <v>8865</v>
      </c>
      <c r="C1285" t="s">
        <v>2929</v>
      </c>
      <c r="D1285" t="s">
        <v>364</v>
      </c>
      <c r="E1285" t="s">
        <v>119</v>
      </c>
      <c r="F1285" t="s">
        <v>1717</v>
      </c>
      <c r="G1285" t="s">
        <v>324</v>
      </c>
      <c r="H1285">
        <v>0</v>
      </c>
      <c r="I1285" t="s">
        <v>379</v>
      </c>
    </row>
    <row r="1286" spans="1:9" x14ac:dyDescent="0.25">
      <c r="A1286" t="s">
        <v>3138</v>
      </c>
      <c r="B1286">
        <f t="shared" si="20"/>
        <v>8868</v>
      </c>
      <c r="C1286" t="s">
        <v>3139</v>
      </c>
      <c r="D1286" t="s">
        <v>364</v>
      </c>
      <c r="E1286" t="s">
        <v>119</v>
      </c>
      <c r="F1286" t="s">
        <v>327</v>
      </c>
      <c r="G1286" t="s">
        <v>324</v>
      </c>
      <c r="H1286">
        <v>0</v>
      </c>
      <c r="I1286" t="s">
        <v>379</v>
      </c>
    </row>
    <row r="1287" spans="1:9" x14ac:dyDescent="0.25">
      <c r="A1287" t="s">
        <v>3268</v>
      </c>
      <c r="B1287">
        <f t="shared" si="20"/>
        <v>8871</v>
      </c>
      <c r="C1287" t="s">
        <v>3269</v>
      </c>
      <c r="D1287" t="s">
        <v>364</v>
      </c>
      <c r="E1287" t="s">
        <v>119</v>
      </c>
      <c r="F1287" t="s">
        <v>318</v>
      </c>
      <c r="G1287" t="s">
        <v>324</v>
      </c>
      <c r="H1287">
        <v>0</v>
      </c>
      <c r="I1287" t="s">
        <v>379</v>
      </c>
    </row>
    <row r="1288" spans="1:9" x14ac:dyDescent="0.25">
      <c r="A1288" t="s">
        <v>3376</v>
      </c>
      <c r="B1288">
        <f t="shared" si="20"/>
        <v>8873</v>
      </c>
      <c r="C1288" t="s">
        <v>3377</v>
      </c>
      <c r="D1288" t="s">
        <v>364</v>
      </c>
      <c r="E1288" t="s">
        <v>119</v>
      </c>
      <c r="F1288" t="s">
        <v>327</v>
      </c>
      <c r="G1288" t="s">
        <v>346</v>
      </c>
      <c r="H1288">
        <v>0</v>
      </c>
      <c r="I1288" t="s">
        <v>3363</v>
      </c>
    </row>
    <row r="1289" spans="1:9" x14ac:dyDescent="0.25">
      <c r="A1289" t="s">
        <v>4595</v>
      </c>
      <c r="B1289">
        <f t="shared" si="20"/>
        <v>8881</v>
      </c>
      <c r="C1289" t="s">
        <v>4596</v>
      </c>
      <c r="D1289" t="s">
        <v>364</v>
      </c>
      <c r="E1289" t="s">
        <v>119</v>
      </c>
      <c r="F1289" t="s">
        <v>327</v>
      </c>
      <c r="G1289" t="s">
        <v>312</v>
      </c>
      <c r="H1289">
        <v>0</v>
      </c>
      <c r="I1289" t="s">
        <v>382</v>
      </c>
    </row>
    <row r="1290" spans="1:9" x14ac:dyDescent="0.25">
      <c r="A1290" t="s">
        <v>4597</v>
      </c>
      <c r="B1290">
        <f t="shared" si="20"/>
        <v>8882</v>
      </c>
      <c r="C1290" t="s">
        <v>4598</v>
      </c>
      <c r="D1290" t="s">
        <v>72</v>
      </c>
      <c r="E1290" t="s">
        <v>119</v>
      </c>
      <c r="F1290" t="s">
        <v>318</v>
      </c>
      <c r="G1290" t="s">
        <v>28</v>
      </c>
      <c r="H1290">
        <v>0</v>
      </c>
      <c r="I1290" t="s">
        <v>376</v>
      </c>
    </row>
    <row r="1291" spans="1:9" x14ac:dyDescent="0.25">
      <c r="A1291" t="s">
        <v>4599</v>
      </c>
      <c r="B1291">
        <f t="shared" si="20"/>
        <v>8883</v>
      </c>
      <c r="C1291" t="s">
        <v>4600</v>
      </c>
      <c r="D1291" t="s">
        <v>72</v>
      </c>
      <c r="E1291" t="s">
        <v>119</v>
      </c>
      <c r="F1291" t="s">
        <v>318</v>
      </c>
      <c r="G1291" t="s">
        <v>329</v>
      </c>
      <c r="H1291">
        <v>0</v>
      </c>
      <c r="I1291" t="s">
        <v>377</v>
      </c>
    </row>
    <row r="1292" spans="1:9" x14ac:dyDescent="0.25">
      <c r="A1292" t="s">
        <v>2501</v>
      </c>
      <c r="B1292">
        <f t="shared" si="20"/>
        <v>8887</v>
      </c>
      <c r="C1292" t="s">
        <v>2502</v>
      </c>
      <c r="D1292" t="s">
        <v>364</v>
      </c>
      <c r="E1292" t="s">
        <v>81</v>
      </c>
      <c r="F1292" t="s">
        <v>81</v>
      </c>
      <c r="G1292" t="s">
        <v>81</v>
      </c>
      <c r="H1292">
        <v>0</v>
      </c>
      <c r="I1292" t="s">
        <v>2503</v>
      </c>
    </row>
    <row r="1293" spans="1:9" x14ac:dyDescent="0.25">
      <c r="A1293" t="s">
        <v>2504</v>
      </c>
      <c r="B1293">
        <f t="shared" si="20"/>
        <v>8888</v>
      </c>
      <c r="C1293" t="s">
        <v>2505</v>
      </c>
      <c r="D1293" t="s">
        <v>364</v>
      </c>
      <c r="E1293" t="s">
        <v>119</v>
      </c>
      <c r="F1293" t="s">
        <v>345</v>
      </c>
      <c r="G1293" t="s">
        <v>26</v>
      </c>
      <c r="H1293">
        <v>0</v>
      </c>
      <c r="I1293" t="s">
        <v>394</v>
      </c>
    </row>
    <row r="1294" spans="1:9" x14ac:dyDescent="0.25">
      <c r="A1294" t="s">
        <v>2506</v>
      </c>
      <c r="B1294">
        <f t="shared" si="20"/>
        <v>8891</v>
      </c>
      <c r="C1294" t="s">
        <v>2507</v>
      </c>
      <c r="D1294" t="s">
        <v>72</v>
      </c>
      <c r="E1294" t="s">
        <v>81</v>
      </c>
      <c r="F1294" t="s">
        <v>81</v>
      </c>
      <c r="G1294" t="s">
        <v>81</v>
      </c>
      <c r="H1294">
        <v>0</v>
      </c>
      <c r="I1294" t="s">
        <v>1119</v>
      </c>
    </row>
    <row r="1295" spans="1:9" x14ac:dyDescent="0.25">
      <c r="A1295" t="s">
        <v>1585</v>
      </c>
      <c r="B1295">
        <f t="shared" si="20"/>
        <v>8895</v>
      </c>
      <c r="C1295" t="s">
        <v>1586</v>
      </c>
      <c r="D1295" t="s">
        <v>364</v>
      </c>
      <c r="E1295" t="s">
        <v>119</v>
      </c>
      <c r="F1295" t="s">
        <v>323</v>
      </c>
      <c r="G1295" t="s">
        <v>317</v>
      </c>
      <c r="H1295">
        <v>0</v>
      </c>
      <c r="I1295" t="s">
        <v>384</v>
      </c>
    </row>
    <row r="1296" spans="1:9" x14ac:dyDescent="0.25">
      <c r="A1296" t="s">
        <v>1220</v>
      </c>
      <c r="B1296">
        <f t="shared" si="20"/>
        <v>8899</v>
      </c>
      <c r="C1296" t="s">
        <v>1221</v>
      </c>
      <c r="D1296" t="s">
        <v>364</v>
      </c>
      <c r="E1296" t="s">
        <v>119</v>
      </c>
      <c r="F1296" t="s">
        <v>327</v>
      </c>
      <c r="G1296" t="s">
        <v>324</v>
      </c>
      <c r="H1296">
        <v>0</v>
      </c>
      <c r="I1296" t="s">
        <v>379</v>
      </c>
    </row>
    <row r="1297" spans="1:9" x14ac:dyDescent="0.25">
      <c r="A1297" t="s">
        <v>917</v>
      </c>
      <c r="B1297">
        <f t="shared" si="20"/>
        <v>8904</v>
      </c>
      <c r="C1297" t="s">
        <v>918</v>
      </c>
      <c r="D1297" t="s">
        <v>364</v>
      </c>
      <c r="E1297" t="s">
        <v>119</v>
      </c>
      <c r="F1297" t="s">
        <v>318</v>
      </c>
      <c r="G1297" t="s">
        <v>324</v>
      </c>
      <c r="H1297">
        <v>0</v>
      </c>
      <c r="I1297" t="s">
        <v>379</v>
      </c>
    </row>
    <row r="1298" spans="1:9" x14ac:dyDescent="0.25">
      <c r="A1298" t="s">
        <v>2508</v>
      </c>
      <c r="B1298">
        <f t="shared" si="20"/>
        <v>8905</v>
      </c>
      <c r="C1298" t="s">
        <v>2509</v>
      </c>
      <c r="D1298" t="s">
        <v>364</v>
      </c>
      <c r="E1298" t="s">
        <v>81</v>
      </c>
      <c r="F1298" t="s">
        <v>81</v>
      </c>
      <c r="G1298" t="s">
        <v>81</v>
      </c>
      <c r="H1298">
        <v>0</v>
      </c>
      <c r="I1298" t="s">
        <v>2510</v>
      </c>
    </row>
    <row r="1299" spans="1:9" x14ac:dyDescent="0.25">
      <c r="A1299" t="s">
        <v>811</v>
      </c>
      <c r="B1299">
        <f t="shared" si="20"/>
        <v>8906</v>
      </c>
      <c r="C1299" t="s">
        <v>812</v>
      </c>
      <c r="D1299" t="s">
        <v>364</v>
      </c>
      <c r="E1299" t="s">
        <v>119</v>
      </c>
      <c r="F1299" t="s">
        <v>318</v>
      </c>
      <c r="G1299" t="s">
        <v>329</v>
      </c>
      <c r="H1299">
        <v>0</v>
      </c>
      <c r="I1299" t="s">
        <v>377</v>
      </c>
    </row>
    <row r="1300" spans="1:9" x14ac:dyDescent="0.25">
      <c r="A1300" t="s">
        <v>1587</v>
      </c>
      <c r="B1300">
        <f t="shared" si="20"/>
        <v>8908</v>
      </c>
      <c r="C1300" t="s">
        <v>1588</v>
      </c>
      <c r="D1300" t="s">
        <v>364</v>
      </c>
      <c r="E1300" t="s">
        <v>119</v>
      </c>
      <c r="F1300" t="s">
        <v>325</v>
      </c>
      <c r="G1300" t="s">
        <v>26</v>
      </c>
      <c r="H1300">
        <v>0</v>
      </c>
      <c r="I1300" t="s">
        <v>394</v>
      </c>
    </row>
    <row r="1301" spans="1:9" x14ac:dyDescent="0.25">
      <c r="A1301" t="s">
        <v>2968</v>
      </c>
      <c r="B1301">
        <f t="shared" si="20"/>
        <v>8910</v>
      </c>
      <c r="C1301" t="s">
        <v>2969</v>
      </c>
      <c r="D1301" t="s">
        <v>364</v>
      </c>
      <c r="E1301" t="s">
        <v>119</v>
      </c>
      <c r="F1301" t="s">
        <v>327</v>
      </c>
      <c r="G1301" t="s">
        <v>324</v>
      </c>
      <c r="H1301">
        <v>0</v>
      </c>
      <c r="I1301" t="s">
        <v>379</v>
      </c>
    </row>
    <row r="1302" spans="1:9" x14ac:dyDescent="0.25">
      <c r="A1302" t="s">
        <v>3689</v>
      </c>
      <c r="B1302">
        <f t="shared" si="20"/>
        <v>8914</v>
      </c>
      <c r="C1302" t="s">
        <v>3690</v>
      </c>
      <c r="D1302" t="s">
        <v>72</v>
      </c>
      <c r="E1302" t="s">
        <v>119</v>
      </c>
      <c r="F1302" t="s">
        <v>318</v>
      </c>
      <c r="G1302" t="s">
        <v>312</v>
      </c>
      <c r="H1302">
        <v>0</v>
      </c>
      <c r="I1302" t="s">
        <v>382</v>
      </c>
    </row>
    <row r="1303" spans="1:9" x14ac:dyDescent="0.25">
      <c r="A1303" t="s">
        <v>3765</v>
      </c>
      <c r="B1303">
        <f t="shared" si="20"/>
        <v>8915</v>
      </c>
      <c r="C1303" t="s">
        <v>3766</v>
      </c>
      <c r="D1303" t="s">
        <v>72</v>
      </c>
      <c r="E1303" t="s">
        <v>119</v>
      </c>
      <c r="F1303" t="s">
        <v>327</v>
      </c>
      <c r="G1303" t="s">
        <v>324</v>
      </c>
      <c r="H1303">
        <v>0</v>
      </c>
      <c r="I1303" t="s">
        <v>379</v>
      </c>
    </row>
    <row r="1304" spans="1:9" x14ac:dyDescent="0.25">
      <c r="A1304" t="s">
        <v>4255</v>
      </c>
      <c r="B1304">
        <f t="shared" si="20"/>
        <v>8916</v>
      </c>
      <c r="C1304" t="s">
        <v>4256</v>
      </c>
      <c r="D1304" t="s">
        <v>72</v>
      </c>
      <c r="E1304" t="s">
        <v>119</v>
      </c>
      <c r="F1304" t="s">
        <v>323</v>
      </c>
      <c r="G1304" t="s">
        <v>25</v>
      </c>
      <c r="H1304">
        <v>0</v>
      </c>
      <c r="I1304" t="s">
        <v>386</v>
      </c>
    </row>
    <row r="1305" spans="1:9" x14ac:dyDescent="0.25">
      <c r="A1305" t="s">
        <v>4601</v>
      </c>
      <c r="B1305">
        <f t="shared" si="20"/>
        <v>8917</v>
      </c>
      <c r="C1305" t="s">
        <v>4602</v>
      </c>
      <c r="D1305" t="s">
        <v>72</v>
      </c>
      <c r="E1305" t="s">
        <v>119</v>
      </c>
      <c r="F1305" t="s">
        <v>318</v>
      </c>
      <c r="G1305" t="s">
        <v>312</v>
      </c>
      <c r="H1305">
        <v>0</v>
      </c>
      <c r="I1305" t="s">
        <v>382</v>
      </c>
    </row>
    <row r="1306" spans="1:9" x14ac:dyDescent="0.25">
      <c r="A1306" t="s">
        <v>4257</v>
      </c>
      <c r="B1306">
        <f t="shared" si="20"/>
        <v>8929</v>
      </c>
      <c r="C1306" t="s">
        <v>4258</v>
      </c>
      <c r="D1306" t="s">
        <v>72</v>
      </c>
      <c r="E1306" t="s">
        <v>119</v>
      </c>
      <c r="F1306" t="s">
        <v>318</v>
      </c>
      <c r="G1306" t="s">
        <v>331</v>
      </c>
      <c r="H1306">
        <v>0</v>
      </c>
      <c r="I1306" t="s">
        <v>410</v>
      </c>
    </row>
    <row r="1307" spans="1:9" x14ac:dyDescent="0.25">
      <c r="A1307" t="s">
        <v>2511</v>
      </c>
      <c r="B1307">
        <f t="shared" si="20"/>
        <v>8930</v>
      </c>
      <c r="C1307" t="s">
        <v>2512</v>
      </c>
      <c r="D1307" t="s">
        <v>364</v>
      </c>
      <c r="E1307" t="s">
        <v>119</v>
      </c>
      <c r="F1307" t="s">
        <v>318</v>
      </c>
      <c r="G1307" t="s">
        <v>324</v>
      </c>
      <c r="H1307">
        <v>0</v>
      </c>
      <c r="I1307" t="s">
        <v>379</v>
      </c>
    </row>
    <row r="1308" spans="1:9" x14ac:dyDescent="0.25">
      <c r="A1308" t="s">
        <v>2865</v>
      </c>
      <c r="B1308">
        <f t="shared" si="20"/>
        <v>8931</v>
      </c>
      <c r="C1308" t="s">
        <v>2866</v>
      </c>
      <c r="D1308" t="s">
        <v>364</v>
      </c>
      <c r="E1308" t="s">
        <v>119</v>
      </c>
      <c r="F1308" t="s">
        <v>327</v>
      </c>
      <c r="G1308" t="s">
        <v>26</v>
      </c>
      <c r="H1308">
        <v>0</v>
      </c>
      <c r="I1308" t="s">
        <v>394</v>
      </c>
    </row>
    <row r="1309" spans="1:9" x14ac:dyDescent="0.25">
      <c r="A1309" t="s">
        <v>3158</v>
      </c>
      <c r="B1309">
        <f t="shared" si="20"/>
        <v>8933</v>
      </c>
      <c r="C1309" t="s">
        <v>3159</v>
      </c>
      <c r="D1309" t="s">
        <v>364</v>
      </c>
      <c r="E1309" t="s">
        <v>119</v>
      </c>
      <c r="F1309" t="s">
        <v>1022</v>
      </c>
      <c r="G1309" t="s">
        <v>312</v>
      </c>
      <c r="H1309">
        <v>0</v>
      </c>
      <c r="I1309" t="s">
        <v>382</v>
      </c>
    </row>
    <row r="1310" spans="1:9" x14ac:dyDescent="0.25">
      <c r="A1310" t="s">
        <v>4109</v>
      </c>
      <c r="B1310">
        <f t="shared" si="20"/>
        <v>8934</v>
      </c>
      <c r="C1310" t="s">
        <v>4110</v>
      </c>
      <c r="D1310" t="s">
        <v>72</v>
      </c>
      <c r="E1310" t="s">
        <v>81</v>
      </c>
      <c r="F1310" t="s">
        <v>81</v>
      </c>
      <c r="G1310" t="s">
        <v>81</v>
      </c>
      <c r="H1310">
        <v>0</v>
      </c>
      <c r="I1310" t="s">
        <v>4111</v>
      </c>
    </row>
    <row r="1311" spans="1:9" x14ac:dyDescent="0.25">
      <c r="A1311" t="s">
        <v>3461</v>
      </c>
      <c r="B1311">
        <f t="shared" si="20"/>
        <v>8960</v>
      </c>
      <c r="C1311" t="s">
        <v>3462</v>
      </c>
      <c r="D1311" t="s">
        <v>364</v>
      </c>
      <c r="E1311" t="s">
        <v>119</v>
      </c>
      <c r="F1311" t="s">
        <v>318</v>
      </c>
      <c r="G1311" t="s">
        <v>324</v>
      </c>
      <c r="H1311">
        <v>0</v>
      </c>
      <c r="I1311" t="s">
        <v>379</v>
      </c>
    </row>
    <row r="1312" spans="1:9" x14ac:dyDescent="0.25">
      <c r="A1312" t="s">
        <v>3558</v>
      </c>
      <c r="B1312">
        <f t="shared" si="20"/>
        <v>8962</v>
      </c>
      <c r="C1312" t="s">
        <v>3559</v>
      </c>
      <c r="D1312" t="s">
        <v>364</v>
      </c>
      <c r="E1312" t="s">
        <v>119</v>
      </c>
      <c r="F1312" t="s">
        <v>327</v>
      </c>
      <c r="G1312" t="s">
        <v>331</v>
      </c>
      <c r="H1312">
        <v>0</v>
      </c>
      <c r="I1312" t="s">
        <v>410</v>
      </c>
    </row>
    <row r="1313" spans="1:9" x14ac:dyDescent="0.25">
      <c r="A1313" t="s">
        <v>257</v>
      </c>
      <c r="B1313">
        <f t="shared" si="20"/>
        <v>9010</v>
      </c>
      <c r="C1313" t="s">
        <v>258</v>
      </c>
      <c r="D1313" t="s">
        <v>72</v>
      </c>
      <c r="E1313" t="s">
        <v>119</v>
      </c>
      <c r="F1313" t="s">
        <v>328</v>
      </c>
      <c r="G1313" t="s">
        <v>72</v>
      </c>
      <c r="H1313">
        <v>0</v>
      </c>
      <c r="I1313" t="s">
        <v>390</v>
      </c>
    </row>
    <row r="1314" spans="1:9" x14ac:dyDescent="0.25">
      <c r="A1314" t="s">
        <v>1222</v>
      </c>
      <c r="B1314">
        <f t="shared" si="20"/>
        <v>9011</v>
      </c>
      <c r="C1314" t="s">
        <v>1223</v>
      </c>
      <c r="D1314" t="s">
        <v>364</v>
      </c>
      <c r="E1314" t="s">
        <v>119</v>
      </c>
      <c r="F1314" t="s">
        <v>318</v>
      </c>
      <c r="G1314" t="s">
        <v>324</v>
      </c>
      <c r="H1314">
        <v>0</v>
      </c>
      <c r="I1314" t="s">
        <v>379</v>
      </c>
    </row>
    <row r="1315" spans="1:9" x14ac:dyDescent="0.25">
      <c r="A1315" t="s">
        <v>2513</v>
      </c>
      <c r="B1315">
        <f t="shared" si="20"/>
        <v>9012</v>
      </c>
      <c r="C1315" t="s">
        <v>2514</v>
      </c>
      <c r="D1315" t="s">
        <v>364</v>
      </c>
      <c r="E1315" t="s">
        <v>81</v>
      </c>
      <c r="F1315" t="s">
        <v>81</v>
      </c>
      <c r="G1315" t="s">
        <v>81</v>
      </c>
      <c r="H1315">
        <v>1</v>
      </c>
      <c r="I1315" t="s">
        <v>418</v>
      </c>
    </row>
    <row r="1316" spans="1:9" x14ac:dyDescent="0.25">
      <c r="A1316" t="s">
        <v>259</v>
      </c>
      <c r="B1316">
        <f t="shared" si="20"/>
        <v>9015</v>
      </c>
      <c r="C1316" t="s">
        <v>260</v>
      </c>
      <c r="D1316" t="s">
        <v>72</v>
      </c>
      <c r="E1316" t="s">
        <v>81</v>
      </c>
      <c r="F1316" t="s">
        <v>81</v>
      </c>
      <c r="G1316" t="s">
        <v>81</v>
      </c>
      <c r="H1316">
        <v>1</v>
      </c>
      <c r="I1316" t="s">
        <v>419</v>
      </c>
    </row>
    <row r="1317" spans="1:9" x14ac:dyDescent="0.25">
      <c r="A1317" t="s">
        <v>1589</v>
      </c>
      <c r="B1317">
        <f t="shared" si="20"/>
        <v>9026</v>
      </c>
      <c r="C1317" t="s">
        <v>1590</v>
      </c>
      <c r="D1317" t="s">
        <v>364</v>
      </c>
      <c r="E1317" t="s">
        <v>119</v>
      </c>
      <c r="F1317" t="s">
        <v>325</v>
      </c>
      <c r="G1317" t="s">
        <v>28</v>
      </c>
      <c r="H1317">
        <v>0</v>
      </c>
      <c r="I1317" t="s">
        <v>376</v>
      </c>
    </row>
    <row r="1318" spans="1:9" x14ac:dyDescent="0.25">
      <c r="A1318" t="s">
        <v>2515</v>
      </c>
      <c r="B1318">
        <f t="shared" si="20"/>
        <v>9047</v>
      </c>
      <c r="C1318" t="s">
        <v>2516</v>
      </c>
      <c r="D1318" t="s">
        <v>364</v>
      </c>
      <c r="E1318" t="s">
        <v>119</v>
      </c>
      <c r="F1318" t="s">
        <v>326</v>
      </c>
      <c r="G1318" t="s">
        <v>29</v>
      </c>
      <c r="H1318">
        <v>0</v>
      </c>
      <c r="I1318" t="s">
        <v>391</v>
      </c>
    </row>
    <row r="1319" spans="1:9" x14ac:dyDescent="0.25">
      <c r="A1319" t="s">
        <v>261</v>
      </c>
      <c r="B1319">
        <f t="shared" si="20"/>
        <v>9048</v>
      </c>
      <c r="C1319" t="s">
        <v>262</v>
      </c>
      <c r="D1319" t="s">
        <v>72</v>
      </c>
      <c r="E1319" t="s">
        <v>81</v>
      </c>
      <c r="F1319" t="s">
        <v>81</v>
      </c>
      <c r="G1319" t="s">
        <v>81</v>
      </c>
      <c r="H1319">
        <v>1</v>
      </c>
      <c r="I1319" t="s">
        <v>79</v>
      </c>
    </row>
    <row r="1320" spans="1:9" x14ac:dyDescent="0.25">
      <c r="A1320" t="s">
        <v>3180</v>
      </c>
      <c r="B1320">
        <f t="shared" si="20"/>
        <v>9068</v>
      </c>
      <c r="C1320" t="s">
        <v>3181</v>
      </c>
      <c r="D1320" t="s">
        <v>364</v>
      </c>
      <c r="E1320" t="s">
        <v>119</v>
      </c>
      <c r="F1320" t="s">
        <v>327</v>
      </c>
      <c r="G1320" t="s">
        <v>329</v>
      </c>
      <c r="H1320">
        <v>0</v>
      </c>
      <c r="I1320" t="s">
        <v>377</v>
      </c>
    </row>
    <row r="1321" spans="1:9" x14ac:dyDescent="0.25">
      <c r="A1321" t="s">
        <v>2798</v>
      </c>
      <c r="B1321">
        <f t="shared" si="20"/>
        <v>9072</v>
      </c>
      <c r="C1321" t="s">
        <v>2799</v>
      </c>
      <c r="D1321" t="s">
        <v>364</v>
      </c>
      <c r="E1321" t="s">
        <v>119</v>
      </c>
      <c r="F1321" t="s">
        <v>327</v>
      </c>
      <c r="G1321" t="s">
        <v>26</v>
      </c>
      <c r="H1321">
        <v>0</v>
      </c>
      <c r="I1321" t="s">
        <v>394</v>
      </c>
    </row>
    <row r="1322" spans="1:9" x14ac:dyDescent="0.25">
      <c r="A1322" t="s">
        <v>3967</v>
      </c>
      <c r="B1322">
        <f t="shared" si="20"/>
        <v>9074</v>
      </c>
      <c r="C1322" t="s">
        <v>3968</v>
      </c>
      <c r="D1322" t="s">
        <v>72</v>
      </c>
      <c r="E1322" t="s">
        <v>119</v>
      </c>
      <c r="F1322" t="s">
        <v>326</v>
      </c>
      <c r="G1322" t="s">
        <v>72</v>
      </c>
      <c r="H1322">
        <v>0</v>
      </c>
      <c r="I1322" t="s">
        <v>390</v>
      </c>
    </row>
    <row r="1323" spans="1:9" x14ac:dyDescent="0.25">
      <c r="A1323" t="s">
        <v>2517</v>
      </c>
      <c r="B1323">
        <f t="shared" si="20"/>
        <v>9083</v>
      </c>
      <c r="C1323" t="s">
        <v>2518</v>
      </c>
      <c r="D1323" t="s">
        <v>364</v>
      </c>
      <c r="E1323" t="s">
        <v>119</v>
      </c>
      <c r="F1323" t="s">
        <v>318</v>
      </c>
      <c r="G1323" t="s">
        <v>324</v>
      </c>
      <c r="H1323">
        <v>0</v>
      </c>
      <c r="I1323" t="s">
        <v>379</v>
      </c>
    </row>
    <row r="1324" spans="1:9" x14ac:dyDescent="0.25">
      <c r="A1324" t="s">
        <v>2519</v>
      </c>
      <c r="B1324">
        <f t="shared" si="20"/>
        <v>9084</v>
      </c>
      <c r="C1324" t="s">
        <v>2520</v>
      </c>
      <c r="D1324" t="s">
        <v>364</v>
      </c>
      <c r="E1324" t="s">
        <v>81</v>
      </c>
      <c r="F1324" t="s">
        <v>81</v>
      </c>
      <c r="G1324" t="s">
        <v>81</v>
      </c>
      <c r="H1324">
        <v>1</v>
      </c>
      <c r="I1324" t="s">
        <v>381</v>
      </c>
    </row>
    <row r="1325" spans="1:9" x14ac:dyDescent="0.25">
      <c r="A1325" t="s">
        <v>700</v>
      </c>
      <c r="B1325">
        <f t="shared" si="20"/>
        <v>9087</v>
      </c>
      <c r="C1325" t="s">
        <v>701</v>
      </c>
      <c r="D1325" t="s">
        <v>364</v>
      </c>
      <c r="E1325" t="s">
        <v>81</v>
      </c>
      <c r="F1325" t="s">
        <v>81</v>
      </c>
      <c r="G1325" t="s">
        <v>81</v>
      </c>
      <c r="H1325">
        <v>1</v>
      </c>
      <c r="I1325" t="s">
        <v>702</v>
      </c>
    </row>
    <row r="1326" spans="1:9" x14ac:dyDescent="0.25">
      <c r="A1326" t="s">
        <v>2521</v>
      </c>
      <c r="B1326">
        <f t="shared" si="20"/>
        <v>9091</v>
      </c>
      <c r="C1326" t="s">
        <v>2522</v>
      </c>
      <c r="D1326" t="s">
        <v>364</v>
      </c>
      <c r="E1326" t="s">
        <v>119</v>
      </c>
      <c r="F1326" t="s">
        <v>327</v>
      </c>
      <c r="G1326" t="s">
        <v>324</v>
      </c>
      <c r="H1326">
        <v>0</v>
      </c>
      <c r="I1326" t="s">
        <v>379</v>
      </c>
    </row>
    <row r="1327" spans="1:9" x14ac:dyDescent="0.25">
      <c r="A1327" t="s">
        <v>1224</v>
      </c>
      <c r="B1327">
        <f t="shared" si="20"/>
        <v>9092</v>
      </c>
      <c r="C1327" t="s">
        <v>1225</v>
      </c>
      <c r="D1327" t="s">
        <v>364</v>
      </c>
      <c r="E1327" t="s">
        <v>119</v>
      </c>
      <c r="F1327" t="s">
        <v>345</v>
      </c>
      <c r="G1327" t="s">
        <v>324</v>
      </c>
      <c r="H1327">
        <v>0</v>
      </c>
      <c r="I1327" t="s">
        <v>379</v>
      </c>
    </row>
    <row r="1328" spans="1:9" x14ac:dyDescent="0.25">
      <c r="A1328" t="s">
        <v>919</v>
      </c>
      <c r="B1328">
        <f t="shared" si="20"/>
        <v>9107</v>
      </c>
      <c r="C1328" t="s">
        <v>920</v>
      </c>
      <c r="D1328" t="s">
        <v>364</v>
      </c>
      <c r="E1328" t="s">
        <v>119</v>
      </c>
      <c r="F1328" t="s">
        <v>872</v>
      </c>
      <c r="G1328" t="s">
        <v>317</v>
      </c>
      <c r="H1328">
        <v>0</v>
      </c>
      <c r="I1328" t="s">
        <v>384</v>
      </c>
    </row>
    <row r="1329" spans="1:9" x14ac:dyDescent="0.25">
      <c r="A1329" t="s">
        <v>2523</v>
      </c>
      <c r="B1329">
        <f t="shared" si="20"/>
        <v>9108</v>
      </c>
      <c r="C1329" t="s">
        <v>2524</v>
      </c>
      <c r="D1329" t="s">
        <v>364</v>
      </c>
      <c r="E1329" t="s">
        <v>119</v>
      </c>
      <c r="F1329" t="s">
        <v>330</v>
      </c>
      <c r="G1329" t="s">
        <v>23</v>
      </c>
      <c r="H1329">
        <v>0</v>
      </c>
      <c r="I1329" t="s">
        <v>397</v>
      </c>
    </row>
    <row r="1330" spans="1:9" x14ac:dyDescent="0.25">
      <c r="A1330" t="s">
        <v>921</v>
      </c>
      <c r="B1330">
        <f t="shared" si="20"/>
        <v>9110</v>
      </c>
      <c r="C1330" t="s">
        <v>922</v>
      </c>
      <c r="D1330" t="s">
        <v>364</v>
      </c>
      <c r="E1330" t="s">
        <v>119</v>
      </c>
      <c r="F1330" t="s">
        <v>327</v>
      </c>
      <c r="G1330" t="s">
        <v>329</v>
      </c>
      <c r="H1330">
        <v>0</v>
      </c>
      <c r="I1330" t="s">
        <v>377</v>
      </c>
    </row>
    <row r="1331" spans="1:9" x14ac:dyDescent="0.25">
      <c r="A1331" t="s">
        <v>2525</v>
      </c>
      <c r="B1331">
        <f t="shared" si="20"/>
        <v>9111</v>
      </c>
      <c r="C1331" t="s">
        <v>2526</v>
      </c>
      <c r="D1331" t="s">
        <v>364</v>
      </c>
      <c r="E1331" t="s">
        <v>119</v>
      </c>
      <c r="F1331" t="s">
        <v>318</v>
      </c>
      <c r="G1331" t="s">
        <v>312</v>
      </c>
      <c r="H1331">
        <v>0</v>
      </c>
      <c r="I1331" t="s">
        <v>382</v>
      </c>
    </row>
    <row r="1332" spans="1:9" x14ac:dyDescent="0.25">
      <c r="A1332" t="s">
        <v>4259</v>
      </c>
      <c r="B1332">
        <f t="shared" si="20"/>
        <v>9113</v>
      </c>
      <c r="C1332" t="s">
        <v>4260</v>
      </c>
      <c r="D1332" t="s">
        <v>72</v>
      </c>
      <c r="E1332" t="s">
        <v>119</v>
      </c>
      <c r="F1332" t="s">
        <v>323</v>
      </c>
      <c r="G1332" t="s">
        <v>28</v>
      </c>
      <c r="H1332">
        <v>0</v>
      </c>
      <c r="I1332" t="s">
        <v>376</v>
      </c>
    </row>
    <row r="1333" spans="1:9" x14ac:dyDescent="0.25">
      <c r="A1333" t="s">
        <v>2527</v>
      </c>
      <c r="B1333">
        <f t="shared" si="20"/>
        <v>9114</v>
      </c>
      <c r="C1333" t="s">
        <v>2528</v>
      </c>
      <c r="D1333" t="s">
        <v>364</v>
      </c>
      <c r="E1333" t="s">
        <v>119</v>
      </c>
      <c r="F1333" t="s">
        <v>330</v>
      </c>
      <c r="G1333" t="s">
        <v>324</v>
      </c>
      <c r="H1333">
        <v>0</v>
      </c>
      <c r="I1333" t="s">
        <v>379</v>
      </c>
    </row>
    <row r="1334" spans="1:9" x14ac:dyDescent="0.25">
      <c r="A1334" t="s">
        <v>2529</v>
      </c>
      <c r="B1334">
        <f t="shared" si="20"/>
        <v>9116</v>
      </c>
      <c r="C1334" t="s">
        <v>2530</v>
      </c>
      <c r="D1334" t="s">
        <v>364</v>
      </c>
      <c r="E1334" t="s">
        <v>119</v>
      </c>
      <c r="F1334" t="s">
        <v>327</v>
      </c>
      <c r="G1334" t="s">
        <v>23</v>
      </c>
      <c r="H1334">
        <v>0</v>
      </c>
      <c r="I1334" t="s">
        <v>397</v>
      </c>
    </row>
    <row r="1335" spans="1:9" x14ac:dyDescent="0.25">
      <c r="A1335" t="s">
        <v>923</v>
      </c>
      <c r="B1335">
        <f t="shared" si="20"/>
        <v>9117</v>
      </c>
      <c r="C1335" t="s">
        <v>924</v>
      </c>
      <c r="D1335" t="s">
        <v>364</v>
      </c>
      <c r="E1335" t="s">
        <v>81</v>
      </c>
      <c r="F1335" t="s">
        <v>81</v>
      </c>
      <c r="G1335" t="s">
        <v>81</v>
      </c>
      <c r="H1335">
        <v>0</v>
      </c>
      <c r="I1335" t="s">
        <v>399</v>
      </c>
    </row>
    <row r="1336" spans="1:9" x14ac:dyDescent="0.25">
      <c r="A1336" t="s">
        <v>1699</v>
      </c>
      <c r="B1336">
        <f t="shared" si="20"/>
        <v>9118</v>
      </c>
      <c r="C1336" t="s">
        <v>1700</v>
      </c>
      <c r="D1336" t="s">
        <v>364</v>
      </c>
      <c r="E1336" t="s">
        <v>119</v>
      </c>
      <c r="F1336" t="s">
        <v>327</v>
      </c>
      <c r="G1336" t="s">
        <v>28</v>
      </c>
      <c r="H1336">
        <v>0</v>
      </c>
      <c r="I1336" t="s">
        <v>376</v>
      </c>
    </row>
    <row r="1337" spans="1:9" x14ac:dyDescent="0.25">
      <c r="A1337" t="s">
        <v>2970</v>
      </c>
      <c r="B1337">
        <f t="shared" si="20"/>
        <v>9119</v>
      </c>
      <c r="C1337" t="s">
        <v>2971</v>
      </c>
      <c r="D1337" t="s">
        <v>364</v>
      </c>
      <c r="E1337" t="s">
        <v>119</v>
      </c>
      <c r="F1337" t="s">
        <v>318</v>
      </c>
      <c r="G1337" t="s">
        <v>312</v>
      </c>
      <c r="H1337">
        <v>0</v>
      </c>
      <c r="I1337" t="s">
        <v>382</v>
      </c>
    </row>
    <row r="1338" spans="1:9" x14ac:dyDescent="0.25">
      <c r="A1338" t="s">
        <v>3178</v>
      </c>
      <c r="B1338">
        <f t="shared" si="20"/>
        <v>9124</v>
      </c>
      <c r="C1338" t="s">
        <v>3179</v>
      </c>
      <c r="D1338" t="s">
        <v>364</v>
      </c>
      <c r="E1338" t="s">
        <v>119</v>
      </c>
      <c r="F1338" t="s">
        <v>318</v>
      </c>
      <c r="G1338" t="s">
        <v>329</v>
      </c>
      <c r="H1338">
        <v>0</v>
      </c>
      <c r="I1338" t="s">
        <v>377</v>
      </c>
    </row>
    <row r="1339" spans="1:9" x14ac:dyDescent="0.25">
      <c r="A1339" t="s">
        <v>3334</v>
      </c>
      <c r="B1339">
        <f t="shared" si="20"/>
        <v>9125</v>
      </c>
      <c r="C1339" t="s">
        <v>3335</v>
      </c>
      <c r="D1339" t="s">
        <v>364</v>
      </c>
      <c r="E1339" t="s">
        <v>119</v>
      </c>
      <c r="F1339" t="s">
        <v>325</v>
      </c>
      <c r="G1339" t="s">
        <v>312</v>
      </c>
      <c r="H1339">
        <v>0</v>
      </c>
      <c r="I1339" t="s">
        <v>382</v>
      </c>
    </row>
    <row r="1340" spans="1:9" x14ac:dyDescent="0.25">
      <c r="A1340" t="s">
        <v>4261</v>
      </c>
      <c r="B1340">
        <f t="shared" si="20"/>
        <v>9127</v>
      </c>
      <c r="C1340" t="s">
        <v>4262</v>
      </c>
      <c r="D1340" t="s">
        <v>72</v>
      </c>
      <c r="E1340" t="s">
        <v>119</v>
      </c>
      <c r="F1340" t="s">
        <v>327</v>
      </c>
      <c r="G1340" t="s">
        <v>27</v>
      </c>
      <c r="H1340">
        <v>0</v>
      </c>
      <c r="I1340" t="s">
        <v>387</v>
      </c>
    </row>
    <row r="1341" spans="1:9" x14ac:dyDescent="0.25">
      <c r="A1341" t="s">
        <v>4263</v>
      </c>
      <c r="B1341">
        <f t="shared" si="20"/>
        <v>9129</v>
      </c>
      <c r="C1341" t="s">
        <v>4264</v>
      </c>
      <c r="D1341" t="s">
        <v>72</v>
      </c>
      <c r="E1341" t="s">
        <v>119</v>
      </c>
      <c r="F1341" t="s">
        <v>323</v>
      </c>
      <c r="G1341" t="s">
        <v>28</v>
      </c>
      <c r="H1341">
        <v>0</v>
      </c>
      <c r="I1341" t="s">
        <v>376</v>
      </c>
    </row>
    <row r="1342" spans="1:9" x14ac:dyDescent="0.25">
      <c r="A1342" t="s">
        <v>4392</v>
      </c>
      <c r="B1342">
        <f t="shared" si="20"/>
        <v>9131</v>
      </c>
      <c r="C1342" t="s">
        <v>4393</v>
      </c>
      <c r="D1342" t="s">
        <v>72</v>
      </c>
      <c r="E1342" t="s">
        <v>119</v>
      </c>
      <c r="F1342" t="s">
        <v>318</v>
      </c>
      <c r="G1342" t="s">
        <v>324</v>
      </c>
      <c r="H1342">
        <v>0</v>
      </c>
      <c r="I1342" t="s">
        <v>379</v>
      </c>
    </row>
    <row r="1343" spans="1:9" x14ac:dyDescent="0.25">
      <c r="A1343" t="s">
        <v>4603</v>
      </c>
      <c r="B1343">
        <f t="shared" si="20"/>
        <v>9132</v>
      </c>
      <c r="C1343" t="s">
        <v>4604</v>
      </c>
      <c r="D1343" t="s">
        <v>364</v>
      </c>
      <c r="E1343" t="s">
        <v>119</v>
      </c>
      <c r="F1343" t="s">
        <v>318</v>
      </c>
      <c r="G1343" t="s">
        <v>312</v>
      </c>
      <c r="H1343">
        <v>0</v>
      </c>
      <c r="I1343" t="s">
        <v>382</v>
      </c>
    </row>
    <row r="1344" spans="1:9" x14ac:dyDescent="0.25">
      <c r="A1344" t="s">
        <v>4605</v>
      </c>
      <c r="B1344">
        <f t="shared" si="20"/>
        <v>9133</v>
      </c>
      <c r="C1344" t="s">
        <v>4606</v>
      </c>
      <c r="D1344" t="s">
        <v>72</v>
      </c>
      <c r="E1344" t="s">
        <v>119</v>
      </c>
      <c r="F1344" t="s">
        <v>327</v>
      </c>
      <c r="G1344" t="s">
        <v>24</v>
      </c>
      <c r="H1344">
        <v>0</v>
      </c>
      <c r="I1344" t="s">
        <v>383</v>
      </c>
    </row>
    <row r="1345" spans="1:9" x14ac:dyDescent="0.25">
      <c r="A1345" t="s">
        <v>2531</v>
      </c>
      <c r="B1345">
        <f t="shared" si="20"/>
        <v>9140</v>
      </c>
      <c r="C1345" t="s">
        <v>2532</v>
      </c>
      <c r="D1345" t="s">
        <v>364</v>
      </c>
      <c r="E1345" t="s">
        <v>119</v>
      </c>
      <c r="F1345" t="s">
        <v>327</v>
      </c>
      <c r="G1345" t="s">
        <v>324</v>
      </c>
      <c r="H1345">
        <v>0</v>
      </c>
      <c r="I1345" t="s">
        <v>379</v>
      </c>
    </row>
    <row r="1346" spans="1:9" x14ac:dyDescent="0.25">
      <c r="A1346" t="s">
        <v>2533</v>
      </c>
      <c r="B1346">
        <f t="shared" si="20"/>
        <v>9160</v>
      </c>
      <c r="C1346" t="s">
        <v>2534</v>
      </c>
      <c r="D1346" t="s">
        <v>72</v>
      </c>
      <c r="E1346" t="s">
        <v>119</v>
      </c>
      <c r="F1346" t="s">
        <v>323</v>
      </c>
      <c r="G1346" t="s">
        <v>329</v>
      </c>
      <c r="H1346">
        <v>0</v>
      </c>
      <c r="I1346" t="s">
        <v>377</v>
      </c>
    </row>
    <row r="1347" spans="1:9" x14ac:dyDescent="0.25">
      <c r="A1347" t="s">
        <v>2535</v>
      </c>
      <c r="B1347">
        <f t="shared" si="20"/>
        <v>9162</v>
      </c>
      <c r="C1347" t="s">
        <v>2536</v>
      </c>
      <c r="D1347" t="s">
        <v>364</v>
      </c>
      <c r="E1347" t="s">
        <v>119</v>
      </c>
      <c r="F1347" t="s">
        <v>318</v>
      </c>
      <c r="G1347" t="s">
        <v>324</v>
      </c>
      <c r="H1347">
        <v>0</v>
      </c>
      <c r="I1347" t="s">
        <v>379</v>
      </c>
    </row>
    <row r="1348" spans="1:9" x14ac:dyDescent="0.25">
      <c r="A1348" t="s">
        <v>2537</v>
      </c>
      <c r="B1348">
        <f t="shared" ref="B1348:B1411" si="21">_xlfn.NUMBERVALUE(A1348,"#####")</f>
        <v>9164</v>
      </c>
      <c r="C1348" t="s">
        <v>2538</v>
      </c>
      <c r="D1348" t="s">
        <v>364</v>
      </c>
      <c r="E1348" t="s">
        <v>119</v>
      </c>
      <c r="F1348" t="s">
        <v>323</v>
      </c>
      <c r="G1348" t="s">
        <v>27</v>
      </c>
      <c r="H1348">
        <v>0</v>
      </c>
      <c r="I1348" t="s">
        <v>387</v>
      </c>
    </row>
    <row r="1349" spans="1:9" x14ac:dyDescent="0.25">
      <c r="A1349" t="s">
        <v>2770</v>
      </c>
      <c r="B1349">
        <f t="shared" si="21"/>
        <v>9168</v>
      </c>
      <c r="C1349" t="s">
        <v>2771</v>
      </c>
      <c r="D1349" t="s">
        <v>364</v>
      </c>
      <c r="E1349" t="s">
        <v>119</v>
      </c>
      <c r="F1349" t="s">
        <v>318</v>
      </c>
      <c r="G1349" t="s">
        <v>26</v>
      </c>
      <c r="H1349">
        <v>0</v>
      </c>
      <c r="I1349" t="s">
        <v>394</v>
      </c>
    </row>
    <row r="1350" spans="1:9" x14ac:dyDescent="0.25">
      <c r="A1350" t="s">
        <v>3628</v>
      </c>
      <c r="B1350">
        <f t="shared" si="21"/>
        <v>9169</v>
      </c>
      <c r="C1350" t="s">
        <v>3629</v>
      </c>
      <c r="D1350" t="s">
        <v>364</v>
      </c>
      <c r="E1350" t="s">
        <v>119</v>
      </c>
      <c r="F1350" t="s">
        <v>325</v>
      </c>
      <c r="G1350" t="s">
        <v>27</v>
      </c>
      <c r="H1350">
        <v>0</v>
      </c>
      <c r="I1350" t="s">
        <v>387</v>
      </c>
    </row>
    <row r="1351" spans="1:9" x14ac:dyDescent="0.25">
      <c r="A1351" t="s">
        <v>4071</v>
      </c>
      <c r="B1351">
        <f t="shared" si="21"/>
        <v>9179</v>
      </c>
      <c r="C1351" t="s">
        <v>4072</v>
      </c>
      <c r="D1351" t="s">
        <v>72</v>
      </c>
      <c r="E1351" t="s">
        <v>119</v>
      </c>
      <c r="F1351" t="s">
        <v>326</v>
      </c>
      <c r="G1351" t="s">
        <v>25</v>
      </c>
      <c r="H1351">
        <v>0</v>
      </c>
      <c r="I1351" t="s">
        <v>386</v>
      </c>
    </row>
    <row r="1352" spans="1:9" x14ac:dyDescent="0.25">
      <c r="A1352" t="s">
        <v>2539</v>
      </c>
      <c r="B1352">
        <f t="shared" si="21"/>
        <v>9181</v>
      </c>
      <c r="C1352" t="s">
        <v>2540</v>
      </c>
      <c r="D1352" t="s">
        <v>364</v>
      </c>
      <c r="E1352" t="s">
        <v>119</v>
      </c>
      <c r="F1352" t="s">
        <v>323</v>
      </c>
      <c r="G1352" t="s">
        <v>324</v>
      </c>
      <c r="H1352">
        <v>0</v>
      </c>
      <c r="I1352" t="s">
        <v>379</v>
      </c>
    </row>
    <row r="1353" spans="1:9" x14ac:dyDescent="0.25">
      <c r="A1353" t="s">
        <v>2541</v>
      </c>
      <c r="B1353">
        <f t="shared" si="21"/>
        <v>9183</v>
      </c>
      <c r="C1353" t="s">
        <v>2542</v>
      </c>
      <c r="D1353" t="s">
        <v>364</v>
      </c>
      <c r="E1353" t="s">
        <v>119</v>
      </c>
      <c r="F1353" t="s">
        <v>327</v>
      </c>
      <c r="G1353" t="s">
        <v>324</v>
      </c>
      <c r="H1353">
        <v>0</v>
      </c>
      <c r="I1353" t="s">
        <v>378</v>
      </c>
    </row>
    <row r="1354" spans="1:9" x14ac:dyDescent="0.25">
      <c r="A1354" t="s">
        <v>4394</v>
      </c>
      <c r="B1354">
        <f t="shared" si="21"/>
        <v>9187</v>
      </c>
      <c r="C1354" t="s">
        <v>4395</v>
      </c>
      <c r="D1354" t="s">
        <v>364</v>
      </c>
      <c r="E1354" t="s">
        <v>119</v>
      </c>
      <c r="F1354" t="s">
        <v>318</v>
      </c>
      <c r="G1354" t="s">
        <v>324</v>
      </c>
      <c r="H1354">
        <v>0</v>
      </c>
      <c r="I1354" t="s">
        <v>4396</v>
      </c>
    </row>
    <row r="1355" spans="1:9" x14ac:dyDescent="0.25">
      <c r="A1355" t="s">
        <v>2543</v>
      </c>
      <c r="B1355">
        <f t="shared" si="21"/>
        <v>9188</v>
      </c>
      <c r="C1355" t="s">
        <v>2544</v>
      </c>
      <c r="D1355" t="s">
        <v>364</v>
      </c>
      <c r="E1355" t="s">
        <v>119</v>
      </c>
      <c r="F1355" t="s">
        <v>323</v>
      </c>
      <c r="G1355" t="s">
        <v>314</v>
      </c>
      <c r="H1355">
        <v>0</v>
      </c>
      <c r="I1355" t="s">
        <v>405</v>
      </c>
    </row>
    <row r="1356" spans="1:9" x14ac:dyDescent="0.25">
      <c r="A1356" t="s">
        <v>1591</v>
      </c>
      <c r="B1356">
        <f t="shared" si="21"/>
        <v>9191</v>
      </c>
      <c r="C1356" t="s">
        <v>1592</v>
      </c>
      <c r="D1356" t="s">
        <v>72</v>
      </c>
      <c r="E1356" t="s">
        <v>119</v>
      </c>
      <c r="F1356" t="s">
        <v>323</v>
      </c>
      <c r="G1356" t="s">
        <v>329</v>
      </c>
      <c r="H1356">
        <v>0</v>
      </c>
      <c r="I1356" t="s">
        <v>377</v>
      </c>
    </row>
    <row r="1357" spans="1:9" x14ac:dyDescent="0.25">
      <c r="A1357" t="s">
        <v>925</v>
      </c>
      <c r="B1357">
        <f t="shared" si="21"/>
        <v>9195</v>
      </c>
      <c r="C1357" t="s">
        <v>926</v>
      </c>
      <c r="D1357" t="s">
        <v>364</v>
      </c>
      <c r="E1357" t="s">
        <v>119</v>
      </c>
      <c r="F1357" t="s">
        <v>326</v>
      </c>
      <c r="G1357" t="s">
        <v>29</v>
      </c>
      <c r="H1357">
        <v>0</v>
      </c>
      <c r="I1357" t="s">
        <v>391</v>
      </c>
    </row>
    <row r="1358" spans="1:9" x14ac:dyDescent="0.25">
      <c r="A1358" t="s">
        <v>1593</v>
      </c>
      <c r="B1358">
        <f t="shared" si="21"/>
        <v>9198</v>
      </c>
      <c r="C1358" t="s">
        <v>1594</v>
      </c>
      <c r="D1358" t="s">
        <v>364</v>
      </c>
      <c r="E1358" t="s">
        <v>119</v>
      </c>
      <c r="F1358" t="s">
        <v>318</v>
      </c>
      <c r="G1358" t="s">
        <v>324</v>
      </c>
      <c r="H1358">
        <v>0</v>
      </c>
      <c r="I1358" t="s">
        <v>379</v>
      </c>
    </row>
    <row r="1359" spans="1:9" x14ac:dyDescent="0.25">
      <c r="A1359" t="s">
        <v>3907</v>
      </c>
      <c r="B1359">
        <f t="shared" si="21"/>
        <v>9202</v>
      </c>
      <c r="C1359" t="s">
        <v>3908</v>
      </c>
      <c r="D1359" t="s">
        <v>72</v>
      </c>
      <c r="E1359" t="s">
        <v>119</v>
      </c>
      <c r="F1359" t="s">
        <v>318</v>
      </c>
      <c r="G1359" t="s">
        <v>312</v>
      </c>
      <c r="H1359">
        <v>0</v>
      </c>
      <c r="I1359" t="s">
        <v>382</v>
      </c>
    </row>
    <row r="1360" spans="1:9" x14ac:dyDescent="0.25">
      <c r="A1360" t="s">
        <v>3909</v>
      </c>
      <c r="B1360">
        <f t="shared" si="21"/>
        <v>9203</v>
      </c>
      <c r="C1360" t="s">
        <v>3910</v>
      </c>
      <c r="D1360" t="s">
        <v>364</v>
      </c>
      <c r="E1360" t="s">
        <v>119</v>
      </c>
      <c r="F1360" t="s">
        <v>327</v>
      </c>
      <c r="G1360" t="s">
        <v>324</v>
      </c>
      <c r="H1360">
        <v>0</v>
      </c>
      <c r="I1360" t="s">
        <v>379</v>
      </c>
    </row>
    <row r="1361" spans="1:9" x14ac:dyDescent="0.25">
      <c r="A1361" t="s">
        <v>3997</v>
      </c>
      <c r="B1361">
        <f t="shared" si="21"/>
        <v>9205</v>
      </c>
      <c r="C1361" t="s">
        <v>3998</v>
      </c>
      <c r="D1361" t="s">
        <v>72</v>
      </c>
      <c r="E1361" t="s">
        <v>119</v>
      </c>
      <c r="F1361" t="s">
        <v>328</v>
      </c>
      <c r="G1361" t="s">
        <v>29</v>
      </c>
      <c r="H1361">
        <v>0</v>
      </c>
      <c r="I1361" t="s">
        <v>391</v>
      </c>
    </row>
    <row r="1362" spans="1:9" x14ac:dyDescent="0.25">
      <c r="A1362" t="s">
        <v>4607</v>
      </c>
      <c r="B1362">
        <f t="shared" si="21"/>
        <v>9206</v>
      </c>
      <c r="C1362" t="s">
        <v>4608</v>
      </c>
      <c r="D1362" t="s">
        <v>364</v>
      </c>
      <c r="E1362" t="s">
        <v>119</v>
      </c>
      <c r="F1362" t="s">
        <v>327</v>
      </c>
      <c r="G1362" t="s">
        <v>324</v>
      </c>
      <c r="H1362">
        <v>0</v>
      </c>
      <c r="I1362" t="s">
        <v>379</v>
      </c>
    </row>
    <row r="1363" spans="1:9" x14ac:dyDescent="0.25">
      <c r="A1363" t="s">
        <v>263</v>
      </c>
      <c r="B1363">
        <f t="shared" si="21"/>
        <v>9207</v>
      </c>
      <c r="C1363" t="s">
        <v>264</v>
      </c>
      <c r="D1363" t="s">
        <v>364</v>
      </c>
      <c r="E1363" t="s">
        <v>81</v>
      </c>
      <c r="F1363" t="s">
        <v>81</v>
      </c>
      <c r="G1363" t="s">
        <v>81</v>
      </c>
      <c r="H1363">
        <v>0</v>
      </c>
      <c r="I1363" t="s">
        <v>377</v>
      </c>
    </row>
    <row r="1364" spans="1:9" x14ac:dyDescent="0.25">
      <c r="A1364" t="s">
        <v>2545</v>
      </c>
      <c r="B1364">
        <f t="shared" si="21"/>
        <v>9217</v>
      </c>
      <c r="C1364" t="s">
        <v>2546</v>
      </c>
      <c r="D1364" t="s">
        <v>364</v>
      </c>
      <c r="E1364" t="s">
        <v>119</v>
      </c>
      <c r="F1364" t="s">
        <v>326</v>
      </c>
      <c r="G1364" t="s">
        <v>329</v>
      </c>
      <c r="H1364">
        <v>0</v>
      </c>
      <c r="I1364" t="s">
        <v>377</v>
      </c>
    </row>
    <row r="1365" spans="1:9" x14ac:dyDescent="0.25">
      <c r="A1365" t="s">
        <v>3140</v>
      </c>
      <c r="B1365">
        <f t="shared" si="21"/>
        <v>9219</v>
      </c>
      <c r="C1365" t="s">
        <v>3141</v>
      </c>
      <c r="D1365" t="s">
        <v>364</v>
      </c>
      <c r="E1365" t="s">
        <v>119</v>
      </c>
      <c r="F1365" t="s">
        <v>327</v>
      </c>
      <c r="G1365" t="s">
        <v>312</v>
      </c>
      <c r="H1365">
        <v>0</v>
      </c>
      <c r="I1365" t="s">
        <v>382</v>
      </c>
    </row>
    <row r="1366" spans="1:9" x14ac:dyDescent="0.25">
      <c r="A1366" t="s">
        <v>4265</v>
      </c>
      <c r="B1366">
        <f t="shared" si="21"/>
        <v>9233</v>
      </c>
      <c r="C1366" t="s">
        <v>4266</v>
      </c>
      <c r="D1366" t="s">
        <v>72</v>
      </c>
      <c r="E1366" t="s">
        <v>119</v>
      </c>
      <c r="F1366" t="s">
        <v>326</v>
      </c>
      <c r="G1366" t="s">
        <v>25</v>
      </c>
      <c r="H1366">
        <v>0</v>
      </c>
      <c r="I1366" t="s">
        <v>386</v>
      </c>
    </row>
    <row r="1367" spans="1:9" x14ac:dyDescent="0.25">
      <c r="A1367" t="s">
        <v>4020</v>
      </c>
      <c r="B1367">
        <f t="shared" si="21"/>
        <v>9234</v>
      </c>
      <c r="C1367" t="s">
        <v>4021</v>
      </c>
      <c r="D1367" t="s">
        <v>72</v>
      </c>
      <c r="E1367" t="s">
        <v>119</v>
      </c>
      <c r="F1367" t="s">
        <v>327</v>
      </c>
      <c r="G1367" t="s">
        <v>329</v>
      </c>
      <c r="H1367">
        <v>0</v>
      </c>
      <c r="I1367" t="s">
        <v>377</v>
      </c>
    </row>
    <row r="1368" spans="1:9" x14ac:dyDescent="0.25">
      <c r="A1368" t="s">
        <v>927</v>
      </c>
      <c r="B1368">
        <f t="shared" si="21"/>
        <v>9235</v>
      </c>
      <c r="C1368" t="s">
        <v>928</v>
      </c>
      <c r="D1368" t="s">
        <v>364</v>
      </c>
      <c r="E1368" t="s">
        <v>119</v>
      </c>
      <c r="F1368" t="s">
        <v>328</v>
      </c>
      <c r="G1368" t="s">
        <v>317</v>
      </c>
      <c r="H1368">
        <v>0</v>
      </c>
      <c r="I1368" t="s">
        <v>384</v>
      </c>
    </row>
    <row r="1369" spans="1:9" x14ac:dyDescent="0.25">
      <c r="A1369" t="s">
        <v>1595</v>
      </c>
      <c r="B1369">
        <f t="shared" si="21"/>
        <v>9238</v>
      </c>
      <c r="C1369" t="s">
        <v>1596</v>
      </c>
      <c r="D1369" t="s">
        <v>364</v>
      </c>
      <c r="E1369" t="s">
        <v>119</v>
      </c>
      <c r="F1369" t="s">
        <v>327</v>
      </c>
      <c r="G1369" t="s">
        <v>29</v>
      </c>
      <c r="H1369">
        <v>0</v>
      </c>
      <c r="I1369" t="s">
        <v>391</v>
      </c>
    </row>
    <row r="1370" spans="1:9" x14ac:dyDescent="0.25">
      <c r="A1370" t="s">
        <v>1226</v>
      </c>
      <c r="B1370">
        <f t="shared" si="21"/>
        <v>9240</v>
      </c>
      <c r="C1370" t="s">
        <v>1227</v>
      </c>
      <c r="D1370" t="s">
        <v>364</v>
      </c>
      <c r="E1370" t="s">
        <v>119</v>
      </c>
      <c r="F1370" t="s">
        <v>323</v>
      </c>
      <c r="G1370" t="s">
        <v>27</v>
      </c>
      <c r="H1370">
        <v>0</v>
      </c>
      <c r="I1370" t="s">
        <v>387</v>
      </c>
    </row>
    <row r="1371" spans="1:9" x14ac:dyDescent="0.25">
      <c r="A1371" t="s">
        <v>813</v>
      </c>
      <c r="B1371">
        <f t="shared" si="21"/>
        <v>9242</v>
      </c>
      <c r="C1371" t="s">
        <v>814</v>
      </c>
      <c r="D1371" t="s">
        <v>72</v>
      </c>
      <c r="E1371" t="s">
        <v>119</v>
      </c>
      <c r="F1371" t="s">
        <v>327</v>
      </c>
      <c r="G1371" t="s">
        <v>72</v>
      </c>
      <c r="H1371">
        <v>0</v>
      </c>
      <c r="I1371" t="s">
        <v>390</v>
      </c>
    </row>
    <row r="1372" spans="1:9" x14ac:dyDescent="0.25">
      <c r="A1372" t="s">
        <v>703</v>
      </c>
      <c r="B1372">
        <f t="shared" si="21"/>
        <v>9246</v>
      </c>
      <c r="C1372" t="s">
        <v>704</v>
      </c>
      <c r="D1372" t="s">
        <v>364</v>
      </c>
      <c r="E1372" t="s">
        <v>119</v>
      </c>
      <c r="F1372" t="s">
        <v>327</v>
      </c>
      <c r="G1372" t="s">
        <v>329</v>
      </c>
      <c r="H1372">
        <v>0</v>
      </c>
      <c r="I1372" t="s">
        <v>377</v>
      </c>
    </row>
    <row r="1373" spans="1:9" x14ac:dyDescent="0.25">
      <c r="A1373" t="s">
        <v>2547</v>
      </c>
      <c r="B1373">
        <f t="shared" si="21"/>
        <v>9247</v>
      </c>
      <c r="C1373" t="s">
        <v>2548</v>
      </c>
      <c r="D1373" t="s">
        <v>364</v>
      </c>
      <c r="E1373" t="s">
        <v>119</v>
      </c>
      <c r="F1373" t="s">
        <v>327</v>
      </c>
      <c r="G1373" t="s">
        <v>312</v>
      </c>
      <c r="H1373">
        <v>0</v>
      </c>
      <c r="I1373" t="s">
        <v>382</v>
      </c>
    </row>
    <row r="1374" spans="1:9" x14ac:dyDescent="0.25">
      <c r="A1374" t="s">
        <v>4397</v>
      </c>
      <c r="B1374">
        <f t="shared" si="21"/>
        <v>9255</v>
      </c>
      <c r="C1374" t="s">
        <v>4398</v>
      </c>
      <c r="D1374" t="s">
        <v>364</v>
      </c>
      <c r="E1374" t="s">
        <v>119</v>
      </c>
      <c r="F1374" t="s">
        <v>318</v>
      </c>
      <c r="G1374" t="s">
        <v>324</v>
      </c>
      <c r="H1374">
        <v>0</v>
      </c>
      <c r="I1374" t="s">
        <v>379</v>
      </c>
    </row>
    <row r="1375" spans="1:9" x14ac:dyDescent="0.25">
      <c r="A1375" t="s">
        <v>2549</v>
      </c>
      <c r="B1375">
        <f t="shared" si="21"/>
        <v>9257</v>
      </c>
      <c r="C1375" t="s">
        <v>2550</v>
      </c>
      <c r="D1375" t="s">
        <v>364</v>
      </c>
      <c r="E1375" t="s">
        <v>119</v>
      </c>
      <c r="F1375" t="s">
        <v>325</v>
      </c>
      <c r="G1375" t="s">
        <v>27</v>
      </c>
      <c r="H1375">
        <v>0</v>
      </c>
      <c r="I1375" t="s">
        <v>387</v>
      </c>
    </row>
    <row r="1376" spans="1:9" x14ac:dyDescent="0.25">
      <c r="A1376" t="s">
        <v>2551</v>
      </c>
      <c r="B1376">
        <f t="shared" si="21"/>
        <v>9258</v>
      </c>
      <c r="C1376" t="s">
        <v>2552</v>
      </c>
      <c r="D1376" t="s">
        <v>364</v>
      </c>
      <c r="E1376" t="s">
        <v>119</v>
      </c>
      <c r="F1376" t="s">
        <v>325</v>
      </c>
      <c r="G1376" t="s">
        <v>314</v>
      </c>
      <c r="H1376">
        <v>0</v>
      </c>
      <c r="I1376" t="s">
        <v>405</v>
      </c>
    </row>
    <row r="1377" spans="1:9" x14ac:dyDescent="0.25">
      <c r="A1377" t="s">
        <v>2553</v>
      </c>
      <c r="B1377">
        <f t="shared" si="21"/>
        <v>9259</v>
      </c>
      <c r="C1377" t="s">
        <v>2554</v>
      </c>
      <c r="D1377" t="s">
        <v>364</v>
      </c>
      <c r="E1377" t="s">
        <v>81</v>
      </c>
      <c r="F1377" t="s">
        <v>81</v>
      </c>
      <c r="G1377" t="s">
        <v>81</v>
      </c>
      <c r="H1377">
        <v>1</v>
      </c>
      <c r="I1377" t="s">
        <v>395</v>
      </c>
    </row>
    <row r="1378" spans="1:9" x14ac:dyDescent="0.25">
      <c r="A1378" t="s">
        <v>858</v>
      </c>
      <c r="B1378">
        <f t="shared" si="21"/>
        <v>9260</v>
      </c>
      <c r="C1378" t="s">
        <v>859</v>
      </c>
      <c r="D1378" t="s">
        <v>364</v>
      </c>
      <c r="E1378" t="s">
        <v>119</v>
      </c>
      <c r="F1378" t="s">
        <v>872</v>
      </c>
      <c r="G1378" t="s">
        <v>324</v>
      </c>
      <c r="H1378">
        <v>0</v>
      </c>
      <c r="I1378" t="s">
        <v>377</v>
      </c>
    </row>
    <row r="1379" spans="1:9" x14ac:dyDescent="0.25">
      <c r="A1379" t="s">
        <v>1597</v>
      </c>
      <c r="B1379">
        <f t="shared" si="21"/>
        <v>9261</v>
      </c>
      <c r="C1379" t="s">
        <v>1598</v>
      </c>
      <c r="D1379" t="s">
        <v>72</v>
      </c>
      <c r="E1379" t="s">
        <v>81</v>
      </c>
      <c r="F1379" t="s">
        <v>81</v>
      </c>
      <c r="G1379" t="s">
        <v>81</v>
      </c>
      <c r="H1379">
        <v>1</v>
      </c>
      <c r="I1379" t="s">
        <v>1599</v>
      </c>
    </row>
    <row r="1380" spans="1:9" x14ac:dyDescent="0.25">
      <c r="A1380" t="s">
        <v>815</v>
      </c>
      <c r="B1380">
        <f t="shared" si="21"/>
        <v>9262</v>
      </c>
      <c r="C1380" t="s">
        <v>816</v>
      </c>
      <c r="D1380" t="s">
        <v>72</v>
      </c>
      <c r="E1380" t="s">
        <v>119</v>
      </c>
      <c r="F1380" t="s">
        <v>327</v>
      </c>
      <c r="G1380" t="s">
        <v>72</v>
      </c>
      <c r="H1380">
        <v>0</v>
      </c>
      <c r="I1380" t="s">
        <v>390</v>
      </c>
    </row>
    <row r="1381" spans="1:9" x14ac:dyDescent="0.25">
      <c r="A1381" t="s">
        <v>1600</v>
      </c>
      <c r="B1381">
        <f t="shared" si="21"/>
        <v>9265</v>
      </c>
      <c r="C1381" t="s">
        <v>1601</v>
      </c>
      <c r="D1381" t="s">
        <v>364</v>
      </c>
      <c r="E1381" t="s">
        <v>119</v>
      </c>
      <c r="F1381" t="s">
        <v>328</v>
      </c>
      <c r="G1381" t="s">
        <v>312</v>
      </c>
      <c r="H1381">
        <v>0</v>
      </c>
      <c r="I1381" t="s">
        <v>382</v>
      </c>
    </row>
    <row r="1382" spans="1:9" x14ac:dyDescent="0.25">
      <c r="A1382" t="s">
        <v>2800</v>
      </c>
      <c r="B1382">
        <f t="shared" si="21"/>
        <v>9270</v>
      </c>
      <c r="C1382" t="s">
        <v>2801</v>
      </c>
      <c r="D1382" t="s">
        <v>364</v>
      </c>
      <c r="E1382" t="s">
        <v>119</v>
      </c>
      <c r="F1382" t="s">
        <v>1022</v>
      </c>
      <c r="G1382" t="s">
        <v>324</v>
      </c>
      <c r="H1382">
        <v>0</v>
      </c>
      <c r="I1382" t="s">
        <v>379</v>
      </c>
    </row>
    <row r="1383" spans="1:9" x14ac:dyDescent="0.25">
      <c r="A1383" t="s">
        <v>860</v>
      </c>
      <c r="B1383">
        <f t="shared" si="21"/>
        <v>9273</v>
      </c>
      <c r="C1383" t="s">
        <v>861</v>
      </c>
      <c r="D1383" t="s">
        <v>364</v>
      </c>
      <c r="E1383" t="s">
        <v>119</v>
      </c>
      <c r="F1383" t="s">
        <v>327</v>
      </c>
      <c r="G1383" t="s">
        <v>29</v>
      </c>
      <c r="H1383">
        <v>0</v>
      </c>
      <c r="I1383" t="s">
        <v>391</v>
      </c>
    </row>
    <row r="1384" spans="1:9" x14ac:dyDescent="0.25">
      <c r="A1384" t="s">
        <v>2555</v>
      </c>
      <c r="B1384">
        <f t="shared" si="21"/>
        <v>9285</v>
      </c>
      <c r="C1384" t="s">
        <v>2556</v>
      </c>
      <c r="D1384" t="s">
        <v>364</v>
      </c>
      <c r="E1384" t="s">
        <v>119</v>
      </c>
      <c r="F1384" t="s">
        <v>323</v>
      </c>
      <c r="G1384" t="s">
        <v>316</v>
      </c>
      <c r="H1384">
        <v>0</v>
      </c>
      <c r="I1384" t="s">
        <v>2020</v>
      </c>
    </row>
    <row r="1385" spans="1:9" x14ac:dyDescent="0.25">
      <c r="A1385" t="s">
        <v>2802</v>
      </c>
      <c r="B1385">
        <f t="shared" si="21"/>
        <v>9286</v>
      </c>
      <c r="C1385" t="s">
        <v>2803</v>
      </c>
      <c r="D1385" t="s">
        <v>364</v>
      </c>
      <c r="E1385" t="s">
        <v>119</v>
      </c>
      <c r="F1385" t="s">
        <v>327</v>
      </c>
      <c r="G1385" t="s">
        <v>324</v>
      </c>
      <c r="H1385">
        <v>0</v>
      </c>
      <c r="I1385" t="s">
        <v>379</v>
      </c>
    </row>
    <row r="1386" spans="1:9" x14ac:dyDescent="0.25">
      <c r="A1386" t="s">
        <v>1602</v>
      </c>
      <c r="B1386">
        <f t="shared" si="21"/>
        <v>9287</v>
      </c>
      <c r="C1386" t="s">
        <v>1603</v>
      </c>
      <c r="D1386" t="s">
        <v>364</v>
      </c>
      <c r="E1386" t="s">
        <v>119</v>
      </c>
      <c r="F1386" t="s">
        <v>318</v>
      </c>
      <c r="G1386" t="s">
        <v>324</v>
      </c>
      <c r="H1386">
        <v>0</v>
      </c>
      <c r="I1386" t="s">
        <v>379</v>
      </c>
    </row>
    <row r="1387" spans="1:9" x14ac:dyDescent="0.25">
      <c r="A1387" t="s">
        <v>2557</v>
      </c>
      <c r="B1387">
        <f t="shared" si="21"/>
        <v>9288</v>
      </c>
      <c r="C1387" t="s">
        <v>2558</v>
      </c>
      <c r="D1387" t="s">
        <v>364</v>
      </c>
      <c r="E1387" t="s">
        <v>119</v>
      </c>
      <c r="F1387" t="s">
        <v>327</v>
      </c>
      <c r="G1387" t="s">
        <v>23</v>
      </c>
      <c r="H1387">
        <v>0</v>
      </c>
      <c r="I1387" t="s">
        <v>397</v>
      </c>
    </row>
    <row r="1388" spans="1:9" x14ac:dyDescent="0.25">
      <c r="A1388" t="s">
        <v>2559</v>
      </c>
      <c r="B1388">
        <f t="shared" si="21"/>
        <v>9289</v>
      </c>
      <c r="C1388" t="s">
        <v>2560</v>
      </c>
      <c r="D1388" t="s">
        <v>364</v>
      </c>
      <c r="E1388" t="s">
        <v>119</v>
      </c>
      <c r="F1388" t="s">
        <v>318</v>
      </c>
      <c r="G1388" t="s">
        <v>324</v>
      </c>
      <c r="H1388">
        <v>0</v>
      </c>
      <c r="I1388" t="s">
        <v>379</v>
      </c>
    </row>
    <row r="1389" spans="1:9" x14ac:dyDescent="0.25">
      <c r="A1389" t="s">
        <v>1228</v>
      </c>
      <c r="B1389">
        <f t="shared" si="21"/>
        <v>9291</v>
      </c>
      <c r="C1389" t="s">
        <v>1229</v>
      </c>
      <c r="D1389" t="s">
        <v>364</v>
      </c>
      <c r="E1389" t="s">
        <v>81</v>
      </c>
      <c r="F1389" t="s">
        <v>81</v>
      </c>
      <c r="G1389" t="s">
        <v>81</v>
      </c>
      <c r="H1389">
        <v>0</v>
      </c>
      <c r="I1389" t="s">
        <v>1230</v>
      </c>
    </row>
    <row r="1390" spans="1:9" x14ac:dyDescent="0.25">
      <c r="A1390" t="s">
        <v>817</v>
      </c>
      <c r="B1390">
        <f t="shared" si="21"/>
        <v>9293</v>
      </c>
      <c r="C1390" t="s">
        <v>818</v>
      </c>
      <c r="D1390" t="s">
        <v>364</v>
      </c>
      <c r="E1390" t="s">
        <v>119</v>
      </c>
      <c r="F1390" t="s">
        <v>327</v>
      </c>
      <c r="G1390" t="s">
        <v>26</v>
      </c>
      <c r="H1390">
        <v>0</v>
      </c>
      <c r="I1390" t="s">
        <v>394</v>
      </c>
    </row>
    <row r="1391" spans="1:9" x14ac:dyDescent="0.25">
      <c r="A1391" t="s">
        <v>819</v>
      </c>
      <c r="B1391">
        <f t="shared" si="21"/>
        <v>9295</v>
      </c>
      <c r="C1391" t="s">
        <v>820</v>
      </c>
      <c r="D1391" t="s">
        <v>364</v>
      </c>
      <c r="E1391" t="s">
        <v>119</v>
      </c>
      <c r="F1391" t="s">
        <v>326</v>
      </c>
      <c r="G1391" t="s">
        <v>324</v>
      </c>
      <c r="H1391">
        <v>0</v>
      </c>
      <c r="I1391" t="s">
        <v>379</v>
      </c>
    </row>
    <row r="1392" spans="1:9" x14ac:dyDescent="0.25">
      <c r="A1392" t="s">
        <v>1231</v>
      </c>
      <c r="B1392">
        <f t="shared" si="21"/>
        <v>9297</v>
      </c>
      <c r="C1392" t="s">
        <v>1232</v>
      </c>
      <c r="D1392" t="s">
        <v>364</v>
      </c>
      <c r="E1392" t="s">
        <v>119</v>
      </c>
      <c r="F1392" t="s">
        <v>327</v>
      </c>
      <c r="G1392" t="s">
        <v>27</v>
      </c>
      <c r="H1392">
        <v>0</v>
      </c>
      <c r="I1392" t="s">
        <v>387</v>
      </c>
    </row>
    <row r="1393" spans="1:9" x14ac:dyDescent="0.25">
      <c r="A1393" t="s">
        <v>2561</v>
      </c>
      <c r="B1393">
        <f t="shared" si="21"/>
        <v>9298</v>
      </c>
      <c r="C1393" t="s">
        <v>2562</v>
      </c>
      <c r="D1393" t="s">
        <v>364</v>
      </c>
      <c r="E1393" t="s">
        <v>119</v>
      </c>
      <c r="F1393" t="s">
        <v>318</v>
      </c>
      <c r="G1393" t="s">
        <v>324</v>
      </c>
      <c r="H1393">
        <v>0</v>
      </c>
      <c r="I1393" t="s">
        <v>379</v>
      </c>
    </row>
    <row r="1394" spans="1:9" x14ac:dyDescent="0.25">
      <c r="A1394" t="s">
        <v>469</v>
      </c>
      <c r="B1394">
        <f t="shared" si="21"/>
        <v>9299</v>
      </c>
      <c r="C1394" t="s">
        <v>470</v>
      </c>
      <c r="D1394" t="s">
        <v>364</v>
      </c>
      <c r="E1394" t="s">
        <v>119</v>
      </c>
      <c r="F1394" t="s">
        <v>327</v>
      </c>
      <c r="G1394" t="s">
        <v>324</v>
      </c>
      <c r="H1394">
        <v>0</v>
      </c>
      <c r="I1394" t="s">
        <v>379</v>
      </c>
    </row>
    <row r="1395" spans="1:9" x14ac:dyDescent="0.25">
      <c r="A1395" t="s">
        <v>2563</v>
      </c>
      <c r="B1395">
        <f t="shared" si="21"/>
        <v>9300</v>
      </c>
      <c r="C1395" t="s">
        <v>2564</v>
      </c>
      <c r="D1395" t="s">
        <v>364</v>
      </c>
      <c r="E1395" t="s">
        <v>81</v>
      </c>
      <c r="F1395" t="s">
        <v>81</v>
      </c>
      <c r="G1395" t="s">
        <v>81</v>
      </c>
      <c r="H1395">
        <v>0</v>
      </c>
      <c r="I1395" t="s">
        <v>2565</v>
      </c>
    </row>
    <row r="1396" spans="1:9" x14ac:dyDescent="0.25">
      <c r="A1396" t="s">
        <v>265</v>
      </c>
      <c r="B1396">
        <f t="shared" si="21"/>
        <v>9306</v>
      </c>
      <c r="C1396" t="s">
        <v>266</v>
      </c>
      <c r="D1396" t="s">
        <v>364</v>
      </c>
      <c r="E1396" t="s">
        <v>81</v>
      </c>
      <c r="F1396" t="s">
        <v>81</v>
      </c>
      <c r="G1396" t="s">
        <v>81</v>
      </c>
      <c r="H1396">
        <v>1</v>
      </c>
      <c r="I1396" t="s">
        <v>416</v>
      </c>
    </row>
    <row r="1397" spans="1:9" x14ac:dyDescent="0.25">
      <c r="A1397" t="s">
        <v>1604</v>
      </c>
      <c r="B1397">
        <f t="shared" si="21"/>
        <v>9307</v>
      </c>
      <c r="C1397" t="s">
        <v>1605</v>
      </c>
      <c r="D1397" t="s">
        <v>364</v>
      </c>
      <c r="E1397" t="s">
        <v>119</v>
      </c>
      <c r="F1397" t="s">
        <v>328</v>
      </c>
      <c r="G1397" t="s">
        <v>324</v>
      </c>
      <c r="H1397">
        <v>0</v>
      </c>
      <c r="I1397" t="s">
        <v>379</v>
      </c>
    </row>
    <row r="1398" spans="1:9" x14ac:dyDescent="0.25">
      <c r="A1398" t="s">
        <v>4399</v>
      </c>
      <c r="B1398">
        <f t="shared" si="21"/>
        <v>9308</v>
      </c>
      <c r="C1398" t="s">
        <v>4400</v>
      </c>
      <c r="D1398" t="s">
        <v>72</v>
      </c>
      <c r="E1398" t="s">
        <v>119</v>
      </c>
      <c r="F1398" t="s">
        <v>318</v>
      </c>
      <c r="G1398" t="s">
        <v>324</v>
      </c>
      <c r="H1398">
        <v>0</v>
      </c>
      <c r="I1398" t="s">
        <v>379</v>
      </c>
    </row>
    <row r="1399" spans="1:9" x14ac:dyDescent="0.25">
      <c r="A1399" t="s">
        <v>2566</v>
      </c>
      <c r="B1399">
        <f t="shared" si="21"/>
        <v>9312</v>
      </c>
      <c r="C1399" t="s">
        <v>2567</v>
      </c>
      <c r="D1399" t="s">
        <v>364</v>
      </c>
      <c r="E1399" t="s">
        <v>119</v>
      </c>
      <c r="F1399" t="s">
        <v>326</v>
      </c>
      <c r="G1399" t="s">
        <v>324</v>
      </c>
      <c r="H1399">
        <v>0</v>
      </c>
      <c r="I1399" t="s">
        <v>379</v>
      </c>
    </row>
    <row r="1400" spans="1:9" x14ac:dyDescent="0.25">
      <c r="A1400" t="s">
        <v>2568</v>
      </c>
      <c r="B1400">
        <f t="shared" si="21"/>
        <v>9315</v>
      </c>
      <c r="C1400" t="s">
        <v>2569</v>
      </c>
      <c r="D1400" t="s">
        <v>364</v>
      </c>
      <c r="E1400" t="s">
        <v>119</v>
      </c>
      <c r="F1400" t="s">
        <v>323</v>
      </c>
      <c r="G1400" t="s">
        <v>324</v>
      </c>
      <c r="H1400">
        <v>0</v>
      </c>
      <c r="I1400" t="s">
        <v>379</v>
      </c>
    </row>
    <row r="1401" spans="1:9" x14ac:dyDescent="0.25">
      <c r="A1401" t="s">
        <v>1233</v>
      </c>
      <c r="B1401">
        <f t="shared" si="21"/>
        <v>9317</v>
      </c>
      <c r="C1401" t="s">
        <v>1234</v>
      </c>
      <c r="D1401" t="s">
        <v>364</v>
      </c>
      <c r="E1401" t="s">
        <v>119</v>
      </c>
      <c r="F1401" t="s">
        <v>327</v>
      </c>
      <c r="G1401" t="s">
        <v>329</v>
      </c>
      <c r="H1401">
        <v>0</v>
      </c>
      <c r="I1401" t="s">
        <v>377</v>
      </c>
    </row>
    <row r="1402" spans="1:9" x14ac:dyDescent="0.25">
      <c r="A1402" t="s">
        <v>1606</v>
      </c>
      <c r="B1402">
        <f t="shared" si="21"/>
        <v>9318</v>
      </c>
      <c r="C1402" t="s">
        <v>1607</v>
      </c>
      <c r="D1402" t="s">
        <v>364</v>
      </c>
      <c r="E1402" t="s">
        <v>119</v>
      </c>
      <c r="F1402" t="s">
        <v>318</v>
      </c>
      <c r="G1402" t="s">
        <v>324</v>
      </c>
      <c r="H1402">
        <v>0</v>
      </c>
      <c r="I1402" t="s">
        <v>379</v>
      </c>
    </row>
    <row r="1403" spans="1:9" x14ac:dyDescent="0.25">
      <c r="A1403" t="s">
        <v>3336</v>
      </c>
      <c r="B1403">
        <f t="shared" si="21"/>
        <v>9320</v>
      </c>
      <c r="C1403" t="s">
        <v>3337</v>
      </c>
      <c r="D1403" t="s">
        <v>364</v>
      </c>
      <c r="E1403" t="s">
        <v>119</v>
      </c>
      <c r="F1403" t="s">
        <v>327</v>
      </c>
      <c r="G1403" t="s">
        <v>25</v>
      </c>
      <c r="H1403">
        <v>0</v>
      </c>
      <c r="I1403" t="s">
        <v>386</v>
      </c>
    </row>
    <row r="1404" spans="1:9" x14ac:dyDescent="0.25">
      <c r="A1404" t="s">
        <v>1235</v>
      </c>
      <c r="B1404">
        <f t="shared" si="21"/>
        <v>9329</v>
      </c>
      <c r="C1404" t="s">
        <v>1236</v>
      </c>
      <c r="D1404" t="s">
        <v>364</v>
      </c>
      <c r="E1404" t="s">
        <v>119</v>
      </c>
      <c r="F1404" t="s">
        <v>318</v>
      </c>
      <c r="G1404" t="s">
        <v>324</v>
      </c>
      <c r="H1404">
        <v>0</v>
      </c>
      <c r="I1404" t="s">
        <v>379</v>
      </c>
    </row>
    <row r="1405" spans="1:9" x14ac:dyDescent="0.25">
      <c r="A1405" t="s">
        <v>1608</v>
      </c>
      <c r="B1405">
        <f t="shared" si="21"/>
        <v>9337</v>
      </c>
      <c r="C1405" t="s">
        <v>1609</v>
      </c>
      <c r="D1405" t="s">
        <v>364</v>
      </c>
      <c r="E1405" t="s">
        <v>119</v>
      </c>
      <c r="F1405" t="s">
        <v>330</v>
      </c>
      <c r="G1405" t="s">
        <v>324</v>
      </c>
      <c r="H1405">
        <v>0</v>
      </c>
      <c r="I1405" t="s">
        <v>379</v>
      </c>
    </row>
    <row r="1406" spans="1:9" x14ac:dyDescent="0.25">
      <c r="A1406" t="s">
        <v>267</v>
      </c>
      <c r="B1406">
        <f t="shared" si="21"/>
        <v>9338</v>
      </c>
      <c r="C1406" t="s">
        <v>268</v>
      </c>
      <c r="D1406" t="s">
        <v>72</v>
      </c>
      <c r="E1406" t="s">
        <v>81</v>
      </c>
      <c r="F1406" t="s">
        <v>81</v>
      </c>
      <c r="G1406" t="s">
        <v>81</v>
      </c>
      <c r="H1406">
        <v>1</v>
      </c>
      <c r="I1406" t="s">
        <v>3767</v>
      </c>
    </row>
    <row r="1407" spans="1:9" x14ac:dyDescent="0.25">
      <c r="A1407" t="s">
        <v>2840</v>
      </c>
      <c r="B1407">
        <f t="shared" si="21"/>
        <v>9340</v>
      </c>
      <c r="C1407" t="s">
        <v>2841</v>
      </c>
      <c r="D1407" t="s">
        <v>72</v>
      </c>
      <c r="E1407" t="s">
        <v>119</v>
      </c>
      <c r="F1407" t="s">
        <v>318</v>
      </c>
      <c r="G1407" t="s">
        <v>324</v>
      </c>
      <c r="H1407">
        <v>0</v>
      </c>
      <c r="I1407" t="s">
        <v>379</v>
      </c>
    </row>
    <row r="1408" spans="1:9" x14ac:dyDescent="0.25">
      <c r="A1408" t="s">
        <v>3768</v>
      </c>
      <c r="B1408">
        <f t="shared" si="21"/>
        <v>9342</v>
      </c>
      <c r="C1408" t="s">
        <v>4267</v>
      </c>
      <c r="D1408" t="s">
        <v>72</v>
      </c>
      <c r="E1408" t="s">
        <v>119</v>
      </c>
      <c r="F1408" t="s">
        <v>326</v>
      </c>
      <c r="G1408" t="s">
        <v>27</v>
      </c>
      <c r="H1408">
        <v>0</v>
      </c>
      <c r="I1408" t="s">
        <v>387</v>
      </c>
    </row>
    <row r="1409" spans="1:9" x14ac:dyDescent="0.25">
      <c r="A1409" t="s">
        <v>4268</v>
      </c>
      <c r="B1409">
        <f t="shared" si="21"/>
        <v>9346</v>
      </c>
      <c r="C1409" t="s">
        <v>4269</v>
      </c>
      <c r="D1409" t="s">
        <v>72</v>
      </c>
      <c r="E1409" t="s">
        <v>119</v>
      </c>
      <c r="F1409" t="s">
        <v>467</v>
      </c>
      <c r="G1409" t="s">
        <v>329</v>
      </c>
      <c r="H1409">
        <v>0</v>
      </c>
      <c r="I1409" t="s">
        <v>377</v>
      </c>
    </row>
    <row r="1410" spans="1:9" x14ac:dyDescent="0.25">
      <c r="A1410" t="s">
        <v>4609</v>
      </c>
      <c r="B1410">
        <f t="shared" si="21"/>
        <v>9347</v>
      </c>
      <c r="C1410" t="s">
        <v>4610</v>
      </c>
      <c r="D1410" t="s">
        <v>72</v>
      </c>
      <c r="E1410" t="s">
        <v>119</v>
      </c>
      <c r="F1410" t="s">
        <v>318</v>
      </c>
      <c r="G1410" t="s">
        <v>28</v>
      </c>
      <c r="H1410">
        <v>0</v>
      </c>
      <c r="I1410" t="s">
        <v>376</v>
      </c>
    </row>
    <row r="1411" spans="1:9" x14ac:dyDescent="0.25">
      <c r="A1411" t="s">
        <v>4611</v>
      </c>
      <c r="B1411">
        <f t="shared" si="21"/>
        <v>9348</v>
      </c>
      <c r="C1411" t="s">
        <v>4612</v>
      </c>
      <c r="D1411" t="s">
        <v>364</v>
      </c>
      <c r="E1411" t="s">
        <v>119</v>
      </c>
      <c r="F1411" t="s">
        <v>327</v>
      </c>
      <c r="G1411" t="s">
        <v>312</v>
      </c>
      <c r="H1411">
        <v>0</v>
      </c>
      <c r="I1411" t="s">
        <v>382</v>
      </c>
    </row>
    <row r="1412" spans="1:9" x14ac:dyDescent="0.25">
      <c r="A1412" t="s">
        <v>3710</v>
      </c>
      <c r="B1412">
        <f t="shared" ref="B1412:B1475" si="22">_xlfn.NUMBERVALUE(A1412,"#####")</f>
        <v>9353</v>
      </c>
      <c r="C1412" t="s">
        <v>3711</v>
      </c>
      <c r="D1412" t="s">
        <v>72</v>
      </c>
      <c r="E1412" t="s">
        <v>119</v>
      </c>
      <c r="F1412" t="s">
        <v>325</v>
      </c>
      <c r="G1412" t="s">
        <v>324</v>
      </c>
      <c r="H1412">
        <v>0</v>
      </c>
      <c r="I1412" t="s">
        <v>379</v>
      </c>
    </row>
    <row r="1413" spans="1:9" x14ac:dyDescent="0.25">
      <c r="A1413" t="s">
        <v>705</v>
      </c>
      <c r="B1413">
        <f t="shared" si="22"/>
        <v>9354</v>
      </c>
      <c r="C1413" t="s">
        <v>706</v>
      </c>
      <c r="D1413" t="s">
        <v>364</v>
      </c>
      <c r="E1413" t="s">
        <v>119</v>
      </c>
      <c r="F1413" t="s">
        <v>327</v>
      </c>
      <c r="G1413" t="s">
        <v>72</v>
      </c>
      <c r="H1413">
        <v>0</v>
      </c>
      <c r="I1413" t="s">
        <v>390</v>
      </c>
    </row>
    <row r="1414" spans="1:9" x14ac:dyDescent="0.25">
      <c r="A1414" t="s">
        <v>3026</v>
      </c>
      <c r="B1414">
        <f t="shared" si="22"/>
        <v>9355</v>
      </c>
      <c r="C1414" t="s">
        <v>3027</v>
      </c>
      <c r="D1414" t="s">
        <v>364</v>
      </c>
      <c r="E1414" t="s">
        <v>119</v>
      </c>
      <c r="F1414" t="s">
        <v>318</v>
      </c>
      <c r="G1414" t="s">
        <v>312</v>
      </c>
      <c r="H1414">
        <v>0</v>
      </c>
      <c r="I1414" t="s">
        <v>382</v>
      </c>
    </row>
    <row r="1415" spans="1:9" x14ac:dyDescent="0.25">
      <c r="A1415" t="s">
        <v>4613</v>
      </c>
      <c r="B1415">
        <f t="shared" si="22"/>
        <v>9356</v>
      </c>
      <c r="C1415" t="s">
        <v>4614</v>
      </c>
      <c r="D1415" t="s">
        <v>72</v>
      </c>
      <c r="E1415" t="s">
        <v>81</v>
      </c>
      <c r="F1415" t="s">
        <v>81</v>
      </c>
      <c r="G1415" t="s">
        <v>81</v>
      </c>
      <c r="H1415">
        <v>0</v>
      </c>
      <c r="I1415" t="s">
        <v>4615</v>
      </c>
    </row>
    <row r="1416" spans="1:9" x14ac:dyDescent="0.25">
      <c r="A1416" t="s">
        <v>3712</v>
      </c>
      <c r="B1416">
        <f t="shared" si="22"/>
        <v>9362</v>
      </c>
      <c r="C1416" t="s">
        <v>3713</v>
      </c>
      <c r="D1416" t="s">
        <v>72</v>
      </c>
      <c r="E1416" t="s">
        <v>81</v>
      </c>
      <c r="F1416" t="s">
        <v>81</v>
      </c>
      <c r="G1416" t="s">
        <v>81</v>
      </c>
      <c r="H1416">
        <v>1</v>
      </c>
      <c r="I1416" t="s">
        <v>1019</v>
      </c>
    </row>
    <row r="1417" spans="1:9" x14ac:dyDescent="0.25">
      <c r="A1417" t="s">
        <v>2570</v>
      </c>
      <c r="B1417">
        <f t="shared" si="22"/>
        <v>9364</v>
      </c>
      <c r="C1417" t="s">
        <v>2571</v>
      </c>
      <c r="D1417" t="s">
        <v>364</v>
      </c>
      <c r="E1417" t="s">
        <v>119</v>
      </c>
      <c r="F1417" t="s">
        <v>323</v>
      </c>
      <c r="G1417" t="s">
        <v>324</v>
      </c>
      <c r="H1417">
        <v>0</v>
      </c>
      <c r="I1417" t="s">
        <v>379</v>
      </c>
    </row>
    <row r="1418" spans="1:9" x14ac:dyDescent="0.25">
      <c r="A1418" t="s">
        <v>269</v>
      </c>
      <c r="B1418">
        <f t="shared" si="22"/>
        <v>9365</v>
      </c>
      <c r="C1418" t="s">
        <v>270</v>
      </c>
      <c r="D1418" t="s">
        <v>364</v>
      </c>
      <c r="E1418" t="s">
        <v>119</v>
      </c>
      <c r="F1418" t="s">
        <v>325</v>
      </c>
      <c r="G1418" t="s">
        <v>324</v>
      </c>
      <c r="H1418">
        <v>0</v>
      </c>
      <c r="I1418" t="s">
        <v>379</v>
      </c>
    </row>
    <row r="1419" spans="1:9" x14ac:dyDescent="0.25">
      <c r="A1419" t="s">
        <v>3769</v>
      </c>
      <c r="B1419">
        <f t="shared" si="22"/>
        <v>9372</v>
      </c>
      <c r="C1419" t="s">
        <v>3770</v>
      </c>
      <c r="D1419" t="s">
        <v>364</v>
      </c>
      <c r="E1419" t="s">
        <v>119</v>
      </c>
      <c r="F1419" t="s">
        <v>326</v>
      </c>
      <c r="G1419" t="s">
        <v>324</v>
      </c>
      <c r="H1419">
        <v>0</v>
      </c>
      <c r="I1419" t="s">
        <v>379</v>
      </c>
    </row>
    <row r="1420" spans="1:9" x14ac:dyDescent="0.25">
      <c r="A1420" t="s">
        <v>983</v>
      </c>
      <c r="B1420">
        <f t="shared" si="22"/>
        <v>9374</v>
      </c>
      <c r="C1420" t="s">
        <v>984</v>
      </c>
      <c r="D1420" t="s">
        <v>364</v>
      </c>
      <c r="E1420" t="s">
        <v>119</v>
      </c>
      <c r="F1420" t="s">
        <v>327</v>
      </c>
      <c r="G1420" t="s">
        <v>329</v>
      </c>
      <c r="H1420">
        <v>0</v>
      </c>
      <c r="I1420" t="s">
        <v>377</v>
      </c>
    </row>
    <row r="1421" spans="1:9" x14ac:dyDescent="0.25">
      <c r="A1421" t="s">
        <v>1610</v>
      </c>
      <c r="B1421">
        <f t="shared" si="22"/>
        <v>9375</v>
      </c>
      <c r="C1421" t="s">
        <v>1611</v>
      </c>
      <c r="D1421" t="s">
        <v>364</v>
      </c>
      <c r="E1421" t="s">
        <v>119</v>
      </c>
      <c r="F1421" t="s">
        <v>327</v>
      </c>
      <c r="G1421" t="s">
        <v>324</v>
      </c>
      <c r="H1421">
        <v>0</v>
      </c>
      <c r="I1421" t="s">
        <v>379</v>
      </c>
    </row>
    <row r="1422" spans="1:9" x14ac:dyDescent="0.25">
      <c r="A1422" t="s">
        <v>1612</v>
      </c>
      <c r="B1422">
        <f t="shared" si="22"/>
        <v>9377</v>
      </c>
      <c r="C1422" t="s">
        <v>1613</v>
      </c>
      <c r="D1422" t="s">
        <v>364</v>
      </c>
      <c r="E1422" t="s">
        <v>119</v>
      </c>
      <c r="F1422" t="s">
        <v>326</v>
      </c>
      <c r="G1422" t="s">
        <v>23</v>
      </c>
      <c r="H1422">
        <v>0</v>
      </c>
      <c r="I1422" t="s">
        <v>397</v>
      </c>
    </row>
    <row r="1423" spans="1:9" x14ac:dyDescent="0.25">
      <c r="A1423" t="s">
        <v>2572</v>
      </c>
      <c r="B1423">
        <f t="shared" si="22"/>
        <v>9380</v>
      </c>
      <c r="C1423" t="s">
        <v>2573</v>
      </c>
      <c r="D1423" t="s">
        <v>364</v>
      </c>
      <c r="E1423" t="s">
        <v>119</v>
      </c>
      <c r="F1423" t="s">
        <v>318</v>
      </c>
      <c r="G1423" t="s">
        <v>324</v>
      </c>
      <c r="H1423">
        <v>0</v>
      </c>
      <c r="I1423" t="s">
        <v>379</v>
      </c>
    </row>
    <row r="1424" spans="1:9" x14ac:dyDescent="0.25">
      <c r="A1424" t="s">
        <v>2574</v>
      </c>
      <c r="B1424">
        <f t="shared" si="22"/>
        <v>9382</v>
      </c>
      <c r="C1424" t="s">
        <v>2575</v>
      </c>
      <c r="D1424" t="s">
        <v>364</v>
      </c>
      <c r="E1424" t="s">
        <v>119</v>
      </c>
      <c r="F1424" t="s">
        <v>326</v>
      </c>
      <c r="G1424" t="s">
        <v>324</v>
      </c>
      <c r="H1424">
        <v>0</v>
      </c>
      <c r="I1424" t="s">
        <v>379</v>
      </c>
    </row>
    <row r="1425" spans="1:9" x14ac:dyDescent="0.25">
      <c r="A1425" t="s">
        <v>3229</v>
      </c>
      <c r="B1425">
        <f t="shared" si="22"/>
        <v>9386</v>
      </c>
      <c r="C1425" t="s">
        <v>3230</v>
      </c>
      <c r="D1425" t="s">
        <v>364</v>
      </c>
      <c r="E1425" t="s">
        <v>119</v>
      </c>
      <c r="F1425" t="s">
        <v>326</v>
      </c>
      <c r="G1425" t="s">
        <v>324</v>
      </c>
      <c r="H1425">
        <v>0</v>
      </c>
      <c r="I1425" t="s">
        <v>379</v>
      </c>
    </row>
    <row r="1426" spans="1:9" x14ac:dyDescent="0.25">
      <c r="A1426" t="s">
        <v>2576</v>
      </c>
      <c r="B1426">
        <f t="shared" si="22"/>
        <v>9400</v>
      </c>
      <c r="C1426" t="s">
        <v>2577</v>
      </c>
      <c r="D1426" t="s">
        <v>364</v>
      </c>
      <c r="E1426" t="s">
        <v>119</v>
      </c>
      <c r="F1426" t="s">
        <v>318</v>
      </c>
      <c r="G1426" t="s">
        <v>324</v>
      </c>
      <c r="H1426">
        <v>0</v>
      </c>
      <c r="I1426" t="s">
        <v>379</v>
      </c>
    </row>
    <row r="1427" spans="1:9" x14ac:dyDescent="0.25">
      <c r="A1427" t="s">
        <v>4270</v>
      </c>
      <c r="B1427">
        <f t="shared" si="22"/>
        <v>9455</v>
      </c>
      <c r="C1427" t="s">
        <v>4271</v>
      </c>
      <c r="D1427" t="s">
        <v>364</v>
      </c>
      <c r="E1427" t="s">
        <v>119</v>
      </c>
      <c r="F1427" t="s">
        <v>327</v>
      </c>
      <c r="G1427" t="s">
        <v>324</v>
      </c>
      <c r="H1427">
        <v>0</v>
      </c>
      <c r="I1427" t="s">
        <v>379</v>
      </c>
    </row>
    <row r="1428" spans="1:9" x14ac:dyDescent="0.25">
      <c r="A1428" t="s">
        <v>4112</v>
      </c>
      <c r="B1428">
        <f t="shared" si="22"/>
        <v>9456</v>
      </c>
      <c r="C1428" t="s">
        <v>4113</v>
      </c>
      <c r="D1428" t="s">
        <v>72</v>
      </c>
      <c r="E1428" t="s">
        <v>119</v>
      </c>
      <c r="F1428" t="s">
        <v>327</v>
      </c>
      <c r="G1428" t="s">
        <v>324</v>
      </c>
      <c r="H1428">
        <v>0</v>
      </c>
      <c r="I1428" t="s">
        <v>379</v>
      </c>
    </row>
    <row r="1429" spans="1:9" x14ac:dyDescent="0.25">
      <c r="A1429" t="s">
        <v>1237</v>
      </c>
      <c r="B1429">
        <f t="shared" si="22"/>
        <v>9457</v>
      </c>
      <c r="C1429" t="s">
        <v>1238</v>
      </c>
      <c r="D1429" t="s">
        <v>364</v>
      </c>
      <c r="E1429" t="s">
        <v>119</v>
      </c>
      <c r="F1429" t="s">
        <v>318</v>
      </c>
      <c r="G1429" t="s">
        <v>312</v>
      </c>
      <c r="H1429">
        <v>0</v>
      </c>
      <c r="I1429" t="s">
        <v>382</v>
      </c>
    </row>
    <row r="1430" spans="1:9" x14ac:dyDescent="0.25">
      <c r="A1430" t="s">
        <v>2804</v>
      </c>
      <c r="B1430">
        <f t="shared" si="22"/>
        <v>9461</v>
      </c>
      <c r="C1430" t="s">
        <v>2805</v>
      </c>
      <c r="D1430" t="s">
        <v>364</v>
      </c>
      <c r="E1430" t="s">
        <v>119</v>
      </c>
      <c r="F1430" t="s">
        <v>1717</v>
      </c>
      <c r="G1430" t="s">
        <v>324</v>
      </c>
      <c r="H1430">
        <v>0</v>
      </c>
      <c r="I1430" t="s">
        <v>379</v>
      </c>
    </row>
    <row r="1431" spans="1:9" x14ac:dyDescent="0.25">
      <c r="A1431" t="s">
        <v>1701</v>
      </c>
      <c r="B1431">
        <f t="shared" si="22"/>
        <v>9463</v>
      </c>
      <c r="C1431" t="s">
        <v>1702</v>
      </c>
      <c r="D1431" t="s">
        <v>364</v>
      </c>
      <c r="E1431" t="s">
        <v>119</v>
      </c>
      <c r="F1431" t="s">
        <v>327</v>
      </c>
      <c r="G1431" t="s">
        <v>329</v>
      </c>
      <c r="H1431">
        <v>0</v>
      </c>
      <c r="I1431" t="s">
        <v>377</v>
      </c>
    </row>
    <row r="1432" spans="1:9" x14ac:dyDescent="0.25">
      <c r="A1432" t="s">
        <v>1239</v>
      </c>
      <c r="B1432">
        <f t="shared" si="22"/>
        <v>9475</v>
      </c>
      <c r="C1432" t="s">
        <v>1240</v>
      </c>
      <c r="D1432" t="s">
        <v>364</v>
      </c>
      <c r="E1432" t="s">
        <v>119</v>
      </c>
      <c r="F1432" t="s">
        <v>318</v>
      </c>
      <c r="G1432" t="s">
        <v>324</v>
      </c>
      <c r="H1432">
        <v>0</v>
      </c>
      <c r="I1432" t="s">
        <v>379</v>
      </c>
    </row>
    <row r="1433" spans="1:9" x14ac:dyDescent="0.25">
      <c r="A1433" t="s">
        <v>1614</v>
      </c>
      <c r="B1433">
        <f t="shared" si="22"/>
        <v>9489</v>
      </c>
      <c r="C1433" t="s">
        <v>1615</v>
      </c>
      <c r="D1433" t="s">
        <v>72</v>
      </c>
      <c r="E1433" t="s">
        <v>81</v>
      </c>
      <c r="F1433" t="s">
        <v>81</v>
      </c>
      <c r="G1433" t="s">
        <v>81</v>
      </c>
      <c r="H1433">
        <v>0</v>
      </c>
      <c r="I1433" t="s">
        <v>409</v>
      </c>
    </row>
    <row r="1434" spans="1:9" x14ac:dyDescent="0.25">
      <c r="A1434" t="s">
        <v>2578</v>
      </c>
      <c r="B1434">
        <f t="shared" si="22"/>
        <v>9494</v>
      </c>
      <c r="C1434" t="s">
        <v>2579</v>
      </c>
      <c r="D1434" t="s">
        <v>364</v>
      </c>
      <c r="E1434" t="s">
        <v>119</v>
      </c>
      <c r="F1434" t="s">
        <v>327</v>
      </c>
      <c r="G1434" t="s">
        <v>324</v>
      </c>
      <c r="H1434">
        <v>0</v>
      </c>
      <c r="I1434" t="s">
        <v>379</v>
      </c>
    </row>
    <row r="1435" spans="1:9" x14ac:dyDescent="0.25">
      <c r="A1435" t="s">
        <v>929</v>
      </c>
      <c r="B1435">
        <f t="shared" si="22"/>
        <v>9503</v>
      </c>
      <c r="C1435" t="s">
        <v>930</v>
      </c>
      <c r="D1435" t="s">
        <v>364</v>
      </c>
      <c r="E1435" t="s">
        <v>119</v>
      </c>
      <c r="F1435" t="s">
        <v>326</v>
      </c>
      <c r="G1435" t="s">
        <v>312</v>
      </c>
      <c r="H1435">
        <v>0</v>
      </c>
      <c r="I1435" t="s">
        <v>382</v>
      </c>
    </row>
    <row r="1436" spans="1:9" x14ac:dyDescent="0.25">
      <c r="A1436" t="s">
        <v>1617</v>
      </c>
      <c r="B1436">
        <f t="shared" si="22"/>
        <v>9506</v>
      </c>
      <c r="C1436" t="s">
        <v>1618</v>
      </c>
      <c r="D1436" t="s">
        <v>364</v>
      </c>
      <c r="E1436" t="s">
        <v>81</v>
      </c>
      <c r="F1436" t="s">
        <v>81</v>
      </c>
      <c r="G1436" t="s">
        <v>81</v>
      </c>
      <c r="H1436">
        <v>0</v>
      </c>
      <c r="I1436" t="s">
        <v>409</v>
      </c>
    </row>
    <row r="1437" spans="1:9" x14ac:dyDescent="0.25">
      <c r="A1437" t="s">
        <v>3028</v>
      </c>
      <c r="B1437">
        <f t="shared" si="22"/>
        <v>9509</v>
      </c>
      <c r="C1437" t="s">
        <v>3029</v>
      </c>
      <c r="D1437" t="s">
        <v>364</v>
      </c>
      <c r="E1437" t="s">
        <v>119</v>
      </c>
      <c r="F1437" t="s">
        <v>325</v>
      </c>
      <c r="G1437" t="s">
        <v>312</v>
      </c>
      <c r="H1437">
        <v>0</v>
      </c>
      <c r="I1437" t="s">
        <v>382</v>
      </c>
    </row>
    <row r="1438" spans="1:9" x14ac:dyDescent="0.25">
      <c r="A1438" t="s">
        <v>2892</v>
      </c>
      <c r="B1438">
        <f t="shared" si="22"/>
        <v>9511</v>
      </c>
      <c r="C1438" t="s">
        <v>1616</v>
      </c>
      <c r="D1438" t="s">
        <v>364</v>
      </c>
      <c r="E1438" t="s">
        <v>119</v>
      </c>
      <c r="F1438" t="s">
        <v>327</v>
      </c>
      <c r="G1438" t="s">
        <v>324</v>
      </c>
      <c r="H1438">
        <v>0</v>
      </c>
      <c r="I1438" t="s">
        <v>379</v>
      </c>
    </row>
    <row r="1439" spans="1:9" x14ac:dyDescent="0.25">
      <c r="A1439" t="s">
        <v>4272</v>
      </c>
      <c r="B1439">
        <f t="shared" si="22"/>
        <v>9514</v>
      </c>
      <c r="C1439" t="s">
        <v>4273</v>
      </c>
      <c r="D1439" t="s">
        <v>72</v>
      </c>
      <c r="E1439" t="s">
        <v>119</v>
      </c>
      <c r="F1439" t="s">
        <v>318</v>
      </c>
      <c r="G1439" t="s">
        <v>29</v>
      </c>
      <c r="H1439">
        <v>0</v>
      </c>
      <c r="I1439" t="s">
        <v>391</v>
      </c>
    </row>
    <row r="1440" spans="1:9" x14ac:dyDescent="0.25">
      <c r="A1440" t="s">
        <v>4274</v>
      </c>
      <c r="B1440">
        <f t="shared" si="22"/>
        <v>9519</v>
      </c>
      <c r="C1440" t="s">
        <v>4275</v>
      </c>
      <c r="D1440" t="s">
        <v>72</v>
      </c>
      <c r="E1440" t="s">
        <v>119</v>
      </c>
      <c r="F1440" t="s">
        <v>467</v>
      </c>
      <c r="G1440" t="s">
        <v>312</v>
      </c>
      <c r="H1440">
        <v>0</v>
      </c>
      <c r="I1440" t="s">
        <v>382</v>
      </c>
    </row>
    <row r="1441" spans="1:9" x14ac:dyDescent="0.25">
      <c r="A1441" t="s">
        <v>271</v>
      </c>
      <c r="B1441">
        <f t="shared" si="22"/>
        <v>9520</v>
      </c>
      <c r="C1441" t="s">
        <v>272</v>
      </c>
      <c r="D1441" t="s">
        <v>72</v>
      </c>
      <c r="E1441" t="s">
        <v>119</v>
      </c>
      <c r="F1441" t="s">
        <v>326</v>
      </c>
      <c r="G1441" t="s">
        <v>75</v>
      </c>
      <c r="H1441">
        <v>0</v>
      </c>
      <c r="I1441" t="s">
        <v>532</v>
      </c>
    </row>
    <row r="1442" spans="1:9" x14ac:dyDescent="0.25">
      <c r="A1442" t="s">
        <v>3911</v>
      </c>
      <c r="B1442">
        <f t="shared" si="22"/>
        <v>9522</v>
      </c>
      <c r="C1442" t="s">
        <v>3912</v>
      </c>
      <c r="D1442" t="s">
        <v>72</v>
      </c>
      <c r="E1442" t="s">
        <v>119</v>
      </c>
      <c r="F1442" t="s">
        <v>327</v>
      </c>
      <c r="G1442" t="s">
        <v>329</v>
      </c>
      <c r="H1442">
        <v>0</v>
      </c>
      <c r="I1442" t="s">
        <v>377</v>
      </c>
    </row>
    <row r="1443" spans="1:9" x14ac:dyDescent="0.25">
      <c r="A1443" t="s">
        <v>2580</v>
      </c>
      <c r="B1443">
        <f t="shared" si="22"/>
        <v>9534</v>
      </c>
      <c r="C1443" t="s">
        <v>2581</v>
      </c>
      <c r="D1443" t="s">
        <v>364</v>
      </c>
      <c r="E1443" t="s">
        <v>119</v>
      </c>
      <c r="F1443" t="s">
        <v>326</v>
      </c>
      <c r="G1443" t="s">
        <v>324</v>
      </c>
      <c r="H1443">
        <v>0</v>
      </c>
      <c r="I1443" t="s">
        <v>379</v>
      </c>
    </row>
    <row r="1444" spans="1:9" x14ac:dyDescent="0.25">
      <c r="A1444" t="s">
        <v>4276</v>
      </c>
      <c r="B1444">
        <f t="shared" si="22"/>
        <v>9536</v>
      </c>
      <c r="C1444" t="s">
        <v>4277</v>
      </c>
      <c r="D1444" t="s">
        <v>72</v>
      </c>
      <c r="E1444" t="s">
        <v>119</v>
      </c>
      <c r="F1444" t="s">
        <v>327</v>
      </c>
      <c r="G1444" t="s">
        <v>324</v>
      </c>
      <c r="H1444">
        <v>0</v>
      </c>
      <c r="I1444" t="s">
        <v>379</v>
      </c>
    </row>
    <row r="1445" spans="1:9" x14ac:dyDescent="0.25">
      <c r="A1445" t="s">
        <v>2582</v>
      </c>
      <c r="B1445">
        <f t="shared" si="22"/>
        <v>9540</v>
      </c>
      <c r="C1445" t="s">
        <v>2583</v>
      </c>
      <c r="D1445" t="s">
        <v>364</v>
      </c>
      <c r="E1445" t="s">
        <v>119</v>
      </c>
      <c r="F1445" t="s">
        <v>327</v>
      </c>
      <c r="G1445" t="s">
        <v>324</v>
      </c>
      <c r="H1445">
        <v>0</v>
      </c>
      <c r="I1445" t="s">
        <v>379</v>
      </c>
    </row>
    <row r="1446" spans="1:9" x14ac:dyDescent="0.25">
      <c r="A1446" t="s">
        <v>273</v>
      </c>
      <c r="B1446">
        <f t="shared" si="22"/>
        <v>9542</v>
      </c>
      <c r="C1446" t="s">
        <v>274</v>
      </c>
      <c r="D1446" t="s">
        <v>72</v>
      </c>
      <c r="E1446" t="s">
        <v>119</v>
      </c>
      <c r="F1446" t="s">
        <v>318</v>
      </c>
      <c r="G1446" t="s">
        <v>72</v>
      </c>
      <c r="H1446">
        <v>0</v>
      </c>
      <c r="I1446" t="s">
        <v>390</v>
      </c>
    </row>
    <row r="1447" spans="1:9" x14ac:dyDescent="0.25">
      <c r="A1447" t="s">
        <v>1619</v>
      </c>
      <c r="B1447">
        <f t="shared" si="22"/>
        <v>9552</v>
      </c>
      <c r="C1447" t="s">
        <v>1620</v>
      </c>
      <c r="D1447" t="s">
        <v>364</v>
      </c>
      <c r="E1447" t="s">
        <v>119</v>
      </c>
      <c r="F1447" t="s">
        <v>318</v>
      </c>
      <c r="G1447" t="s">
        <v>26</v>
      </c>
      <c r="H1447">
        <v>0</v>
      </c>
      <c r="I1447" t="s">
        <v>394</v>
      </c>
    </row>
    <row r="1448" spans="1:9" x14ac:dyDescent="0.25">
      <c r="A1448" t="s">
        <v>2584</v>
      </c>
      <c r="B1448">
        <f t="shared" si="22"/>
        <v>9554</v>
      </c>
      <c r="C1448" t="s">
        <v>2585</v>
      </c>
      <c r="D1448" t="s">
        <v>72</v>
      </c>
      <c r="E1448" t="s">
        <v>119</v>
      </c>
      <c r="F1448" t="s">
        <v>318</v>
      </c>
      <c r="G1448" t="s">
        <v>29</v>
      </c>
      <c r="H1448">
        <v>0</v>
      </c>
      <c r="I1448" t="s">
        <v>384</v>
      </c>
    </row>
    <row r="1449" spans="1:9" x14ac:dyDescent="0.25">
      <c r="A1449" t="s">
        <v>1241</v>
      </c>
      <c r="B1449">
        <f t="shared" si="22"/>
        <v>9555</v>
      </c>
      <c r="C1449" t="s">
        <v>1242</v>
      </c>
      <c r="D1449" t="s">
        <v>72</v>
      </c>
      <c r="E1449" t="s">
        <v>119</v>
      </c>
      <c r="F1449" t="s">
        <v>467</v>
      </c>
      <c r="G1449" t="s">
        <v>329</v>
      </c>
      <c r="H1449">
        <v>0</v>
      </c>
      <c r="I1449" t="s">
        <v>390</v>
      </c>
    </row>
    <row r="1450" spans="1:9" x14ac:dyDescent="0.25">
      <c r="A1450" t="s">
        <v>3098</v>
      </c>
      <c r="B1450">
        <f t="shared" si="22"/>
        <v>9557</v>
      </c>
      <c r="C1450" t="s">
        <v>3099</v>
      </c>
      <c r="D1450" t="s">
        <v>72</v>
      </c>
      <c r="E1450" t="s">
        <v>119</v>
      </c>
      <c r="F1450" t="s">
        <v>467</v>
      </c>
      <c r="G1450" t="s">
        <v>29</v>
      </c>
      <c r="H1450">
        <v>0</v>
      </c>
      <c r="I1450" t="s">
        <v>391</v>
      </c>
    </row>
    <row r="1451" spans="1:9" x14ac:dyDescent="0.25">
      <c r="A1451" t="s">
        <v>1243</v>
      </c>
      <c r="B1451">
        <f t="shared" si="22"/>
        <v>9559</v>
      </c>
      <c r="C1451" t="s">
        <v>1244</v>
      </c>
      <c r="D1451" t="s">
        <v>72</v>
      </c>
      <c r="E1451" t="s">
        <v>119</v>
      </c>
      <c r="F1451" t="s">
        <v>328</v>
      </c>
      <c r="G1451" t="s">
        <v>72</v>
      </c>
      <c r="H1451">
        <v>0</v>
      </c>
      <c r="I1451" t="s">
        <v>390</v>
      </c>
    </row>
    <row r="1452" spans="1:9" x14ac:dyDescent="0.25">
      <c r="A1452" t="s">
        <v>2586</v>
      </c>
      <c r="B1452">
        <f t="shared" si="22"/>
        <v>9561</v>
      </c>
      <c r="C1452" t="s">
        <v>2587</v>
      </c>
      <c r="D1452" t="s">
        <v>364</v>
      </c>
      <c r="E1452" t="s">
        <v>119</v>
      </c>
      <c r="F1452" t="s">
        <v>323</v>
      </c>
      <c r="G1452" t="s">
        <v>25</v>
      </c>
      <c r="H1452">
        <v>0</v>
      </c>
      <c r="I1452" t="s">
        <v>386</v>
      </c>
    </row>
    <row r="1453" spans="1:9" x14ac:dyDescent="0.25">
      <c r="A1453" t="s">
        <v>2588</v>
      </c>
      <c r="B1453">
        <f t="shared" si="22"/>
        <v>9563</v>
      </c>
      <c r="C1453" t="s">
        <v>2589</v>
      </c>
      <c r="D1453" t="s">
        <v>364</v>
      </c>
      <c r="E1453" t="s">
        <v>119</v>
      </c>
      <c r="F1453" t="s">
        <v>318</v>
      </c>
      <c r="G1453" t="s">
        <v>29</v>
      </c>
      <c r="H1453">
        <v>0</v>
      </c>
      <c r="I1453" t="s">
        <v>391</v>
      </c>
    </row>
    <row r="1454" spans="1:9" x14ac:dyDescent="0.25">
      <c r="A1454" t="s">
        <v>985</v>
      </c>
      <c r="B1454">
        <f t="shared" si="22"/>
        <v>9566</v>
      </c>
      <c r="C1454" t="s">
        <v>986</v>
      </c>
      <c r="D1454" t="s">
        <v>364</v>
      </c>
      <c r="E1454" t="s">
        <v>119</v>
      </c>
      <c r="F1454" t="s">
        <v>327</v>
      </c>
      <c r="G1454" t="s">
        <v>324</v>
      </c>
      <c r="H1454">
        <v>0</v>
      </c>
      <c r="I1454" t="s">
        <v>379</v>
      </c>
    </row>
    <row r="1455" spans="1:9" x14ac:dyDescent="0.25">
      <c r="A1455" t="s">
        <v>931</v>
      </c>
      <c r="B1455">
        <f t="shared" si="22"/>
        <v>9570</v>
      </c>
      <c r="C1455" t="s">
        <v>932</v>
      </c>
      <c r="D1455" t="s">
        <v>72</v>
      </c>
      <c r="E1455" t="s">
        <v>119</v>
      </c>
      <c r="F1455" t="s">
        <v>327</v>
      </c>
      <c r="G1455" t="s">
        <v>324</v>
      </c>
      <c r="H1455">
        <v>0</v>
      </c>
      <c r="I1455" t="s">
        <v>379</v>
      </c>
    </row>
    <row r="1456" spans="1:9" x14ac:dyDescent="0.25">
      <c r="A1456" t="s">
        <v>2590</v>
      </c>
      <c r="B1456">
        <f t="shared" si="22"/>
        <v>9575</v>
      </c>
      <c r="C1456" t="s">
        <v>2591</v>
      </c>
      <c r="D1456" t="s">
        <v>364</v>
      </c>
      <c r="E1456" t="s">
        <v>119</v>
      </c>
      <c r="F1456" t="s">
        <v>327</v>
      </c>
      <c r="G1456" t="s">
        <v>29</v>
      </c>
      <c r="H1456">
        <v>0</v>
      </c>
      <c r="I1456" t="s">
        <v>391</v>
      </c>
    </row>
    <row r="1457" spans="1:9" x14ac:dyDescent="0.25">
      <c r="A1457" t="s">
        <v>4022</v>
      </c>
      <c r="B1457">
        <f t="shared" si="22"/>
        <v>9581</v>
      </c>
      <c r="C1457" t="s">
        <v>4023</v>
      </c>
      <c r="D1457" t="s">
        <v>364</v>
      </c>
      <c r="E1457" t="s">
        <v>119</v>
      </c>
      <c r="F1457" t="s">
        <v>327</v>
      </c>
      <c r="G1457" t="s">
        <v>324</v>
      </c>
      <c r="H1457">
        <v>0</v>
      </c>
      <c r="I1457" t="s">
        <v>379</v>
      </c>
    </row>
    <row r="1458" spans="1:9" x14ac:dyDescent="0.25">
      <c r="A1458" t="s">
        <v>3714</v>
      </c>
      <c r="B1458">
        <f t="shared" si="22"/>
        <v>9582</v>
      </c>
      <c r="C1458" t="s">
        <v>3715</v>
      </c>
      <c r="D1458" t="s">
        <v>72</v>
      </c>
      <c r="E1458" t="s">
        <v>81</v>
      </c>
      <c r="F1458" t="s">
        <v>81</v>
      </c>
      <c r="G1458" t="s">
        <v>81</v>
      </c>
      <c r="H1458">
        <v>0</v>
      </c>
      <c r="I1458" t="s">
        <v>418</v>
      </c>
    </row>
    <row r="1459" spans="1:9" x14ac:dyDescent="0.25">
      <c r="A1459" t="s">
        <v>2592</v>
      </c>
      <c r="B1459">
        <f t="shared" si="22"/>
        <v>9612</v>
      </c>
      <c r="C1459" t="s">
        <v>2593</v>
      </c>
      <c r="D1459" t="s">
        <v>364</v>
      </c>
      <c r="E1459" t="s">
        <v>119</v>
      </c>
      <c r="F1459" t="s">
        <v>326</v>
      </c>
      <c r="G1459" t="s">
        <v>312</v>
      </c>
      <c r="H1459">
        <v>0</v>
      </c>
      <c r="I1459" t="s">
        <v>382</v>
      </c>
    </row>
    <row r="1460" spans="1:9" x14ac:dyDescent="0.25">
      <c r="A1460" t="s">
        <v>1245</v>
      </c>
      <c r="B1460">
        <f t="shared" si="22"/>
        <v>9613</v>
      </c>
      <c r="C1460" t="s">
        <v>1246</v>
      </c>
      <c r="D1460" t="s">
        <v>364</v>
      </c>
      <c r="E1460" t="s">
        <v>119</v>
      </c>
      <c r="F1460" t="s">
        <v>327</v>
      </c>
      <c r="G1460" t="s">
        <v>324</v>
      </c>
      <c r="H1460">
        <v>0</v>
      </c>
      <c r="I1460" t="s">
        <v>379</v>
      </c>
    </row>
    <row r="1461" spans="1:9" x14ac:dyDescent="0.25">
      <c r="A1461" t="s">
        <v>2594</v>
      </c>
      <c r="B1461">
        <f t="shared" si="22"/>
        <v>9615</v>
      </c>
      <c r="C1461" t="s">
        <v>2595</v>
      </c>
      <c r="D1461" t="s">
        <v>364</v>
      </c>
      <c r="E1461" t="s">
        <v>119</v>
      </c>
      <c r="F1461" t="s">
        <v>664</v>
      </c>
      <c r="G1461" t="s">
        <v>25</v>
      </c>
      <c r="H1461">
        <v>0</v>
      </c>
      <c r="I1461" t="s">
        <v>386</v>
      </c>
    </row>
    <row r="1462" spans="1:9" x14ac:dyDescent="0.25">
      <c r="A1462" t="s">
        <v>3080</v>
      </c>
      <c r="B1462">
        <f t="shared" si="22"/>
        <v>9618</v>
      </c>
      <c r="C1462" t="s">
        <v>3081</v>
      </c>
      <c r="D1462" t="s">
        <v>364</v>
      </c>
      <c r="E1462" t="s">
        <v>119</v>
      </c>
      <c r="F1462" t="s">
        <v>327</v>
      </c>
      <c r="G1462" t="s">
        <v>346</v>
      </c>
      <c r="H1462">
        <v>0</v>
      </c>
      <c r="I1462" t="s">
        <v>380</v>
      </c>
    </row>
    <row r="1463" spans="1:9" x14ac:dyDescent="0.25">
      <c r="A1463" t="s">
        <v>707</v>
      </c>
      <c r="B1463">
        <f t="shared" si="22"/>
        <v>9620</v>
      </c>
      <c r="C1463" t="s">
        <v>708</v>
      </c>
      <c r="D1463" t="s">
        <v>364</v>
      </c>
      <c r="E1463" t="s">
        <v>119</v>
      </c>
      <c r="F1463" t="s">
        <v>327</v>
      </c>
      <c r="G1463" t="s">
        <v>24</v>
      </c>
      <c r="H1463">
        <v>0</v>
      </c>
      <c r="I1463" t="s">
        <v>383</v>
      </c>
    </row>
    <row r="1464" spans="1:9" x14ac:dyDescent="0.25">
      <c r="A1464" t="s">
        <v>821</v>
      </c>
      <c r="B1464">
        <f t="shared" si="22"/>
        <v>9627</v>
      </c>
      <c r="C1464" t="s">
        <v>822</v>
      </c>
      <c r="D1464" t="s">
        <v>364</v>
      </c>
      <c r="E1464" t="s">
        <v>119</v>
      </c>
      <c r="F1464" t="s">
        <v>872</v>
      </c>
      <c r="G1464" t="s">
        <v>324</v>
      </c>
      <c r="H1464">
        <v>0</v>
      </c>
      <c r="I1464" t="s">
        <v>379</v>
      </c>
    </row>
    <row r="1465" spans="1:9" x14ac:dyDescent="0.25">
      <c r="A1465" t="s">
        <v>275</v>
      </c>
      <c r="B1465">
        <f t="shared" si="22"/>
        <v>9628</v>
      </c>
      <c r="C1465" t="s">
        <v>276</v>
      </c>
      <c r="D1465" t="s">
        <v>72</v>
      </c>
      <c r="E1465" t="s">
        <v>81</v>
      </c>
      <c r="F1465" t="s">
        <v>81</v>
      </c>
      <c r="G1465" t="s">
        <v>81</v>
      </c>
      <c r="H1465">
        <v>1</v>
      </c>
      <c r="I1465" t="s">
        <v>395</v>
      </c>
    </row>
    <row r="1466" spans="1:9" x14ac:dyDescent="0.25">
      <c r="A1466" t="s">
        <v>2596</v>
      </c>
      <c r="B1466">
        <f t="shared" si="22"/>
        <v>9631</v>
      </c>
      <c r="C1466" t="s">
        <v>2597</v>
      </c>
      <c r="D1466" t="s">
        <v>364</v>
      </c>
      <c r="E1466" t="s">
        <v>119</v>
      </c>
      <c r="F1466" t="s">
        <v>318</v>
      </c>
      <c r="G1466" t="s">
        <v>324</v>
      </c>
      <c r="H1466">
        <v>0</v>
      </c>
      <c r="I1466" t="s">
        <v>379</v>
      </c>
    </row>
    <row r="1467" spans="1:9" x14ac:dyDescent="0.25">
      <c r="A1467" t="s">
        <v>2598</v>
      </c>
      <c r="B1467">
        <f t="shared" si="22"/>
        <v>9639</v>
      </c>
      <c r="C1467" t="s">
        <v>2599</v>
      </c>
      <c r="D1467" t="s">
        <v>364</v>
      </c>
      <c r="E1467" t="s">
        <v>119</v>
      </c>
      <c r="F1467" t="s">
        <v>318</v>
      </c>
      <c r="G1467" t="s">
        <v>26</v>
      </c>
      <c r="H1467">
        <v>0</v>
      </c>
      <c r="I1467" t="s">
        <v>394</v>
      </c>
    </row>
    <row r="1468" spans="1:9" x14ac:dyDescent="0.25">
      <c r="A1468" t="s">
        <v>2600</v>
      </c>
      <c r="B1468">
        <f t="shared" si="22"/>
        <v>9640</v>
      </c>
      <c r="C1468" t="s">
        <v>2601</v>
      </c>
      <c r="D1468" t="s">
        <v>364</v>
      </c>
      <c r="E1468" t="s">
        <v>119</v>
      </c>
      <c r="F1468" t="s">
        <v>664</v>
      </c>
      <c r="G1468" t="s">
        <v>317</v>
      </c>
      <c r="H1468">
        <v>0</v>
      </c>
      <c r="I1468" t="s">
        <v>750</v>
      </c>
    </row>
    <row r="1469" spans="1:9" x14ac:dyDescent="0.25">
      <c r="A1469" t="s">
        <v>4024</v>
      </c>
      <c r="B1469">
        <f t="shared" si="22"/>
        <v>9641</v>
      </c>
      <c r="C1469" t="s">
        <v>4025</v>
      </c>
      <c r="D1469" t="s">
        <v>72</v>
      </c>
      <c r="E1469" t="s">
        <v>119</v>
      </c>
      <c r="F1469" t="s">
        <v>325</v>
      </c>
      <c r="G1469" t="s">
        <v>324</v>
      </c>
      <c r="H1469">
        <v>0</v>
      </c>
      <c r="I1469" t="s">
        <v>379</v>
      </c>
    </row>
    <row r="1470" spans="1:9" x14ac:dyDescent="0.25">
      <c r="A1470" t="s">
        <v>1621</v>
      </c>
      <c r="B1470">
        <f t="shared" si="22"/>
        <v>9662</v>
      </c>
      <c r="C1470" t="s">
        <v>1622</v>
      </c>
      <c r="D1470" t="s">
        <v>364</v>
      </c>
      <c r="E1470" t="s">
        <v>119</v>
      </c>
      <c r="F1470" t="s">
        <v>318</v>
      </c>
      <c r="G1470" t="s">
        <v>324</v>
      </c>
      <c r="H1470">
        <v>0</v>
      </c>
      <c r="I1470" t="s">
        <v>379</v>
      </c>
    </row>
    <row r="1471" spans="1:9" x14ac:dyDescent="0.25">
      <c r="A1471" t="s">
        <v>1623</v>
      </c>
      <c r="B1471">
        <f t="shared" si="22"/>
        <v>9663</v>
      </c>
      <c r="C1471" t="s">
        <v>1624</v>
      </c>
      <c r="D1471" t="s">
        <v>364</v>
      </c>
      <c r="E1471" t="s">
        <v>119</v>
      </c>
      <c r="F1471" t="s">
        <v>1359</v>
      </c>
      <c r="G1471" t="s">
        <v>324</v>
      </c>
      <c r="H1471">
        <v>0</v>
      </c>
      <c r="I1471" t="s">
        <v>379</v>
      </c>
    </row>
    <row r="1472" spans="1:9" x14ac:dyDescent="0.25">
      <c r="A1472" t="s">
        <v>823</v>
      </c>
      <c r="B1472">
        <f t="shared" si="22"/>
        <v>9670</v>
      </c>
      <c r="C1472" t="s">
        <v>824</v>
      </c>
      <c r="D1472" t="s">
        <v>364</v>
      </c>
      <c r="E1472" t="s">
        <v>119</v>
      </c>
      <c r="F1472" t="s">
        <v>327</v>
      </c>
      <c r="G1472" t="s">
        <v>324</v>
      </c>
      <c r="H1472">
        <v>0</v>
      </c>
      <c r="I1472" t="s">
        <v>379</v>
      </c>
    </row>
    <row r="1473" spans="1:9" x14ac:dyDescent="0.25">
      <c r="A1473" t="s">
        <v>2602</v>
      </c>
      <c r="B1473">
        <f t="shared" si="22"/>
        <v>9688</v>
      </c>
      <c r="C1473" t="s">
        <v>2603</v>
      </c>
      <c r="D1473" t="s">
        <v>364</v>
      </c>
      <c r="E1473" t="s">
        <v>119</v>
      </c>
      <c r="F1473" t="s">
        <v>327</v>
      </c>
      <c r="G1473" t="s">
        <v>324</v>
      </c>
      <c r="H1473">
        <v>0</v>
      </c>
      <c r="I1473" t="s">
        <v>379</v>
      </c>
    </row>
    <row r="1474" spans="1:9" x14ac:dyDescent="0.25">
      <c r="A1474" t="s">
        <v>4401</v>
      </c>
      <c r="B1474">
        <f t="shared" si="22"/>
        <v>9691</v>
      </c>
      <c r="C1474" t="s">
        <v>4402</v>
      </c>
      <c r="D1474" t="s">
        <v>72</v>
      </c>
      <c r="E1474" t="s">
        <v>119</v>
      </c>
      <c r="F1474" t="s">
        <v>318</v>
      </c>
      <c r="G1474" t="s">
        <v>28</v>
      </c>
      <c r="H1474">
        <v>0</v>
      </c>
      <c r="I1474" t="s">
        <v>376</v>
      </c>
    </row>
    <row r="1475" spans="1:9" x14ac:dyDescent="0.25">
      <c r="A1475" t="s">
        <v>277</v>
      </c>
      <c r="B1475">
        <f t="shared" si="22"/>
        <v>9695</v>
      </c>
      <c r="C1475" t="s">
        <v>278</v>
      </c>
      <c r="D1475" t="s">
        <v>72</v>
      </c>
      <c r="E1475" t="s">
        <v>81</v>
      </c>
      <c r="F1475" t="s">
        <v>81</v>
      </c>
      <c r="G1475" t="s">
        <v>81</v>
      </c>
      <c r="H1475">
        <v>0</v>
      </c>
      <c r="I1475" t="s">
        <v>392</v>
      </c>
    </row>
    <row r="1476" spans="1:9" x14ac:dyDescent="0.25">
      <c r="A1476" t="s">
        <v>4616</v>
      </c>
      <c r="B1476">
        <f t="shared" ref="B1476:B1539" si="23">_xlfn.NUMBERVALUE(A1476,"#####")</f>
        <v>9697</v>
      </c>
      <c r="C1476" t="s">
        <v>4617</v>
      </c>
      <c r="D1476" t="s">
        <v>364</v>
      </c>
      <c r="E1476" t="s">
        <v>119</v>
      </c>
      <c r="F1476" t="s">
        <v>318</v>
      </c>
      <c r="G1476" t="s">
        <v>312</v>
      </c>
      <c r="H1476">
        <v>0</v>
      </c>
      <c r="I1476" t="s">
        <v>382</v>
      </c>
    </row>
    <row r="1477" spans="1:9" x14ac:dyDescent="0.25">
      <c r="A1477" t="s">
        <v>2604</v>
      </c>
      <c r="B1477">
        <f t="shared" si="23"/>
        <v>9708</v>
      </c>
      <c r="C1477" t="s">
        <v>2605</v>
      </c>
      <c r="D1477" t="s">
        <v>364</v>
      </c>
      <c r="E1477" t="s">
        <v>119</v>
      </c>
      <c r="F1477" t="s">
        <v>327</v>
      </c>
      <c r="G1477" t="s">
        <v>26</v>
      </c>
      <c r="H1477">
        <v>0</v>
      </c>
      <c r="I1477" t="s">
        <v>394</v>
      </c>
    </row>
    <row r="1478" spans="1:9" x14ac:dyDescent="0.25">
      <c r="A1478" t="s">
        <v>279</v>
      </c>
      <c r="B1478">
        <f t="shared" si="23"/>
        <v>9712</v>
      </c>
      <c r="C1478" t="s">
        <v>280</v>
      </c>
      <c r="D1478" t="s">
        <v>72</v>
      </c>
      <c r="E1478" t="s">
        <v>81</v>
      </c>
      <c r="F1478" t="s">
        <v>81</v>
      </c>
      <c r="G1478" t="s">
        <v>81</v>
      </c>
      <c r="H1478">
        <v>0</v>
      </c>
      <c r="I1478" t="s">
        <v>381</v>
      </c>
    </row>
    <row r="1479" spans="1:9" x14ac:dyDescent="0.25">
      <c r="A1479" t="s">
        <v>2606</v>
      </c>
      <c r="B1479">
        <f t="shared" si="23"/>
        <v>9717</v>
      </c>
      <c r="C1479" t="s">
        <v>2607</v>
      </c>
      <c r="D1479" t="s">
        <v>364</v>
      </c>
      <c r="E1479" t="s">
        <v>81</v>
      </c>
      <c r="F1479" t="s">
        <v>81</v>
      </c>
      <c r="G1479" t="s">
        <v>81</v>
      </c>
      <c r="H1479">
        <v>0</v>
      </c>
      <c r="I1479" t="s">
        <v>416</v>
      </c>
    </row>
    <row r="1480" spans="1:9" x14ac:dyDescent="0.25">
      <c r="A1480" t="s">
        <v>2608</v>
      </c>
      <c r="B1480">
        <f t="shared" si="23"/>
        <v>9718</v>
      </c>
      <c r="C1480" t="s">
        <v>2609</v>
      </c>
      <c r="D1480" t="s">
        <v>364</v>
      </c>
      <c r="E1480" t="s">
        <v>119</v>
      </c>
      <c r="F1480" t="s">
        <v>2610</v>
      </c>
      <c r="G1480" t="s">
        <v>26</v>
      </c>
      <c r="H1480">
        <v>0</v>
      </c>
      <c r="I1480" t="s">
        <v>394</v>
      </c>
    </row>
    <row r="1481" spans="1:9" x14ac:dyDescent="0.25">
      <c r="A1481" t="s">
        <v>4278</v>
      </c>
      <c r="B1481">
        <f t="shared" si="23"/>
        <v>9720</v>
      </c>
      <c r="C1481" t="s">
        <v>4279</v>
      </c>
      <c r="D1481" t="s">
        <v>72</v>
      </c>
      <c r="E1481" t="s">
        <v>81</v>
      </c>
      <c r="F1481" t="s">
        <v>81</v>
      </c>
      <c r="G1481" t="s">
        <v>81</v>
      </c>
      <c r="H1481">
        <v>1</v>
      </c>
      <c r="I1481" t="s">
        <v>4280</v>
      </c>
    </row>
    <row r="1482" spans="1:9" x14ac:dyDescent="0.25">
      <c r="A1482" t="s">
        <v>3310</v>
      </c>
      <c r="B1482">
        <f t="shared" si="23"/>
        <v>9721</v>
      </c>
      <c r="C1482" t="s">
        <v>3311</v>
      </c>
      <c r="D1482" t="s">
        <v>364</v>
      </c>
      <c r="E1482" t="s">
        <v>119</v>
      </c>
      <c r="F1482" t="s">
        <v>327</v>
      </c>
      <c r="G1482" t="s">
        <v>324</v>
      </c>
      <c r="H1482">
        <v>0</v>
      </c>
      <c r="I1482" t="s">
        <v>379</v>
      </c>
    </row>
    <row r="1483" spans="1:9" x14ac:dyDescent="0.25">
      <c r="A1483" t="s">
        <v>2611</v>
      </c>
      <c r="B1483">
        <f t="shared" si="23"/>
        <v>9723</v>
      </c>
      <c r="C1483" t="s">
        <v>2612</v>
      </c>
      <c r="D1483" t="s">
        <v>364</v>
      </c>
      <c r="E1483" t="s">
        <v>119</v>
      </c>
      <c r="F1483" t="s">
        <v>327</v>
      </c>
      <c r="G1483" t="s">
        <v>324</v>
      </c>
      <c r="H1483">
        <v>0</v>
      </c>
      <c r="I1483" t="s">
        <v>379</v>
      </c>
    </row>
    <row r="1484" spans="1:9" x14ac:dyDescent="0.25">
      <c r="A1484" t="s">
        <v>933</v>
      </c>
      <c r="B1484">
        <f t="shared" si="23"/>
        <v>9726</v>
      </c>
      <c r="C1484" t="s">
        <v>987</v>
      </c>
      <c r="D1484" t="s">
        <v>72</v>
      </c>
      <c r="E1484" t="s">
        <v>119</v>
      </c>
      <c r="F1484" t="s">
        <v>325</v>
      </c>
      <c r="G1484" t="s">
        <v>329</v>
      </c>
      <c r="H1484">
        <v>0</v>
      </c>
      <c r="I1484" t="s">
        <v>377</v>
      </c>
    </row>
    <row r="1485" spans="1:9" x14ac:dyDescent="0.25">
      <c r="A1485" t="s">
        <v>1625</v>
      </c>
      <c r="B1485">
        <f t="shared" si="23"/>
        <v>9727</v>
      </c>
      <c r="C1485" t="s">
        <v>1626</v>
      </c>
      <c r="D1485" t="s">
        <v>364</v>
      </c>
      <c r="E1485" t="s">
        <v>119</v>
      </c>
      <c r="F1485" t="s">
        <v>326</v>
      </c>
      <c r="G1485" t="s">
        <v>26</v>
      </c>
      <c r="H1485">
        <v>0</v>
      </c>
      <c r="I1485" t="s">
        <v>394</v>
      </c>
    </row>
    <row r="1486" spans="1:9" x14ac:dyDescent="0.25">
      <c r="A1486" t="s">
        <v>1247</v>
      </c>
      <c r="B1486">
        <f t="shared" si="23"/>
        <v>9731</v>
      </c>
      <c r="C1486" t="s">
        <v>1248</v>
      </c>
      <c r="D1486" t="s">
        <v>364</v>
      </c>
      <c r="E1486" t="s">
        <v>119</v>
      </c>
      <c r="F1486" t="s">
        <v>345</v>
      </c>
      <c r="G1486" t="s">
        <v>324</v>
      </c>
      <c r="H1486">
        <v>0</v>
      </c>
      <c r="I1486" t="s">
        <v>379</v>
      </c>
    </row>
    <row r="1487" spans="1:9" x14ac:dyDescent="0.25">
      <c r="A1487" t="s">
        <v>1627</v>
      </c>
      <c r="B1487">
        <f t="shared" si="23"/>
        <v>9732</v>
      </c>
      <c r="C1487" t="s">
        <v>1628</v>
      </c>
      <c r="D1487" t="s">
        <v>364</v>
      </c>
      <c r="E1487" t="s">
        <v>119</v>
      </c>
      <c r="F1487" t="s">
        <v>872</v>
      </c>
      <c r="G1487" t="s">
        <v>324</v>
      </c>
      <c r="H1487">
        <v>0</v>
      </c>
      <c r="I1487" t="s">
        <v>379</v>
      </c>
    </row>
    <row r="1488" spans="1:9" x14ac:dyDescent="0.25">
      <c r="A1488" t="s">
        <v>3771</v>
      </c>
      <c r="B1488">
        <f t="shared" si="23"/>
        <v>9733</v>
      </c>
      <c r="C1488" t="s">
        <v>3772</v>
      </c>
      <c r="D1488" t="s">
        <v>72</v>
      </c>
      <c r="E1488" t="s">
        <v>119</v>
      </c>
      <c r="F1488" t="s">
        <v>325</v>
      </c>
      <c r="G1488" t="s">
        <v>313</v>
      </c>
      <c r="H1488">
        <v>0</v>
      </c>
      <c r="I1488" t="s">
        <v>980</v>
      </c>
    </row>
    <row r="1489" spans="1:9" x14ac:dyDescent="0.25">
      <c r="A1489" t="s">
        <v>2858</v>
      </c>
      <c r="B1489">
        <f t="shared" si="23"/>
        <v>9734</v>
      </c>
      <c r="C1489" t="s">
        <v>2859</v>
      </c>
      <c r="D1489" t="s">
        <v>364</v>
      </c>
      <c r="E1489" t="s">
        <v>81</v>
      </c>
      <c r="F1489" t="s">
        <v>81</v>
      </c>
      <c r="G1489" t="s">
        <v>81</v>
      </c>
      <c r="H1489">
        <v>1</v>
      </c>
      <c r="I1489" t="s">
        <v>1537</v>
      </c>
    </row>
    <row r="1490" spans="1:9" x14ac:dyDescent="0.25">
      <c r="A1490" t="s">
        <v>3263</v>
      </c>
      <c r="B1490">
        <f t="shared" si="23"/>
        <v>9736</v>
      </c>
      <c r="C1490" t="s">
        <v>3264</v>
      </c>
      <c r="D1490" t="s">
        <v>72</v>
      </c>
      <c r="E1490" t="s">
        <v>119</v>
      </c>
      <c r="F1490" t="s">
        <v>318</v>
      </c>
      <c r="G1490" t="s">
        <v>29</v>
      </c>
      <c r="H1490">
        <v>0</v>
      </c>
      <c r="I1490" t="s">
        <v>391</v>
      </c>
    </row>
    <row r="1491" spans="1:9" x14ac:dyDescent="0.25">
      <c r="A1491" t="s">
        <v>3030</v>
      </c>
      <c r="B1491">
        <f t="shared" si="23"/>
        <v>9738</v>
      </c>
      <c r="C1491" t="s">
        <v>3031</v>
      </c>
      <c r="D1491" t="s">
        <v>364</v>
      </c>
      <c r="E1491" t="s">
        <v>119</v>
      </c>
      <c r="F1491" t="s">
        <v>1717</v>
      </c>
      <c r="G1491" t="s">
        <v>28</v>
      </c>
      <c r="H1491">
        <v>0</v>
      </c>
      <c r="I1491" t="s">
        <v>376</v>
      </c>
    </row>
    <row r="1492" spans="1:9" x14ac:dyDescent="0.25">
      <c r="A1492" t="s">
        <v>2613</v>
      </c>
      <c r="B1492">
        <f t="shared" si="23"/>
        <v>9740</v>
      </c>
      <c r="C1492" t="s">
        <v>2614</v>
      </c>
      <c r="D1492" t="s">
        <v>364</v>
      </c>
      <c r="E1492" t="s">
        <v>119</v>
      </c>
      <c r="F1492" t="s">
        <v>327</v>
      </c>
      <c r="G1492" t="s">
        <v>324</v>
      </c>
      <c r="H1492">
        <v>0</v>
      </c>
      <c r="I1492" t="s">
        <v>379</v>
      </c>
    </row>
    <row r="1493" spans="1:9" x14ac:dyDescent="0.25">
      <c r="A1493" t="s">
        <v>3486</v>
      </c>
      <c r="B1493">
        <f t="shared" si="23"/>
        <v>9743</v>
      </c>
      <c r="C1493" t="s">
        <v>3487</v>
      </c>
      <c r="D1493" t="s">
        <v>364</v>
      </c>
      <c r="E1493" t="s">
        <v>119</v>
      </c>
      <c r="F1493" t="s">
        <v>325</v>
      </c>
      <c r="G1493" t="s">
        <v>324</v>
      </c>
      <c r="H1493">
        <v>0</v>
      </c>
      <c r="I1493" t="s">
        <v>379</v>
      </c>
    </row>
    <row r="1494" spans="1:9" x14ac:dyDescent="0.25">
      <c r="A1494" t="s">
        <v>3048</v>
      </c>
      <c r="B1494">
        <f t="shared" si="23"/>
        <v>9747</v>
      </c>
      <c r="C1494" t="s">
        <v>3049</v>
      </c>
      <c r="D1494" t="s">
        <v>364</v>
      </c>
      <c r="E1494" t="s">
        <v>119</v>
      </c>
      <c r="F1494" t="s">
        <v>325</v>
      </c>
      <c r="G1494" t="s">
        <v>26</v>
      </c>
      <c r="H1494">
        <v>0</v>
      </c>
      <c r="I1494" t="s">
        <v>394</v>
      </c>
    </row>
    <row r="1495" spans="1:9" x14ac:dyDescent="0.25">
      <c r="A1495" t="s">
        <v>3463</v>
      </c>
      <c r="B1495">
        <f t="shared" si="23"/>
        <v>9748</v>
      </c>
      <c r="C1495" t="s">
        <v>3464</v>
      </c>
      <c r="D1495" t="s">
        <v>72</v>
      </c>
      <c r="E1495" t="s">
        <v>119</v>
      </c>
      <c r="F1495" t="s">
        <v>323</v>
      </c>
      <c r="G1495" t="s">
        <v>324</v>
      </c>
      <c r="H1495">
        <v>0</v>
      </c>
      <c r="I1495" t="s">
        <v>379</v>
      </c>
    </row>
    <row r="1496" spans="1:9" x14ac:dyDescent="0.25">
      <c r="A1496" t="s">
        <v>2615</v>
      </c>
      <c r="B1496">
        <f t="shared" si="23"/>
        <v>9750</v>
      </c>
      <c r="C1496" t="s">
        <v>2616</v>
      </c>
      <c r="D1496" t="s">
        <v>364</v>
      </c>
      <c r="E1496" t="s">
        <v>119</v>
      </c>
      <c r="F1496" t="s">
        <v>326</v>
      </c>
      <c r="G1496" t="s">
        <v>324</v>
      </c>
      <c r="H1496">
        <v>0</v>
      </c>
      <c r="I1496" t="s">
        <v>379</v>
      </c>
    </row>
    <row r="1497" spans="1:9" x14ac:dyDescent="0.25">
      <c r="A1497" t="s">
        <v>3913</v>
      </c>
      <c r="B1497">
        <f t="shared" si="23"/>
        <v>9751</v>
      </c>
      <c r="C1497" t="s">
        <v>3914</v>
      </c>
      <c r="D1497" t="s">
        <v>72</v>
      </c>
      <c r="E1497" t="s">
        <v>119</v>
      </c>
      <c r="F1497" t="s">
        <v>318</v>
      </c>
      <c r="G1497" t="s">
        <v>324</v>
      </c>
      <c r="H1497">
        <v>0</v>
      </c>
      <c r="I1497" t="s">
        <v>379</v>
      </c>
    </row>
    <row r="1498" spans="1:9" x14ac:dyDescent="0.25">
      <c r="A1498" t="s">
        <v>4618</v>
      </c>
      <c r="B1498">
        <f t="shared" si="23"/>
        <v>9752</v>
      </c>
      <c r="C1498" t="s">
        <v>4619</v>
      </c>
      <c r="D1498" t="s">
        <v>364</v>
      </c>
      <c r="E1498" t="s">
        <v>119</v>
      </c>
      <c r="F1498" t="s">
        <v>327</v>
      </c>
      <c r="G1498" t="s">
        <v>312</v>
      </c>
      <c r="H1498">
        <v>0</v>
      </c>
      <c r="I1498" t="s">
        <v>382</v>
      </c>
    </row>
    <row r="1499" spans="1:9" x14ac:dyDescent="0.25">
      <c r="A1499" t="s">
        <v>4281</v>
      </c>
      <c r="B1499">
        <f t="shared" si="23"/>
        <v>9764</v>
      </c>
      <c r="C1499" t="s">
        <v>4282</v>
      </c>
      <c r="D1499" t="s">
        <v>72</v>
      </c>
      <c r="E1499" t="s">
        <v>119</v>
      </c>
      <c r="F1499" t="s">
        <v>326</v>
      </c>
      <c r="G1499" t="s">
        <v>23</v>
      </c>
      <c r="H1499">
        <v>0</v>
      </c>
      <c r="I1499" t="s">
        <v>397</v>
      </c>
    </row>
    <row r="1500" spans="1:9" x14ac:dyDescent="0.25">
      <c r="A1500" t="s">
        <v>2617</v>
      </c>
      <c r="B1500">
        <f t="shared" si="23"/>
        <v>9822</v>
      </c>
      <c r="C1500" t="s">
        <v>2618</v>
      </c>
      <c r="D1500" t="s">
        <v>364</v>
      </c>
      <c r="E1500" t="s">
        <v>119</v>
      </c>
      <c r="F1500" t="s">
        <v>327</v>
      </c>
      <c r="G1500" t="s">
        <v>28</v>
      </c>
      <c r="H1500">
        <v>0</v>
      </c>
      <c r="I1500" t="s">
        <v>376</v>
      </c>
    </row>
    <row r="1501" spans="1:9" x14ac:dyDescent="0.25">
      <c r="A1501" t="s">
        <v>3072</v>
      </c>
      <c r="B1501">
        <f t="shared" si="23"/>
        <v>9823</v>
      </c>
      <c r="C1501" t="s">
        <v>3073</v>
      </c>
      <c r="D1501" t="s">
        <v>72</v>
      </c>
      <c r="E1501" t="s">
        <v>81</v>
      </c>
      <c r="F1501" t="s">
        <v>81</v>
      </c>
      <c r="G1501" t="s">
        <v>81</v>
      </c>
      <c r="H1501">
        <v>0</v>
      </c>
      <c r="I1501" t="s">
        <v>388</v>
      </c>
    </row>
    <row r="1502" spans="1:9" x14ac:dyDescent="0.25">
      <c r="A1502" t="s">
        <v>3560</v>
      </c>
      <c r="B1502">
        <f t="shared" si="23"/>
        <v>9825</v>
      </c>
      <c r="C1502" t="s">
        <v>3561</v>
      </c>
      <c r="D1502" t="s">
        <v>364</v>
      </c>
      <c r="E1502" t="s">
        <v>119</v>
      </c>
      <c r="F1502" t="s">
        <v>327</v>
      </c>
      <c r="G1502" t="s">
        <v>324</v>
      </c>
      <c r="H1502">
        <v>0</v>
      </c>
      <c r="I1502" t="s">
        <v>379</v>
      </c>
    </row>
    <row r="1503" spans="1:9" x14ac:dyDescent="0.25">
      <c r="A1503" t="s">
        <v>4073</v>
      </c>
      <c r="B1503">
        <f t="shared" si="23"/>
        <v>9830</v>
      </c>
      <c r="C1503" t="s">
        <v>4074</v>
      </c>
      <c r="D1503" t="s">
        <v>72</v>
      </c>
      <c r="E1503" t="s">
        <v>119</v>
      </c>
      <c r="F1503" t="s">
        <v>318</v>
      </c>
      <c r="G1503" t="s">
        <v>29</v>
      </c>
      <c r="H1503">
        <v>0</v>
      </c>
      <c r="I1503" t="s">
        <v>391</v>
      </c>
    </row>
    <row r="1504" spans="1:9" x14ac:dyDescent="0.25">
      <c r="A1504" t="s">
        <v>1249</v>
      </c>
      <c r="B1504">
        <f t="shared" si="23"/>
        <v>9835</v>
      </c>
      <c r="C1504" t="s">
        <v>1250</v>
      </c>
      <c r="D1504" t="s">
        <v>364</v>
      </c>
      <c r="E1504" t="s">
        <v>119</v>
      </c>
      <c r="F1504" t="s">
        <v>326</v>
      </c>
      <c r="G1504" t="s">
        <v>29</v>
      </c>
      <c r="H1504">
        <v>0</v>
      </c>
      <c r="I1504" t="s">
        <v>391</v>
      </c>
    </row>
    <row r="1505" spans="1:9" x14ac:dyDescent="0.25">
      <c r="A1505" t="s">
        <v>934</v>
      </c>
      <c r="B1505">
        <f t="shared" si="23"/>
        <v>9836</v>
      </c>
      <c r="C1505" t="s">
        <v>935</v>
      </c>
      <c r="D1505" t="s">
        <v>364</v>
      </c>
      <c r="E1505" t="s">
        <v>119</v>
      </c>
      <c r="F1505" t="s">
        <v>318</v>
      </c>
      <c r="G1505" t="s">
        <v>312</v>
      </c>
      <c r="H1505">
        <v>0</v>
      </c>
      <c r="I1505" t="s">
        <v>382</v>
      </c>
    </row>
    <row r="1506" spans="1:9" x14ac:dyDescent="0.25">
      <c r="A1506" t="s">
        <v>709</v>
      </c>
      <c r="B1506">
        <f t="shared" si="23"/>
        <v>9838</v>
      </c>
      <c r="C1506" t="s">
        <v>710</v>
      </c>
      <c r="D1506" t="s">
        <v>364</v>
      </c>
      <c r="E1506" t="s">
        <v>119</v>
      </c>
      <c r="F1506" t="s">
        <v>325</v>
      </c>
      <c r="G1506" t="s">
        <v>25</v>
      </c>
      <c r="H1506">
        <v>0</v>
      </c>
      <c r="I1506" t="s">
        <v>386</v>
      </c>
    </row>
    <row r="1507" spans="1:9" x14ac:dyDescent="0.25">
      <c r="A1507" t="s">
        <v>711</v>
      </c>
      <c r="B1507">
        <f t="shared" si="23"/>
        <v>9839</v>
      </c>
      <c r="C1507" t="s">
        <v>712</v>
      </c>
      <c r="D1507" t="s">
        <v>364</v>
      </c>
      <c r="E1507" t="s">
        <v>119</v>
      </c>
      <c r="F1507" t="s">
        <v>318</v>
      </c>
      <c r="G1507" t="s">
        <v>324</v>
      </c>
      <c r="H1507">
        <v>0</v>
      </c>
      <c r="I1507" t="s">
        <v>379</v>
      </c>
    </row>
    <row r="1508" spans="1:9" x14ac:dyDescent="0.25">
      <c r="A1508" t="s">
        <v>2930</v>
      </c>
      <c r="B1508">
        <f t="shared" si="23"/>
        <v>9840</v>
      </c>
      <c r="C1508" t="s">
        <v>2931</v>
      </c>
      <c r="D1508" t="s">
        <v>72</v>
      </c>
      <c r="E1508" t="s">
        <v>119</v>
      </c>
      <c r="F1508" t="s">
        <v>326</v>
      </c>
      <c r="G1508" t="s">
        <v>324</v>
      </c>
      <c r="H1508">
        <v>0</v>
      </c>
      <c r="I1508" t="s">
        <v>379</v>
      </c>
    </row>
    <row r="1509" spans="1:9" x14ac:dyDescent="0.25">
      <c r="A1509" t="s">
        <v>2619</v>
      </c>
      <c r="B1509">
        <f t="shared" si="23"/>
        <v>9841</v>
      </c>
      <c r="C1509" t="s">
        <v>2620</v>
      </c>
      <c r="D1509" t="s">
        <v>364</v>
      </c>
      <c r="E1509" t="s">
        <v>119</v>
      </c>
      <c r="F1509" t="s">
        <v>323</v>
      </c>
      <c r="G1509" t="s">
        <v>29</v>
      </c>
      <c r="H1509">
        <v>0</v>
      </c>
      <c r="I1509" t="s">
        <v>391</v>
      </c>
    </row>
    <row r="1510" spans="1:9" x14ac:dyDescent="0.25">
      <c r="A1510" t="s">
        <v>2893</v>
      </c>
      <c r="B1510">
        <f t="shared" si="23"/>
        <v>9847</v>
      </c>
      <c r="C1510" t="s">
        <v>2932</v>
      </c>
      <c r="D1510" t="s">
        <v>364</v>
      </c>
      <c r="E1510" t="s">
        <v>119</v>
      </c>
      <c r="F1510" t="s">
        <v>327</v>
      </c>
      <c r="G1510" t="s">
        <v>324</v>
      </c>
      <c r="H1510">
        <v>0</v>
      </c>
      <c r="I1510" t="s">
        <v>379</v>
      </c>
    </row>
    <row r="1511" spans="1:9" x14ac:dyDescent="0.25">
      <c r="A1511" t="s">
        <v>3716</v>
      </c>
      <c r="B1511">
        <f t="shared" si="23"/>
        <v>9855</v>
      </c>
      <c r="C1511" t="s">
        <v>3717</v>
      </c>
      <c r="D1511" t="s">
        <v>72</v>
      </c>
      <c r="E1511" t="s">
        <v>81</v>
      </c>
      <c r="F1511" t="s">
        <v>81</v>
      </c>
      <c r="G1511" t="s">
        <v>81</v>
      </c>
      <c r="H1511">
        <v>0</v>
      </c>
      <c r="I1511" t="s">
        <v>2839</v>
      </c>
    </row>
    <row r="1512" spans="1:9" x14ac:dyDescent="0.25">
      <c r="A1512" t="s">
        <v>4403</v>
      </c>
      <c r="B1512">
        <f t="shared" si="23"/>
        <v>9858</v>
      </c>
      <c r="C1512" t="s">
        <v>4404</v>
      </c>
      <c r="D1512" t="s">
        <v>72</v>
      </c>
      <c r="E1512" t="s">
        <v>119</v>
      </c>
      <c r="F1512" t="s">
        <v>318</v>
      </c>
      <c r="G1512" t="s">
        <v>324</v>
      </c>
      <c r="H1512">
        <v>0</v>
      </c>
      <c r="I1512" t="s">
        <v>379</v>
      </c>
    </row>
    <row r="1513" spans="1:9" x14ac:dyDescent="0.25">
      <c r="A1513" t="s">
        <v>2621</v>
      </c>
      <c r="B1513">
        <f t="shared" si="23"/>
        <v>9862</v>
      </c>
      <c r="C1513" t="s">
        <v>2622</v>
      </c>
      <c r="D1513" t="s">
        <v>364</v>
      </c>
      <c r="E1513" t="s">
        <v>81</v>
      </c>
      <c r="F1513" t="s">
        <v>81</v>
      </c>
      <c r="G1513" t="s">
        <v>81</v>
      </c>
      <c r="H1513">
        <v>1</v>
      </c>
      <c r="I1513" t="s">
        <v>2623</v>
      </c>
    </row>
    <row r="1514" spans="1:9" x14ac:dyDescent="0.25">
      <c r="A1514" t="s">
        <v>1251</v>
      </c>
      <c r="B1514">
        <f t="shared" si="23"/>
        <v>9868</v>
      </c>
      <c r="C1514" t="s">
        <v>1252</v>
      </c>
      <c r="D1514" t="s">
        <v>364</v>
      </c>
      <c r="E1514" t="s">
        <v>119</v>
      </c>
      <c r="F1514" t="s">
        <v>327</v>
      </c>
      <c r="G1514" t="s">
        <v>346</v>
      </c>
      <c r="H1514">
        <v>0</v>
      </c>
      <c r="I1514" t="s">
        <v>380</v>
      </c>
    </row>
    <row r="1515" spans="1:9" x14ac:dyDescent="0.25">
      <c r="A1515" t="s">
        <v>2624</v>
      </c>
      <c r="B1515">
        <f t="shared" si="23"/>
        <v>9869</v>
      </c>
      <c r="C1515" t="s">
        <v>2625</v>
      </c>
      <c r="D1515" t="s">
        <v>364</v>
      </c>
      <c r="E1515" t="s">
        <v>119</v>
      </c>
      <c r="F1515" t="s">
        <v>318</v>
      </c>
      <c r="G1515" t="s">
        <v>324</v>
      </c>
      <c r="H1515">
        <v>0</v>
      </c>
      <c r="I1515" t="s">
        <v>379</v>
      </c>
    </row>
    <row r="1516" spans="1:9" x14ac:dyDescent="0.25">
      <c r="A1516" t="s">
        <v>1253</v>
      </c>
      <c r="B1516">
        <f t="shared" si="23"/>
        <v>9871</v>
      </c>
      <c r="C1516" t="s">
        <v>1254</v>
      </c>
      <c r="D1516" t="s">
        <v>364</v>
      </c>
      <c r="E1516" t="s">
        <v>119</v>
      </c>
      <c r="F1516" t="s">
        <v>327</v>
      </c>
      <c r="G1516" t="s">
        <v>324</v>
      </c>
      <c r="H1516">
        <v>0</v>
      </c>
      <c r="I1516" t="s">
        <v>379</v>
      </c>
    </row>
    <row r="1517" spans="1:9" x14ac:dyDescent="0.25">
      <c r="A1517" t="s">
        <v>3562</v>
      </c>
      <c r="B1517">
        <f t="shared" si="23"/>
        <v>9877</v>
      </c>
      <c r="C1517" t="s">
        <v>3563</v>
      </c>
      <c r="D1517" t="s">
        <v>72</v>
      </c>
      <c r="E1517" t="s">
        <v>81</v>
      </c>
      <c r="F1517" t="s">
        <v>81</v>
      </c>
      <c r="G1517" t="s">
        <v>81</v>
      </c>
      <c r="H1517">
        <v>0</v>
      </c>
      <c r="I1517" t="s">
        <v>420</v>
      </c>
    </row>
    <row r="1518" spans="1:9" x14ac:dyDescent="0.25">
      <c r="A1518" t="s">
        <v>2626</v>
      </c>
      <c r="B1518">
        <f t="shared" si="23"/>
        <v>9910</v>
      </c>
      <c r="C1518" t="s">
        <v>2627</v>
      </c>
      <c r="D1518" t="s">
        <v>364</v>
      </c>
      <c r="E1518" t="s">
        <v>81</v>
      </c>
      <c r="F1518" t="s">
        <v>81</v>
      </c>
      <c r="G1518" t="s">
        <v>81</v>
      </c>
      <c r="H1518">
        <v>1</v>
      </c>
      <c r="I1518" t="s">
        <v>420</v>
      </c>
    </row>
    <row r="1519" spans="1:9" x14ac:dyDescent="0.25">
      <c r="A1519" t="s">
        <v>1255</v>
      </c>
      <c r="B1519">
        <f t="shared" si="23"/>
        <v>9943</v>
      </c>
      <c r="C1519" t="s">
        <v>1256</v>
      </c>
      <c r="D1519" t="s">
        <v>364</v>
      </c>
      <c r="E1519" t="s">
        <v>119</v>
      </c>
      <c r="F1519" t="s">
        <v>327</v>
      </c>
      <c r="G1519" t="s">
        <v>324</v>
      </c>
      <c r="H1519">
        <v>0</v>
      </c>
      <c r="I1519" t="s">
        <v>379</v>
      </c>
    </row>
    <row r="1520" spans="1:9" x14ac:dyDescent="0.25">
      <c r="A1520" t="s">
        <v>281</v>
      </c>
      <c r="B1520">
        <f t="shared" si="23"/>
        <v>9946</v>
      </c>
      <c r="C1520" t="s">
        <v>282</v>
      </c>
      <c r="D1520" t="s">
        <v>72</v>
      </c>
      <c r="E1520" t="s">
        <v>119</v>
      </c>
      <c r="F1520" t="s">
        <v>328</v>
      </c>
      <c r="G1520" t="s">
        <v>525</v>
      </c>
      <c r="H1520">
        <v>0</v>
      </c>
      <c r="I1520" t="s">
        <v>526</v>
      </c>
    </row>
    <row r="1521" spans="1:9" x14ac:dyDescent="0.25">
      <c r="A1521" t="s">
        <v>2628</v>
      </c>
      <c r="B1521">
        <f t="shared" si="23"/>
        <v>9950</v>
      </c>
      <c r="C1521" t="s">
        <v>2629</v>
      </c>
      <c r="D1521" t="s">
        <v>364</v>
      </c>
      <c r="E1521" t="s">
        <v>119</v>
      </c>
      <c r="F1521" t="s">
        <v>318</v>
      </c>
      <c r="G1521" t="s">
        <v>324</v>
      </c>
      <c r="H1521">
        <v>0</v>
      </c>
      <c r="I1521" t="s">
        <v>379</v>
      </c>
    </row>
    <row r="1522" spans="1:9" x14ac:dyDescent="0.25">
      <c r="A1522" t="s">
        <v>3293</v>
      </c>
      <c r="B1522">
        <f t="shared" si="23"/>
        <v>9952</v>
      </c>
      <c r="C1522" t="s">
        <v>3294</v>
      </c>
      <c r="D1522" t="s">
        <v>364</v>
      </c>
      <c r="E1522" t="s">
        <v>119</v>
      </c>
      <c r="F1522" t="s">
        <v>327</v>
      </c>
      <c r="G1522" t="s">
        <v>324</v>
      </c>
      <c r="H1522">
        <v>0</v>
      </c>
      <c r="I1522" t="s">
        <v>379</v>
      </c>
    </row>
    <row r="1523" spans="1:9" x14ac:dyDescent="0.25">
      <c r="A1523" t="s">
        <v>2630</v>
      </c>
      <c r="B1523">
        <f t="shared" si="23"/>
        <v>9957</v>
      </c>
      <c r="C1523" t="s">
        <v>2631</v>
      </c>
      <c r="D1523" t="s">
        <v>364</v>
      </c>
      <c r="E1523" t="s">
        <v>119</v>
      </c>
      <c r="F1523" t="s">
        <v>326</v>
      </c>
      <c r="G1523" t="s">
        <v>29</v>
      </c>
      <c r="H1523">
        <v>0</v>
      </c>
      <c r="I1523" t="s">
        <v>391</v>
      </c>
    </row>
    <row r="1524" spans="1:9" x14ac:dyDescent="0.25">
      <c r="A1524" t="s">
        <v>2632</v>
      </c>
      <c r="B1524">
        <f t="shared" si="23"/>
        <v>9959</v>
      </c>
      <c r="C1524" t="s">
        <v>2633</v>
      </c>
      <c r="D1524" t="s">
        <v>364</v>
      </c>
      <c r="E1524" t="s">
        <v>119</v>
      </c>
      <c r="F1524" t="s">
        <v>1717</v>
      </c>
      <c r="G1524" t="s">
        <v>324</v>
      </c>
      <c r="H1524">
        <v>0</v>
      </c>
      <c r="I1524" t="s">
        <v>379</v>
      </c>
    </row>
    <row r="1525" spans="1:9" x14ac:dyDescent="0.25">
      <c r="A1525" t="s">
        <v>2634</v>
      </c>
      <c r="B1525">
        <f t="shared" si="23"/>
        <v>9960</v>
      </c>
      <c r="C1525" t="s">
        <v>2635</v>
      </c>
      <c r="D1525" t="s">
        <v>364</v>
      </c>
      <c r="E1525" t="s">
        <v>119</v>
      </c>
      <c r="F1525" t="s">
        <v>326</v>
      </c>
      <c r="G1525" t="s">
        <v>23</v>
      </c>
      <c r="H1525">
        <v>0</v>
      </c>
      <c r="I1525" t="s">
        <v>397</v>
      </c>
    </row>
    <row r="1526" spans="1:9" x14ac:dyDescent="0.25">
      <c r="A1526" t="s">
        <v>2636</v>
      </c>
      <c r="B1526">
        <f t="shared" si="23"/>
        <v>9964</v>
      </c>
      <c r="C1526" t="s">
        <v>2637</v>
      </c>
      <c r="D1526" t="s">
        <v>364</v>
      </c>
      <c r="E1526" t="s">
        <v>119</v>
      </c>
      <c r="F1526" t="s">
        <v>323</v>
      </c>
      <c r="G1526" t="s">
        <v>314</v>
      </c>
      <c r="H1526">
        <v>0</v>
      </c>
      <c r="I1526" t="s">
        <v>468</v>
      </c>
    </row>
    <row r="1527" spans="1:9" x14ac:dyDescent="0.25">
      <c r="A1527" t="s">
        <v>3465</v>
      </c>
      <c r="B1527">
        <f t="shared" si="23"/>
        <v>9967</v>
      </c>
      <c r="C1527" t="s">
        <v>3466</v>
      </c>
      <c r="D1527" t="s">
        <v>72</v>
      </c>
      <c r="E1527" t="s">
        <v>81</v>
      </c>
      <c r="F1527" t="s">
        <v>81</v>
      </c>
      <c r="G1527" t="s">
        <v>81</v>
      </c>
      <c r="H1527">
        <v>0</v>
      </c>
      <c r="I1527" t="s">
        <v>381</v>
      </c>
    </row>
    <row r="1528" spans="1:9" x14ac:dyDescent="0.25">
      <c r="A1528" t="s">
        <v>2638</v>
      </c>
      <c r="B1528">
        <f t="shared" si="23"/>
        <v>9973</v>
      </c>
      <c r="C1528" t="s">
        <v>2639</v>
      </c>
      <c r="D1528" t="s">
        <v>364</v>
      </c>
      <c r="E1528" t="s">
        <v>119</v>
      </c>
      <c r="F1528" t="s">
        <v>326</v>
      </c>
      <c r="G1528" t="s">
        <v>25</v>
      </c>
      <c r="H1528">
        <v>0</v>
      </c>
      <c r="I1528" t="s">
        <v>386</v>
      </c>
    </row>
    <row r="1529" spans="1:9" x14ac:dyDescent="0.25">
      <c r="A1529" t="s">
        <v>4283</v>
      </c>
      <c r="B1529">
        <f t="shared" si="23"/>
        <v>9979</v>
      </c>
      <c r="C1529" t="s">
        <v>4284</v>
      </c>
      <c r="D1529" t="s">
        <v>72</v>
      </c>
      <c r="E1529" t="s">
        <v>119</v>
      </c>
      <c r="F1529" t="s">
        <v>327</v>
      </c>
      <c r="G1529" t="s">
        <v>324</v>
      </c>
      <c r="H1529">
        <v>0</v>
      </c>
      <c r="I1529" t="s">
        <v>379</v>
      </c>
    </row>
    <row r="1530" spans="1:9" x14ac:dyDescent="0.25">
      <c r="A1530" t="s">
        <v>2640</v>
      </c>
      <c r="B1530">
        <f t="shared" si="23"/>
        <v>9985</v>
      </c>
      <c r="C1530" t="s">
        <v>2641</v>
      </c>
      <c r="D1530" t="s">
        <v>364</v>
      </c>
      <c r="E1530" t="s">
        <v>119</v>
      </c>
      <c r="F1530" t="s">
        <v>318</v>
      </c>
      <c r="G1530" t="s">
        <v>314</v>
      </c>
      <c r="H1530">
        <v>0</v>
      </c>
      <c r="I1530" t="s">
        <v>2642</v>
      </c>
    </row>
    <row r="1531" spans="1:9" x14ac:dyDescent="0.25">
      <c r="A1531" t="s">
        <v>2643</v>
      </c>
      <c r="B1531">
        <f t="shared" si="23"/>
        <v>9988</v>
      </c>
      <c r="C1531" t="s">
        <v>2644</v>
      </c>
      <c r="D1531" t="s">
        <v>364</v>
      </c>
      <c r="E1531" t="s">
        <v>119</v>
      </c>
      <c r="F1531" t="s">
        <v>323</v>
      </c>
      <c r="G1531" t="s">
        <v>29</v>
      </c>
      <c r="H1531">
        <v>0</v>
      </c>
      <c r="I1531" t="s">
        <v>391</v>
      </c>
    </row>
    <row r="1532" spans="1:9" x14ac:dyDescent="0.25">
      <c r="A1532" t="s">
        <v>1629</v>
      </c>
      <c r="B1532">
        <f t="shared" si="23"/>
        <v>9995</v>
      </c>
      <c r="C1532" t="s">
        <v>1630</v>
      </c>
      <c r="D1532" t="s">
        <v>364</v>
      </c>
      <c r="E1532" t="s">
        <v>119</v>
      </c>
      <c r="F1532" t="s">
        <v>325</v>
      </c>
      <c r="G1532" t="s">
        <v>313</v>
      </c>
      <c r="H1532">
        <v>0</v>
      </c>
      <c r="I1532" t="s">
        <v>4026</v>
      </c>
    </row>
    <row r="1533" spans="1:9" x14ac:dyDescent="0.25">
      <c r="A1533" t="s">
        <v>714</v>
      </c>
      <c r="B1533">
        <f t="shared" si="23"/>
        <v>9996</v>
      </c>
      <c r="C1533" t="s">
        <v>715</v>
      </c>
      <c r="D1533" t="s">
        <v>72</v>
      </c>
      <c r="E1533" t="s">
        <v>119</v>
      </c>
      <c r="F1533" t="s">
        <v>326</v>
      </c>
      <c r="G1533" t="s">
        <v>329</v>
      </c>
      <c r="H1533">
        <v>0</v>
      </c>
      <c r="I1533" t="s">
        <v>377</v>
      </c>
    </row>
    <row r="1534" spans="1:9" x14ac:dyDescent="0.25">
      <c r="A1534" t="s">
        <v>1631</v>
      </c>
      <c r="B1534">
        <f t="shared" si="23"/>
        <v>9997</v>
      </c>
      <c r="C1534" t="s">
        <v>1632</v>
      </c>
      <c r="D1534" t="s">
        <v>364</v>
      </c>
      <c r="E1534" t="s">
        <v>119</v>
      </c>
      <c r="F1534" t="s">
        <v>327</v>
      </c>
      <c r="G1534" t="s">
        <v>28</v>
      </c>
      <c r="H1534">
        <v>0</v>
      </c>
      <c r="I1534" t="s">
        <v>376</v>
      </c>
    </row>
    <row r="1535" spans="1:9" x14ac:dyDescent="0.25">
      <c r="A1535" t="s">
        <v>4620</v>
      </c>
      <c r="B1535">
        <f t="shared" si="23"/>
        <v>9999</v>
      </c>
      <c r="C1535" t="s">
        <v>4621</v>
      </c>
      <c r="D1535" t="s">
        <v>72</v>
      </c>
      <c r="E1535" t="s">
        <v>119</v>
      </c>
      <c r="F1535" t="s">
        <v>326</v>
      </c>
      <c r="G1535" t="s">
        <v>324</v>
      </c>
      <c r="H1535">
        <v>0</v>
      </c>
      <c r="I1535" t="s">
        <v>379</v>
      </c>
    </row>
    <row r="1536" spans="1:9" x14ac:dyDescent="0.25">
      <c r="A1536" t="s">
        <v>2645</v>
      </c>
      <c r="B1536">
        <f t="shared" si="23"/>
        <v>10001</v>
      </c>
      <c r="C1536" t="s">
        <v>2646</v>
      </c>
      <c r="D1536" t="s">
        <v>364</v>
      </c>
      <c r="E1536" t="s">
        <v>119</v>
      </c>
      <c r="F1536" t="s">
        <v>330</v>
      </c>
      <c r="G1536" t="s">
        <v>315</v>
      </c>
      <c r="H1536">
        <v>0</v>
      </c>
      <c r="I1536" t="s">
        <v>468</v>
      </c>
    </row>
    <row r="1537" spans="1:9" x14ac:dyDescent="0.25">
      <c r="A1537" t="s">
        <v>2772</v>
      </c>
      <c r="B1537">
        <f t="shared" si="23"/>
        <v>10002</v>
      </c>
      <c r="C1537" t="s">
        <v>2773</v>
      </c>
      <c r="D1537" t="s">
        <v>364</v>
      </c>
      <c r="E1537" t="s">
        <v>119</v>
      </c>
      <c r="F1537" t="s">
        <v>327</v>
      </c>
      <c r="G1537" t="s">
        <v>324</v>
      </c>
      <c r="H1537">
        <v>0</v>
      </c>
      <c r="I1537" t="s">
        <v>379</v>
      </c>
    </row>
    <row r="1538" spans="1:9" x14ac:dyDescent="0.25">
      <c r="A1538" t="s">
        <v>283</v>
      </c>
      <c r="B1538">
        <f t="shared" si="23"/>
        <v>10007</v>
      </c>
      <c r="C1538" t="s">
        <v>284</v>
      </c>
      <c r="D1538" t="s">
        <v>72</v>
      </c>
      <c r="E1538" t="s">
        <v>81</v>
      </c>
      <c r="F1538" t="s">
        <v>81</v>
      </c>
      <c r="G1538" t="s">
        <v>81</v>
      </c>
      <c r="H1538">
        <v>1</v>
      </c>
      <c r="I1538" t="s">
        <v>403</v>
      </c>
    </row>
    <row r="1539" spans="1:9" x14ac:dyDescent="0.25">
      <c r="A1539" t="s">
        <v>2647</v>
      </c>
      <c r="B1539">
        <f t="shared" si="23"/>
        <v>10026</v>
      </c>
      <c r="C1539" t="s">
        <v>2648</v>
      </c>
      <c r="D1539" t="s">
        <v>364</v>
      </c>
      <c r="E1539" t="s">
        <v>119</v>
      </c>
      <c r="F1539" t="s">
        <v>318</v>
      </c>
      <c r="G1539" t="s">
        <v>329</v>
      </c>
      <c r="H1539">
        <v>0</v>
      </c>
      <c r="I1539" t="s">
        <v>377</v>
      </c>
    </row>
    <row r="1540" spans="1:9" x14ac:dyDescent="0.25">
      <c r="A1540" t="s">
        <v>2649</v>
      </c>
      <c r="B1540">
        <f t="shared" ref="B1540:B1603" si="24">_xlfn.NUMBERVALUE(A1540,"#####")</f>
        <v>10028</v>
      </c>
      <c r="C1540" t="s">
        <v>2650</v>
      </c>
      <c r="D1540" t="s">
        <v>364</v>
      </c>
      <c r="E1540" t="s">
        <v>119</v>
      </c>
      <c r="F1540" t="s">
        <v>318</v>
      </c>
      <c r="G1540" t="s">
        <v>324</v>
      </c>
      <c r="H1540">
        <v>0</v>
      </c>
      <c r="I1540" t="s">
        <v>379</v>
      </c>
    </row>
    <row r="1541" spans="1:9" x14ac:dyDescent="0.25">
      <c r="A1541" t="s">
        <v>2651</v>
      </c>
      <c r="B1541">
        <f t="shared" si="24"/>
        <v>10030</v>
      </c>
      <c r="C1541" t="s">
        <v>2652</v>
      </c>
      <c r="D1541" t="s">
        <v>364</v>
      </c>
      <c r="E1541" t="s">
        <v>119</v>
      </c>
      <c r="F1541" t="s">
        <v>664</v>
      </c>
      <c r="G1541" t="s">
        <v>26</v>
      </c>
      <c r="H1541">
        <v>0</v>
      </c>
      <c r="I1541" t="s">
        <v>394</v>
      </c>
    </row>
    <row r="1542" spans="1:9" x14ac:dyDescent="0.25">
      <c r="A1542" t="s">
        <v>2933</v>
      </c>
      <c r="B1542">
        <f t="shared" si="24"/>
        <v>10031</v>
      </c>
      <c r="C1542" t="s">
        <v>2934</v>
      </c>
      <c r="D1542" t="s">
        <v>364</v>
      </c>
      <c r="E1542" t="s">
        <v>119</v>
      </c>
      <c r="F1542" t="s">
        <v>345</v>
      </c>
      <c r="G1542" t="s">
        <v>28</v>
      </c>
      <c r="H1542">
        <v>0</v>
      </c>
      <c r="I1542" t="s">
        <v>376</v>
      </c>
    </row>
    <row r="1543" spans="1:9" x14ac:dyDescent="0.25">
      <c r="A1543" t="s">
        <v>1257</v>
      </c>
      <c r="B1543">
        <f t="shared" si="24"/>
        <v>10034</v>
      </c>
      <c r="C1543" t="s">
        <v>1258</v>
      </c>
      <c r="D1543" t="s">
        <v>364</v>
      </c>
      <c r="E1543" t="s">
        <v>119</v>
      </c>
      <c r="F1543" t="s">
        <v>345</v>
      </c>
      <c r="G1543" t="s">
        <v>315</v>
      </c>
      <c r="H1543">
        <v>0</v>
      </c>
      <c r="I1543" t="s">
        <v>1259</v>
      </c>
    </row>
    <row r="1544" spans="1:9" x14ac:dyDescent="0.25">
      <c r="A1544" t="s">
        <v>1633</v>
      </c>
      <c r="B1544">
        <f t="shared" si="24"/>
        <v>10039</v>
      </c>
      <c r="C1544" t="s">
        <v>1634</v>
      </c>
      <c r="D1544" t="s">
        <v>72</v>
      </c>
      <c r="E1544" t="s">
        <v>119</v>
      </c>
      <c r="F1544" t="s">
        <v>318</v>
      </c>
      <c r="G1544" t="s">
        <v>29</v>
      </c>
      <c r="H1544">
        <v>0</v>
      </c>
      <c r="I1544" t="s">
        <v>384</v>
      </c>
    </row>
    <row r="1545" spans="1:9" x14ac:dyDescent="0.25">
      <c r="A1545" t="s">
        <v>4285</v>
      </c>
      <c r="B1545">
        <f t="shared" si="24"/>
        <v>10040</v>
      </c>
      <c r="C1545" t="s">
        <v>4286</v>
      </c>
      <c r="D1545" t="s">
        <v>72</v>
      </c>
      <c r="E1545" t="s">
        <v>119</v>
      </c>
      <c r="F1545" t="s">
        <v>325</v>
      </c>
      <c r="G1545" t="s">
        <v>331</v>
      </c>
      <c r="H1545">
        <v>0</v>
      </c>
      <c r="I1545" t="s">
        <v>410</v>
      </c>
    </row>
    <row r="1546" spans="1:9" x14ac:dyDescent="0.25">
      <c r="A1546" t="s">
        <v>3564</v>
      </c>
      <c r="B1546">
        <f t="shared" si="24"/>
        <v>10048</v>
      </c>
      <c r="C1546" t="s">
        <v>3565</v>
      </c>
      <c r="D1546" t="s">
        <v>72</v>
      </c>
      <c r="E1546" t="s">
        <v>119</v>
      </c>
      <c r="F1546" t="s">
        <v>326</v>
      </c>
      <c r="G1546" t="s">
        <v>329</v>
      </c>
      <c r="H1546">
        <v>0</v>
      </c>
      <c r="I1546" t="s">
        <v>377</v>
      </c>
    </row>
    <row r="1547" spans="1:9" x14ac:dyDescent="0.25">
      <c r="A1547" t="s">
        <v>3451</v>
      </c>
      <c r="B1547">
        <f t="shared" si="24"/>
        <v>10049</v>
      </c>
      <c r="C1547" t="s">
        <v>3452</v>
      </c>
      <c r="D1547" t="s">
        <v>364</v>
      </c>
      <c r="E1547" t="s">
        <v>119</v>
      </c>
      <c r="F1547" t="s">
        <v>323</v>
      </c>
      <c r="G1547" t="s">
        <v>312</v>
      </c>
      <c r="H1547">
        <v>0</v>
      </c>
      <c r="I1547" t="s">
        <v>3453</v>
      </c>
    </row>
    <row r="1548" spans="1:9" x14ac:dyDescent="0.25">
      <c r="A1548" t="s">
        <v>1260</v>
      </c>
      <c r="B1548">
        <f t="shared" si="24"/>
        <v>10051</v>
      </c>
      <c r="C1548" t="s">
        <v>1261</v>
      </c>
      <c r="D1548" t="s">
        <v>364</v>
      </c>
      <c r="E1548" t="s">
        <v>119</v>
      </c>
      <c r="F1548" t="s">
        <v>872</v>
      </c>
      <c r="G1548" t="s">
        <v>324</v>
      </c>
      <c r="H1548">
        <v>0</v>
      </c>
      <c r="I1548" t="s">
        <v>379</v>
      </c>
    </row>
    <row r="1549" spans="1:9" x14ac:dyDescent="0.25">
      <c r="A1549" t="s">
        <v>2653</v>
      </c>
      <c r="B1549">
        <f t="shared" si="24"/>
        <v>10055</v>
      </c>
      <c r="C1549" t="s">
        <v>2654</v>
      </c>
      <c r="D1549" t="s">
        <v>364</v>
      </c>
      <c r="E1549" t="s">
        <v>119</v>
      </c>
      <c r="F1549" t="s">
        <v>327</v>
      </c>
      <c r="G1549" t="s">
        <v>324</v>
      </c>
      <c r="H1549">
        <v>0</v>
      </c>
      <c r="I1549" t="s">
        <v>379</v>
      </c>
    </row>
    <row r="1550" spans="1:9" x14ac:dyDescent="0.25">
      <c r="A1550" t="s">
        <v>716</v>
      </c>
      <c r="B1550">
        <f t="shared" si="24"/>
        <v>10056</v>
      </c>
      <c r="C1550" t="s">
        <v>717</v>
      </c>
      <c r="D1550" t="s">
        <v>72</v>
      </c>
      <c r="E1550" t="s">
        <v>81</v>
      </c>
      <c r="F1550" t="s">
        <v>81</v>
      </c>
      <c r="G1550" t="s">
        <v>81</v>
      </c>
      <c r="H1550">
        <v>1</v>
      </c>
      <c r="I1550" t="s">
        <v>718</v>
      </c>
    </row>
    <row r="1551" spans="1:9" x14ac:dyDescent="0.25">
      <c r="A1551" t="s">
        <v>1635</v>
      </c>
      <c r="B1551">
        <f t="shared" si="24"/>
        <v>10057</v>
      </c>
      <c r="C1551" t="s">
        <v>1636</v>
      </c>
      <c r="D1551" t="s">
        <v>364</v>
      </c>
      <c r="E1551" t="s">
        <v>119</v>
      </c>
      <c r="F1551" t="s">
        <v>327</v>
      </c>
      <c r="G1551" t="s">
        <v>312</v>
      </c>
      <c r="H1551">
        <v>0</v>
      </c>
      <c r="I1551" t="s">
        <v>382</v>
      </c>
    </row>
    <row r="1552" spans="1:9" x14ac:dyDescent="0.25">
      <c r="A1552" t="s">
        <v>2972</v>
      </c>
      <c r="B1552">
        <f t="shared" si="24"/>
        <v>10058</v>
      </c>
      <c r="C1552" t="s">
        <v>3032</v>
      </c>
      <c r="D1552" t="s">
        <v>364</v>
      </c>
      <c r="E1552" t="s">
        <v>119</v>
      </c>
      <c r="F1552" t="s">
        <v>318</v>
      </c>
      <c r="G1552" t="s">
        <v>324</v>
      </c>
      <c r="H1552">
        <v>0</v>
      </c>
      <c r="I1552" t="s">
        <v>379</v>
      </c>
    </row>
    <row r="1553" spans="1:9" x14ac:dyDescent="0.25">
      <c r="A1553" t="s">
        <v>1262</v>
      </c>
      <c r="B1553">
        <f t="shared" si="24"/>
        <v>10060</v>
      </c>
      <c r="C1553" t="s">
        <v>1263</v>
      </c>
      <c r="D1553" t="s">
        <v>72</v>
      </c>
      <c r="E1553" t="s">
        <v>119</v>
      </c>
      <c r="F1553" t="s">
        <v>318</v>
      </c>
      <c r="G1553" t="s">
        <v>329</v>
      </c>
      <c r="H1553">
        <v>1</v>
      </c>
      <c r="I1553" t="s">
        <v>377</v>
      </c>
    </row>
    <row r="1554" spans="1:9" x14ac:dyDescent="0.25">
      <c r="A1554" t="s">
        <v>3033</v>
      </c>
      <c r="B1554">
        <f t="shared" si="24"/>
        <v>10067</v>
      </c>
      <c r="C1554" t="s">
        <v>3034</v>
      </c>
      <c r="D1554" t="s">
        <v>364</v>
      </c>
      <c r="E1554" t="s">
        <v>119</v>
      </c>
      <c r="F1554" t="s">
        <v>326</v>
      </c>
      <c r="G1554" t="s">
        <v>324</v>
      </c>
      <c r="H1554">
        <v>0</v>
      </c>
      <c r="I1554" t="s">
        <v>379</v>
      </c>
    </row>
    <row r="1555" spans="1:9" x14ac:dyDescent="0.25">
      <c r="A1555" t="s">
        <v>2655</v>
      </c>
      <c r="B1555">
        <f t="shared" si="24"/>
        <v>10069</v>
      </c>
      <c r="C1555" t="s">
        <v>2656</v>
      </c>
      <c r="D1555" t="s">
        <v>364</v>
      </c>
      <c r="E1555" t="s">
        <v>119</v>
      </c>
      <c r="F1555" t="s">
        <v>318</v>
      </c>
      <c r="G1555" t="s">
        <v>346</v>
      </c>
      <c r="H1555">
        <v>0</v>
      </c>
      <c r="I1555" t="s">
        <v>380</v>
      </c>
    </row>
    <row r="1556" spans="1:9" x14ac:dyDescent="0.25">
      <c r="A1556" t="s">
        <v>3599</v>
      </c>
      <c r="B1556">
        <f t="shared" si="24"/>
        <v>10071</v>
      </c>
      <c r="C1556" t="s">
        <v>3600</v>
      </c>
      <c r="D1556" t="s">
        <v>364</v>
      </c>
      <c r="E1556" t="s">
        <v>119</v>
      </c>
      <c r="F1556" t="s">
        <v>327</v>
      </c>
      <c r="G1556" t="s">
        <v>312</v>
      </c>
      <c r="H1556">
        <v>0</v>
      </c>
      <c r="I1556" t="s">
        <v>382</v>
      </c>
    </row>
    <row r="1557" spans="1:9" x14ac:dyDescent="0.25">
      <c r="A1557" t="s">
        <v>4622</v>
      </c>
      <c r="B1557">
        <f t="shared" si="24"/>
        <v>10073</v>
      </c>
      <c r="C1557" t="s">
        <v>4623</v>
      </c>
      <c r="D1557" t="s">
        <v>364</v>
      </c>
      <c r="E1557" t="s">
        <v>119</v>
      </c>
      <c r="F1557" t="s">
        <v>318</v>
      </c>
      <c r="G1557" t="s">
        <v>324</v>
      </c>
      <c r="H1557">
        <v>0</v>
      </c>
      <c r="I1557" t="s">
        <v>379</v>
      </c>
    </row>
    <row r="1558" spans="1:9" x14ac:dyDescent="0.25">
      <c r="A1558" t="s">
        <v>4624</v>
      </c>
      <c r="B1558">
        <f t="shared" si="24"/>
        <v>10075</v>
      </c>
      <c r="C1558" t="s">
        <v>4625</v>
      </c>
      <c r="D1558" t="s">
        <v>364</v>
      </c>
      <c r="E1558" t="s">
        <v>119</v>
      </c>
      <c r="F1558" t="s">
        <v>327</v>
      </c>
      <c r="G1558" t="s">
        <v>324</v>
      </c>
      <c r="H1558">
        <v>0</v>
      </c>
      <c r="I1558" t="s">
        <v>379</v>
      </c>
    </row>
    <row r="1559" spans="1:9" x14ac:dyDescent="0.25">
      <c r="A1559" t="s">
        <v>1264</v>
      </c>
      <c r="B1559">
        <f t="shared" si="24"/>
        <v>10076</v>
      </c>
      <c r="C1559" t="s">
        <v>1265</v>
      </c>
      <c r="D1559" t="s">
        <v>364</v>
      </c>
      <c r="E1559" t="s">
        <v>119</v>
      </c>
      <c r="F1559" t="s">
        <v>326</v>
      </c>
      <c r="G1559" t="s">
        <v>26</v>
      </c>
      <c r="H1559">
        <v>0</v>
      </c>
      <c r="I1559" t="s">
        <v>394</v>
      </c>
    </row>
    <row r="1560" spans="1:9" x14ac:dyDescent="0.25">
      <c r="A1560" t="s">
        <v>1266</v>
      </c>
      <c r="B1560">
        <f t="shared" si="24"/>
        <v>10078</v>
      </c>
      <c r="C1560" t="s">
        <v>1267</v>
      </c>
      <c r="D1560" t="s">
        <v>364</v>
      </c>
      <c r="E1560" t="s">
        <v>119</v>
      </c>
      <c r="F1560" t="s">
        <v>326</v>
      </c>
      <c r="G1560" t="s">
        <v>324</v>
      </c>
      <c r="H1560">
        <v>0</v>
      </c>
      <c r="I1560" t="s">
        <v>379</v>
      </c>
    </row>
    <row r="1561" spans="1:9" x14ac:dyDescent="0.25">
      <c r="A1561" t="s">
        <v>4626</v>
      </c>
      <c r="B1561">
        <f t="shared" si="24"/>
        <v>10080</v>
      </c>
      <c r="C1561" t="s">
        <v>4627</v>
      </c>
      <c r="D1561" t="s">
        <v>364</v>
      </c>
      <c r="E1561" t="s">
        <v>81</v>
      </c>
      <c r="F1561" t="s">
        <v>81</v>
      </c>
      <c r="G1561" t="s">
        <v>81</v>
      </c>
      <c r="H1561">
        <v>0</v>
      </c>
      <c r="I1561" t="s">
        <v>409</v>
      </c>
    </row>
    <row r="1562" spans="1:9" x14ac:dyDescent="0.25">
      <c r="A1562" t="s">
        <v>1268</v>
      </c>
      <c r="B1562">
        <f t="shared" si="24"/>
        <v>10085</v>
      </c>
      <c r="C1562" t="s">
        <v>1269</v>
      </c>
      <c r="D1562" t="s">
        <v>364</v>
      </c>
      <c r="E1562" t="s">
        <v>119</v>
      </c>
      <c r="F1562" t="s">
        <v>318</v>
      </c>
      <c r="G1562" t="s">
        <v>329</v>
      </c>
      <c r="H1562">
        <v>0</v>
      </c>
      <c r="I1562" t="s">
        <v>377</v>
      </c>
    </row>
    <row r="1563" spans="1:9" x14ac:dyDescent="0.25">
      <c r="A1563" t="s">
        <v>2758</v>
      </c>
      <c r="B1563">
        <f t="shared" si="24"/>
        <v>10086</v>
      </c>
      <c r="C1563" t="s">
        <v>2759</v>
      </c>
      <c r="D1563" t="s">
        <v>364</v>
      </c>
      <c r="E1563" t="s">
        <v>119</v>
      </c>
      <c r="F1563" t="s">
        <v>327</v>
      </c>
      <c r="G1563" t="s">
        <v>324</v>
      </c>
      <c r="H1563">
        <v>0</v>
      </c>
      <c r="I1563" t="s">
        <v>379</v>
      </c>
    </row>
    <row r="1564" spans="1:9" x14ac:dyDescent="0.25">
      <c r="A1564" t="s">
        <v>2657</v>
      </c>
      <c r="B1564">
        <f t="shared" si="24"/>
        <v>10090</v>
      </c>
      <c r="C1564" t="s">
        <v>2658</v>
      </c>
      <c r="D1564" t="s">
        <v>364</v>
      </c>
      <c r="E1564" t="s">
        <v>119</v>
      </c>
      <c r="F1564" t="s">
        <v>327</v>
      </c>
      <c r="G1564" t="s">
        <v>29</v>
      </c>
      <c r="H1564">
        <v>0</v>
      </c>
      <c r="I1564" t="s">
        <v>391</v>
      </c>
    </row>
    <row r="1565" spans="1:9" x14ac:dyDescent="0.25">
      <c r="A1565" t="s">
        <v>2659</v>
      </c>
      <c r="B1565">
        <f t="shared" si="24"/>
        <v>10105</v>
      </c>
      <c r="C1565" t="s">
        <v>2660</v>
      </c>
      <c r="D1565" t="s">
        <v>364</v>
      </c>
      <c r="E1565" t="s">
        <v>119</v>
      </c>
      <c r="F1565" t="s">
        <v>327</v>
      </c>
      <c r="G1565" t="s">
        <v>324</v>
      </c>
      <c r="H1565">
        <v>0</v>
      </c>
      <c r="I1565" t="s">
        <v>379</v>
      </c>
    </row>
    <row r="1566" spans="1:9" x14ac:dyDescent="0.25">
      <c r="A1566" t="s">
        <v>2661</v>
      </c>
      <c r="B1566">
        <f t="shared" si="24"/>
        <v>10112</v>
      </c>
      <c r="C1566" t="s">
        <v>2662</v>
      </c>
      <c r="D1566" t="s">
        <v>364</v>
      </c>
      <c r="E1566" t="s">
        <v>119</v>
      </c>
      <c r="F1566" t="s">
        <v>318</v>
      </c>
      <c r="G1566" t="s">
        <v>312</v>
      </c>
      <c r="H1566">
        <v>0</v>
      </c>
      <c r="I1566" t="s">
        <v>382</v>
      </c>
    </row>
    <row r="1567" spans="1:9" x14ac:dyDescent="0.25">
      <c r="A1567" t="s">
        <v>1703</v>
      </c>
      <c r="B1567">
        <f t="shared" si="24"/>
        <v>10123</v>
      </c>
      <c r="C1567" t="s">
        <v>1704</v>
      </c>
      <c r="D1567" t="s">
        <v>364</v>
      </c>
      <c r="E1567" t="s">
        <v>119</v>
      </c>
      <c r="F1567" t="s">
        <v>327</v>
      </c>
      <c r="G1567" t="s">
        <v>25</v>
      </c>
      <c r="H1567">
        <v>0</v>
      </c>
      <c r="I1567" t="s">
        <v>386</v>
      </c>
    </row>
    <row r="1568" spans="1:9" x14ac:dyDescent="0.25">
      <c r="A1568" t="s">
        <v>1270</v>
      </c>
      <c r="B1568">
        <f t="shared" si="24"/>
        <v>10139</v>
      </c>
      <c r="C1568" t="s">
        <v>1271</v>
      </c>
      <c r="D1568" t="s">
        <v>364</v>
      </c>
      <c r="E1568" t="s">
        <v>119</v>
      </c>
      <c r="F1568" t="s">
        <v>345</v>
      </c>
      <c r="G1568" t="s">
        <v>324</v>
      </c>
      <c r="H1568">
        <v>0</v>
      </c>
      <c r="I1568" t="s">
        <v>379</v>
      </c>
    </row>
    <row r="1569" spans="1:9" x14ac:dyDescent="0.25">
      <c r="A1569" t="s">
        <v>2935</v>
      </c>
      <c r="B1569">
        <f t="shared" si="24"/>
        <v>10140</v>
      </c>
      <c r="C1569" t="s">
        <v>2936</v>
      </c>
      <c r="D1569" t="s">
        <v>364</v>
      </c>
      <c r="E1569" t="s">
        <v>119</v>
      </c>
      <c r="F1569" t="s">
        <v>664</v>
      </c>
      <c r="G1569" t="s">
        <v>324</v>
      </c>
      <c r="H1569">
        <v>0</v>
      </c>
      <c r="I1569" t="s">
        <v>379</v>
      </c>
    </row>
    <row r="1570" spans="1:9" x14ac:dyDescent="0.25">
      <c r="A1570" t="s">
        <v>4628</v>
      </c>
      <c r="B1570">
        <f t="shared" si="24"/>
        <v>10141</v>
      </c>
      <c r="C1570" t="s">
        <v>4629</v>
      </c>
      <c r="D1570" t="s">
        <v>364</v>
      </c>
      <c r="E1570" t="s">
        <v>119</v>
      </c>
      <c r="F1570" t="s">
        <v>318</v>
      </c>
      <c r="G1570" t="s">
        <v>324</v>
      </c>
      <c r="H1570">
        <v>0</v>
      </c>
      <c r="I1570" t="s">
        <v>379</v>
      </c>
    </row>
    <row r="1571" spans="1:9" x14ac:dyDescent="0.25">
      <c r="A1571" t="s">
        <v>4405</v>
      </c>
      <c r="B1571">
        <f t="shared" si="24"/>
        <v>10144</v>
      </c>
      <c r="C1571" t="s">
        <v>4406</v>
      </c>
      <c r="D1571" t="s">
        <v>72</v>
      </c>
      <c r="E1571" t="s">
        <v>119</v>
      </c>
      <c r="F1571" t="s">
        <v>328</v>
      </c>
      <c r="G1571" t="s">
        <v>28</v>
      </c>
      <c r="H1571">
        <v>0</v>
      </c>
      <c r="I1571" t="s">
        <v>376</v>
      </c>
    </row>
    <row r="1572" spans="1:9" x14ac:dyDescent="0.25">
      <c r="A1572" t="s">
        <v>1272</v>
      </c>
      <c r="B1572">
        <f t="shared" si="24"/>
        <v>10146</v>
      </c>
      <c r="C1572" t="s">
        <v>1273</v>
      </c>
      <c r="D1572" t="s">
        <v>364</v>
      </c>
      <c r="E1572" t="s">
        <v>119</v>
      </c>
      <c r="F1572" t="s">
        <v>327</v>
      </c>
      <c r="G1572" t="s">
        <v>26</v>
      </c>
      <c r="H1572">
        <v>0</v>
      </c>
      <c r="I1572" t="s">
        <v>394</v>
      </c>
    </row>
    <row r="1573" spans="1:9" x14ac:dyDescent="0.25">
      <c r="A1573" t="s">
        <v>2663</v>
      </c>
      <c r="B1573">
        <f t="shared" si="24"/>
        <v>10148</v>
      </c>
      <c r="C1573" t="s">
        <v>2664</v>
      </c>
      <c r="D1573" t="s">
        <v>364</v>
      </c>
      <c r="E1573" t="s">
        <v>119</v>
      </c>
      <c r="F1573" t="s">
        <v>318</v>
      </c>
      <c r="G1573" t="s">
        <v>324</v>
      </c>
      <c r="H1573">
        <v>0</v>
      </c>
      <c r="I1573" t="s">
        <v>379</v>
      </c>
    </row>
    <row r="1574" spans="1:9" x14ac:dyDescent="0.25">
      <c r="A1574" t="s">
        <v>1274</v>
      </c>
      <c r="B1574">
        <f t="shared" si="24"/>
        <v>10149</v>
      </c>
      <c r="C1574" t="s">
        <v>1275</v>
      </c>
      <c r="D1574" t="s">
        <v>364</v>
      </c>
      <c r="E1574" t="s">
        <v>119</v>
      </c>
      <c r="F1574" t="s">
        <v>327</v>
      </c>
      <c r="G1574" t="s">
        <v>25</v>
      </c>
      <c r="H1574">
        <v>0</v>
      </c>
      <c r="I1574" t="s">
        <v>386</v>
      </c>
    </row>
    <row r="1575" spans="1:9" x14ac:dyDescent="0.25">
      <c r="A1575" t="s">
        <v>285</v>
      </c>
      <c r="B1575">
        <f t="shared" si="24"/>
        <v>10154</v>
      </c>
      <c r="C1575" t="s">
        <v>286</v>
      </c>
      <c r="D1575" t="s">
        <v>364</v>
      </c>
      <c r="E1575" t="s">
        <v>81</v>
      </c>
      <c r="F1575" t="s">
        <v>81</v>
      </c>
      <c r="G1575" t="s">
        <v>81</v>
      </c>
      <c r="H1575">
        <v>0</v>
      </c>
      <c r="I1575" t="s">
        <v>403</v>
      </c>
    </row>
    <row r="1576" spans="1:9" x14ac:dyDescent="0.25">
      <c r="A1576" t="s">
        <v>2973</v>
      </c>
      <c r="B1576">
        <f t="shared" si="24"/>
        <v>10155</v>
      </c>
      <c r="C1576" t="s">
        <v>2974</v>
      </c>
      <c r="D1576" t="s">
        <v>364</v>
      </c>
      <c r="E1576" t="s">
        <v>119</v>
      </c>
      <c r="F1576" t="s">
        <v>327</v>
      </c>
      <c r="G1576" t="s">
        <v>324</v>
      </c>
      <c r="H1576">
        <v>0</v>
      </c>
      <c r="I1576" t="s">
        <v>379</v>
      </c>
    </row>
    <row r="1577" spans="1:9" x14ac:dyDescent="0.25">
      <c r="A1577" t="s">
        <v>287</v>
      </c>
      <c r="B1577">
        <f t="shared" si="24"/>
        <v>10157</v>
      </c>
      <c r="C1577" t="s">
        <v>288</v>
      </c>
      <c r="D1577" t="s">
        <v>72</v>
      </c>
      <c r="E1577" t="s">
        <v>81</v>
      </c>
      <c r="F1577" t="s">
        <v>81</v>
      </c>
      <c r="G1577" t="s">
        <v>81</v>
      </c>
      <c r="H1577">
        <v>1</v>
      </c>
      <c r="I1577" t="s">
        <v>719</v>
      </c>
    </row>
    <row r="1578" spans="1:9" x14ac:dyDescent="0.25">
      <c r="A1578" t="s">
        <v>2665</v>
      </c>
      <c r="B1578">
        <f t="shared" si="24"/>
        <v>10158</v>
      </c>
      <c r="C1578" t="s">
        <v>2666</v>
      </c>
      <c r="D1578" t="s">
        <v>364</v>
      </c>
      <c r="E1578" t="s">
        <v>119</v>
      </c>
      <c r="F1578" t="s">
        <v>323</v>
      </c>
      <c r="G1578" t="s">
        <v>324</v>
      </c>
      <c r="H1578">
        <v>0</v>
      </c>
      <c r="I1578" t="s">
        <v>379</v>
      </c>
    </row>
    <row r="1579" spans="1:9" x14ac:dyDescent="0.25">
      <c r="A1579" t="s">
        <v>1637</v>
      </c>
      <c r="B1579">
        <f t="shared" si="24"/>
        <v>10160</v>
      </c>
      <c r="C1579" t="s">
        <v>1638</v>
      </c>
      <c r="D1579" t="s">
        <v>364</v>
      </c>
      <c r="E1579" t="s">
        <v>119</v>
      </c>
      <c r="F1579" t="s">
        <v>872</v>
      </c>
      <c r="G1579" t="s">
        <v>994</v>
      </c>
      <c r="H1579">
        <v>0</v>
      </c>
      <c r="I1579" t="s">
        <v>1423</v>
      </c>
    </row>
    <row r="1580" spans="1:9" x14ac:dyDescent="0.25">
      <c r="A1580" t="s">
        <v>2667</v>
      </c>
      <c r="B1580">
        <f t="shared" si="24"/>
        <v>10161</v>
      </c>
      <c r="C1580" t="s">
        <v>2668</v>
      </c>
      <c r="D1580" t="s">
        <v>72</v>
      </c>
      <c r="E1580" t="s">
        <v>81</v>
      </c>
      <c r="F1580" t="s">
        <v>81</v>
      </c>
      <c r="G1580" t="s">
        <v>81</v>
      </c>
      <c r="H1580">
        <v>1</v>
      </c>
      <c r="I1580" t="s">
        <v>392</v>
      </c>
    </row>
    <row r="1581" spans="1:9" x14ac:dyDescent="0.25">
      <c r="A1581" t="s">
        <v>4630</v>
      </c>
      <c r="B1581">
        <f t="shared" si="24"/>
        <v>10164</v>
      </c>
      <c r="C1581" t="s">
        <v>4631</v>
      </c>
      <c r="D1581" t="s">
        <v>364</v>
      </c>
      <c r="E1581" t="s">
        <v>119</v>
      </c>
      <c r="F1581" t="s">
        <v>318</v>
      </c>
      <c r="G1581" t="s">
        <v>29</v>
      </c>
      <c r="H1581">
        <v>0</v>
      </c>
      <c r="I1581" t="s">
        <v>391</v>
      </c>
    </row>
    <row r="1582" spans="1:9" x14ac:dyDescent="0.25">
      <c r="A1582" t="s">
        <v>2669</v>
      </c>
      <c r="B1582">
        <f t="shared" si="24"/>
        <v>10170</v>
      </c>
      <c r="C1582" t="s">
        <v>2670</v>
      </c>
      <c r="D1582" t="s">
        <v>364</v>
      </c>
      <c r="E1582" t="s">
        <v>119</v>
      </c>
      <c r="F1582" t="s">
        <v>327</v>
      </c>
      <c r="G1582" t="s">
        <v>324</v>
      </c>
      <c r="H1582">
        <v>0</v>
      </c>
      <c r="I1582" t="s">
        <v>379</v>
      </c>
    </row>
    <row r="1583" spans="1:9" x14ac:dyDescent="0.25">
      <c r="A1583" t="s">
        <v>2671</v>
      </c>
      <c r="B1583">
        <f t="shared" si="24"/>
        <v>10171</v>
      </c>
      <c r="C1583" t="s">
        <v>2672</v>
      </c>
      <c r="D1583" t="s">
        <v>364</v>
      </c>
      <c r="E1583" t="s">
        <v>119</v>
      </c>
      <c r="F1583" t="s">
        <v>327</v>
      </c>
      <c r="G1583" t="s">
        <v>329</v>
      </c>
      <c r="H1583">
        <v>0</v>
      </c>
      <c r="I1583" t="s">
        <v>377</v>
      </c>
    </row>
    <row r="1584" spans="1:9" x14ac:dyDescent="0.25">
      <c r="A1584" t="s">
        <v>2673</v>
      </c>
      <c r="B1584">
        <f t="shared" si="24"/>
        <v>10173</v>
      </c>
      <c r="C1584" t="s">
        <v>2674</v>
      </c>
      <c r="D1584" t="s">
        <v>364</v>
      </c>
      <c r="E1584" t="s">
        <v>119</v>
      </c>
      <c r="F1584" t="s">
        <v>323</v>
      </c>
      <c r="G1584" t="s">
        <v>25</v>
      </c>
      <c r="H1584">
        <v>0</v>
      </c>
      <c r="I1584" t="s">
        <v>386</v>
      </c>
    </row>
    <row r="1585" spans="1:9" x14ac:dyDescent="0.25">
      <c r="A1585" t="s">
        <v>1639</v>
      </c>
      <c r="B1585">
        <f t="shared" si="24"/>
        <v>10177</v>
      </c>
      <c r="C1585" t="s">
        <v>1640</v>
      </c>
      <c r="D1585" t="s">
        <v>364</v>
      </c>
      <c r="E1585" t="s">
        <v>119</v>
      </c>
      <c r="F1585" t="s">
        <v>327</v>
      </c>
      <c r="G1585" t="s">
        <v>28</v>
      </c>
      <c r="H1585">
        <v>0</v>
      </c>
      <c r="I1585" t="s">
        <v>376</v>
      </c>
    </row>
    <row r="1586" spans="1:9" x14ac:dyDescent="0.25">
      <c r="A1586" t="s">
        <v>289</v>
      </c>
      <c r="B1586">
        <f t="shared" si="24"/>
        <v>10180</v>
      </c>
      <c r="C1586" t="s">
        <v>290</v>
      </c>
      <c r="D1586" t="s">
        <v>72</v>
      </c>
      <c r="E1586" t="s">
        <v>119</v>
      </c>
      <c r="F1586" t="s">
        <v>326</v>
      </c>
      <c r="G1586" t="s">
        <v>329</v>
      </c>
      <c r="H1586">
        <v>0</v>
      </c>
      <c r="I1586" t="s">
        <v>377</v>
      </c>
    </row>
    <row r="1587" spans="1:9" x14ac:dyDescent="0.25">
      <c r="A1587" t="s">
        <v>2675</v>
      </c>
      <c r="B1587">
        <f t="shared" si="24"/>
        <v>10181</v>
      </c>
      <c r="C1587" t="s">
        <v>2676</v>
      </c>
      <c r="D1587" t="s">
        <v>364</v>
      </c>
      <c r="E1587" t="s">
        <v>119</v>
      </c>
      <c r="F1587" t="s">
        <v>1717</v>
      </c>
      <c r="G1587" t="s">
        <v>329</v>
      </c>
      <c r="H1587">
        <v>0</v>
      </c>
      <c r="I1587" t="s">
        <v>377</v>
      </c>
    </row>
    <row r="1588" spans="1:9" x14ac:dyDescent="0.25">
      <c r="A1588" t="s">
        <v>2677</v>
      </c>
      <c r="B1588">
        <f t="shared" si="24"/>
        <v>10183</v>
      </c>
      <c r="C1588" t="s">
        <v>2678</v>
      </c>
      <c r="D1588" t="s">
        <v>364</v>
      </c>
      <c r="E1588" t="s">
        <v>119</v>
      </c>
      <c r="F1588" t="s">
        <v>327</v>
      </c>
      <c r="G1588" t="s">
        <v>312</v>
      </c>
      <c r="H1588">
        <v>0</v>
      </c>
      <c r="I1588" t="s">
        <v>382</v>
      </c>
    </row>
    <row r="1589" spans="1:9" x14ac:dyDescent="0.25">
      <c r="A1589" t="s">
        <v>3074</v>
      </c>
      <c r="B1589">
        <f t="shared" si="24"/>
        <v>10184</v>
      </c>
      <c r="C1589" t="s">
        <v>3075</v>
      </c>
      <c r="D1589" t="s">
        <v>364</v>
      </c>
      <c r="E1589" t="s">
        <v>119</v>
      </c>
      <c r="F1589" t="s">
        <v>327</v>
      </c>
      <c r="G1589" t="s">
        <v>25</v>
      </c>
      <c r="H1589">
        <v>0</v>
      </c>
      <c r="I1589" t="s">
        <v>386</v>
      </c>
    </row>
    <row r="1590" spans="1:9" x14ac:dyDescent="0.25">
      <c r="A1590" t="s">
        <v>3630</v>
      </c>
      <c r="B1590">
        <f t="shared" si="24"/>
        <v>10190</v>
      </c>
      <c r="C1590" t="s">
        <v>3631</v>
      </c>
      <c r="D1590" t="s">
        <v>364</v>
      </c>
      <c r="E1590" t="s">
        <v>119</v>
      </c>
      <c r="F1590" t="s">
        <v>318</v>
      </c>
      <c r="G1590" t="s">
        <v>27</v>
      </c>
      <c r="H1590">
        <v>0</v>
      </c>
      <c r="I1590" t="s">
        <v>387</v>
      </c>
    </row>
    <row r="1591" spans="1:9" x14ac:dyDescent="0.25">
      <c r="A1591" t="s">
        <v>3632</v>
      </c>
      <c r="B1591">
        <f t="shared" si="24"/>
        <v>10191</v>
      </c>
      <c r="C1591" t="s">
        <v>3633</v>
      </c>
      <c r="D1591" t="s">
        <v>72</v>
      </c>
      <c r="E1591" t="s">
        <v>119</v>
      </c>
      <c r="F1591" t="s">
        <v>323</v>
      </c>
      <c r="G1591" t="s">
        <v>324</v>
      </c>
      <c r="H1591">
        <v>0</v>
      </c>
      <c r="I1591" t="s">
        <v>379</v>
      </c>
    </row>
    <row r="1592" spans="1:9" x14ac:dyDescent="0.25">
      <c r="A1592" t="s">
        <v>4287</v>
      </c>
      <c r="B1592">
        <f t="shared" si="24"/>
        <v>10192</v>
      </c>
      <c r="C1592" t="s">
        <v>4288</v>
      </c>
      <c r="D1592" t="s">
        <v>72</v>
      </c>
      <c r="E1592" t="s">
        <v>119</v>
      </c>
      <c r="F1592" t="s">
        <v>318</v>
      </c>
      <c r="G1592" t="s">
        <v>24</v>
      </c>
      <c r="H1592">
        <v>0</v>
      </c>
      <c r="I1592" t="s">
        <v>383</v>
      </c>
    </row>
    <row r="1593" spans="1:9" x14ac:dyDescent="0.25">
      <c r="A1593" t="s">
        <v>4289</v>
      </c>
      <c r="B1593">
        <f t="shared" si="24"/>
        <v>10193</v>
      </c>
      <c r="C1593" t="s">
        <v>4290</v>
      </c>
      <c r="D1593" t="s">
        <v>72</v>
      </c>
      <c r="E1593" t="s">
        <v>119</v>
      </c>
      <c r="F1593" t="s">
        <v>318</v>
      </c>
      <c r="G1593" t="s">
        <v>29</v>
      </c>
      <c r="H1593">
        <v>0</v>
      </c>
      <c r="I1593" t="s">
        <v>391</v>
      </c>
    </row>
    <row r="1594" spans="1:9" x14ac:dyDescent="0.25">
      <c r="A1594" t="s">
        <v>4632</v>
      </c>
      <c r="B1594">
        <f t="shared" si="24"/>
        <v>10194</v>
      </c>
      <c r="C1594" t="s">
        <v>4633</v>
      </c>
      <c r="D1594" t="s">
        <v>72</v>
      </c>
      <c r="E1594" t="s">
        <v>81</v>
      </c>
      <c r="F1594" t="s">
        <v>81</v>
      </c>
      <c r="G1594" t="s">
        <v>81</v>
      </c>
      <c r="H1594">
        <v>0</v>
      </c>
      <c r="I1594" t="s">
        <v>392</v>
      </c>
    </row>
    <row r="1595" spans="1:9" x14ac:dyDescent="0.25">
      <c r="A1595" t="s">
        <v>2679</v>
      </c>
      <c r="B1595">
        <f t="shared" si="24"/>
        <v>10195</v>
      </c>
      <c r="C1595" t="s">
        <v>2680</v>
      </c>
      <c r="D1595" t="s">
        <v>364</v>
      </c>
      <c r="E1595" t="s">
        <v>119</v>
      </c>
      <c r="F1595" t="s">
        <v>318</v>
      </c>
      <c r="G1595" t="s">
        <v>324</v>
      </c>
      <c r="H1595">
        <v>0</v>
      </c>
      <c r="I1595" t="s">
        <v>379</v>
      </c>
    </row>
    <row r="1596" spans="1:9" x14ac:dyDescent="0.25">
      <c r="A1596" t="s">
        <v>2806</v>
      </c>
      <c r="B1596">
        <f t="shared" si="24"/>
        <v>10203</v>
      </c>
      <c r="C1596" t="s">
        <v>2807</v>
      </c>
      <c r="D1596" t="s">
        <v>72</v>
      </c>
      <c r="E1596" t="s">
        <v>81</v>
      </c>
      <c r="F1596" t="s">
        <v>81</v>
      </c>
      <c r="G1596" t="s">
        <v>81</v>
      </c>
      <c r="H1596">
        <v>0</v>
      </c>
      <c r="I1596" t="s">
        <v>2808</v>
      </c>
    </row>
    <row r="1597" spans="1:9" x14ac:dyDescent="0.25">
      <c r="A1597" t="s">
        <v>2681</v>
      </c>
      <c r="B1597">
        <f t="shared" si="24"/>
        <v>10205</v>
      </c>
      <c r="C1597" t="s">
        <v>2682</v>
      </c>
      <c r="D1597" t="s">
        <v>364</v>
      </c>
      <c r="E1597" t="s">
        <v>119</v>
      </c>
      <c r="F1597" t="s">
        <v>327</v>
      </c>
      <c r="G1597" t="s">
        <v>324</v>
      </c>
      <c r="H1597">
        <v>0</v>
      </c>
      <c r="I1597" t="s">
        <v>379</v>
      </c>
    </row>
    <row r="1598" spans="1:9" x14ac:dyDescent="0.25">
      <c r="A1598" t="s">
        <v>2683</v>
      </c>
      <c r="B1598">
        <f t="shared" si="24"/>
        <v>10209</v>
      </c>
      <c r="C1598" t="s">
        <v>2684</v>
      </c>
      <c r="D1598" t="s">
        <v>364</v>
      </c>
      <c r="E1598" t="s">
        <v>119</v>
      </c>
      <c r="F1598" t="s">
        <v>327</v>
      </c>
      <c r="G1598" t="s">
        <v>329</v>
      </c>
      <c r="H1598">
        <v>0</v>
      </c>
      <c r="I1598" t="s">
        <v>377</v>
      </c>
    </row>
    <row r="1599" spans="1:9" x14ac:dyDescent="0.25">
      <c r="A1599" t="s">
        <v>1705</v>
      </c>
      <c r="B1599">
        <f t="shared" si="24"/>
        <v>10212</v>
      </c>
      <c r="C1599" t="s">
        <v>1706</v>
      </c>
      <c r="D1599" t="s">
        <v>364</v>
      </c>
      <c r="E1599" t="s">
        <v>119</v>
      </c>
      <c r="F1599" t="s">
        <v>327</v>
      </c>
      <c r="G1599" t="s">
        <v>28</v>
      </c>
      <c r="H1599">
        <v>0</v>
      </c>
      <c r="I1599" t="s">
        <v>376</v>
      </c>
    </row>
    <row r="1600" spans="1:9" x14ac:dyDescent="0.25">
      <c r="A1600" t="s">
        <v>3035</v>
      </c>
      <c r="B1600">
        <f t="shared" si="24"/>
        <v>10216</v>
      </c>
      <c r="C1600" t="s">
        <v>3036</v>
      </c>
      <c r="D1600" t="s">
        <v>72</v>
      </c>
      <c r="E1600" t="s">
        <v>81</v>
      </c>
      <c r="F1600" t="s">
        <v>81</v>
      </c>
      <c r="G1600" t="s">
        <v>81</v>
      </c>
      <c r="H1600">
        <v>0</v>
      </c>
      <c r="I1600" t="s">
        <v>389</v>
      </c>
    </row>
    <row r="1601" spans="1:9" x14ac:dyDescent="0.25">
      <c r="A1601" t="s">
        <v>4407</v>
      </c>
      <c r="B1601">
        <f t="shared" si="24"/>
        <v>10220</v>
      </c>
      <c r="C1601" t="s">
        <v>4408</v>
      </c>
      <c r="D1601" t="s">
        <v>72</v>
      </c>
      <c r="E1601" t="s">
        <v>119</v>
      </c>
      <c r="F1601" t="s">
        <v>318</v>
      </c>
      <c r="G1601" t="s">
        <v>324</v>
      </c>
      <c r="H1601">
        <v>0</v>
      </c>
      <c r="I1601" t="s">
        <v>379</v>
      </c>
    </row>
    <row r="1602" spans="1:9" x14ac:dyDescent="0.25">
      <c r="A1602" t="s">
        <v>4634</v>
      </c>
      <c r="B1602">
        <f t="shared" si="24"/>
        <v>10221</v>
      </c>
      <c r="C1602" t="s">
        <v>4635</v>
      </c>
      <c r="D1602" t="s">
        <v>364</v>
      </c>
      <c r="E1602" t="s">
        <v>119</v>
      </c>
      <c r="F1602" t="s">
        <v>327</v>
      </c>
      <c r="G1602" t="s">
        <v>312</v>
      </c>
      <c r="H1602">
        <v>0</v>
      </c>
      <c r="I1602" t="s">
        <v>382</v>
      </c>
    </row>
    <row r="1603" spans="1:9" x14ac:dyDescent="0.25">
      <c r="A1603" t="s">
        <v>362</v>
      </c>
      <c r="B1603">
        <f t="shared" si="24"/>
        <v>10231</v>
      </c>
      <c r="C1603" t="s">
        <v>363</v>
      </c>
      <c r="D1603" t="s">
        <v>364</v>
      </c>
      <c r="E1603" t="s">
        <v>119</v>
      </c>
      <c r="F1603" t="s">
        <v>325</v>
      </c>
      <c r="G1603" t="s">
        <v>331</v>
      </c>
      <c r="H1603">
        <v>0</v>
      </c>
      <c r="I1603" t="s">
        <v>410</v>
      </c>
    </row>
    <row r="1604" spans="1:9" x14ac:dyDescent="0.25">
      <c r="A1604" t="s">
        <v>4636</v>
      </c>
      <c r="B1604">
        <f t="shared" ref="B1604:B1667" si="25">_xlfn.NUMBERVALUE(A1604,"#####")</f>
        <v>10235</v>
      </c>
      <c r="C1604" t="s">
        <v>4637</v>
      </c>
      <c r="D1604" t="s">
        <v>72</v>
      </c>
      <c r="E1604" t="s">
        <v>119</v>
      </c>
      <c r="F1604" t="s">
        <v>323</v>
      </c>
      <c r="G1604" t="s">
        <v>324</v>
      </c>
      <c r="H1604">
        <v>0</v>
      </c>
      <c r="I1604" t="s">
        <v>379</v>
      </c>
    </row>
    <row r="1605" spans="1:9" x14ac:dyDescent="0.25">
      <c r="A1605" t="s">
        <v>4638</v>
      </c>
      <c r="B1605">
        <f t="shared" si="25"/>
        <v>10236</v>
      </c>
      <c r="C1605" t="s">
        <v>4639</v>
      </c>
      <c r="D1605" t="s">
        <v>364</v>
      </c>
      <c r="E1605" t="s">
        <v>119</v>
      </c>
      <c r="F1605" t="s">
        <v>327</v>
      </c>
      <c r="G1605" t="s">
        <v>324</v>
      </c>
      <c r="H1605">
        <v>0</v>
      </c>
      <c r="I1605" t="s">
        <v>379</v>
      </c>
    </row>
    <row r="1606" spans="1:9" x14ac:dyDescent="0.25">
      <c r="A1606" t="s">
        <v>2685</v>
      </c>
      <c r="B1606">
        <f t="shared" si="25"/>
        <v>10252</v>
      </c>
      <c r="C1606" t="s">
        <v>2686</v>
      </c>
      <c r="D1606" t="s">
        <v>364</v>
      </c>
      <c r="E1606" t="s">
        <v>81</v>
      </c>
      <c r="F1606" t="s">
        <v>81</v>
      </c>
      <c r="G1606" t="s">
        <v>81</v>
      </c>
      <c r="H1606">
        <v>1</v>
      </c>
      <c r="I1606" t="s">
        <v>389</v>
      </c>
    </row>
    <row r="1607" spans="1:9" x14ac:dyDescent="0.25">
      <c r="A1607" t="s">
        <v>2687</v>
      </c>
      <c r="B1607">
        <f t="shared" si="25"/>
        <v>10253</v>
      </c>
      <c r="C1607" t="s">
        <v>2688</v>
      </c>
      <c r="D1607" t="s">
        <v>364</v>
      </c>
      <c r="E1607" t="s">
        <v>81</v>
      </c>
      <c r="F1607" t="s">
        <v>81</v>
      </c>
      <c r="G1607" t="s">
        <v>81</v>
      </c>
      <c r="H1607">
        <v>1</v>
      </c>
      <c r="I1607" t="s">
        <v>389</v>
      </c>
    </row>
    <row r="1608" spans="1:9" x14ac:dyDescent="0.25">
      <c r="A1608" t="s">
        <v>936</v>
      </c>
      <c r="B1608">
        <f t="shared" si="25"/>
        <v>10257</v>
      </c>
      <c r="C1608" t="s">
        <v>937</v>
      </c>
      <c r="D1608" t="s">
        <v>364</v>
      </c>
      <c r="E1608" t="s">
        <v>119</v>
      </c>
      <c r="F1608" t="s">
        <v>872</v>
      </c>
      <c r="G1608" t="s">
        <v>324</v>
      </c>
      <c r="H1608">
        <v>0</v>
      </c>
      <c r="I1608" t="s">
        <v>379</v>
      </c>
    </row>
    <row r="1609" spans="1:9" x14ac:dyDescent="0.25">
      <c r="A1609" t="s">
        <v>2689</v>
      </c>
      <c r="B1609">
        <f t="shared" si="25"/>
        <v>10273</v>
      </c>
      <c r="C1609" t="s">
        <v>2690</v>
      </c>
      <c r="D1609" t="s">
        <v>364</v>
      </c>
      <c r="E1609" t="s">
        <v>119</v>
      </c>
      <c r="F1609" t="s">
        <v>327</v>
      </c>
      <c r="G1609" t="s">
        <v>324</v>
      </c>
      <c r="H1609">
        <v>0</v>
      </c>
      <c r="I1609" t="s">
        <v>379</v>
      </c>
    </row>
    <row r="1610" spans="1:9" x14ac:dyDescent="0.25">
      <c r="A1610" t="s">
        <v>2691</v>
      </c>
      <c r="B1610">
        <f t="shared" si="25"/>
        <v>10275</v>
      </c>
      <c r="C1610" t="s">
        <v>2692</v>
      </c>
      <c r="D1610" t="s">
        <v>364</v>
      </c>
      <c r="E1610" t="s">
        <v>119</v>
      </c>
      <c r="F1610" t="s">
        <v>318</v>
      </c>
      <c r="G1610" t="s">
        <v>312</v>
      </c>
      <c r="H1610">
        <v>0</v>
      </c>
      <c r="I1610" t="s">
        <v>382</v>
      </c>
    </row>
    <row r="1611" spans="1:9" x14ac:dyDescent="0.25">
      <c r="A1611" t="s">
        <v>3601</v>
      </c>
      <c r="B1611">
        <f t="shared" si="25"/>
        <v>10276</v>
      </c>
      <c r="C1611" t="s">
        <v>3602</v>
      </c>
      <c r="D1611" t="s">
        <v>364</v>
      </c>
      <c r="E1611" t="s">
        <v>119</v>
      </c>
      <c r="F1611" t="s">
        <v>327</v>
      </c>
      <c r="G1611" t="s">
        <v>324</v>
      </c>
      <c r="H1611">
        <v>0</v>
      </c>
      <c r="I1611" t="s">
        <v>379</v>
      </c>
    </row>
    <row r="1612" spans="1:9" x14ac:dyDescent="0.25">
      <c r="A1612" t="s">
        <v>291</v>
      </c>
      <c r="B1612">
        <f t="shared" si="25"/>
        <v>10279</v>
      </c>
      <c r="C1612" t="s">
        <v>4640</v>
      </c>
      <c r="D1612" t="s">
        <v>72</v>
      </c>
      <c r="E1612" t="s">
        <v>81</v>
      </c>
      <c r="F1612" t="s">
        <v>81</v>
      </c>
      <c r="G1612" t="s">
        <v>81</v>
      </c>
      <c r="H1612">
        <v>1</v>
      </c>
      <c r="I1612" t="s">
        <v>421</v>
      </c>
    </row>
    <row r="1613" spans="1:9" x14ac:dyDescent="0.25">
      <c r="A1613" t="s">
        <v>2693</v>
      </c>
      <c r="B1613">
        <f t="shared" si="25"/>
        <v>10289</v>
      </c>
      <c r="C1613" t="s">
        <v>2694</v>
      </c>
      <c r="D1613" t="s">
        <v>364</v>
      </c>
      <c r="E1613" t="s">
        <v>119</v>
      </c>
      <c r="F1613" t="s">
        <v>318</v>
      </c>
      <c r="G1613" t="s">
        <v>324</v>
      </c>
      <c r="H1613">
        <v>0</v>
      </c>
      <c r="I1613" t="s">
        <v>379</v>
      </c>
    </row>
    <row r="1614" spans="1:9" x14ac:dyDescent="0.25">
      <c r="A1614" t="s">
        <v>2695</v>
      </c>
      <c r="B1614">
        <f t="shared" si="25"/>
        <v>10291</v>
      </c>
      <c r="C1614" t="s">
        <v>2696</v>
      </c>
      <c r="D1614" t="s">
        <v>364</v>
      </c>
      <c r="E1614" t="s">
        <v>119</v>
      </c>
      <c r="F1614" t="s">
        <v>327</v>
      </c>
      <c r="G1614" t="s">
        <v>324</v>
      </c>
      <c r="H1614">
        <v>0</v>
      </c>
      <c r="I1614" t="s">
        <v>379</v>
      </c>
    </row>
    <row r="1615" spans="1:9" x14ac:dyDescent="0.25">
      <c r="A1615" t="s">
        <v>4641</v>
      </c>
      <c r="B1615">
        <f t="shared" si="25"/>
        <v>10292</v>
      </c>
      <c r="C1615" t="s">
        <v>4642</v>
      </c>
      <c r="D1615" t="s">
        <v>72</v>
      </c>
      <c r="E1615" t="s">
        <v>119</v>
      </c>
      <c r="F1615" t="s">
        <v>318</v>
      </c>
      <c r="G1615" t="s">
        <v>324</v>
      </c>
      <c r="H1615">
        <v>0</v>
      </c>
      <c r="I1615" t="s">
        <v>379</v>
      </c>
    </row>
    <row r="1616" spans="1:9" x14ac:dyDescent="0.25">
      <c r="A1616" t="s">
        <v>2697</v>
      </c>
      <c r="B1616">
        <f t="shared" si="25"/>
        <v>10305</v>
      </c>
      <c r="C1616" t="s">
        <v>2698</v>
      </c>
      <c r="D1616" t="s">
        <v>364</v>
      </c>
      <c r="E1616" t="s">
        <v>119</v>
      </c>
      <c r="F1616" t="s">
        <v>323</v>
      </c>
      <c r="G1616" t="s">
        <v>24</v>
      </c>
      <c r="H1616">
        <v>0</v>
      </c>
      <c r="I1616" t="s">
        <v>383</v>
      </c>
    </row>
    <row r="1617" spans="1:9" x14ac:dyDescent="0.25">
      <c r="A1617" t="s">
        <v>2937</v>
      </c>
      <c r="B1617">
        <f t="shared" si="25"/>
        <v>10432</v>
      </c>
      <c r="C1617" t="s">
        <v>2938</v>
      </c>
      <c r="D1617" t="s">
        <v>364</v>
      </c>
      <c r="E1617" t="s">
        <v>119</v>
      </c>
      <c r="F1617" t="s">
        <v>327</v>
      </c>
      <c r="G1617" t="s">
        <v>324</v>
      </c>
      <c r="H1617">
        <v>0</v>
      </c>
      <c r="I1617" t="s">
        <v>379</v>
      </c>
    </row>
    <row r="1618" spans="1:9" x14ac:dyDescent="0.25">
      <c r="A1618" t="s">
        <v>1276</v>
      </c>
      <c r="B1618">
        <f t="shared" si="25"/>
        <v>10437</v>
      </c>
      <c r="C1618" t="s">
        <v>1277</v>
      </c>
      <c r="D1618" t="s">
        <v>72</v>
      </c>
      <c r="E1618" t="s">
        <v>119</v>
      </c>
      <c r="F1618" t="s">
        <v>328</v>
      </c>
      <c r="G1618" t="s">
        <v>317</v>
      </c>
      <c r="H1618">
        <v>0</v>
      </c>
      <c r="I1618" t="s">
        <v>391</v>
      </c>
    </row>
    <row r="1619" spans="1:9" x14ac:dyDescent="0.25">
      <c r="A1619" t="s">
        <v>1641</v>
      </c>
      <c r="B1619">
        <f t="shared" si="25"/>
        <v>10439</v>
      </c>
      <c r="C1619" t="s">
        <v>1642</v>
      </c>
      <c r="D1619" t="s">
        <v>364</v>
      </c>
      <c r="E1619" t="s">
        <v>119</v>
      </c>
      <c r="F1619" t="s">
        <v>330</v>
      </c>
      <c r="G1619" t="s">
        <v>317</v>
      </c>
      <c r="H1619">
        <v>0</v>
      </c>
      <c r="I1619" t="s">
        <v>384</v>
      </c>
    </row>
    <row r="1620" spans="1:9" x14ac:dyDescent="0.25">
      <c r="A1620" t="s">
        <v>3037</v>
      </c>
      <c r="B1620">
        <f t="shared" si="25"/>
        <v>10440</v>
      </c>
      <c r="C1620" t="s">
        <v>3038</v>
      </c>
      <c r="D1620" t="s">
        <v>364</v>
      </c>
      <c r="E1620" t="s">
        <v>119</v>
      </c>
      <c r="F1620" t="s">
        <v>327</v>
      </c>
      <c r="G1620" t="s">
        <v>324</v>
      </c>
      <c r="H1620">
        <v>0</v>
      </c>
      <c r="I1620" t="s">
        <v>379</v>
      </c>
    </row>
    <row r="1621" spans="1:9" x14ac:dyDescent="0.25">
      <c r="A1621" t="s">
        <v>4409</v>
      </c>
      <c r="B1621">
        <f t="shared" si="25"/>
        <v>10441</v>
      </c>
      <c r="C1621" t="s">
        <v>4410</v>
      </c>
      <c r="D1621" t="s">
        <v>72</v>
      </c>
      <c r="E1621" t="s">
        <v>119</v>
      </c>
      <c r="F1621" t="s">
        <v>327</v>
      </c>
      <c r="G1621" t="s">
        <v>324</v>
      </c>
      <c r="H1621">
        <v>0</v>
      </c>
      <c r="I1621" t="s">
        <v>379</v>
      </c>
    </row>
    <row r="1622" spans="1:9" x14ac:dyDescent="0.25">
      <c r="A1622" t="s">
        <v>1643</v>
      </c>
      <c r="B1622">
        <f t="shared" si="25"/>
        <v>10445</v>
      </c>
      <c r="C1622" t="s">
        <v>1644</v>
      </c>
      <c r="D1622" t="s">
        <v>364</v>
      </c>
      <c r="E1622" t="s">
        <v>119</v>
      </c>
      <c r="F1622" t="s">
        <v>664</v>
      </c>
      <c r="G1622" t="s">
        <v>29</v>
      </c>
      <c r="H1622">
        <v>0</v>
      </c>
      <c r="I1622" t="s">
        <v>391</v>
      </c>
    </row>
    <row r="1623" spans="1:9" x14ac:dyDescent="0.25">
      <c r="A1623" t="s">
        <v>1645</v>
      </c>
      <c r="B1623">
        <f t="shared" si="25"/>
        <v>10449</v>
      </c>
      <c r="C1623" t="s">
        <v>1646</v>
      </c>
      <c r="D1623" t="s">
        <v>364</v>
      </c>
      <c r="E1623" t="s">
        <v>119</v>
      </c>
      <c r="F1623" t="s">
        <v>664</v>
      </c>
      <c r="G1623" t="s">
        <v>324</v>
      </c>
      <c r="H1623">
        <v>0</v>
      </c>
      <c r="I1623" t="s">
        <v>377</v>
      </c>
    </row>
    <row r="1624" spans="1:9" x14ac:dyDescent="0.25">
      <c r="A1624" t="s">
        <v>2699</v>
      </c>
      <c r="B1624">
        <f t="shared" si="25"/>
        <v>10453</v>
      </c>
      <c r="C1624" t="s">
        <v>2700</v>
      </c>
      <c r="D1624" t="s">
        <v>364</v>
      </c>
      <c r="E1624" t="s">
        <v>698</v>
      </c>
      <c r="F1624" t="s">
        <v>2483</v>
      </c>
      <c r="G1624" t="s">
        <v>2484</v>
      </c>
      <c r="H1624">
        <v>0</v>
      </c>
      <c r="I1624" t="s">
        <v>699</v>
      </c>
    </row>
    <row r="1625" spans="1:9" x14ac:dyDescent="0.25">
      <c r="A1625" t="s">
        <v>4291</v>
      </c>
      <c r="B1625">
        <f t="shared" si="25"/>
        <v>10455</v>
      </c>
      <c r="C1625" t="s">
        <v>4292</v>
      </c>
      <c r="D1625" t="s">
        <v>72</v>
      </c>
      <c r="E1625" t="s">
        <v>119</v>
      </c>
      <c r="F1625" t="s">
        <v>318</v>
      </c>
      <c r="G1625" t="s">
        <v>312</v>
      </c>
      <c r="H1625">
        <v>0</v>
      </c>
      <c r="I1625" t="s">
        <v>382</v>
      </c>
    </row>
    <row r="1626" spans="1:9" x14ac:dyDescent="0.25">
      <c r="A1626" t="s">
        <v>4293</v>
      </c>
      <c r="B1626">
        <f t="shared" si="25"/>
        <v>10457</v>
      </c>
      <c r="C1626" t="s">
        <v>4294</v>
      </c>
      <c r="D1626" t="s">
        <v>72</v>
      </c>
      <c r="E1626" t="s">
        <v>119</v>
      </c>
      <c r="F1626" t="s">
        <v>326</v>
      </c>
      <c r="G1626" t="s">
        <v>28</v>
      </c>
      <c r="H1626">
        <v>0</v>
      </c>
      <c r="I1626" t="s">
        <v>376</v>
      </c>
    </row>
    <row r="1627" spans="1:9" x14ac:dyDescent="0.25">
      <c r="A1627" t="s">
        <v>4411</v>
      </c>
      <c r="B1627">
        <f t="shared" si="25"/>
        <v>10458</v>
      </c>
      <c r="C1627" t="s">
        <v>4412</v>
      </c>
      <c r="D1627" t="s">
        <v>72</v>
      </c>
      <c r="E1627" t="s">
        <v>119</v>
      </c>
      <c r="F1627" t="s">
        <v>327</v>
      </c>
      <c r="G1627" t="s">
        <v>324</v>
      </c>
      <c r="H1627">
        <v>0</v>
      </c>
      <c r="I1627" t="s">
        <v>379</v>
      </c>
    </row>
    <row r="1628" spans="1:9" x14ac:dyDescent="0.25">
      <c r="A1628" t="s">
        <v>4643</v>
      </c>
      <c r="B1628">
        <f t="shared" si="25"/>
        <v>10459</v>
      </c>
      <c r="C1628" t="s">
        <v>4644</v>
      </c>
      <c r="D1628" t="s">
        <v>72</v>
      </c>
      <c r="E1628" t="s">
        <v>119</v>
      </c>
      <c r="F1628" t="s">
        <v>327</v>
      </c>
      <c r="G1628" t="s">
        <v>28</v>
      </c>
      <c r="H1628">
        <v>0</v>
      </c>
      <c r="I1628" t="s">
        <v>376</v>
      </c>
    </row>
    <row r="1629" spans="1:9" x14ac:dyDescent="0.25">
      <c r="A1629" t="s">
        <v>3386</v>
      </c>
      <c r="B1629">
        <f t="shared" si="25"/>
        <v>10546</v>
      </c>
      <c r="C1629" t="s">
        <v>3387</v>
      </c>
      <c r="D1629" t="s">
        <v>72</v>
      </c>
      <c r="E1629" t="s">
        <v>81</v>
      </c>
      <c r="F1629" t="s">
        <v>81</v>
      </c>
      <c r="G1629" t="s">
        <v>81</v>
      </c>
      <c r="H1629">
        <v>0</v>
      </c>
      <c r="I1629" t="s">
        <v>412</v>
      </c>
    </row>
    <row r="1630" spans="1:9" x14ac:dyDescent="0.25">
      <c r="A1630" t="s">
        <v>2701</v>
      </c>
      <c r="B1630">
        <f t="shared" si="25"/>
        <v>10549</v>
      </c>
      <c r="C1630" t="s">
        <v>2702</v>
      </c>
      <c r="D1630" t="s">
        <v>364</v>
      </c>
      <c r="E1630" t="s">
        <v>119</v>
      </c>
      <c r="F1630" t="s">
        <v>327</v>
      </c>
      <c r="G1630" t="s">
        <v>346</v>
      </c>
      <c r="H1630">
        <v>0</v>
      </c>
      <c r="I1630" t="s">
        <v>380</v>
      </c>
    </row>
    <row r="1631" spans="1:9" x14ac:dyDescent="0.25">
      <c r="A1631" t="s">
        <v>292</v>
      </c>
      <c r="B1631">
        <f t="shared" si="25"/>
        <v>10550</v>
      </c>
      <c r="C1631" t="s">
        <v>293</v>
      </c>
      <c r="D1631" t="s">
        <v>72</v>
      </c>
      <c r="E1631" t="s">
        <v>81</v>
      </c>
      <c r="F1631" t="s">
        <v>81</v>
      </c>
      <c r="G1631" t="s">
        <v>81</v>
      </c>
      <c r="H1631">
        <v>1</v>
      </c>
      <c r="I1631" t="s">
        <v>1049</v>
      </c>
    </row>
    <row r="1632" spans="1:9" x14ac:dyDescent="0.25">
      <c r="A1632" t="s">
        <v>2703</v>
      </c>
      <c r="B1632">
        <f t="shared" si="25"/>
        <v>10552</v>
      </c>
      <c r="C1632" t="s">
        <v>2704</v>
      </c>
      <c r="D1632" t="s">
        <v>72</v>
      </c>
      <c r="E1632" t="s">
        <v>119</v>
      </c>
      <c r="F1632" t="s">
        <v>318</v>
      </c>
      <c r="G1632" t="s">
        <v>317</v>
      </c>
      <c r="H1632">
        <v>0</v>
      </c>
      <c r="I1632" t="s">
        <v>384</v>
      </c>
    </row>
    <row r="1633" spans="1:9" x14ac:dyDescent="0.25">
      <c r="A1633" t="s">
        <v>2705</v>
      </c>
      <c r="B1633">
        <f t="shared" si="25"/>
        <v>10556</v>
      </c>
      <c r="C1633" t="s">
        <v>2706</v>
      </c>
      <c r="D1633" t="s">
        <v>364</v>
      </c>
      <c r="E1633" t="s">
        <v>119</v>
      </c>
      <c r="F1633" t="s">
        <v>345</v>
      </c>
      <c r="G1633" t="s">
        <v>324</v>
      </c>
      <c r="H1633">
        <v>0</v>
      </c>
      <c r="I1633" t="s">
        <v>379</v>
      </c>
    </row>
    <row r="1634" spans="1:9" x14ac:dyDescent="0.25">
      <c r="A1634" t="s">
        <v>294</v>
      </c>
      <c r="B1634">
        <f t="shared" si="25"/>
        <v>10557</v>
      </c>
      <c r="C1634" t="s">
        <v>295</v>
      </c>
      <c r="D1634" t="s">
        <v>364</v>
      </c>
      <c r="E1634" t="s">
        <v>119</v>
      </c>
      <c r="F1634" t="s">
        <v>326</v>
      </c>
      <c r="G1634" t="s">
        <v>329</v>
      </c>
      <c r="H1634">
        <v>0</v>
      </c>
      <c r="I1634" t="s">
        <v>377</v>
      </c>
    </row>
    <row r="1635" spans="1:9" x14ac:dyDescent="0.25">
      <c r="A1635" t="s">
        <v>2707</v>
      </c>
      <c r="B1635">
        <f t="shared" si="25"/>
        <v>10558</v>
      </c>
      <c r="C1635" t="s">
        <v>2708</v>
      </c>
      <c r="D1635" t="s">
        <v>364</v>
      </c>
      <c r="E1635" t="s">
        <v>119</v>
      </c>
      <c r="F1635" t="s">
        <v>327</v>
      </c>
      <c r="G1635" t="s">
        <v>324</v>
      </c>
      <c r="H1635">
        <v>0</v>
      </c>
      <c r="I1635" t="s">
        <v>379</v>
      </c>
    </row>
    <row r="1636" spans="1:9" x14ac:dyDescent="0.25">
      <c r="A1636" t="s">
        <v>1278</v>
      </c>
      <c r="B1636">
        <f t="shared" si="25"/>
        <v>10559</v>
      </c>
      <c r="C1636" t="s">
        <v>1279</v>
      </c>
      <c r="D1636" t="s">
        <v>364</v>
      </c>
      <c r="E1636" t="s">
        <v>119</v>
      </c>
      <c r="F1636" t="s">
        <v>327</v>
      </c>
      <c r="G1636" t="s">
        <v>324</v>
      </c>
      <c r="H1636">
        <v>0</v>
      </c>
      <c r="I1636" t="s">
        <v>379</v>
      </c>
    </row>
    <row r="1637" spans="1:9" x14ac:dyDescent="0.25">
      <c r="A1637" t="s">
        <v>1647</v>
      </c>
      <c r="B1637">
        <f t="shared" si="25"/>
        <v>10560</v>
      </c>
      <c r="C1637" t="s">
        <v>1648</v>
      </c>
      <c r="D1637" t="s">
        <v>364</v>
      </c>
      <c r="E1637" t="s">
        <v>119</v>
      </c>
      <c r="F1637" t="s">
        <v>326</v>
      </c>
      <c r="G1637" t="s">
        <v>331</v>
      </c>
      <c r="H1637">
        <v>0</v>
      </c>
      <c r="I1637" t="s">
        <v>410</v>
      </c>
    </row>
    <row r="1638" spans="1:9" x14ac:dyDescent="0.25">
      <c r="A1638" t="s">
        <v>4295</v>
      </c>
      <c r="B1638">
        <f t="shared" si="25"/>
        <v>10565</v>
      </c>
      <c r="C1638" t="s">
        <v>4296</v>
      </c>
      <c r="D1638" t="s">
        <v>72</v>
      </c>
      <c r="E1638" t="s">
        <v>119</v>
      </c>
      <c r="F1638" t="s">
        <v>327</v>
      </c>
      <c r="G1638" t="s">
        <v>329</v>
      </c>
      <c r="H1638">
        <v>0</v>
      </c>
      <c r="I1638" t="s">
        <v>377</v>
      </c>
    </row>
    <row r="1639" spans="1:9" x14ac:dyDescent="0.25">
      <c r="A1639" t="s">
        <v>4645</v>
      </c>
      <c r="B1639">
        <f t="shared" si="25"/>
        <v>10566</v>
      </c>
      <c r="C1639" t="s">
        <v>4646</v>
      </c>
      <c r="D1639" t="s">
        <v>72</v>
      </c>
      <c r="E1639" t="s">
        <v>119</v>
      </c>
      <c r="F1639" t="s">
        <v>327</v>
      </c>
      <c r="G1639" t="s">
        <v>324</v>
      </c>
      <c r="H1639">
        <v>0</v>
      </c>
      <c r="I1639" t="s">
        <v>379</v>
      </c>
    </row>
    <row r="1640" spans="1:9" x14ac:dyDescent="0.25">
      <c r="A1640" t="s">
        <v>4647</v>
      </c>
      <c r="B1640">
        <f t="shared" si="25"/>
        <v>10577</v>
      </c>
      <c r="C1640" t="s">
        <v>4648</v>
      </c>
      <c r="D1640" t="s">
        <v>72</v>
      </c>
      <c r="E1640" t="s">
        <v>119</v>
      </c>
      <c r="F1640" t="s">
        <v>318</v>
      </c>
      <c r="G1640" t="s">
        <v>29</v>
      </c>
      <c r="H1640">
        <v>0</v>
      </c>
      <c r="I1640" t="s">
        <v>391</v>
      </c>
    </row>
    <row r="1641" spans="1:9" x14ac:dyDescent="0.25">
      <c r="A1641" t="s">
        <v>4297</v>
      </c>
      <c r="B1641">
        <f t="shared" si="25"/>
        <v>10579</v>
      </c>
      <c r="C1641" t="s">
        <v>4298</v>
      </c>
      <c r="D1641" t="s">
        <v>72</v>
      </c>
      <c r="E1641" t="s">
        <v>119</v>
      </c>
      <c r="F1641" t="s">
        <v>323</v>
      </c>
      <c r="G1641" t="s">
        <v>24</v>
      </c>
      <c r="H1641">
        <v>0</v>
      </c>
      <c r="I1641" t="s">
        <v>383</v>
      </c>
    </row>
    <row r="1642" spans="1:9" x14ac:dyDescent="0.25">
      <c r="A1642" t="s">
        <v>2709</v>
      </c>
      <c r="B1642">
        <f t="shared" si="25"/>
        <v>10580</v>
      </c>
      <c r="C1642" t="s">
        <v>2710</v>
      </c>
      <c r="D1642" t="s">
        <v>364</v>
      </c>
      <c r="E1642" t="s">
        <v>119</v>
      </c>
      <c r="F1642" t="s">
        <v>323</v>
      </c>
      <c r="G1642" t="s">
        <v>314</v>
      </c>
      <c r="H1642">
        <v>0</v>
      </c>
      <c r="I1642" t="s">
        <v>468</v>
      </c>
    </row>
    <row r="1643" spans="1:9" x14ac:dyDescent="0.25">
      <c r="A1643" t="s">
        <v>1280</v>
      </c>
      <c r="B1643">
        <f t="shared" si="25"/>
        <v>10581</v>
      </c>
      <c r="C1643" t="s">
        <v>1281</v>
      </c>
      <c r="D1643" t="s">
        <v>364</v>
      </c>
      <c r="E1643" t="s">
        <v>119</v>
      </c>
      <c r="F1643" t="s">
        <v>872</v>
      </c>
      <c r="G1643" t="s">
        <v>324</v>
      </c>
      <c r="H1643">
        <v>0</v>
      </c>
      <c r="I1643" t="s">
        <v>379</v>
      </c>
    </row>
    <row r="1644" spans="1:9" x14ac:dyDescent="0.25">
      <c r="A1644" t="s">
        <v>3718</v>
      </c>
      <c r="B1644">
        <f t="shared" si="25"/>
        <v>10582</v>
      </c>
      <c r="C1644" t="s">
        <v>3719</v>
      </c>
      <c r="D1644" t="s">
        <v>72</v>
      </c>
      <c r="E1644" t="s">
        <v>119</v>
      </c>
      <c r="F1644" t="s">
        <v>326</v>
      </c>
      <c r="G1644" t="s">
        <v>26</v>
      </c>
      <c r="H1644">
        <v>0</v>
      </c>
      <c r="I1644" t="s">
        <v>394</v>
      </c>
    </row>
    <row r="1645" spans="1:9" x14ac:dyDescent="0.25">
      <c r="A1645" t="s">
        <v>1282</v>
      </c>
      <c r="B1645">
        <f t="shared" si="25"/>
        <v>10586</v>
      </c>
      <c r="C1645" t="s">
        <v>1283</v>
      </c>
      <c r="D1645" t="s">
        <v>72</v>
      </c>
      <c r="E1645" t="s">
        <v>119</v>
      </c>
      <c r="F1645" t="s">
        <v>327</v>
      </c>
      <c r="G1645" t="s">
        <v>331</v>
      </c>
      <c r="H1645">
        <v>0</v>
      </c>
      <c r="I1645" t="s">
        <v>410</v>
      </c>
    </row>
    <row r="1646" spans="1:9" x14ac:dyDescent="0.25">
      <c r="A1646" t="s">
        <v>2711</v>
      </c>
      <c r="B1646">
        <f t="shared" si="25"/>
        <v>10587</v>
      </c>
      <c r="C1646" t="s">
        <v>2712</v>
      </c>
      <c r="D1646" t="s">
        <v>364</v>
      </c>
      <c r="E1646" t="s">
        <v>119</v>
      </c>
      <c r="F1646" t="s">
        <v>318</v>
      </c>
      <c r="G1646" t="s">
        <v>329</v>
      </c>
      <c r="H1646">
        <v>0</v>
      </c>
      <c r="I1646" t="s">
        <v>377</v>
      </c>
    </row>
    <row r="1647" spans="1:9" x14ac:dyDescent="0.25">
      <c r="A1647" t="s">
        <v>4075</v>
      </c>
      <c r="B1647">
        <f t="shared" si="25"/>
        <v>10594</v>
      </c>
      <c r="C1647" t="s">
        <v>4076</v>
      </c>
      <c r="D1647" t="s">
        <v>72</v>
      </c>
      <c r="E1647" t="s">
        <v>119</v>
      </c>
      <c r="F1647" t="s">
        <v>318</v>
      </c>
      <c r="G1647" t="s">
        <v>324</v>
      </c>
      <c r="H1647">
        <v>0</v>
      </c>
      <c r="I1647" t="s">
        <v>379</v>
      </c>
    </row>
    <row r="1648" spans="1:9" x14ac:dyDescent="0.25">
      <c r="A1648" t="s">
        <v>2894</v>
      </c>
      <c r="B1648">
        <f t="shared" si="25"/>
        <v>10595</v>
      </c>
      <c r="C1648" t="s">
        <v>2895</v>
      </c>
      <c r="D1648" t="s">
        <v>364</v>
      </c>
      <c r="E1648" t="s">
        <v>119</v>
      </c>
      <c r="F1648" t="s">
        <v>327</v>
      </c>
      <c r="G1648" t="s">
        <v>324</v>
      </c>
      <c r="H1648">
        <v>0</v>
      </c>
      <c r="I1648" t="s">
        <v>379</v>
      </c>
    </row>
    <row r="1649" spans="1:9" x14ac:dyDescent="0.25">
      <c r="A1649" t="s">
        <v>296</v>
      </c>
      <c r="B1649">
        <f t="shared" si="25"/>
        <v>10597</v>
      </c>
      <c r="C1649" t="s">
        <v>297</v>
      </c>
      <c r="D1649" t="s">
        <v>72</v>
      </c>
      <c r="E1649" t="s">
        <v>119</v>
      </c>
      <c r="F1649" t="s">
        <v>328</v>
      </c>
      <c r="G1649" t="s">
        <v>72</v>
      </c>
      <c r="H1649">
        <v>0</v>
      </c>
      <c r="I1649" t="s">
        <v>390</v>
      </c>
    </row>
    <row r="1650" spans="1:9" x14ac:dyDescent="0.25">
      <c r="A1650" t="s">
        <v>938</v>
      </c>
      <c r="B1650">
        <f t="shared" si="25"/>
        <v>10630</v>
      </c>
      <c r="C1650" t="s">
        <v>939</v>
      </c>
      <c r="D1650" t="s">
        <v>364</v>
      </c>
      <c r="E1650" t="s">
        <v>119</v>
      </c>
      <c r="F1650" t="s">
        <v>318</v>
      </c>
      <c r="G1650" t="s">
        <v>324</v>
      </c>
      <c r="H1650">
        <v>0</v>
      </c>
      <c r="I1650" t="s">
        <v>379</v>
      </c>
    </row>
    <row r="1651" spans="1:9" x14ac:dyDescent="0.25">
      <c r="A1651" t="s">
        <v>940</v>
      </c>
      <c r="B1651">
        <f t="shared" si="25"/>
        <v>10642</v>
      </c>
      <c r="C1651" t="s">
        <v>941</v>
      </c>
      <c r="D1651" t="s">
        <v>364</v>
      </c>
      <c r="E1651" t="s">
        <v>119</v>
      </c>
      <c r="F1651" t="s">
        <v>326</v>
      </c>
      <c r="G1651" t="s">
        <v>29</v>
      </c>
      <c r="H1651">
        <v>0</v>
      </c>
      <c r="I1651" t="s">
        <v>391</v>
      </c>
    </row>
    <row r="1652" spans="1:9" x14ac:dyDescent="0.25">
      <c r="A1652" t="s">
        <v>825</v>
      </c>
      <c r="B1652">
        <f t="shared" si="25"/>
        <v>10647</v>
      </c>
      <c r="C1652" t="s">
        <v>826</v>
      </c>
      <c r="D1652" t="s">
        <v>364</v>
      </c>
      <c r="E1652" t="s">
        <v>119</v>
      </c>
      <c r="F1652" t="s">
        <v>318</v>
      </c>
      <c r="G1652" t="s">
        <v>324</v>
      </c>
      <c r="H1652">
        <v>0</v>
      </c>
      <c r="I1652" t="s">
        <v>379</v>
      </c>
    </row>
    <row r="1653" spans="1:9" x14ac:dyDescent="0.25">
      <c r="A1653" t="s">
        <v>1649</v>
      </c>
      <c r="B1653">
        <f t="shared" si="25"/>
        <v>10648</v>
      </c>
      <c r="C1653" t="s">
        <v>1650</v>
      </c>
      <c r="D1653" t="s">
        <v>364</v>
      </c>
      <c r="E1653" t="s">
        <v>119</v>
      </c>
      <c r="F1653" t="s">
        <v>330</v>
      </c>
      <c r="G1653" t="s">
        <v>324</v>
      </c>
      <c r="H1653">
        <v>0</v>
      </c>
      <c r="I1653" t="s">
        <v>379</v>
      </c>
    </row>
    <row r="1654" spans="1:9" x14ac:dyDescent="0.25">
      <c r="A1654" t="s">
        <v>3100</v>
      </c>
      <c r="B1654">
        <f t="shared" si="25"/>
        <v>10652</v>
      </c>
      <c r="C1654" t="s">
        <v>3101</v>
      </c>
      <c r="D1654" t="s">
        <v>364</v>
      </c>
      <c r="E1654" t="s">
        <v>119</v>
      </c>
      <c r="F1654" t="s">
        <v>327</v>
      </c>
      <c r="G1654" t="s">
        <v>329</v>
      </c>
      <c r="H1654">
        <v>0</v>
      </c>
      <c r="I1654" t="s">
        <v>377</v>
      </c>
    </row>
    <row r="1655" spans="1:9" x14ac:dyDescent="0.25">
      <c r="A1655" t="s">
        <v>3154</v>
      </c>
      <c r="B1655">
        <f t="shared" si="25"/>
        <v>10653</v>
      </c>
      <c r="C1655" t="s">
        <v>3155</v>
      </c>
      <c r="D1655" t="s">
        <v>364</v>
      </c>
      <c r="E1655" t="s">
        <v>119</v>
      </c>
      <c r="F1655" t="s">
        <v>318</v>
      </c>
      <c r="G1655" t="s">
        <v>324</v>
      </c>
      <c r="H1655">
        <v>0</v>
      </c>
      <c r="I1655" t="s">
        <v>379</v>
      </c>
    </row>
    <row r="1656" spans="1:9" x14ac:dyDescent="0.25">
      <c r="A1656" t="s">
        <v>4649</v>
      </c>
      <c r="B1656">
        <f t="shared" si="25"/>
        <v>10657</v>
      </c>
      <c r="C1656" t="s">
        <v>4650</v>
      </c>
      <c r="D1656" t="s">
        <v>72</v>
      </c>
      <c r="E1656" t="s">
        <v>119</v>
      </c>
      <c r="F1656" t="s">
        <v>326</v>
      </c>
      <c r="G1656" t="s">
        <v>329</v>
      </c>
      <c r="H1656">
        <v>0</v>
      </c>
      <c r="I1656" t="s">
        <v>377</v>
      </c>
    </row>
    <row r="1657" spans="1:9" x14ac:dyDescent="0.25">
      <c r="A1657" t="s">
        <v>2713</v>
      </c>
      <c r="B1657">
        <f t="shared" si="25"/>
        <v>10665</v>
      </c>
      <c r="C1657" t="s">
        <v>2714</v>
      </c>
      <c r="D1657" t="s">
        <v>364</v>
      </c>
      <c r="E1657" t="s">
        <v>119</v>
      </c>
      <c r="F1657" t="s">
        <v>318</v>
      </c>
      <c r="G1657" t="s">
        <v>324</v>
      </c>
      <c r="H1657">
        <v>0</v>
      </c>
      <c r="I1657" t="s">
        <v>379</v>
      </c>
    </row>
    <row r="1658" spans="1:9" x14ac:dyDescent="0.25">
      <c r="A1658" t="s">
        <v>1651</v>
      </c>
      <c r="B1658">
        <f t="shared" si="25"/>
        <v>10672</v>
      </c>
      <c r="C1658" t="s">
        <v>1652</v>
      </c>
      <c r="D1658" t="s">
        <v>364</v>
      </c>
      <c r="E1658" t="s">
        <v>119</v>
      </c>
      <c r="F1658" t="s">
        <v>328</v>
      </c>
      <c r="G1658" t="s">
        <v>27</v>
      </c>
      <c r="H1658">
        <v>0</v>
      </c>
      <c r="I1658" t="s">
        <v>387</v>
      </c>
    </row>
    <row r="1659" spans="1:9" x14ac:dyDescent="0.25">
      <c r="A1659" t="s">
        <v>1284</v>
      </c>
      <c r="B1659">
        <f t="shared" si="25"/>
        <v>10679</v>
      </c>
      <c r="C1659" t="s">
        <v>1285</v>
      </c>
      <c r="D1659" t="s">
        <v>364</v>
      </c>
      <c r="E1659" t="s">
        <v>119</v>
      </c>
      <c r="F1659" t="s">
        <v>327</v>
      </c>
      <c r="G1659" t="s">
        <v>324</v>
      </c>
      <c r="H1659">
        <v>0</v>
      </c>
      <c r="I1659" t="s">
        <v>379</v>
      </c>
    </row>
    <row r="1660" spans="1:9" x14ac:dyDescent="0.25">
      <c r="A1660" t="s">
        <v>2715</v>
      </c>
      <c r="B1660">
        <f t="shared" si="25"/>
        <v>10687</v>
      </c>
      <c r="C1660" t="s">
        <v>2716</v>
      </c>
      <c r="D1660" t="s">
        <v>364</v>
      </c>
      <c r="E1660" t="s">
        <v>119</v>
      </c>
      <c r="F1660" t="s">
        <v>328</v>
      </c>
      <c r="G1660" t="s">
        <v>28</v>
      </c>
      <c r="H1660">
        <v>0</v>
      </c>
      <c r="I1660" t="s">
        <v>376</v>
      </c>
    </row>
    <row r="1661" spans="1:9" x14ac:dyDescent="0.25">
      <c r="A1661" t="s">
        <v>2809</v>
      </c>
      <c r="B1661">
        <f t="shared" si="25"/>
        <v>10723</v>
      </c>
      <c r="C1661" t="s">
        <v>2810</v>
      </c>
      <c r="D1661" t="s">
        <v>364</v>
      </c>
      <c r="E1661" t="s">
        <v>119</v>
      </c>
      <c r="F1661" t="s">
        <v>327</v>
      </c>
      <c r="G1661" t="s">
        <v>324</v>
      </c>
      <c r="H1661">
        <v>0</v>
      </c>
      <c r="I1661" t="s">
        <v>379</v>
      </c>
    </row>
    <row r="1662" spans="1:9" x14ac:dyDescent="0.25">
      <c r="A1662" t="s">
        <v>4651</v>
      </c>
      <c r="B1662">
        <f t="shared" si="25"/>
        <v>10725</v>
      </c>
      <c r="C1662" t="s">
        <v>4652</v>
      </c>
      <c r="D1662" t="s">
        <v>72</v>
      </c>
      <c r="E1662" t="s">
        <v>119</v>
      </c>
      <c r="F1662" t="s">
        <v>467</v>
      </c>
      <c r="G1662" t="s">
        <v>313</v>
      </c>
      <c r="H1662">
        <v>0</v>
      </c>
      <c r="I1662" t="s">
        <v>382</v>
      </c>
    </row>
    <row r="1663" spans="1:9" x14ac:dyDescent="0.25">
      <c r="A1663" t="s">
        <v>2717</v>
      </c>
      <c r="B1663">
        <f t="shared" si="25"/>
        <v>10730</v>
      </c>
      <c r="C1663" t="s">
        <v>2718</v>
      </c>
      <c r="D1663" t="s">
        <v>364</v>
      </c>
      <c r="E1663" t="s">
        <v>119</v>
      </c>
      <c r="F1663" t="s">
        <v>345</v>
      </c>
      <c r="G1663" t="s">
        <v>26</v>
      </c>
      <c r="H1663">
        <v>0</v>
      </c>
      <c r="I1663" t="s">
        <v>394</v>
      </c>
    </row>
    <row r="1664" spans="1:9" x14ac:dyDescent="0.25">
      <c r="A1664" t="s">
        <v>4299</v>
      </c>
      <c r="B1664">
        <f t="shared" si="25"/>
        <v>10746</v>
      </c>
      <c r="C1664" t="s">
        <v>4300</v>
      </c>
      <c r="D1664" t="s">
        <v>72</v>
      </c>
      <c r="E1664" t="s">
        <v>119</v>
      </c>
      <c r="F1664" t="s">
        <v>318</v>
      </c>
      <c r="G1664" t="s">
        <v>329</v>
      </c>
      <c r="H1664">
        <v>0</v>
      </c>
      <c r="I1664" t="s">
        <v>377</v>
      </c>
    </row>
    <row r="1665" spans="1:9" x14ac:dyDescent="0.25">
      <c r="A1665" t="s">
        <v>1653</v>
      </c>
      <c r="B1665">
        <f t="shared" si="25"/>
        <v>10747</v>
      </c>
      <c r="C1665" t="s">
        <v>1654</v>
      </c>
      <c r="D1665" t="s">
        <v>364</v>
      </c>
      <c r="E1665" t="s">
        <v>119</v>
      </c>
      <c r="F1665" t="s">
        <v>327</v>
      </c>
      <c r="G1665" t="s">
        <v>324</v>
      </c>
      <c r="H1665">
        <v>0</v>
      </c>
      <c r="I1665" t="s">
        <v>379</v>
      </c>
    </row>
    <row r="1666" spans="1:9" x14ac:dyDescent="0.25">
      <c r="A1666" t="s">
        <v>2719</v>
      </c>
      <c r="B1666">
        <f t="shared" si="25"/>
        <v>10749</v>
      </c>
      <c r="C1666" t="s">
        <v>2720</v>
      </c>
      <c r="D1666" t="s">
        <v>364</v>
      </c>
      <c r="E1666" t="s">
        <v>119</v>
      </c>
      <c r="F1666" t="s">
        <v>323</v>
      </c>
      <c r="G1666" t="s">
        <v>314</v>
      </c>
      <c r="H1666">
        <v>0</v>
      </c>
      <c r="I1666" t="s">
        <v>468</v>
      </c>
    </row>
    <row r="1667" spans="1:9" x14ac:dyDescent="0.25">
      <c r="A1667" t="s">
        <v>2721</v>
      </c>
      <c r="B1667">
        <f t="shared" si="25"/>
        <v>10750</v>
      </c>
      <c r="C1667" t="s">
        <v>2722</v>
      </c>
      <c r="D1667" t="s">
        <v>364</v>
      </c>
      <c r="E1667" t="s">
        <v>119</v>
      </c>
      <c r="F1667" t="s">
        <v>323</v>
      </c>
      <c r="G1667" t="s">
        <v>317</v>
      </c>
      <c r="H1667">
        <v>1</v>
      </c>
      <c r="I1667" t="s">
        <v>384</v>
      </c>
    </row>
    <row r="1668" spans="1:9" x14ac:dyDescent="0.25">
      <c r="A1668" t="s">
        <v>3156</v>
      </c>
      <c r="B1668">
        <f t="shared" ref="B1668:B1725" si="26">_xlfn.NUMBERVALUE(A1668,"#####")</f>
        <v>10754</v>
      </c>
      <c r="C1668" t="s">
        <v>3157</v>
      </c>
      <c r="D1668" t="s">
        <v>364</v>
      </c>
      <c r="E1668" t="s">
        <v>119</v>
      </c>
      <c r="F1668" t="s">
        <v>318</v>
      </c>
      <c r="G1668" t="s">
        <v>324</v>
      </c>
      <c r="H1668">
        <v>0</v>
      </c>
      <c r="I1668" t="s">
        <v>379</v>
      </c>
    </row>
    <row r="1669" spans="1:9" x14ac:dyDescent="0.25">
      <c r="A1669" t="s">
        <v>2723</v>
      </c>
      <c r="B1669">
        <f t="shared" si="26"/>
        <v>10756</v>
      </c>
      <c r="C1669" t="s">
        <v>2724</v>
      </c>
      <c r="D1669" t="s">
        <v>364</v>
      </c>
      <c r="E1669" t="s">
        <v>119</v>
      </c>
      <c r="F1669" t="s">
        <v>330</v>
      </c>
      <c r="G1669" t="s">
        <v>313</v>
      </c>
      <c r="H1669">
        <v>0</v>
      </c>
      <c r="I1669" t="s">
        <v>1963</v>
      </c>
    </row>
    <row r="1670" spans="1:9" x14ac:dyDescent="0.25">
      <c r="A1670" t="s">
        <v>298</v>
      </c>
      <c r="B1670">
        <f t="shared" si="26"/>
        <v>10763</v>
      </c>
      <c r="C1670" t="s">
        <v>299</v>
      </c>
      <c r="D1670" t="s">
        <v>72</v>
      </c>
      <c r="E1670" t="s">
        <v>119</v>
      </c>
      <c r="F1670" t="s">
        <v>318</v>
      </c>
      <c r="G1670" t="s">
        <v>329</v>
      </c>
      <c r="H1670">
        <v>0</v>
      </c>
      <c r="I1670" t="s">
        <v>377</v>
      </c>
    </row>
    <row r="1671" spans="1:9" x14ac:dyDescent="0.25">
      <c r="A1671" t="s">
        <v>3390</v>
      </c>
      <c r="B1671">
        <f t="shared" si="26"/>
        <v>10766</v>
      </c>
      <c r="C1671" t="s">
        <v>3391</v>
      </c>
      <c r="D1671" t="s">
        <v>364</v>
      </c>
      <c r="E1671" t="s">
        <v>119</v>
      </c>
      <c r="F1671" t="s">
        <v>327</v>
      </c>
      <c r="G1671" t="s">
        <v>324</v>
      </c>
      <c r="H1671">
        <v>0</v>
      </c>
      <c r="I1671" t="s">
        <v>379</v>
      </c>
    </row>
    <row r="1672" spans="1:9" x14ac:dyDescent="0.25">
      <c r="A1672" t="s">
        <v>3646</v>
      </c>
      <c r="B1672">
        <f t="shared" si="26"/>
        <v>10767</v>
      </c>
      <c r="C1672" t="s">
        <v>3647</v>
      </c>
      <c r="D1672" t="s">
        <v>72</v>
      </c>
      <c r="E1672" t="s">
        <v>119</v>
      </c>
      <c r="F1672" t="s">
        <v>327</v>
      </c>
      <c r="G1672" t="s">
        <v>329</v>
      </c>
      <c r="H1672">
        <v>0</v>
      </c>
      <c r="I1672" t="s">
        <v>377</v>
      </c>
    </row>
    <row r="1673" spans="1:9" x14ac:dyDescent="0.25">
      <c r="A1673" t="s">
        <v>4653</v>
      </c>
      <c r="B1673">
        <f t="shared" si="26"/>
        <v>10769</v>
      </c>
      <c r="C1673" t="s">
        <v>4654</v>
      </c>
      <c r="D1673" t="s">
        <v>72</v>
      </c>
      <c r="E1673" t="s">
        <v>119</v>
      </c>
      <c r="F1673" t="s">
        <v>327</v>
      </c>
      <c r="G1673" t="s">
        <v>324</v>
      </c>
      <c r="H1673">
        <v>0</v>
      </c>
      <c r="I1673" t="s">
        <v>379</v>
      </c>
    </row>
    <row r="1674" spans="1:9" x14ac:dyDescent="0.25">
      <c r="A1674" t="s">
        <v>300</v>
      </c>
      <c r="B1674">
        <f t="shared" si="26"/>
        <v>10780</v>
      </c>
      <c r="C1674" t="s">
        <v>301</v>
      </c>
      <c r="D1674" t="s">
        <v>364</v>
      </c>
      <c r="E1674" t="s">
        <v>119</v>
      </c>
      <c r="F1674" t="s">
        <v>328</v>
      </c>
      <c r="G1674" t="s">
        <v>72</v>
      </c>
      <c r="H1674">
        <v>1</v>
      </c>
      <c r="I1674" t="s">
        <v>390</v>
      </c>
    </row>
    <row r="1675" spans="1:9" x14ac:dyDescent="0.25">
      <c r="A1675" t="s">
        <v>1655</v>
      </c>
      <c r="B1675">
        <f t="shared" si="26"/>
        <v>10784</v>
      </c>
      <c r="C1675" t="s">
        <v>1656</v>
      </c>
      <c r="D1675" t="s">
        <v>364</v>
      </c>
      <c r="E1675" t="s">
        <v>119</v>
      </c>
      <c r="F1675" t="s">
        <v>318</v>
      </c>
      <c r="G1675" t="s">
        <v>312</v>
      </c>
      <c r="H1675">
        <v>0</v>
      </c>
      <c r="I1675" t="s">
        <v>382</v>
      </c>
    </row>
    <row r="1676" spans="1:9" x14ac:dyDescent="0.25">
      <c r="A1676" t="s">
        <v>2725</v>
      </c>
      <c r="B1676">
        <f t="shared" si="26"/>
        <v>10787</v>
      </c>
      <c r="C1676" t="s">
        <v>2726</v>
      </c>
      <c r="D1676" t="s">
        <v>364</v>
      </c>
      <c r="E1676" t="s">
        <v>119</v>
      </c>
      <c r="F1676" t="s">
        <v>345</v>
      </c>
      <c r="G1676" t="s">
        <v>324</v>
      </c>
      <c r="H1676">
        <v>0</v>
      </c>
      <c r="I1676" t="s">
        <v>379</v>
      </c>
    </row>
    <row r="1677" spans="1:9" x14ac:dyDescent="0.25">
      <c r="A1677" t="s">
        <v>2727</v>
      </c>
      <c r="B1677">
        <f t="shared" si="26"/>
        <v>10789</v>
      </c>
      <c r="C1677" t="s">
        <v>2728</v>
      </c>
      <c r="D1677" t="s">
        <v>364</v>
      </c>
      <c r="E1677" t="s">
        <v>119</v>
      </c>
      <c r="F1677" t="s">
        <v>327</v>
      </c>
      <c r="G1677" t="s">
        <v>324</v>
      </c>
      <c r="H1677">
        <v>0</v>
      </c>
      <c r="I1677" t="s">
        <v>379</v>
      </c>
    </row>
    <row r="1678" spans="1:9" x14ac:dyDescent="0.25">
      <c r="A1678" t="s">
        <v>2867</v>
      </c>
      <c r="B1678">
        <f t="shared" si="26"/>
        <v>10795</v>
      </c>
      <c r="C1678" t="s">
        <v>2868</v>
      </c>
      <c r="D1678" t="s">
        <v>364</v>
      </c>
      <c r="E1678" t="s">
        <v>119</v>
      </c>
      <c r="F1678" t="s">
        <v>318</v>
      </c>
      <c r="G1678" t="s">
        <v>29</v>
      </c>
      <c r="H1678">
        <v>0</v>
      </c>
      <c r="I1678" t="s">
        <v>384</v>
      </c>
    </row>
    <row r="1679" spans="1:9" x14ac:dyDescent="0.25">
      <c r="A1679" t="s">
        <v>302</v>
      </c>
      <c r="B1679">
        <f t="shared" si="26"/>
        <v>10797</v>
      </c>
      <c r="C1679" t="s">
        <v>303</v>
      </c>
      <c r="D1679" t="s">
        <v>72</v>
      </c>
      <c r="E1679" t="s">
        <v>119</v>
      </c>
      <c r="F1679" t="s">
        <v>318</v>
      </c>
      <c r="G1679" t="s">
        <v>29</v>
      </c>
      <c r="H1679">
        <v>0</v>
      </c>
      <c r="I1679" t="s">
        <v>391</v>
      </c>
    </row>
    <row r="1680" spans="1:9" x14ac:dyDescent="0.25">
      <c r="A1680" t="s">
        <v>2729</v>
      </c>
      <c r="B1680">
        <f t="shared" si="26"/>
        <v>10798</v>
      </c>
      <c r="C1680" t="s">
        <v>2730</v>
      </c>
      <c r="D1680" t="s">
        <v>364</v>
      </c>
      <c r="E1680" t="s">
        <v>81</v>
      </c>
      <c r="F1680" t="s">
        <v>81</v>
      </c>
      <c r="G1680" t="s">
        <v>81</v>
      </c>
      <c r="H1680">
        <v>1</v>
      </c>
      <c r="I1680" t="s">
        <v>400</v>
      </c>
    </row>
    <row r="1681" spans="1:9" x14ac:dyDescent="0.25">
      <c r="A1681" t="s">
        <v>471</v>
      </c>
      <c r="B1681">
        <f t="shared" si="26"/>
        <v>10799</v>
      </c>
      <c r="C1681" t="s">
        <v>472</v>
      </c>
      <c r="D1681" t="s">
        <v>364</v>
      </c>
      <c r="E1681" t="s">
        <v>119</v>
      </c>
      <c r="F1681" t="s">
        <v>318</v>
      </c>
      <c r="G1681" t="s">
        <v>329</v>
      </c>
      <c r="H1681">
        <v>0</v>
      </c>
      <c r="I1681" t="s">
        <v>377</v>
      </c>
    </row>
    <row r="1682" spans="1:9" x14ac:dyDescent="0.25">
      <c r="A1682" t="s">
        <v>354</v>
      </c>
      <c r="B1682">
        <f t="shared" si="26"/>
        <v>10800</v>
      </c>
      <c r="C1682" t="s">
        <v>355</v>
      </c>
      <c r="D1682" t="s">
        <v>364</v>
      </c>
      <c r="E1682" t="s">
        <v>119</v>
      </c>
      <c r="F1682" t="s">
        <v>327</v>
      </c>
      <c r="G1682" t="s">
        <v>324</v>
      </c>
      <c r="H1682">
        <v>0</v>
      </c>
      <c r="I1682" t="s">
        <v>379</v>
      </c>
    </row>
    <row r="1683" spans="1:9" x14ac:dyDescent="0.25">
      <c r="A1683" t="s">
        <v>1286</v>
      </c>
      <c r="B1683">
        <f t="shared" si="26"/>
        <v>10803</v>
      </c>
      <c r="C1683" t="s">
        <v>1287</v>
      </c>
      <c r="D1683" t="s">
        <v>364</v>
      </c>
      <c r="E1683" t="s">
        <v>119</v>
      </c>
      <c r="F1683" t="s">
        <v>327</v>
      </c>
      <c r="G1683" t="s">
        <v>24</v>
      </c>
      <c r="H1683">
        <v>0</v>
      </c>
      <c r="I1683" t="s">
        <v>383</v>
      </c>
    </row>
    <row r="1684" spans="1:9" x14ac:dyDescent="0.25">
      <c r="A1684" t="s">
        <v>2731</v>
      </c>
      <c r="B1684">
        <f t="shared" si="26"/>
        <v>10806</v>
      </c>
      <c r="C1684" t="s">
        <v>2732</v>
      </c>
      <c r="D1684" t="s">
        <v>72</v>
      </c>
      <c r="E1684" t="s">
        <v>119</v>
      </c>
      <c r="F1684" t="s">
        <v>327</v>
      </c>
      <c r="G1684" t="s">
        <v>329</v>
      </c>
      <c r="H1684">
        <v>0</v>
      </c>
      <c r="I1684" t="s">
        <v>377</v>
      </c>
    </row>
    <row r="1685" spans="1:9" x14ac:dyDescent="0.25">
      <c r="A1685" t="s">
        <v>3312</v>
      </c>
      <c r="B1685">
        <f t="shared" si="26"/>
        <v>10808</v>
      </c>
      <c r="C1685" t="s">
        <v>3313</v>
      </c>
      <c r="D1685" t="s">
        <v>72</v>
      </c>
      <c r="E1685" t="s">
        <v>119</v>
      </c>
      <c r="F1685" t="s">
        <v>328</v>
      </c>
      <c r="G1685" t="s">
        <v>329</v>
      </c>
      <c r="H1685">
        <v>0</v>
      </c>
      <c r="I1685" t="s">
        <v>377</v>
      </c>
    </row>
    <row r="1686" spans="1:9" x14ac:dyDescent="0.25">
      <c r="A1686" t="s">
        <v>304</v>
      </c>
      <c r="B1686">
        <f t="shared" si="26"/>
        <v>10811</v>
      </c>
      <c r="C1686" t="s">
        <v>305</v>
      </c>
      <c r="D1686" t="s">
        <v>72</v>
      </c>
      <c r="E1686" t="s">
        <v>81</v>
      </c>
      <c r="F1686" t="s">
        <v>81</v>
      </c>
      <c r="G1686" t="s">
        <v>81</v>
      </c>
      <c r="H1686">
        <v>1</v>
      </c>
      <c r="I1686" t="s">
        <v>392</v>
      </c>
    </row>
    <row r="1687" spans="1:9" x14ac:dyDescent="0.25">
      <c r="A1687" t="s">
        <v>942</v>
      </c>
      <c r="B1687">
        <f t="shared" si="26"/>
        <v>10821</v>
      </c>
      <c r="C1687" t="s">
        <v>943</v>
      </c>
      <c r="D1687" t="s">
        <v>72</v>
      </c>
      <c r="E1687" t="s">
        <v>119</v>
      </c>
      <c r="F1687" t="s">
        <v>327</v>
      </c>
      <c r="G1687" t="s">
        <v>329</v>
      </c>
      <c r="H1687">
        <v>0</v>
      </c>
      <c r="I1687" t="s">
        <v>377</v>
      </c>
    </row>
    <row r="1688" spans="1:9" x14ac:dyDescent="0.25">
      <c r="A1688" t="s">
        <v>3864</v>
      </c>
      <c r="B1688">
        <f t="shared" si="26"/>
        <v>10826</v>
      </c>
      <c r="C1688" t="s">
        <v>3865</v>
      </c>
      <c r="D1688" t="s">
        <v>72</v>
      </c>
      <c r="E1688" t="s">
        <v>119</v>
      </c>
      <c r="F1688" t="s">
        <v>327</v>
      </c>
      <c r="G1688" t="s">
        <v>324</v>
      </c>
      <c r="H1688">
        <v>0</v>
      </c>
      <c r="I1688" t="s">
        <v>378</v>
      </c>
    </row>
    <row r="1689" spans="1:9" x14ac:dyDescent="0.25">
      <c r="A1689" t="s">
        <v>1657</v>
      </c>
      <c r="B1689">
        <f t="shared" si="26"/>
        <v>10831</v>
      </c>
      <c r="C1689" t="s">
        <v>1658</v>
      </c>
      <c r="D1689" t="s">
        <v>364</v>
      </c>
      <c r="E1689" t="s">
        <v>119</v>
      </c>
      <c r="F1689" t="s">
        <v>318</v>
      </c>
      <c r="G1689" t="s">
        <v>29</v>
      </c>
      <c r="H1689">
        <v>0</v>
      </c>
      <c r="I1689" t="s">
        <v>391</v>
      </c>
    </row>
    <row r="1690" spans="1:9" x14ac:dyDescent="0.25">
      <c r="A1690" t="s">
        <v>944</v>
      </c>
      <c r="B1690">
        <f t="shared" si="26"/>
        <v>10832</v>
      </c>
      <c r="C1690" t="s">
        <v>988</v>
      </c>
      <c r="D1690" t="s">
        <v>72</v>
      </c>
      <c r="E1690" t="s">
        <v>81</v>
      </c>
      <c r="F1690" t="s">
        <v>81</v>
      </c>
      <c r="G1690" t="s">
        <v>81</v>
      </c>
      <c r="H1690">
        <v>1</v>
      </c>
      <c r="I1690" t="s">
        <v>618</v>
      </c>
    </row>
    <row r="1691" spans="1:9" x14ac:dyDescent="0.25">
      <c r="A1691" t="s">
        <v>2733</v>
      </c>
      <c r="B1691">
        <f t="shared" si="26"/>
        <v>10836</v>
      </c>
      <c r="C1691" t="s">
        <v>2734</v>
      </c>
      <c r="D1691" t="s">
        <v>364</v>
      </c>
      <c r="E1691" t="s">
        <v>81</v>
      </c>
      <c r="F1691" t="s">
        <v>81</v>
      </c>
      <c r="G1691" t="s">
        <v>81</v>
      </c>
      <c r="H1691">
        <v>1</v>
      </c>
      <c r="I1691" t="s">
        <v>2735</v>
      </c>
    </row>
    <row r="1692" spans="1:9" x14ac:dyDescent="0.25">
      <c r="A1692" t="s">
        <v>2736</v>
      </c>
      <c r="B1692">
        <f t="shared" si="26"/>
        <v>10837</v>
      </c>
      <c r="C1692" t="s">
        <v>2737</v>
      </c>
      <c r="D1692" t="s">
        <v>364</v>
      </c>
      <c r="E1692" t="s">
        <v>119</v>
      </c>
      <c r="F1692" t="s">
        <v>327</v>
      </c>
      <c r="G1692" t="s">
        <v>312</v>
      </c>
      <c r="H1692">
        <v>0</v>
      </c>
      <c r="I1692" t="s">
        <v>382</v>
      </c>
    </row>
    <row r="1693" spans="1:9" x14ac:dyDescent="0.25">
      <c r="A1693" t="s">
        <v>1659</v>
      </c>
      <c r="B1693">
        <f t="shared" si="26"/>
        <v>10839</v>
      </c>
      <c r="C1693" t="s">
        <v>1660</v>
      </c>
      <c r="D1693" t="s">
        <v>364</v>
      </c>
      <c r="E1693" t="s">
        <v>119</v>
      </c>
      <c r="F1693" t="s">
        <v>318</v>
      </c>
      <c r="G1693" t="s">
        <v>324</v>
      </c>
      <c r="H1693">
        <v>0</v>
      </c>
      <c r="I1693" t="s">
        <v>379</v>
      </c>
    </row>
    <row r="1694" spans="1:9" x14ac:dyDescent="0.25">
      <c r="A1694" t="s">
        <v>1661</v>
      </c>
      <c r="B1694">
        <f t="shared" si="26"/>
        <v>10841</v>
      </c>
      <c r="C1694" t="s">
        <v>1662</v>
      </c>
      <c r="D1694" t="s">
        <v>364</v>
      </c>
      <c r="E1694" t="s">
        <v>119</v>
      </c>
      <c r="F1694" t="s">
        <v>326</v>
      </c>
      <c r="G1694" t="s">
        <v>324</v>
      </c>
      <c r="H1694">
        <v>0</v>
      </c>
      <c r="I1694" t="s">
        <v>379</v>
      </c>
    </row>
    <row r="1695" spans="1:9" x14ac:dyDescent="0.25">
      <c r="A1695" t="s">
        <v>3915</v>
      </c>
      <c r="B1695">
        <f t="shared" si="26"/>
        <v>10843</v>
      </c>
      <c r="C1695" t="s">
        <v>3916</v>
      </c>
      <c r="D1695" t="s">
        <v>72</v>
      </c>
      <c r="E1695" t="s">
        <v>119</v>
      </c>
      <c r="F1695" t="s">
        <v>328</v>
      </c>
      <c r="G1695" t="s">
        <v>317</v>
      </c>
      <c r="H1695">
        <v>0</v>
      </c>
      <c r="I1695" t="s">
        <v>384</v>
      </c>
    </row>
    <row r="1696" spans="1:9" x14ac:dyDescent="0.25">
      <c r="A1696" t="s">
        <v>3720</v>
      </c>
      <c r="B1696">
        <f t="shared" si="26"/>
        <v>10849</v>
      </c>
      <c r="C1696" t="s">
        <v>3721</v>
      </c>
      <c r="D1696" t="s">
        <v>72</v>
      </c>
      <c r="E1696" t="s">
        <v>81</v>
      </c>
      <c r="F1696" t="s">
        <v>81</v>
      </c>
      <c r="G1696" t="s">
        <v>81</v>
      </c>
      <c r="H1696">
        <v>0</v>
      </c>
      <c r="I1696" t="s">
        <v>3722</v>
      </c>
    </row>
    <row r="1697" spans="1:9" x14ac:dyDescent="0.25">
      <c r="A1697" t="s">
        <v>3723</v>
      </c>
      <c r="B1697">
        <f t="shared" si="26"/>
        <v>10853</v>
      </c>
      <c r="C1697" t="s">
        <v>3724</v>
      </c>
      <c r="D1697" t="s">
        <v>72</v>
      </c>
      <c r="E1697" t="s">
        <v>119</v>
      </c>
      <c r="F1697" t="s">
        <v>318</v>
      </c>
      <c r="G1697" t="s">
        <v>324</v>
      </c>
      <c r="H1697">
        <v>0</v>
      </c>
      <c r="I1697" t="s">
        <v>379</v>
      </c>
    </row>
    <row r="1698" spans="1:9" x14ac:dyDescent="0.25">
      <c r="A1698" t="s">
        <v>3773</v>
      </c>
      <c r="B1698">
        <f t="shared" si="26"/>
        <v>10854</v>
      </c>
      <c r="C1698" t="s">
        <v>3774</v>
      </c>
      <c r="D1698" t="s">
        <v>72</v>
      </c>
      <c r="E1698" t="s">
        <v>119</v>
      </c>
      <c r="F1698" t="s">
        <v>327</v>
      </c>
      <c r="G1698" t="s">
        <v>23</v>
      </c>
      <c r="H1698">
        <v>0</v>
      </c>
      <c r="I1698" t="s">
        <v>397</v>
      </c>
    </row>
    <row r="1699" spans="1:9" x14ac:dyDescent="0.25">
      <c r="A1699" t="s">
        <v>4655</v>
      </c>
      <c r="B1699">
        <f t="shared" si="26"/>
        <v>10856</v>
      </c>
      <c r="C1699" t="s">
        <v>4656</v>
      </c>
      <c r="D1699" t="s">
        <v>72</v>
      </c>
      <c r="E1699" t="s">
        <v>119</v>
      </c>
      <c r="F1699" t="s">
        <v>327</v>
      </c>
      <c r="G1699" t="s">
        <v>28</v>
      </c>
      <c r="H1699">
        <v>0</v>
      </c>
      <c r="I1699" t="s">
        <v>376</v>
      </c>
    </row>
    <row r="1700" spans="1:9" x14ac:dyDescent="0.25">
      <c r="A1700" t="s">
        <v>2738</v>
      </c>
      <c r="B1700">
        <f t="shared" si="26"/>
        <v>10869</v>
      </c>
      <c r="C1700" t="s">
        <v>2739</v>
      </c>
      <c r="D1700" t="s">
        <v>364</v>
      </c>
      <c r="E1700" t="s">
        <v>119</v>
      </c>
      <c r="F1700" t="s">
        <v>327</v>
      </c>
      <c r="G1700" t="s">
        <v>324</v>
      </c>
      <c r="H1700">
        <v>0</v>
      </c>
      <c r="I1700" t="s">
        <v>379</v>
      </c>
    </row>
    <row r="1701" spans="1:9" x14ac:dyDescent="0.25">
      <c r="A1701" t="s">
        <v>3566</v>
      </c>
      <c r="B1701">
        <f t="shared" si="26"/>
        <v>10879</v>
      </c>
      <c r="C1701" t="s">
        <v>3567</v>
      </c>
      <c r="D1701" t="s">
        <v>364</v>
      </c>
      <c r="E1701" t="s">
        <v>119</v>
      </c>
      <c r="F1701" t="s">
        <v>318</v>
      </c>
      <c r="G1701" t="s">
        <v>331</v>
      </c>
      <c r="H1701">
        <v>0</v>
      </c>
      <c r="I1701" t="s">
        <v>410</v>
      </c>
    </row>
    <row r="1702" spans="1:9" x14ac:dyDescent="0.25">
      <c r="A1702" t="s">
        <v>306</v>
      </c>
      <c r="B1702">
        <f t="shared" si="26"/>
        <v>10884</v>
      </c>
      <c r="C1702" t="s">
        <v>307</v>
      </c>
      <c r="D1702" t="s">
        <v>72</v>
      </c>
      <c r="E1702" t="s">
        <v>119</v>
      </c>
      <c r="F1702" t="s">
        <v>328</v>
      </c>
      <c r="G1702" t="s">
        <v>29</v>
      </c>
      <c r="H1702">
        <v>0</v>
      </c>
      <c r="I1702" t="s">
        <v>391</v>
      </c>
    </row>
    <row r="1703" spans="1:9" x14ac:dyDescent="0.25">
      <c r="A1703" t="s">
        <v>2740</v>
      </c>
      <c r="B1703">
        <f t="shared" si="26"/>
        <v>10889</v>
      </c>
      <c r="C1703" t="s">
        <v>2741</v>
      </c>
      <c r="D1703" t="s">
        <v>364</v>
      </c>
      <c r="E1703" t="s">
        <v>119</v>
      </c>
      <c r="F1703" t="s">
        <v>318</v>
      </c>
      <c r="G1703" t="s">
        <v>324</v>
      </c>
      <c r="H1703">
        <v>0</v>
      </c>
      <c r="I1703" t="s">
        <v>379</v>
      </c>
    </row>
    <row r="1704" spans="1:9" x14ac:dyDescent="0.25">
      <c r="A1704" t="s">
        <v>2742</v>
      </c>
      <c r="B1704">
        <f t="shared" si="26"/>
        <v>10891</v>
      </c>
      <c r="C1704" t="s">
        <v>2743</v>
      </c>
      <c r="D1704" t="s">
        <v>364</v>
      </c>
      <c r="E1704" t="s">
        <v>119</v>
      </c>
      <c r="F1704" t="s">
        <v>323</v>
      </c>
      <c r="G1704" t="s">
        <v>324</v>
      </c>
      <c r="H1704">
        <v>0</v>
      </c>
      <c r="I1704" t="s">
        <v>379</v>
      </c>
    </row>
    <row r="1705" spans="1:9" x14ac:dyDescent="0.25">
      <c r="A1705" t="s">
        <v>1663</v>
      </c>
      <c r="B1705">
        <f t="shared" si="26"/>
        <v>10893</v>
      </c>
      <c r="C1705" t="s">
        <v>1664</v>
      </c>
      <c r="D1705" t="s">
        <v>364</v>
      </c>
      <c r="E1705" t="s">
        <v>119</v>
      </c>
      <c r="F1705" t="s">
        <v>323</v>
      </c>
      <c r="G1705" t="s">
        <v>324</v>
      </c>
      <c r="H1705">
        <v>0</v>
      </c>
      <c r="I1705" t="s">
        <v>379</v>
      </c>
    </row>
    <row r="1706" spans="1:9" x14ac:dyDescent="0.25">
      <c r="A1706" t="s">
        <v>473</v>
      </c>
      <c r="B1706">
        <f t="shared" si="26"/>
        <v>10894</v>
      </c>
      <c r="C1706" t="s">
        <v>474</v>
      </c>
      <c r="D1706" t="s">
        <v>364</v>
      </c>
      <c r="E1706" t="s">
        <v>119</v>
      </c>
      <c r="F1706" t="s">
        <v>323</v>
      </c>
      <c r="G1706" t="s">
        <v>324</v>
      </c>
      <c r="H1706">
        <v>0</v>
      </c>
      <c r="I1706" t="s">
        <v>379</v>
      </c>
    </row>
    <row r="1707" spans="1:9" x14ac:dyDescent="0.25">
      <c r="A1707" t="s">
        <v>989</v>
      </c>
      <c r="B1707">
        <f t="shared" si="26"/>
        <v>10899</v>
      </c>
      <c r="C1707" t="s">
        <v>990</v>
      </c>
      <c r="D1707" t="s">
        <v>364</v>
      </c>
      <c r="E1707" t="s">
        <v>119</v>
      </c>
      <c r="F1707" t="s">
        <v>872</v>
      </c>
      <c r="G1707" t="s">
        <v>324</v>
      </c>
      <c r="H1707">
        <v>0</v>
      </c>
      <c r="I1707" t="s">
        <v>379</v>
      </c>
    </row>
    <row r="1708" spans="1:9" x14ac:dyDescent="0.25">
      <c r="A1708" t="s">
        <v>2744</v>
      </c>
      <c r="B1708">
        <f t="shared" si="26"/>
        <v>10902</v>
      </c>
      <c r="C1708" t="s">
        <v>2745</v>
      </c>
      <c r="D1708" t="s">
        <v>364</v>
      </c>
      <c r="E1708" t="s">
        <v>119</v>
      </c>
      <c r="F1708" t="s">
        <v>327</v>
      </c>
      <c r="G1708" t="s">
        <v>324</v>
      </c>
      <c r="H1708">
        <v>0</v>
      </c>
      <c r="I1708" t="s">
        <v>379</v>
      </c>
    </row>
    <row r="1709" spans="1:9" x14ac:dyDescent="0.25">
      <c r="A1709" t="s">
        <v>4657</v>
      </c>
      <c r="B1709">
        <f t="shared" si="26"/>
        <v>10904</v>
      </c>
      <c r="C1709" t="s">
        <v>4658</v>
      </c>
      <c r="D1709" t="s">
        <v>364</v>
      </c>
      <c r="E1709" t="s">
        <v>119</v>
      </c>
      <c r="F1709" t="s">
        <v>318</v>
      </c>
      <c r="G1709" t="s">
        <v>312</v>
      </c>
      <c r="H1709">
        <v>0</v>
      </c>
      <c r="I1709" t="s">
        <v>382</v>
      </c>
    </row>
    <row r="1710" spans="1:9" x14ac:dyDescent="0.25">
      <c r="A1710" t="s">
        <v>720</v>
      </c>
      <c r="B1710">
        <f t="shared" si="26"/>
        <v>10905</v>
      </c>
      <c r="C1710" t="s">
        <v>721</v>
      </c>
      <c r="D1710" t="s">
        <v>364</v>
      </c>
      <c r="E1710" t="s">
        <v>119</v>
      </c>
      <c r="F1710" t="s">
        <v>318</v>
      </c>
      <c r="G1710" t="s">
        <v>312</v>
      </c>
      <c r="H1710">
        <v>0</v>
      </c>
      <c r="I1710" t="s">
        <v>382</v>
      </c>
    </row>
    <row r="1711" spans="1:9" x14ac:dyDescent="0.25">
      <c r="A1711" t="s">
        <v>3634</v>
      </c>
      <c r="B1711">
        <f t="shared" si="26"/>
        <v>10907</v>
      </c>
      <c r="C1711" t="s">
        <v>3635</v>
      </c>
      <c r="D1711" t="s">
        <v>72</v>
      </c>
      <c r="E1711" t="s">
        <v>119</v>
      </c>
      <c r="F1711" t="s">
        <v>318</v>
      </c>
      <c r="G1711" t="s">
        <v>29</v>
      </c>
      <c r="H1711">
        <v>0</v>
      </c>
      <c r="I1711" t="s">
        <v>391</v>
      </c>
    </row>
    <row r="1712" spans="1:9" x14ac:dyDescent="0.25">
      <c r="A1712" t="s">
        <v>3189</v>
      </c>
      <c r="B1712">
        <f t="shared" si="26"/>
        <v>10909</v>
      </c>
      <c r="C1712" t="s">
        <v>3190</v>
      </c>
      <c r="D1712" t="s">
        <v>364</v>
      </c>
      <c r="E1712" t="s">
        <v>119</v>
      </c>
      <c r="F1712" t="s">
        <v>327</v>
      </c>
      <c r="G1712" t="s">
        <v>628</v>
      </c>
      <c r="H1712">
        <v>0</v>
      </c>
      <c r="I1712" t="s">
        <v>2811</v>
      </c>
    </row>
    <row r="1713" spans="1:9" x14ac:dyDescent="0.25">
      <c r="A1713" t="s">
        <v>722</v>
      </c>
      <c r="B1713">
        <f t="shared" si="26"/>
        <v>10910</v>
      </c>
      <c r="C1713" t="s">
        <v>723</v>
      </c>
      <c r="D1713" t="s">
        <v>364</v>
      </c>
      <c r="E1713" t="s">
        <v>119</v>
      </c>
      <c r="F1713" t="s">
        <v>318</v>
      </c>
      <c r="G1713" t="s">
        <v>26</v>
      </c>
      <c r="H1713">
        <v>0</v>
      </c>
      <c r="I1713" t="s">
        <v>394</v>
      </c>
    </row>
    <row r="1714" spans="1:9" x14ac:dyDescent="0.25">
      <c r="A1714" t="s">
        <v>1665</v>
      </c>
      <c r="B1714">
        <f t="shared" si="26"/>
        <v>10912</v>
      </c>
      <c r="C1714" t="s">
        <v>1666</v>
      </c>
      <c r="D1714" t="s">
        <v>364</v>
      </c>
      <c r="E1714" t="s">
        <v>119</v>
      </c>
      <c r="F1714" t="s">
        <v>318</v>
      </c>
      <c r="G1714" t="s">
        <v>29</v>
      </c>
      <c r="H1714">
        <v>0</v>
      </c>
      <c r="I1714" t="s">
        <v>391</v>
      </c>
    </row>
    <row r="1715" spans="1:9" x14ac:dyDescent="0.25">
      <c r="A1715" t="s">
        <v>4301</v>
      </c>
      <c r="B1715">
        <f t="shared" si="26"/>
        <v>10920</v>
      </c>
      <c r="C1715" t="s">
        <v>4302</v>
      </c>
      <c r="D1715" t="s">
        <v>364</v>
      </c>
      <c r="E1715" t="s">
        <v>119</v>
      </c>
      <c r="F1715" t="s">
        <v>327</v>
      </c>
      <c r="G1715" t="s">
        <v>324</v>
      </c>
      <c r="H1715">
        <v>0</v>
      </c>
      <c r="I1715" t="s">
        <v>379</v>
      </c>
    </row>
    <row r="1716" spans="1:9" x14ac:dyDescent="0.25">
      <c r="A1716" t="s">
        <v>308</v>
      </c>
      <c r="B1716">
        <f t="shared" si="26"/>
        <v>10923</v>
      </c>
      <c r="C1716" t="s">
        <v>309</v>
      </c>
      <c r="D1716" t="s">
        <v>72</v>
      </c>
      <c r="E1716" t="s">
        <v>119</v>
      </c>
      <c r="F1716" t="s">
        <v>327</v>
      </c>
      <c r="G1716" t="s">
        <v>72</v>
      </c>
      <c r="H1716">
        <v>1</v>
      </c>
      <c r="I1716" t="s">
        <v>390</v>
      </c>
    </row>
    <row r="1717" spans="1:9" x14ac:dyDescent="0.25">
      <c r="A1717" t="s">
        <v>1288</v>
      </c>
      <c r="B1717">
        <f t="shared" si="26"/>
        <v>10924</v>
      </c>
      <c r="C1717" t="s">
        <v>1289</v>
      </c>
      <c r="D1717" t="s">
        <v>364</v>
      </c>
      <c r="E1717" t="s">
        <v>119</v>
      </c>
      <c r="F1717" t="s">
        <v>345</v>
      </c>
      <c r="G1717" t="s">
        <v>324</v>
      </c>
      <c r="H1717">
        <v>0</v>
      </c>
      <c r="I1717" t="s">
        <v>379</v>
      </c>
    </row>
    <row r="1718" spans="1:9" x14ac:dyDescent="0.25">
      <c r="A1718" t="s">
        <v>310</v>
      </c>
      <c r="B1718">
        <f t="shared" si="26"/>
        <v>10926</v>
      </c>
      <c r="C1718" t="s">
        <v>311</v>
      </c>
      <c r="D1718" t="s">
        <v>364</v>
      </c>
      <c r="E1718" t="s">
        <v>81</v>
      </c>
      <c r="F1718" t="s">
        <v>81</v>
      </c>
      <c r="G1718" t="s">
        <v>81</v>
      </c>
      <c r="H1718">
        <v>1</v>
      </c>
      <c r="I1718" t="s">
        <v>422</v>
      </c>
    </row>
    <row r="1719" spans="1:9" x14ac:dyDescent="0.25">
      <c r="A1719" t="s">
        <v>2746</v>
      </c>
      <c r="B1719">
        <f t="shared" si="26"/>
        <v>10929</v>
      </c>
      <c r="C1719" t="s">
        <v>2747</v>
      </c>
      <c r="D1719" t="s">
        <v>364</v>
      </c>
      <c r="E1719" t="s">
        <v>119</v>
      </c>
      <c r="F1719" t="s">
        <v>318</v>
      </c>
      <c r="G1719" t="s">
        <v>324</v>
      </c>
      <c r="H1719">
        <v>0</v>
      </c>
      <c r="I1719" t="s">
        <v>379</v>
      </c>
    </row>
    <row r="1720" spans="1:9" x14ac:dyDescent="0.25">
      <c r="A1720" t="s">
        <v>2748</v>
      </c>
      <c r="B1720">
        <f t="shared" si="26"/>
        <v>10930</v>
      </c>
      <c r="C1720" t="s">
        <v>2749</v>
      </c>
      <c r="D1720" t="s">
        <v>364</v>
      </c>
      <c r="E1720" t="s">
        <v>119</v>
      </c>
      <c r="F1720" t="s">
        <v>327</v>
      </c>
      <c r="G1720" t="s">
        <v>324</v>
      </c>
      <c r="H1720">
        <v>0</v>
      </c>
      <c r="I1720" t="s">
        <v>379</v>
      </c>
    </row>
    <row r="1721" spans="1:9" x14ac:dyDescent="0.25">
      <c r="A1721" t="s">
        <v>2750</v>
      </c>
      <c r="B1721">
        <f t="shared" si="26"/>
        <v>10931</v>
      </c>
      <c r="C1721" t="s">
        <v>2751</v>
      </c>
      <c r="D1721" t="s">
        <v>364</v>
      </c>
      <c r="E1721" t="s">
        <v>119</v>
      </c>
      <c r="F1721" t="s">
        <v>327</v>
      </c>
      <c r="G1721" t="s">
        <v>312</v>
      </c>
      <c r="H1721">
        <v>0</v>
      </c>
      <c r="I1721" t="s">
        <v>382</v>
      </c>
    </row>
    <row r="1722" spans="1:9" x14ac:dyDescent="0.25">
      <c r="A1722" t="s">
        <v>1290</v>
      </c>
      <c r="B1722">
        <f t="shared" si="26"/>
        <v>10932</v>
      </c>
      <c r="C1722" t="s">
        <v>1291</v>
      </c>
      <c r="D1722" t="s">
        <v>364</v>
      </c>
      <c r="E1722" t="s">
        <v>119</v>
      </c>
      <c r="F1722" t="s">
        <v>872</v>
      </c>
      <c r="G1722" t="s">
        <v>324</v>
      </c>
      <c r="H1722">
        <v>0</v>
      </c>
      <c r="I1722" t="s">
        <v>379</v>
      </c>
    </row>
    <row r="1723" spans="1:9" x14ac:dyDescent="0.25">
      <c r="A1723" t="s">
        <v>1292</v>
      </c>
      <c r="B1723">
        <f t="shared" si="26"/>
        <v>10933</v>
      </c>
      <c r="C1723" t="s">
        <v>1293</v>
      </c>
      <c r="D1723" t="s">
        <v>364</v>
      </c>
      <c r="E1723" t="s">
        <v>119</v>
      </c>
      <c r="F1723" t="s">
        <v>664</v>
      </c>
      <c r="G1723" t="s">
        <v>324</v>
      </c>
      <c r="H1723">
        <v>0</v>
      </c>
      <c r="I1723" t="s">
        <v>379</v>
      </c>
    </row>
    <row r="1724" spans="1:9" x14ac:dyDescent="0.25">
      <c r="A1724" t="s">
        <v>1294</v>
      </c>
      <c r="B1724">
        <f t="shared" si="26"/>
        <v>10934</v>
      </c>
      <c r="C1724" t="s">
        <v>1295</v>
      </c>
      <c r="D1724" t="s">
        <v>364</v>
      </c>
      <c r="E1724" t="s">
        <v>119</v>
      </c>
      <c r="F1724" t="s">
        <v>325</v>
      </c>
      <c r="G1724" t="s">
        <v>25</v>
      </c>
      <c r="H1724">
        <v>0</v>
      </c>
      <c r="I1724" t="s">
        <v>386</v>
      </c>
    </row>
    <row r="1725" spans="1:9" x14ac:dyDescent="0.25">
      <c r="A1725" t="s">
        <v>4303</v>
      </c>
      <c r="B1725">
        <f t="shared" si="26"/>
        <v>10939</v>
      </c>
      <c r="C1725" t="s">
        <v>4304</v>
      </c>
      <c r="D1725" t="s">
        <v>72</v>
      </c>
      <c r="E1725" t="s">
        <v>119</v>
      </c>
      <c r="F1725" t="s">
        <v>327</v>
      </c>
      <c r="G1725" t="s">
        <v>29</v>
      </c>
      <c r="H1725">
        <v>0</v>
      </c>
      <c r="I1725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  <pageSetUpPr fitToPage="1"/>
  </sheetPr>
  <dimension ref="A1:L229"/>
  <sheetViews>
    <sheetView workbookViewId="0">
      <pane ySplit="10" topLeftCell="A11" activePane="bottomLeft" state="frozen"/>
      <selection activeCell="A157" sqref="A157"/>
      <selection pane="bottomLeft" activeCell="I12" sqref="I12"/>
    </sheetView>
  </sheetViews>
  <sheetFormatPr defaultRowHeight="15" x14ac:dyDescent="0.25"/>
  <cols>
    <col min="1" max="1" width="23.140625" customWidth="1"/>
    <col min="2" max="2" width="7.7109375" customWidth="1"/>
    <col min="3" max="3" width="27.140625" bestFit="1" customWidth="1"/>
    <col min="4" max="4" width="8.85546875" bestFit="1" customWidth="1"/>
    <col min="5" max="5" width="28" bestFit="1" customWidth="1"/>
    <col min="6" max="6" width="4.42578125" customWidth="1"/>
    <col min="7" max="7" width="16.28515625" customWidth="1"/>
    <col min="8" max="8" width="30.85546875" customWidth="1"/>
    <col min="9" max="9" width="16.140625" customWidth="1"/>
    <col min="11" max="11" width="7.7109375" hidden="1" customWidth="1"/>
    <col min="12" max="12" width="31.5703125" hidden="1" customWidth="1"/>
  </cols>
  <sheetData>
    <row r="1" spans="1:12" ht="24" thickBot="1" x14ac:dyDescent="0.4">
      <c r="A1" s="40" t="s">
        <v>336</v>
      </c>
      <c r="B1" s="41"/>
      <c r="C1" s="41"/>
      <c r="D1" s="41"/>
      <c r="E1" s="42"/>
      <c r="F1" s="42"/>
      <c r="G1" s="42"/>
      <c r="H1" s="41"/>
      <c r="I1" s="41"/>
    </row>
    <row r="2" spans="1:12" s="4" customFormat="1" ht="27" thickBot="1" x14ac:dyDescent="0.45">
      <c r="A2" s="18" t="s">
        <v>3476</v>
      </c>
      <c r="B2" s="5" t="s">
        <v>338</v>
      </c>
    </row>
    <row r="3" spans="1:12" s="4" customFormat="1" ht="26.25" x14ac:dyDescent="0.4">
      <c r="A3" s="26" t="s">
        <v>119</v>
      </c>
      <c r="B3" s="27" t="s">
        <v>120</v>
      </c>
    </row>
    <row r="4" spans="1:12" x14ac:dyDescent="0.25">
      <c r="A4" s="6" t="s">
        <v>648</v>
      </c>
      <c r="B4" s="8" t="s">
        <v>356</v>
      </c>
      <c r="C4" s="8"/>
      <c r="D4" s="8"/>
      <c r="E4" s="20"/>
    </row>
    <row r="5" spans="1:12" x14ac:dyDescent="0.25">
      <c r="A5" s="9" t="s">
        <v>649</v>
      </c>
      <c r="B5" s="10" t="s">
        <v>650</v>
      </c>
      <c r="C5" s="11"/>
      <c r="D5" s="19"/>
      <c r="E5" s="21"/>
    </row>
    <row r="6" spans="1:12" x14ac:dyDescent="0.25">
      <c r="A6" s="12" t="s">
        <v>478</v>
      </c>
      <c r="B6" s="13" t="s">
        <v>651</v>
      </c>
      <c r="C6" s="14"/>
      <c r="D6" s="15"/>
      <c r="E6" s="22"/>
    </row>
    <row r="7" spans="1:12" x14ac:dyDescent="0.25">
      <c r="A7" s="12" t="s">
        <v>652</v>
      </c>
      <c r="B7" s="13" t="s">
        <v>653</v>
      </c>
      <c r="C7" s="12"/>
      <c r="D7" s="15"/>
      <c r="E7" s="22"/>
    </row>
    <row r="8" spans="1:12" x14ac:dyDescent="0.25">
      <c r="A8" s="16" t="s">
        <v>654</v>
      </c>
      <c r="B8" s="155" t="s">
        <v>655</v>
      </c>
      <c r="C8" s="16"/>
      <c r="D8" s="7"/>
      <c r="E8" s="23"/>
    </row>
    <row r="9" spans="1:12" ht="33.75" x14ac:dyDescent="0.5">
      <c r="A9" s="43" t="s">
        <v>336</v>
      </c>
      <c r="G9" s="43" t="s">
        <v>341</v>
      </c>
      <c r="H9" s="34"/>
      <c r="I9" s="34"/>
      <c r="J9" s="34"/>
      <c r="K9" t="s">
        <v>343</v>
      </c>
    </row>
    <row r="10" spans="1:12" x14ac:dyDescent="0.25">
      <c r="A10" s="44" t="s">
        <v>1</v>
      </c>
      <c r="B10" s="45" t="s">
        <v>0</v>
      </c>
      <c r="C10" s="45" t="s">
        <v>342</v>
      </c>
      <c r="D10" s="45" t="s">
        <v>337</v>
      </c>
      <c r="E10" s="46" t="s">
        <v>21</v>
      </c>
      <c r="F10" s="3"/>
      <c r="G10" s="32" t="s">
        <v>1</v>
      </c>
      <c r="H10" s="33" t="s">
        <v>21</v>
      </c>
      <c r="I10" s="33" t="s">
        <v>22</v>
      </c>
      <c r="J10" s="3"/>
      <c r="K10" s="32" t="s">
        <v>0</v>
      </c>
      <c r="L10" s="33" t="s">
        <v>21</v>
      </c>
    </row>
    <row r="11" spans="1:12" x14ac:dyDescent="0.25">
      <c r="A11" s="31" t="s">
        <v>81</v>
      </c>
      <c r="B11" s="31" t="s">
        <v>3210</v>
      </c>
      <c r="C11" s="31" t="str">
        <f>VLOOKUP(B11,'Job Details'!$K:$L,2,FALSE)</f>
        <v>Project Superintendent (Hrs)</v>
      </c>
      <c r="D11" s="31" t="s">
        <v>475</v>
      </c>
      <c r="E11" s="31" t="s">
        <v>476</v>
      </c>
      <c r="G11" s="31"/>
      <c r="H11" s="31"/>
      <c r="I11" s="31"/>
      <c r="K11" s="31" t="s">
        <v>509</v>
      </c>
      <c r="L11" s="31" t="s">
        <v>510</v>
      </c>
    </row>
    <row r="12" spans="1:12" x14ac:dyDescent="0.25">
      <c r="A12" s="31" t="s">
        <v>81</v>
      </c>
      <c r="B12" s="31" t="s">
        <v>3210</v>
      </c>
      <c r="C12" s="31" t="str">
        <f>VLOOKUP(B12,'Job Details'!$K:$L,2,FALSE)</f>
        <v>Project Superintendent (Hrs)</v>
      </c>
      <c r="D12" s="31" t="s">
        <v>477</v>
      </c>
      <c r="E12" s="31" t="s">
        <v>3223</v>
      </c>
      <c r="G12" s="31"/>
      <c r="H12" s="31"/>
      <c r="I12" s="31"/>
      <c r="K12" s="31" t="s">
        <v>3210</v>
      </c>
      <c r="L12" s="31" t="s">
        <v>3211</v>
      </c>
    </row>
    <row r="13" spans="1:12" x14ac:dyDescent="0.25">
      <c r="A13" s="31" t="s">
        <v>81</v>
      </c>
      <c r="B13" s="31" t="s">
        <v>3210</v>
      </c>
      <c r="C13" s="31" t="str">
        <f>VLOOKUP(B13,'Job Details'!$K:$L,2,FALSE)</f>
        <v>Project Superintendent (Hrs)</v>
      </c>
      <c r="D13" s="31" t="s">
        <v>489</v>
      </c>
      <c r="E13" s="31" t="s">
        <v>490</v>
      </c>
      <c r="K13" s="31" t="s">
        <v>731</v>
      </c>
      <c r="L13" s="31" t="s">
        <v>3212</v>
      </c>
    </row>
    <row r="14" spans="1:12" x14ac:dyDescent="0.25">
      <c r="A14" s="31" t="s">
        <v>81</v>
      </c>
      <c r="B14" s="31" t="s">
        <v>3210</v>
      </c>
      <c r="C14" s="31" t="str">
        <f>VLOOKUP(B14,'Job Details'!$K:$L,2,FALSE)</f>
        <v>Project Superintendent (Hrs)</v>
      </c>
      <c r="D14" s="31" t="s">
        <v>478</v>
      </c>
      <c r="E14" s="31" t="s">
        <v>479</v>
      </c>
      <c r="K14" s="31" t="s">
        <v>3496</v>
      </c>
      <c r="L14" s="31" t="s">
        <v>3511</v>
      </c>
    </row>
    <row r="15" spans="1:12" x14ac:dyDescent="0.25">
      <c r="A15" s="31" t="s">
        <v>81</v>
      </c>
      <c r="B15" s="31" t="s">
        <v>3210</v>
      </c>
      <c r="C15" s="31" t="str">
        <f>VLOOKUP(B15,'Job Details'!$K:$L,2,FALSE)</f>
        <v>Project Superintendent (Hrs)</v>
      </c>
      <c r="D15" s="31" t="s">
        <v>3205</v>
      </c>
      <c r="E15" s="31" t="s">
        <v>3206</v>
      </c>
      <c r="K15" s="31" t="s">
        <v>3568</v>
      </c>
      <c r="L15" s="31" t="s">
        <v>3569</v>
      </c>
    </row>
    <row r="16" spans="1:12" x14ac:dyDescent="0.25">
      <c r="A16" s="31" t="s">
        <v>81</v>
      </c>
      <c r="B16" s="31" t="s">
        <v>3210</v>
      </c>
      <c r="C16" s="31" t="str">
        <f>VLOOKUP(B16,'Job Details'!$K:$L,2,FALSE)</f>
        <v>Project Superintendent (Hrs)</v>
      </c>
      <c r="D16" s="31" t="s">
        <v>3232</v>
      </c>
      <c r="E16" s="31" t="s">
        <v>3233</v>
      </c>
      <c r="K16" s="31" t="s">
        <v>486</v>
      </c>
      <c r="L16" s="31" t="s">
        <v>3207</v>
      </c>
    </row>
    <row r="17" spans="1:12" x14ac:dyDescent="0.25">
      <c r="A17" s="31" t="s">
        <v>81</v>
      </c>
      <c r="B17" s="31" t="s">
        <v>3210</v>
      </c>
      <c r="C17" s="31" t="str">
        <f>VLOOKUP(B17,'Job Details'!$K:$L,2,FALSE)</f>
        <v>Project Superintendent (Hrs)</v>
      </c>
      <c r="D17" s="31" t="s">
        <v>480</v>
      </c>
      <c r="E17" s="31" t="s">
        <v>481</v>
      </c>
      <c r="K17" s="31" t="s">
        <v>3603</v>
      </c>
      <c r="L17" s="31" t="s">
        <v>3604</v>
      </c>
    </row>
    <row r="18" spans="1:12" x14ac:dyDescent="0.25">
      <c r="A18" s="31" t="s">
        <v>81</v>
      </c>
      <c r="B18" s="31" t="s">
        <v>3210</v>
      </c>
      <c r="C18" s="31" t="str">
        <f>VLOOKUP(B18,'Job Details'!$K:$L,2,FALSE)</f>
        <v>Project Superintendent (Hrs)</v>
      </c>
      <c r="D18" s="31" t="s">
        <v>482</v>
      </c>
      <c r="E18" s="31" t="s">
        <v>483</v>
      </c>
      <c r="K18" s="31" t="s">
        <v>732</v>
      </c>
      <c r="L18" s="31" t="s">
        <v>3208</v>
      </c>
    </row>
    <row r="19" spans="1:12" x14ac:dyDescent="0.25">
      <c r="A19" s="31" t="s">
        <v>81</v>
      </c>
      <c r="B19" s="31" t="s">
        <v>3210</v>
      </c>
      <c r="C19" s="31" t="str">
        <f>VLOOKUP(B19,'Job Details'!$K:$L,2,FALSE)</f>
        <v>Project Superintendent (Hrs)</v>
      </c>
      <c r="D19" s="31" t="s">
        <v>484</v>
      </c>
      <c r="E19" s="31" t="s">
        <v>485</v>
      </c>
      <c r="K19" s="31" t="s">
        <v>656</v>
      </c>
      <c r="L19" s="31" t="s">
        <v>3236</v>
      </c>
    </row>
    <row r="20" spans="1:12" x14ac:dyDescent="0.25">
      <c r="A20" s="31" t="s">
        <v>81</v>
      </c>
      <c r="B20" s="31" t="s">
        <v>3210</v>
      </c>
      <c r="C20" s="31" t="str">
        <f>VLOOKUP(B20,'Job Details'!$K:$L,2,FALSE)</f>
        <v>Project Superintendent (Hrs)</v>
      </c>
      <c r="D20" s="31" t="s">
        <v>3199</v>
      </c>
      <c r="E20" s="31" t="s">
        <v>3200</v>
      </c>
      <c r="K20" s="31" t="s">
        <v>3669</v>
      </c>
      <c r="L20" s="31" t="s">
        <v>3670</v>
      </c>
    </row>
    <row r="21" spans="1:12" x14ac:dyDescent="0.25">
      <c r="A21" s="31" t="s">
        <v>81</v>
      </c>
      <c r="B21" s="31" t="s">
        <v>3210</v>
      </c>
      <c r="C21" s="31" t="str">
        <f>VLOOKUP(B21,'Job Details'!$K:$L,2,FALSE)</f>
        <v>Project Superintendent (Hrs)</v>
      </c>
      <c r="D21" s="31" t="s">
        <v>3201</v>
      </c>
      <c r="E21" s="31" t="s">
        <v>3202</v>
      </c>
      <c r="K21" s="31" t="s">
        <v>3234</v>
      </c>
      <c r="L21" s="31" t="s">
        <v>3235</v>
      </c>
    </row>
    <row r="22" spans="1:12" x14ac:dyDescent="0.25">
      <c r="A22" s="31" t="s">
        <v>81</v>
      </c>
      <c r="B22" s="31" t="s">
        <v>731</v>
      </c>
      <c r="C22" s="31" t="str">
        <f>VLOOKUP(B22,'Job Details'!$K:$L,2,FALSE)</f>
        <v>General Foreman (Hrs)</v>
      </c>
      <c r="D22" s="31" t="s">
        <v>475</v>
      </c>
      <c r="E22" s="31" t="s">
        <v>476</v>
      </c>
      <c r="K22" s="31" t="s">
        <v>3231</v>
      </c>
      <c r="L22" s="31" t="s">
        <v>3236</v>
      </c>
    </row>
    <row r="23" spans="1:12" x14ac:dyDescent="0.25">
      <c r="A23" s="31" t="s">
        <v>81</v>
      </c>
      <c r="B23" s="31" t="s">
        <v>731</v>
      </c>
      <c r="C23" s="31" t="str">
        <f>VLOOKUP(B23,'Job Details'!$K:$L,2,FALSE)</f>
        <v>General Foreman (Hrs)</v>
      </c>
      <c r="D23" s="31" t="s">
        <v>477</v>
      </c>
      <c r="E23" s="31" t="s">
        <v>3223</v>
      </c>
      <c r="K23" s="31" t="s">
        <v>3512</v>
      </c>
      <c r="L23" s="31" t="s">
        <v>3513</v>
      </c>
    </row>
    <row r="24" spans="1:12" x14ac:dyDescent="0.25">
      <c r="A24" s="31" t="s">
        <v>81</v>
      </c>
      <c r="B24" s="31" t="s">
        <v>731</v>
      </c>
      <c r="C24" s="31" t="str">
        <f>VLOOKUP(B24,'Job Details'!$K:$L,2,FALSE)</f>
        <v>General Foreman (Hrs)</v>
      </c>
      <c r="D24" s="31" t="s">
        <v>489</v>
      </c>
      <c r="E24" s="31" t="s">
        <v>490</v>
      </c>
      <c r="K24" s="31" t="s">
        <v>3497</v>
      </c>
      <c r="L24" s="31" t="s">
        <v>3514</v>
      </c>
    </row>
    <row r="25" spans="1:12" x14ac:dyDescent="0.25">
      <c r="A25" s="31" t="s">
        <v>81</v>
      </c>
      <c r="B25" s="31" t="s">
        <v>731</v>
      </c>
      <c r="C25" s="31" t="str">
        <f>VLOOKUP(B25,'Job Details'!$K:$L,2,FALSE)</f>
        <v>General Foreman (Hrs)</v>
      </c>
      <c r="D25" s="31" t="s">
        <v>478</v>
      </c>
      <c r="E25" s="31" t="s">
        <v>479</v>
      </c>
      <c r="K25" s="31" t="s">
        <v>3498</v>
      </c>
      <c r="L25" s="31" t="s">
        <v>3515</v>
      </c>
    </row>
    <row r="26" spans="1:12" x14ac:dyDescent="0.25">
      <c r="A26" s="31" t="s">
        <v>81</v>
      </c>
      <c r="B26" s="31" t="s">
        <v>731</v>
      </c>
      <c r="C26" s="31" t="str">
        <f>VLOOKUP(B26,'Job Details'!$K:$L,2,FALSE)</f>
        <v>General Foreman (Hrs)</v>
      </c>
      <c r="D26" s="31" t="s">
        <v>3205</v>
      </c>
      <c r="E26" s="31" t="s">
        <v>3206</v>
      </c>
      <c r="K26" s="31" t="s">
        <v>3499</v>
      </c>
      <c r="L26" s="31" t="s">
        <v>3516</v>
      </c>
    </row>
    <row r="27" spans="1:12" x14ac:dyDescent="0.25">
      <c r="A27" s="31" t="s">
        <v>81</v>
      </c>
      <c r="B27" s="31" t="s">
        <v>731</v>
      </c>
      <c r="C27" s="31" t="str">
        <f>VLOOKUP(B27,'Job Details'!$K:$L,2,FALSE)</f>
        <v>General Foreman (Hrs)</v>
      </c>
      <c r="D27" s="31" t="s">
        <v>3232</v>
      </c>
      <c r="E27" s="31" t="s">
        <v>3233</v>
      </c>
      <c r="K27" s="31" t="s">
        <v>3500</v>
      </c>
      <c r="L27" s="31" t="s">
        <v>3517</v>
      </c>
    </row>
    <row r="28" spans="1:12" x14ac:dyDescent="0.25">
      <c r="A28" s="31" t="s">
        <v>81</v>
      </c>
      <c r="B28" s="31" t="s">
        <v>731</v>
      </c>
      <c r="C28" s="31" t="str">
        <f>VLOOKUP(B28,'Job Details'!$K:$L,2,FALSE)</f>
        <v>General Foreman (Hrs)</v>
      </c>
      <c r="D28" s="31" t="s">
        <v>480</v>
      </c>
      <c r="E28" s="31" t="s">
        <v>481</v>
      </c>
      <c r="K28" s="31" t="s">
        <v>3501</v>
      </c>
      <c r="L28" s="31" t="s">
        <v>3518</v>
      </c>
    </row>
    <row r="29" spans="1:12" x14ac:dyDescent="0.25">
      <c r="A29" s="31" t="s">
        <v>81</v>
      </c>
      <c r="B29" s="31" t="s">
        <v>731</v>
      </c>
      <c r="C29" s="31" t="str">
        <f>VLOOKUP(B29,'Job Details'!$K:$L,2,FALSE)</f>
        <v>General Foreman (Hrs)</v>
      </c>
      <c r="D29" s="31" t="s">
        <v>482</v>
      </c>
      <c r="E29" s="31" t="s">
        <v>483</v>
      </c>
      <c r="K29" s="31" t="s">
        <v>3504</v>
      </c>
      <c r="L29" s="31" t="s">
        <v>3519</v>
      </c>
    </row>
    <row r="30" spans="1:12" x14ac:dyDescent="0.25">
      <c r="A30" s="31" t="s">
        <v>81</v>
      </c>
      <c r="B30" s="31" t="s">
        <v>731</v>
      </c>
      <c r="C30" s="31" t="str">
        <f>VLOOKUP(B30,'Job Details'!$K:$L,2,FALSE)</f>
        <v>General Foreman (Hrs)</v>
      </c>
      <c r="D30" s="31" t="s">
        <v>484</v>
      </c>
      <c r="E30" s="31" t="s">
        <v>485</v>
      </c>
      <c r="K30" s="31" t="s">
        <v>3505</v>
      </c>
      <c r="L30" s="31" t="s">
        <v>3520</v>
      </c>
    </row>
    <row r="31" spans="1:12" x14ac:dyDescent="0.25">
      <c r="A31" s="31" t="s">
        <v>81</v>
      </c>
      <c r="B31" s="31" t="s">
        <v>731</v>
      </c>
      <c r="C31" s="31" t="str">
        <f>VLOOKUP(B31,'Job Details'!$K:$L,2,FALSE)</f>
        <v>General Foreman (Hrs)</v>
      </c>
      <c r="D31" s="31" t="s">
        <v>3199</v>
      </c>
      <c r="E31" s="31" t="s">
        <v>3200</v>
      </c>
      <c r="K31" s="31" t="s">
        <v>3506</v>
      </c>
      <c r="L31" s="31" t="s">
        <v>3521</v>
      </c>
    </row>
    <row r="32" spans="1:12" x14ac:dyDescent="0.25">
      <c r="A32" s="31" t="s">
        <v>81</v>
      </c>
      <c r="B32" s="31" t="s">
        <v>731</v>
      </c>
      <c r="C32" s="31" t="str">
        <f>VLOOKUP(B32,'Job Details'!$K:$L,2,FALSE)</f>
        <v>General Foreman (Hrs)</v>
      </c>
      <c r="D32" s="31" t="s">
        <v>3201</v>
      </c>
      <c r="E32" s="31" t="s">
        <v>3202</v>
      </c>
      <c r="K32" s="31" t="s">
        <v>3570</v>
      </c>
      <c r="L32" s="31" t="s">
        <v>3571</v>
      </c>
    </row>
    <row r="33" spans="1:12" x14ac:dyDescent="0.25">
      <c r="A33" s="31" t="s">
        <v>81</v>
      </c>
      <c r="B33" s="31" t="s">
        <v>3496</v>
      </c>
      <c r="C33" s="31" t="str">
        <f>VLOOKUP(B33,'Job Details'!$K:$L,2,FALSE)</f>
        <v>Office (Hrs)</v>
      </c>
      <c r="D33" s="31" t="s">
        <v>487</v>
      </c>
      <c r="E33" s="31" t="s">
        <v>488</v>
      </c>
      <c r="K33" s="31" t="s">
        <v>511</v>
      </c>
      <c r="L33" s="31" t="s">
        <v>512</v>
      </c>
    </row>
    <row r="34" spans="1:12" x14ac:dyDescent="0.25">
      <c r="A34" s="31" t="s">
        <v>81</v>
      </c>
      <c r="B34" s="31" t="s">
        <v>3496</v>
      </c>
      <c r="C34" s="31" t="str">
        <f>VLOOKUP(B34,'Job Details'!$K:$L,2,FALSE)</f>
        <v>Office (Hrs)</v>
      </c>
      <c r="D34" s="31" t="s">
        <v>475</v>
      </c>
      <c r="E34" s="31" t="s">
        <v>476</v>
      </c>
      <c r="K34" s="31" t="s">
        <v>505</v>
      </c>
      <c r="L34" s="31" t="s">
        <v>513</v>
      </c>
    </row>
    <row r="35" spans="1:12" x14ac:dyDescent="0.25">
      <c r="A35" s="31" t="s">
        <v>81</v>
      </c>
      <c r="B35" s="31" t="s">
        <v>3496</v>
      </c>
      <c r="C35" s="31" t="str">
        <f>VLOOKUP(B35,'Job Details'!$K:$L,2,FALSE)</f>
        <v>Office (Hrs)</v>
      </c>
      <c r="D35" s="31" t="s">
        <v>477</v>
      </c>
      <c r="E35" s="31" t="s">
        <v>3223</v>
      </c>
      <c r="K35" s="31" t="s">
        <v>514</v>
      </c>
      <c r="L35" s="31" t="s">
        <v>515</v>
      </c>
    </row>
    <row r="36" spans="1:12" x14ac:dyDescent="0.25">
      <c r="A36" s="31" t="s">
        <v>81</v>
      </c>
      <c r="B36" s="31" t="s">
        <v>3496</v>
      </c>
      <c r="C36" s="31" t="str">
        <f>VLOOKUP(B36,'Job Details'!$K:$L,2,FALSE)</f>
        <v>Office (Hrs)</v>
      </c>
      <c r="D36" s="31" t="s">
        <v>3579</v>
      </c>
      <c r="E36" s="31" t="s">
        <v>3580</v>
      </c>
      <c r="K36" s="31" t="s">
        <v>426</v>
      </c>
      <c r="L36" s="31" t="s">
        <v>516</v>
      </c>
    </row>
    <row r="37" spans="1:12" x14ac:dyDescent="0.25">
      <c r="A37" s="31" t="s">
        <v>81</v>
      </c>
      <c r="B37" s="31" t="s">
        <v>3496</v>
      </c>
      <c r="C37" s="31" t="str">
        <f>VLOOKUP(B37,'Job Details'!$K:$L,2,FALSE)</f>
        <v>Office (Hrs)</v>
      </c>
      <c r="D37" s="31" t="s">
        <v>489</v>
      </c>
      <c r="E37" s="31" t="s">
        <v>490</v>
      </c>
      <c r="K37" s="31" t="s">
        <v>3572</v>
      </c>
      <c r="L37" s="31" t="s">
        <v>3573</v>
      </c>
    </row>
    <row r="38" spans="1:12" x14ac:dyDescent="0.25">
      <c r="A38" s="31" t="s">
        <v>81</v>
      </c>
      <c r="B38" s="31" t="s">
        <v>3496</v>
      </c>
      <c r="C38" s="31" t="str">
        <f>VLOOKUP(B38,'Job Details'!$K:$L,2,FALSE)</f>
        <v>Office (Hrs)</v>
      </c>
      <c r="D38" s="31" t="s">
        <v>478</v>
      </c>
      <c r="E38" s="31" t="s">
        <v>479</v>
      </c>
      <c r="K38" s="31" t="s">
        <v>3574</v>
      </c>
      <c r="L38" s="31" t="s">
        <v>3575</v>
      </c>
    </row>
    <row r="39" spans="1:12" x14ac:dyDescent="0.25">
      <c r="A39" s="31" t="s">
        <v>81</v>
      </c>
      <c r="B39" s="31" t="s">
        <v>3496</v>
      </c>
      <c r="C39" s="31" t="str">
        <f>VLOOKUP(B39,'Job Details'!$K:$L,2,FALSE)</f>
        <v>Office (Hrs)</v>
      </c>
      <c r="D39" s="31" t="s">
        <v>3205</v>
      </c>
      <c r="E39" s="31" t="s">
        <v>3206</v>
      </c>
      <c r="K39" s="31" t="s">
        <v>3576</v>
      </c>
      <c r="L39" s="31" t="s">
        <v>3577</v>
      </c>
    </row>
    <row r="40" spans="1:12" x14ac:dyDescent="0.25">
      <c r="A40" s="31" t="s">
        <v>81</v>
      </c>
      <c r="B40" s="31" t="s">
        <v>3496</v>
      </c>
      <c r="C40" s="31" t="str">
        <f>VLOOKUP(B40,'Job Details'!$K:$L,2,FALSE)</f>
        <v>Office (Hrs)</v>
      </c>
      <c r="D40" s="31" t="s">
        <v>3232</v>
      </c>
      <c r="E40" s="31" t="s">
        <v>3233</v>
      </c>
      <c r="K40" s="31" t="s">
        <v>3578</v>
      </c>
      <c r="L40" s="31" t="s">
        <v>3577</v>
      </c>
    </row>
    <row r="41" spans="1:12" x14ac:dyDescent="0.25">
      <c r="A41" s="31" t="s">
        <v>81</v>
      </c>
      <c r="B41" s="31" t="s">
        <v>3496</v>
      </c>
      <c r="C41" s="31" t="str">
        <f>VLOOKUP(B41,'Job Details'!$K:$L,2,FALSE)</f>
        <v>Office (Hrs)</v>
      </c>
      <c r="D41" s="31" t="s">
        <v>480</v>
      </c>
      <c r="E41" s="31" t="s">
        <v>481</v>
      </c>
    </row>
    <row r="42" spans="1:12" x14ac:dyDescent="0.25">
      <c r="A42" s="31" t="s">
        <v>81</v>
      </c>
      <c r="B42" s="31" t="s">
        <v>3496</v>
      </c>
      <c r="C42" s="31" t="str">
        <f>VLOOKUP(B42,'Job Details'!$K:$L,2,FALSE)</f>
        <v>Office (Hrs)</v>
      </c>
      <c r="D42" s="31" t="s">
        <v>482</v>
      </c>
      <c r="E42" s="31" t="s">
        <v>483</v>
      </c>
    </row>
    <row r="43" spans="1:12" x14ac:dyDescent="0.25">
      <c r="A43" s="31" t="s">
        <v>81</v>
      </c>
      <c r="B43" s="31" t="s">
        <v>3496</v>
      </c>
      <c r="C43" s="31" t="str">
        <f>VLOOKUP(B43,'Job Details'!$K:$L,2,FALSE)</f>
        <v>Office (Hrs)</v>
      </c>
      <c r="D43" s="31" t="s">
        <v>484</v>
      </c>
      <c r="E43" s="31" t="s">
        <v>485</v>
      </c>
    </row>
    <row r="44" spans="1:12" x14ac:dyDescent="0.25">
      <c r="A44" s="31" t="s">
        <v>81</v>
      </c>
      <c r="B44" s="31" t="s">
        <v>3496</v>
      </c>
      <c r="C44" s="31" t="str">
        <f>VLOOKUP(B44,'Job Details'!$K:$L,2,FALSE)</f>
        <v>Office (Hrs)</v>
      </c>
      <c r="D44" s="31" t="s">
        <v>3199</v>
      </c>
      <c r="E44" s="31" t="s">
        <v>3200</v>
      </c>
    </row>
    <row r="45" spans="1:12" x14ac:dyDescent="0.25">
      <c r="A45" s="31" t="s">
        <v>81</v>
      </c>
      <c r="B45" s="31" t="s">
        <v>3496</v>
      </c>
      <c r="C45" s="31" t="str">
        <f>VLOOKUP(B45,'Job Details'!$K:$L,2,FALSE)</f>
        <v>Office (Hrs)</v>
      </c>
      <c r="D45" s="31" t="s">
        <v>3201</v>
      </c>
      <c r="E45" s="31" t="s">
        <v>3202</v>
      </c>
    </row>
    <row r="46" spans="1:12" x14ac:dyDescent="0.25">
      <c r="A46" s="31" t="s">
        <v>81</v>
      </c>
      <c r="B46" s="31" t="s">
        <v>3568</v>
      </c>
      <c r="C46" s="31" t="str">
        <f>VLOOKUP(B46,'Job Details'!$K:$L,2,FALSE)</f>
        <v>Environmental Costs (Hrs)</v>
      </c>
      <c r="D46" s="31" t="s">
        <v>3316</v>
      </c>
      <c r="E46" s="31" t="s">
        <v>3317</v>
      </c>
    </row>
    <row r="47" spans="1:12" x14ac:dyDescent="0.25">
      <c r="A47" s="31" t="s">
        <v>81</v>
      </c>
      <c r="B47" s="31" t="s">
        <v>3568</v>
      </c>
      <c r="C47" s="31" t="str">
        <f>VLOOKUP(B47,'Job Details'!$K:$L,2,FALSE)</f>
        <v>Environmental Costs (Hrs)</v>
      </c>
      <c r="D47" s="31" t="s">
        <v>487</v>
      </c>
      <c r="E47" s="31" t="s">
        <v>488</v>
      </c>
    </row>
    <row r="48" spans="1:12" x14ac:dyDescent="0.25">
      <c r="A48" s="31" t="s">
        <v>81</v>
      </c>
      <c r="B48" s="31" t="s">
        <v>3568</v>
      </c>
      <c r="C48" s="31" t="str">
        <f>VLOOKUP(B48,'Job Details'!$K:$L,2,FALSE)</f>
        <v>Environmental Costs (Hrs)</v>
      </c>
      <c r="D48" s="31" t="s">
        <v>475</v>
      </c>
      <c r="E48" s="31" t="s">
        <v>476</v>
      </c>
    </row>
    <row r="49" spans="1:5" x14ac:dyDescent="0.25">
      <c r="A49" s="31" t="s">
        <v>81</v>
      </c>
      <c r="B49" s="31" t="s">
        <v>3568</v>
      </c>
      <c r="C49" s="31" t="str">
        <f>VLOOKUP(B49,'Job Details'!$K:$L,2,FALSE)</f>
        <v>Environmental Costs (Hrs)</v>
      </c>
      <c r="D49" s="31" t="s">
        <v>477</v>
      </c>
      <c r="E49" s="31" t="s">
        <v>3223</v>
      </c>
    </row>
    <row r="50" spans="1:5" x14ac:dyDescent="0.25">
      <c r="A50" s="31" t="s">
        <v>81</v>
      </c>
      <c r="B50" s="31" t="s">
        <v>3568</v>
      </c>
      <c r="C50" s="31" t="str">
        <f>VLOOKUP(B50,'Job Details'!$K:$L,2,FALSE)</f>
        <v>Environmental Costs (Hrs)</v>
      </c>
      <c r="D50" s="31" t="s">
        <v>489</v>
      </c>
      <c r="E50" s="31" t="s">
        <v>490</v>
      </c>
    </row>
    <row r="51" spans="1:5" x14ac:dyDescent="0.25">
      <c r="A51" s="31" t="s">
        <v>81</v>
      </c>
      <c r="B51" s="31" t="s">
        <v>3568</v>
      </c>
      <c r="C51" s="31" t="str">
        <f>VLOOKUP(B51,'Job Details'!$K:$L,2,FALSE)</f>
        <v>Environmental Costs (Hrs)</v>
      </c>
      <c r="D51" s="31" t="s">
        <v>478</v>
      </c>
      <c r="E51" s="31" t="s">
        <v>479</v>
      </c>
    </row>
    <row r="52" spans="1:5" x14ac:dyDescent="0.25">
      <c r="A52" s="31" t="s">
        <v>81</v>
      </c>
      <c r="B52" s="31" t="s">
        <v>3568</v>
      </c>
      <c r="C52" s="31" t="str">
        <f>VLOOKUP(B52,'Job Details'!$K:$L,2,FALSE)</f>
        <v>Environmental Costs (Hrs)</v>
      </c>
      <c r="D52" s="31" t="s">
        <v>3205</v>
      </c>
      <c r="E52" s="31" t="s">
        <v>3206</v>
      </c>
    </row>
    <row r="53" spans="1:5" x14ac:dyDescent="0.25">
      <c r="A53" s="31" t="s">
        <v>81</v>
      </c>
      <c r="B53" s="31" t="s">
        <v>3568</v>
      </c>
      <c r="C53" s="31" t="str">
        <f>VLOOKUP(B53,'Job Details'!$K:$L,2,FALSE)</f>
        <v>Environmental Costs (Hrs)</v>
      </c>
      <c r="D53" s="31" t="s">
        <v>3232</v>
      </c>
      <c r="E53" s="31" t="s">
        <v>3233</v>
      </c>
    </row>
    <row r="54" spans="1:5" x14ac:dyDescent="0.25">
      <c r="A54" s="31" t="s">
        <v>81</v>
      </c>
      <c r="B54" s="31" t="s">
        <v>3568</v>
      </c>
      <c r="C54" s="31" t="str">
        <f>VLOOKUP(B54,'Job Details'!$K:$L,2,FALSE)</f>
        <v>Environmental Costs (Hrs)</v>
      </c>
      <c r="D54" s="31" t="s">
        <v>480</v>
      </c>
      <c r="E54" s="31" t="s">
        <v>481</v>
      </c>
    </row>
    <row r="55" spans="1:5" x14ac:dyDescent="0.25">
      <c r="A55" s="31" t="s">
        <v>81</v>
      </c>
      <c r="B55" s="31" t="s">
        <v>3568</v>
      </c>
      <c r="C55" s="31" t="str">
        <f>VLOOKUP(B55,'Job Details'!$K:$L,2,FALSE)</f>
        <v>Environmental Costs (Hrs)</v>
      </c>
      <c r="D55" s="31" t="s">
        <v>482</v>
      </c>
      <c r="E55" s="31" t="s">
        <v>483</v>
      </c>
    </row>
    <row r="56" spans="1:5" x14ac:dyDescent="0.25">
      <c r="A56" s="31" t="s">
        <v>81</v>
      </c>
      <c r="B56" s="31" t="s">
        <v>3568</v>
      </c>
      <c r="C56" s="31" t="str">
        <f>VLOOKUP(B56,'Job Details'!$K:$L,2,FALSE)</f>
        <v>Environmental Costs (Hrs)</v>
      </c>
      <c r="D56" s="31" t="s">
        <v>484</v>
      </c>
      <c r="E56" s="31" t="s">
        <v>485</v>
      </c>
    </row>
    <row r="57" spans="1:5" x14ac:dyDescent="0.25">
      <c r="A57" s="31" t="s">
        <v>81</v>
      </c>
      <c r="B57" s="31" t="s">
        <v>3568</v>
      </c>
      <c r="C57" s="31" t="str">
        <f>VLOOKUP(B57,'Job Details'!$K:$L,2,FALSE)</f>
        <v>Environmental Costs (Hrs)</v>
      </c>
      <c r="D57" s="31" t="s">
        <v>3581</v>
      </c>
      <c r="E57" s="31" t="s">
        <v>3582</v>
      </c>
    </row>
    <row r="58" spans="1:5" x14ac:dyDescent="0.25">
      <c r="A58" s="31" t="s">
        <v>81</v>
      </c>
      <c r="B58" s="31" t="s">
        <v>3568</v>
      </c>
      <c r="C58" s="31" t="str">
        <f>VLOOKUP(B58,'Job Details'!$K:$L,2,FALSE)</f>
        <v>Environmental Costs (Hrs)</v>
      </c>
      <c r="D58" s="31" t="s">
        <v>3199</v>
      </c>
      <c r="E58" s="31" t="s">
        <v>3200</v>
      </c>
    </row>
    <row r="59" spans="1:5" x14ac:dyDescent="0.25">
      <c r="A59" s="31" t="s">
        <v>81</v>
      </c>
      <c r="B59" s="31" t="s">
        <v>3568</v>
      </c>
      <c r="C59" s="31" t="str">
        <f>VLOOKUP(B59,'Job Details'!$K:$L,2,FALSE)</f>
        <v>Environmental Costs (Hrs)</v>
      </c>
      <c r="D59" s="31" t="s">
        <v>3201</v>
      </c>
      <c r="E59" s="31" t="s">
        <v>3202</v>
      </c>
    </row>
    <row r="60" spans="1:5" x14ac:dyDescent="0.25">
      <c r="A60" s="31" t="s">
        <v>81</v>
      </c>
      <c r="B60" s="31" t="s">
        <v>486</v>
      </c>
      <c r="C60" s="31" t="str">
        <f>VLOOKUP(B60,'Job Details'!$K:$L,2,FALSE)</f>
        <v>Safety Manager (Hrs)</v>
      </c>
      <c r="D60" s="31" t="s">
        <v>491</v>
      </c>
      <c r="E60" s="31" t="s">
        <v>492</v>
      </c>
    </row>
    <row r="61" spans="1:5" x14ac:dyDescent="0.25">
      <c r="A61" s="31" t="s">
        <v>81</v>
      </c>
      <c r="B61" s="31" t="s">
        <v>486</v>
      </c>
      <c r="C61" s="31" t="str">
        <f>VLOOKUP(B61,'Job Details'!$K:$L,2,FALSE)</f>
        <v>Safety Manager (Hrs)</v>
      </c>
      <c r="D61" s="31" t="s">
        <v>487</v>
      </c>
      <c r="E61" s="31" t="s">
        <v>488</v>
      </c>
    </row>
    <row r="62" spans="1:5" x14ac:dyDescent="0.25">
      <c r="A62" s="31" t="s">
        <v>81</v>
      </c>
      <c r="B62" s="31" t="s">
        <v>486</v>
      </c>
      <c r="C62" s="31" t="str">
        <f>VLOOKUP(B62,'Job Details'!$K:$L,2,FALSE)</f>
        <v>Safety Manager (Hrs)</v>
      </c>
      <c r="D62" s="31" t="s">
        <v>497</v>
      </c>
      <c r="E62" s="31" t="s">
        <v>498</v>
      </c>
    </row>
    <row r="63" spans="1:5" x14ac:dyDescent="0.25">
      <c r="A63" s="31" t="s">
        <v>81</v>
      </c>
      <c r="B63" s="31" t="s">
        <v>486</v>
      </c>
      <c r="C63" s="31" t="str">
        <f>VLOOKUP(B63,'Job Details'!$K:$L,2,FALSE)</f>
        <v>Safety Manager (Hrs)</v>
      </c>
      <c r="D63" s="31" t="s">
        <v>3583</v>
      </c>
      <c r="E63" s="31" t="s">
        <v>3584</v>
      </c>
    </row>
    <row r="64" spans="1:5" x14ac:dyDescent="0.25">
      <c r="A64" s="31" t="s">
        <v>81</v>
      </c>
      <c r="B64" s="31" t="s">
        <v>486</v>
      </c>
      <c r="C64" s="31" t="str">
        <f>VLOOKUP(B64,'Job Details'!$K:$L,2,FALSE)</f>
        <v>Safety Manager (Hrs)</v>
      </c>
      <c r="D64" s="31" t="s">
        <v>507</v>
      </c>
      <c r="E64" s="31" t="s">
        <v>508</v>
      </c>
    </row>
    <row r="65" spans="1:5" x14ac:dyDescent="0.25">
      <c r="A65" s="31" t="s">
        <v>81</v>
      </c>
      <c r="B65" s="31" t="s">
        <v>486</v>
      </c>
      <c r="C65" s="31" t="str">
        <f>VLOOKUP(B65,'Job Details'!$K:$L,2,FALSE)</f>
        <v>Safety Manager (Hrs)</v>
      </c>
      <c r="D65" s="31" t="s">
        <v>499</v>
      </c>
      <c r="E65" s="31" t="s">
        <v>500</v>
      </c>
    </row>
    <row r="66" spans="1:5" x14ac:dyDescent="0.25">
      <c r="A66" s="31" t="s">
        <v>81</v>
      </c>
      <c r="B66" s="31" t="s">
        <v>486</v>
      </c>
      <c r="C66" s="31" t="str">
        <f>VLOOKUP(B66,'Job Details'!$K:$L,2,FALSE)</f>
        <v>Safety Manager (Hrs)</v>
      </c>
      <c r="D66" s="31" t="s">
        <v>501</v>
      </c>
      <c r="E66" s="31" t="s">
        <v>502</v>
      </c>
    </row>
    <row r="67" spans="1:5" x14ac:dyDescent="0.25">
      <c r="A67" s="31" t="s">
        <v>81</v>
      </c>
      <c r="B67" s="31" t="s">
        <v>486</v>
      </c>
      <c r="C67" s="31" t="str">
        <f>VLOOKUP(B67,'Job Details'!$K:$L,2,FALSE)</f>
        <v>Safety Manager (Hrs)</v>
      </c>
      <c r="D67" s="31" t="s">
        <v>503</v>
      </c>
      <c r="E67" s="31" t="s">
        <v>504</v>
      </c>
    </row>
    <row r="68" spans="1:5" x14ac:dyDescent="0.25">
      <c r="A68" s="31" t="s">
        <v>81</v>
      </c>
      <c r="B68" s="31" t="s">
        <v>486</v>
      </c>
      <c r="C68" s="31" t="str">
        <f>VLOOKUP(B68,'Job Details'!$K:$L,2,FALSE)</f>
        <v>Safety Manager (Hrs)</v>
      </c>
      <c r="D68" s="31" t="s">
        <v>475</v>
      </c>
      <c r="E68" s="31" t="s">
        <v>476</v>
      </c>
    </row>
    <row r="69" spans="1:5" x14ac:dyDescent="0.25">
      <c r="A69" s="31" t="s">
        <v>81</v>
      </c>
      <c r="B69" s="31" t="s">
        <v>486</v>
      </c>
      <c r="C69" s="31" t="str">
        <f>VLOOKUP(B69,'Job Details'!$K:$L,2,FALSE)</f>
        <v>Safety Manager (Hrs)</v>
      </c>
      <c r="D69" s="31" t="s">
        <v>477</v>
      </c>
      <c r="E69" s="31" t="s">
        <v>3223</v>
      </c>
    </row>
    <row r="70" spans="1:5" x14ac:dyDescent="0.25">
      <c r="A70" s="31" t="s">
        <v>81</v>
      </c>
      <c r="B70" s="31" t="s">
        <v>486</v>
      </c>
      <c r="C70" s="31" t="str">
        <f>VLOOKUP(B70,'Job Details'!$K:$L,2,FALSE)</f>
        <v>Safety Manager (Hrs)</v>
      </c>
      <c r="D70" s="31" t="s">
        <v>489</v>
      </c>
      <c r="E70" s="31" t="s">
        <v>490</v>
      </c>
    </row>
    <row r="71" spans="1:5" x14ac:dyDescent="0.25">
      <c r="A71" s="31" t="s">
        <v>81</v>
      </c>
      <c r="B71" s="31" t="s">
        <v>486</v>
      </c>
      <c r="C71" s="31" t="str">
        <f>VLOOKUP(B71,'Job Details'!$K:$L,2,FALSE)</f>
        <v>Safety Manager (Hrs)</v>
      </c>
      <c r="D71" s="31" t="s">
        <v>478</v>
      </c>
      <c r="E71" s="31" t="s">
        <v>479</v>
      </c>
    </row>
    <row r="72" spans="1:5" x14ac:dyDescent="0.25">
      <c r="A72" s="31" t="s">
        <v>81</v>
      </c>
      <c r="B72" s="31" t="s">
        <v>486</v>
      </c>
      <c r="C72" s="31" t="str">
        <f>VLOOKUP(B72,'Job Details'!$K:$L,2,FALSE)</f>
        <v>Safety Manager (Hrs)</v>
      </c>
      <c r="D72" s="31" t="s">
        <v>3205</v>
      </c>
      <c r="E72" s="31" t="s">
        <v>3206</v>
      </c>
    </row>
    <row r="73" spans="1:5" x14ac:dyDescent="0.25">
      <c r="A73" s="31" t="s">
        <v>81</v>
      </c>
      <c r="B73" s="31" t="s">
        <v>486</v>
      </c>
      <c r="C73" s="31" t="str">
        <f>VLOOKUP(B73,'Job Details'!$K:$L,2,FALSE)</f>
        <v>Safety Manager (Hrs)</v>
      </c>
      <c r="D73" s="31" t="s">
        <v>3232</v>
      </c>
      <c r="E73" s="31" t="s">
        <v>3233</v>
      </c>
    </row>
    <row r="74" spans="1:5" x14ac:dyDescent="0.25">
      <c r="A74" s="31" t="s">
        <v>81</v>
      </c>
      <c r="B74" s="31" t="s">
        <v>486</v>
      </c>
      <c r="C74" s="31" t="str">
        <f>VLOOKUP(B74,'Job Details'!$K:$L,2,FALSE)</f>
        <v>Safety Manager (Hrs)</v>
      </c>
      <c r="D74" s="31" t="s">
        <v>480</v>
      </c>
      <c r="E74" s="31" t="s">
        <v>481</v>
      </c>
    </row>
    <row r="75" spans="1:5" x14ac:dyDescent="0.25">
      <c r="A75" s="31" t="s">
        <v>81</v>
      </c>
      <c r="B75" s="31" t="s">
        <v>486</v>
      </c>
      <c r="C75" s="31" t="str">
        <f>VLOOKUP(B75,'Job Details'!$K:$L,2,FALSE)</f>
        <v>Safety Manager (Hrs)</v>
      </c>
      <c r="D75" s="31" t="s">
        <v>482</v>
      </c>
      <c r="E75" s="31" t="s">
        <v>483</v>
      </c>
    </row>
    <row r="76" spans="1:5" x14ac:dyDescent="0.25">
      <c r="A76" s="31" t="s">
        <v>81</v>
      </c>
      <c r="B76" s="31" t="s">
        <v>486</v>
      </c>
      <c r="C76" s="31" t="str">
        <f>VLOOKUP(B76,'Job Details'!$K:$L,2,FALSE)</f>
        <v>Safety Manager (Hrs)</v>
      </c>
      <c r="D76" s="31" t="s">
        <v>484</v>
      </c>
      <c r="E76" s="31" t="s">
        <v>485</v>
      </c>
    </row>
    <row r="77" spans="1:5" x14ac:dyDescent="0.25">
      <c r="A77" s="31" t="s">
        <v>81</v>
      </c>
      <c r="B77" s="31" t="s">
        <v>486</v>
      </c>
      <c r="C77" s="31" t="str">
        <f>VLOOKUP(B77,'Job Details'!$K:$L,2,FALSE)</f>
        <v>Safety Manager (Hrs)</v>
      </c>
      <c r="D77" s="31" t="s">
        <v>3581</v>
      </c>
      <c r="E77" s="31" t="s">
        <v>3582</v>
      </c>
    </row>
    <row r="78" spans="1:5" x14ac:dyDescent="0.25">
      <c r="A78" s="31" t="s">
        <v>81</v>
      </c>
      <c r="B78" s="31" t="s">
        <v>486</v>
      </c>
      <c r="C78" s="31" t="str">
        <f>VLOOKUP(B78,'Job Details'!$K:$L,2,FALSE)</f>
        <v>Safety Manager (Hrs)</v>
      </c>
      <c r="D78" s="31" t="s">
        <v>3199</v>
      </c>
      <c r="E78" s="31" t="s">
        <v>3200</v>
      </c>
    </row>
    <row r="79" spans="1:5" x14ac:dyDescent="0.25">
      <c r="A79" s="31" t="s">
        <v>81</v>
      </c>
      <c r="B79" s="31" t="s">
        <v>486</v>
      </c>
      <c r="C79" s="31" t="str">
        <f>VLOOKUP(B79,'Job Details'!$K:$L,2,FALSE)</f>
        <v>Safety Manager (Hrs)</v>
      </c>
      <c r="D79" s="31" t="s">
        <v>3201</v>
      </c>
      <c r="E79" s="31" t="s">
        <v>3202</v>
      </c>
    </row>
    <row r="80" spans="1:5" x14ac:dyDescent="0.25">
      <c r="A80" s="31" t="s">
        <v>81</v>
      </c>
      <c r="B80" s="31" t="s">
        <v>3603</v>
      </c>
      <c r="C80" s="31" t="str">
        <f>VLOOKUP(B80,'Job Details'!$K:$L,2,FALSE)</f>
        <v>Helicopter Costs</v>
      </c>
      <c r="D80" s="31" t="s">
        <v>3605</v>
      </c>
      <c r="E80" s="31" t="s">
        <v>3606</v>
      </c>
    </row>
    <row r="81" spans="1:5" x14ac:dyDescent="0.25">
      <c r="A81" s="31" t="s">
        <v>81</v>
      </c>
      <c r="B81" s="31" t="s">
        <v>3603</v>
      </c>
      <c r="C81" s="31" t="str">
        <f>VLOOKUP(B81,'Job Details'!$K:$L,2,FALSE)</f>
        <v>Helicopter Costs</v>
      </c>
      <c r="D81" s="31" t="s">
        <v>475</v>
      </c>
      <c r="E81" s="31" t="s">
        <v>476</v>
      </c>
    </row>
    <row r="82" spans="1:5" x14ac:dyDescent="0.25">
      <c r="A82" s="31" t="s">
        <v>81</v>
      </c>
      <c r="B82" s="31" t="s">
        <v>3603</v>
      </c>
      <c r="C82" s="31" t="str">
        <f>VLOOKUP(B82,'Job Details'!$K:$L,2,FALSE)</f>
        <v>Helicopter Costs</v>
      </c>
      <c r="D82" s="31" t="s">
        <v>477</v>
      </c>
      <c r="E82" s="31" t="s">
        <v>3223</v>
      </c>
    </row>
    <row r="83" spans="1:5" x14ac:dyDescent="0.25">
      <c r="A83" s="31" t="s">
        <v>81</v>
      </c>
      <c r="B83" s="31" t="s">
        <v>3603</v>
      </c>
      <c r="C83" s="31" t="str">
        <f>VLOOKUP(B83,'Job Details'!$K:$L,2,FALSE)</f>
        <v>Helicopter Costs</v>
      </c>
      <c r="D83" s="31" t="s">
        <v>489</v>
      </c>
      <c r="E83" s="31" t="s">
        <v>490</v>
      </c>
    </row>
    <row r="84" spans="1:5" x14ac:dyDescent="0.25">
      <c r="A84" s="31" t="s">
        <v>81</v>
      </c>
      <c r="B84" s="31" t="s">
        <v>3603</v>
      </c>
      <c r="C84" s="31" t="str">
        <f>VLOOKUP(B84,'Job Details'!$K:$L,2,FALSE)</f>
        <v>Helicopter Costs</v>
      </c>
      <c r="D84" s="31" t="s">
        <v>478</v>
      </c>
      <c r="E84" s="31" t="s">
        <v>479</v>
      </c>
    </row>
    <row r="85" spans="1:5" x14ac:dyDescent="0.25">
      <c r="A85" s="31" t="s">
        <v>81</v>
      </c>
      <c r="B85" s="31" t="s">
        <v>3603</v>
      </c>
      <c r="C85" s="31" t="str">
        <f>VLOOKUP(B85,'Job Details'!$K:$L,2,FALSE)</f>
        <v>Helicopter Costs</v>
      </c>
      <c r="D85" s="31" t="s">
        <v>3205</v>
      </c>
      <c r="E85" s="31" t="s">
        <v>3206</v>
      </c>
    </row>
    <row r="86" spans="1:5" x14ac:dyDescent="0.25">
      <c r="A86" s="31" t="s">
        <v>81</v>
      </c>
      <c r="B86" s="31" t="s">
        <v>3603</v>
      </c>
      <c r="C86" s="31" t="str">
        <f>VLOOKUP(B86,'Job Details'!$K:$L,2,FALSE)</f>
        <v>Helicopter Costs</v>
      </c>
      <c r="D86" s="31" t="s">
        <v>3232</v>
      </c>
      <c r="E86" s="31" t="s">
        <v>3233</v>
      </c>
    </row>
    <row r="87" spans="1:5" x14ac:dyDescent="0.25">
      <c r="A87" s="31" t="s">
        <v>81</v>
      </c>
      <c r="B87" s="31" t="s">
        <v>3603</v>
      </c>
      <c r="C87" s="31" t="str">
        <f>VLOOKUP(B87,'Job Details'!$K:$L,2,FALSE)</f>
        <v>Helicopter Costs</v>
      </c>
      <c r="D87" s="31" t="s">
        <v>482</v>
      </c>
      <c r="E87" s="31" t="s">
        <v>483</v>
      </c>
    </row>
    <row r="88" spans="1:5" x14ac:dyDescent="0.25">
      <c r="A88" s="31" t="s">
        <v>81</v>
      </c>
      <c r="B88" s="31" t="s">
        <v>3603</v>
      </c>
      <c r="C88" s="31" t="str">
        <f>VLOOKUP(B88,'Job Details'!$K:$L,2,FALSE)</f>
        <v>Helicopter Costs</v>
      </c>
      <c r="D88" s="31" t="s">
        <v>484</v>
      </c>
      <c r="E88" s="31" t="s">
        <v>485</v>
      </c>
    </row>
    <row r="89" spans="1:5" x14ac:dyDescent="0.25">
      <c r="A89" s="31" t="s">
        <v>81</v>
      </c>
      <c r="B89" s="31" t="s">
        <v>3603</v>
      </c>
      <c r="C89" s="31" t="str">
        <f>VLOOKUP(B89,'Job Details'!$K:$L,2,FALSE)</f>
        <v>Helicopter Costs</v>
      </c>
      <c r="D89" s="31" t="s">
        <v>3199</v>
      </c>
      <c r="E89" s="31" t="s">
        <v>3200</v>
      </c>
    </row>
    <row r="90" spans="1:5" x14ac:dyDescent="0.25">
      <c r="A90" s="31" t="s">
        <v>81</v>
      </c>
      <c r="B90" s="31" t="s">
        <v>3603</v>
      </c>
      <c r="C90" s="31" t="str">
        <f>VLOOKUP(B90,'Job Details'!$K:$L,2,FALSE)</f>
        <v>Helicopter Costs</v>
      </c>
      <c r="D90" s="31" t="s">
        <v>3201</v>
      </c>
      <c r="E90" s="31" t="s">
        <v>3202</v>
      </c>
    </row>
    <row r="91" spans="1:5" x14ac:dyDescent="0.25">
      <c r="A91" s="31" t="s">
        <v>81</v>
      </c>
      <c r="B91" s="31" t="s">
        <v>732</v>
      </c>
      <c r="C91" s="31" t="str">
        <f>VLOOKUP(B91,'Job Details'!$K:$L,2,FALSE)</f>
        <v>Equipment Maint/Repair (Hrs)</v>
      </c>
      <c r="D91" s="31" t="s">
        <v>491</v>
      </c>
      <c r="E91" s="31" t="s">
        <v>492</v>
      </c>
    </row>
    <row r="92" spans="1:5" x14ac:dyDescent="0.25">
      <c r="A92" s="31" t="s">
        <v>81</v>
      </c>
      <c r="B92" s="31" t="s">
        <v>732</v>
      </c>
      <c r="C92" s="31" t="str">
        <f>VLOOKUP(B92,'Job Details'!$K:$L,2,FALSE)</f>
        <v>Equipment Maint/Repair (Hrs)</v>
      </c>
      <c r="D92" s="31" t="s">
        <v>487</v>
      </c>
      <c r="E92" s="31" t="s">
        <v>488</v>
      </c>
    </row>
    <row r="93" spans="1:5" x14ac:dyDescent="0.25">
      <c r="A93" s="31" t="s">
        <v>81</v>
      </c>
      <c r="B93" s="31" t="s">
        <v>732</v>
      </c>
      <c r="C93" s="31" t="str">
        <f>VLOOKUP(B93,'Job Details'!$K:$L,2,FALSE)</f>
        <v>Equipment Maint/Repair (Hrs)</v>
      </c>
      <c r="D93" s="31" t="s">
        <v>3467</v>
      </c>
      <c r="E93" s="31" t="s">
        <v>3468</v>
      </c>
    </row>
    <row r="94" spans="1:5" x14ac:dyDescent="0.25">
      <c r="A94" s="31" t="s">
        <v>81</v>
      </c>
      <c r="B94" s="31" t="s">
        <v>732</v>
      </c>
      <c r="C94" s="31" t="str">
        <f>VLOOKUP(B94,'Job Details'!$K:$L,2,FALSE)</f>
        <v>Equipment Maint/Repair (Hrs)</v>
      </c>
      <c r="D94" s="31" t="s">
        <v>3347</v>
      </c>
      <c r="E94" s="31" t="s">
        <v>3348</v>
      </c>
    </row>
    <row r="95" spans="1:5" x14ac:dyDescent="0.25">
      <c r="A95" s="31" t="s">
        <v>81</v>
      </c>
      <c r="B95" s="31" t="s">
        <v>732</v>
      </c>
      <c r="C95" s="31" t="str">
        <f>VLOOKUP(B95,'Job Details'!$K:$L,2,FALSE)</f>
        <v>Equipment Maint/Repair (Hrs)</v>
      </c>
      <c r="D95" s="31" t="s">
        <v>3203</v>
      </c>
      <c r="E95" s="31" t="s">
        <v>3204</v>
      </c>
    </row>
    <row r="96" spans="1:5" x14ac:dyDescent="0.25">
      <c r="A96" s="31" t="s">
        <v>81</v>
      </c>
      <c r="B96" s="31" t="s">
        <v>732</v>
      </c>
      <c r="C96" s="31" t="str">
        <f>VLOOKUP(B96,'Job Details'!$K:$L,2,FALSE)</f>
        <v>Equipment Maint/Repair (Hrs)</v>
      </c>
      <c r="D96" s="31" t="s">
        <v>497</v>
      </c>
      <c r="E96" s="31" t="s">
        <v>498</v>
      </c>
    </row>
    <row r="97" spans="1:5" x14ac:dyDescent="0.25">
      <c r="A97" s="31" t="s">
        <v>81</v>
      </c>
      <c r="B97" s="31" t="s">
        <v>732</v>
      </c>
      <c r="C97" s="31" t="str">
        <f>VLOOKUP(B97,'Job Details'!$K:$L,2,FALSE)</f>
        <v>Equipment Maint/Repair (Hrs)</v>
      </c>
      <c r="D97" s="31" t="s">
        <v>507</v>
      </c>
      <c r="E97" s="31" t="s">
        <v>508</v>
      </c>
    </row>
    <row r="98" spans="1:5" x14ac:dyDescent="0.25">
      <c r="A98" s="31" t="s">
        <v>81</v>
      </c>
      <c r="B98" s="31" t="s">
        <v>732</v>
      </c>
      <c r="C98" s="31" t="str">
        <f>VLOOKUP(B98,'Job Details'!$K:$L,2,FALSE)</f>
        <v>Equipment Maint/Repair (Hrs)</v>
      </c>
      <c r="D98" s="31" t="s">
        <v>3509</v>
      </c>
      <c r="E98" s="31" t="s">
        <v>3510</v>
      </c>
    </row>
    <row r="99" spans="1:5" x14ac:dyDescent="0.25">
      <c r="A99" s="31" t="s">
        <v>81</v>
      </c>
      <c r="B99" s="31" t="s">
        <v>732</v>
      </c>
      <c r="C99" s="31" t="str">
        <f>VLOOKUP(B99,'Job Details'!$K:$L,2,FALSE)</f>
        <v>Equipment Maint/Repair (Hrs)</v>
      </c>
      <c r="D99" s="31" t="s">
        <v>475</v>
      </c>
      <c r="E99" s="31" t="s">
        <v>476</v>
      </c>
    </row>
    <row r="100" spans="1:5" x14ac:dyDescent="0.25">
      <c r="A100" s="31" t="s">
        <v>81</v>
      </c>
      <c r="B100" s="31" t="s">
        <v>732</v>
      </c>
      <c r="C100" s="31" t="str">
        <f>VLOOKUP(B100,'Job Details'!$K:$L,2,FALSE)</f>
        <v>Equipment Maint/Repair (Hrs)</v>
      </c>
      <c r="D100" s="31" t="s">
        <v>477</v>
      </c>
      <c r="E100" s="31" t="s">
        <v>3223</v>
      </c>
    </row>
    <row r="101" spans="1:5" x14ac:dyDescent="0.25">
      <c r="A101" s="31" t="s">
        <v>81</v>
      </c>
      <c r="B101" s="31" t="s">
        <v>732</v>
      </c>
      <c r="C101" s="31" t="str">
        <f>VLOOKUP(B101,'Job Details'!$K:$L,2,FALSE)</f>
        <v>Equipment Maint/Repair (Hrs)</v>
      </c>
      <c r="D101" s="31" t="s">
        <v>3917</v>
      </c>
      <c r="E101" s="31" t="s">
        <v>3918</v>
      </c>
    </row>
    <row r="102" spans="1:5" x14ac:dyDescent="0.25">
      <c r="A102" s="31" t="s">
        <v>81</v>
      </c>
      <c r="B102" s="31" t="s">
        <v>732</v>
      </c>
      <c r="C102" s="31" t="str">
        <f>VLOOKUP(B102,'Job Details'!$K:$L,2,FALSE)</f>
        <v>Equipment Maint/Repair (Hrs)</v>
      </c>
      <c r="D102" s="31" t="s">
        <v>489</v>
      </c>
      <c r="E102" s="31" t="s">
        <v>490</v>
      </c>
    </row>
    <row r="103" spans="1:5" x14ac:dyDescent="0.25">
      <c r="A103" s="31" t="s">
        <v>81</v>
      </c>
      <c r="B103" s="31" t="s">
        <v>732</v>
      </c>
      <c r="C103" s="31" t="str">
        <f>VLOOKUP(B103,'Job Details'!$K:$L,2,FALSE)</f>
        <v>Equipment Maint/Repair (Hrs)</v>
      </c>
      <c r="D103" s="31" t="s">
        <v>478</v>
      </c>
      <c r="E103" s="31" t="s">
        <v>479</v>
      </c>
    </row>
    <row r="104" spans="1:5" x14ac:dyDescent="0.25">
      <c r="A104" s="31" t="s">
        <v>81</v>
      </c>
      <c r="B104" s="31" t="s">
        <v>732</v>
      </c>
      <c r="C104" s="31" t="str">
        <f>VLOOKUP(B104,'Job Details'!$K:$L,2,FALSE)</f>
        <v>Equipment Maint/Repair (Hrs)</v>
      </c>
      <c r="D104" s="31" t="s">
        <v>3205</v>
      </c>
      <c r="E104" s="31" t="s">
        <v>3206</v>
      </c>
    </row>
    <row r="105" spans="1:5" x14ac:dyDescent="0.25">
      <c r="A105" s="31" t="s">
        <v>81</v>
      </c>
      <c r="B105" s="31" t="s">
        <v>732</v>
      </c>
      <c r="C105" s="31" t="str">
        <f>VLOOKUP(B105,'Job Details'!$K:$L,2,FALSE)</f>
        <v>Equipment Maint/Repair (Hrs)</v>
      </c>
      <c r="D105" s="31" t="s">
        <v>3232</v>
      </c>
      <c r="E105" s="31" t="s">
        <v>3233</v>
      </c>
    </row>
    <row r="106" spans="1:5" x14ac:dyDescent="0.25">
      <c r="A106" s="31" t="s">
        <v>81</v>
      </c>
      <c r="B106" s="31" t="s">
        <v>732</v>
      </c>
      <c r="C106" s="31" t="str">
        <f>VLOOKUP(B106,'Job Details'!$K:$L,2,FALSE)</f>
        <v>Equipment Maint/Repair (Hrs)</v>
      </c>
      <c r="D106" s="31" t="s">
        <v>480</v>
      </c>
      <c r="E106" s="31" t="s">
        <v>481</v>
      </c>
    </row>
    <row r="107" spans="1:5" x14ac:dyDescent="0.25">
      <c r="A107" s="31" t="s">
        <v>81</v>
      </c>
      <c r="B107" s="31" t="s">
        <v>732</v>
      </c>
      <c r="C107" s="31" t="str">
        <f>VLOOKUP(B107,'Job Details'!$K:$L,2,FALSE)</f>
        <v>Equipment Maint/Repair (Hrs)</v>
      </c>
      <c r="D107" s="31" t="s">
        <v>482</v>
      </c>
      <c r="E107" s="31" t="s">
        <v>483</v>
      </c>
    </row>
    <row r="108" spans="1:5" x14ac:dyDescent="0.25">
      <c r="A108" s="31" t="s">
        <v>81</v>
      </c>
      <c r="B108" s="31" t="s">
        <v>732</v>
      </c>
      <c r="C108" s="31" t="str">
        <f>VLOOKUP(B108,'Job Details'!$K:$L,2,FALSE)</f>
        <v>Equipment Maint/Repair (Hrs)</v>
      </c>
      <c r="D108" s="31" t="s">
        <v>484</v>
      </c>
      <c r="E108" s="31" t="s">
        <v>485</v>
      </c>
    </row>
    <row r="109" spans="1:5" x14ac:dyDescent="0.25">
      <c r="A109" s="31" t="s">
        <v>81</v>
      </c>
      <c r="B109" s="31" t="s">
        <v>732</v>
      </c>
      <c r="C109" s="31" t="str">
        <f>VLOOKUP(B109,'Job Details'!$K:$L,2,FALSE)</f>
        <v>Equipment Maint/Repair (Hrs)</v>
      </c>
      <c r="D109" s="31" t="s">
        <v>3919</v>
      </c>
      <c r="E109" s="31" t="s">
        <v>3920</v>
      </c>
    </row>
    <row r="110" spans="1:5" x14ac:dyDescent="0.25">
      <c r="A110" s="31" t="s">
        <v>81</v>
      </c>
      <c r="B110" s="31" t="s">
        <v>732</v>
      </c>
      <c r="C110" s="31" t="str">
        <f>VLOOKUP(B110,'Job Details'!$K:$L,2,FALSE)</f>
        <v>Equipment Maint/Repair (Hrs)</v>
      </c>
      <c r="D110" s="31" t="s">
        <v>3921</v>
      </c>
      <c r="E110" s="31" t="s">
        <v>3922</v>
      </c>
    </row>
    <row r="111" spans="1:5" x14ac:dyDescent="0.25">
      <c r="A111" s="31" t="s">
        <v>81</v>
      </c>
      <c r="B111" s="31" t="s">
        <v>732</v>
      </c>
      <c r="C111" s="31" t="str">
        <f>VLOOKUP(B111,'Job Details'!$K:$L,2,FALSE)</f>
        <v>Equipment Maint/Repair (Hrs)</v>
      </c>
      <c r="D111" s="31" t="s">
        <v>3655</v>
      </c>
      <c r="E111" s="31" t="s">
        <v>3656</v>
      </c>
    </row>
    <row r="112" spans="1:5" x14ac:dyDescent="0.25">
      <c r="A112" s="31" t="s">
        <v>81</v>
      </c>
      <c r="B112" s="31" t="s">
        <v>732</v>
      </c>
      <c r="C112" s="31" t="str">
        <f>VLOOKUP(B112,'Job Details'!$K:$L,2,FALSE)</f>
        <v>Equipment Maint/Repair (Hrs)</v>
      </c>
      <c r="D112" s="31" t="s">
        <v>3199</v>
      </c>
      <c r="E112" s="31" t="s">
        <v>3200</v>
      </c>
    </row>
    <row r="113" spans="1:5" x14ac:dyDescent="0.25">
      <c r="A113" s="31" t="s">
        <v>81</v>
      </c>
      <c r="B113" s="31" t="s">
        <v>732</v>
      </c>
      <c r="C113" s="31" t="str">
        <f>VLOOKUP(B113,'Job Details'!$K:$L,2,FALSE)</f>
        <v>Equipment Maint/Repair (Hrs)</v>
      </c>
      <c r="D113" s="31" t="s">
        <v>3201</v>
      </c>
      <c r="E113" s="31" t="s">
        <v>3202</v>
      </c>
    </row>
    <row r="114" spans="1:5" x14ac:dyDescent="0.25">
      <c r="A114" s="31" t="s">
        <v>81</v>
      </c>
      <c r="B114" s="31" t="s">
        <v>656</v>
      </c>
      <c r="C114" s="31" t="str">
        <f>VLOOKUP(B114,'Job Details'!$K:$L,2,FALSE)</f>
        <v>Safety Training (Hrs)</v>
      </c>
      <c r="D114" s="31" t="s">
        <v>480</v>
      </c>
      <c r="E114" s="31" t="s">
        <v>481</v>
      </c>
    </row>
    <row r="115" spans="1:5" x14ac:dyDescent="0.25">
      <c r="A115" s="31" t="s">
        <v>81</v>
      </c>
      <c r="B115" s="31" t="s">
        <v>656</v>
      </c>
      <c r="C115" s="31" t="str">
        <f>VLOOKUP(B115,'Job Details'!$K:$L,2,FALSE)</f>
        <v>Safety Training (Hrs)</v>
      </c>
      <c r="D115" s="31" t="s">
        <v>3199</v>
      </c>
      <c r="E115" s="31" t="s">
        <v>3200</v>
      </c>
    </row>
    <row r="116" spans="1:5" x14ac:dyDescent="0.25">
      <c r="A116" s="31" t="s">
        <v>81</v>
      </c>
      <c r="B116" s="31" t="s">
        <v>656</v>
      </c>
      <c r="C116" s="31" t="str">
        <f>VLOOKUP(B116,'Job Details'!$K:$L,2,FALSE)</f>
        <v>Safety Training (Hrs)</v>
      </c>
      <c r="D116" s="31" t="s">
        <v>3201</v>
      </c>
      <c r="E116" s="31" t="s">
        <v>3202</v>
      </c>
    </row>
    <row r="117" spans="1:5" x14ac:dyDescent="0.25">
      <c r="A117" s="31" t="s">
        <v>81</v>
      </c>
      <c r="B117" s="31" t="s">
        <v>3669</v>
      </c>
      <c r="C117" s="31" t="str">
        <f>VLOOKUP(B117,'Job Details'!$K:$L,2,FALSE)</f>
        <v>Wilson Per Diem</v>
      </c>
      <c r="D117" s="31" t="s">
        <v>487</v>
      </c>
      <c r="E117" s="31" t="s">
        <v>488</v>
      </c>
    </row>
    <row r="118" spans="1:5" x14ac:dyDescent="0.25">
      <c r="A118" s="31" t="s">
        <v>81</v>
      </c>
      <c r="B118" s="31" t="s">
        <v>3669</v>
      </c>
      <c r="C118" s="31" t="str">
        <f>VLOOKUP(B118,'Job Details'!$K:$L,2,FALSE)</f>
        <v>Wilson Per Diem</v>
      </c>
      <c r="D118" s="31" t="s">
        <v>475</v>
      </c>
      <c r="E118" s="31" t="s">
        <v>476</v>
      </c>
    </row>
    <row r="119" spans="1:5" x14ac:dyDescent="0.25">
      <c r="A119" s="31" t="s">
        <v>81</v>
      </c>
      <c r="B119" s="31" t="s">
        <v>3669</v>
      </c>
      <c r="C119" s="31" t="str">
        <f>VLOOKUP(B119,'Job Details'!$K:$L,2,FALSE)</f>
        <v>Wilson Per Diem</v>
      </c>
      <c r="D119" s="31" t="s">
        <v>477</v>
      </c>
      <c r="E119" s="31" t="s">
        <v>3223</v>
      </c>
    </row>
    <row r="120" spans="1:5" x14ac:dyDescent="0.25">
      <c r="A120" s="31" t="s">
        <v>81</v>
      </c>
      <c r="B120" s="31" t="s">
        <v>3669</v>
      </c>
      <c r="C120" s="31" t="str">
        <f>VLOOKUP(B120,'Job Details'!$K:$L,2,FALSE)</f>
        <v>Wilson Per Diem</v>
      </c>
      <c r="D120" s="31" t="s">
        <v>489</v>
      </c>
      <c r="E120" s="31" t="s">
        <v>490</v>
      </c>
    </row>
    <row r="121" spans="1:5" x14ac:dyDescent="0.25">
      <c r="A121" s="31" t="s">
        <v>81</v>
      </c>
      <c r="B121" s="31" t="s">
        <v>3669</v>
      </c>
      <c r="C121" s="31" t="str">
        <f>VLOOKUP(B121,'Job Details'!$K:$L,2,FALSE)</f>
        <v>Wilson Per Diem</v>
      </c>
      <c r="D121" s="31" t="s">
        <v>478</v>
      </c>
      <c r="E121" s="31" t="s">
        <v>479</v>
      </c>
    </row>
    <row r="122" spans="1:5" x14ac:dyDescent="0.25">
      <c r="A122" s="31" t="s">
        <v>81</v>
      </c>
      <c r="B122" s="31" t="s">
        <v>3669</v>
      </c>
      <c r="C122" s="31" t="str">
        <f>VLOOKUP(B122,'Job Details'!$K:$L,2,FALSE)</f>
        <v>Wilson Per Diem</v>
      </c>
      <c r="D122" s="31" t="s">
        <v>3205</v>
      </c>
      <c r="E122" s="31" t="s">
        <v>3206</v>
      </c>
    </row>
    <row r="123" spans="1:5" x14ac:dyDescent="0.25">
      <c r="A123" s="31" t="s">
        <v>81</v>
      </c>
      <c r="B123" s="31" t="s">
        <v>3669</v>
      </c>
      <c r="C123" s="31" t="str">
        <f>VLOOKUP(B123,'Job Details'!$K:$L,2,FALSE)</f>
        <v>Wilson Per Diem</v>
      </c>
      <c r="D123" s="31" t="s">
        <v>3232</v>
      </c>
      <c r="E123" s="31" t="s">
        <v>3233</v>
      </c>
    </row>
    <row r="124" spans="1:5" x14ac:dyDescent="0.25">
      <c r="A124" s="31" t="s">
        <v>81</v>
      </c>
      <c r="B124" s="31" t="s">
        <v>3669</v>
      </c>
      <c r="C124" s="31" t="str">
        <f>VLOOKUP(B124,'Job Details'!$K:$L,2,FALSE)</f>
        <v>Wilson Per Diem</v>
      </c>
      <c r="D124" s="31" t="s">
        <v>480</v>
      </c>
      <c r="E124" s="31" t="s">
        <v>481</v>
      </c>
    </row>
    <row r="125" spans="1:5" x14ac:dyDescent="0.25">
      <c r="A125" s="31" t="s">
        <v>81</v>
      </c>
      <c r="B125" s="31" t="s">
        <v>3669</v>
      </c>
      <c r="C125" s="31" t="str">
        <f>VLOOKUP(B125,'Job Details'!$K:$L,2,FALSE)</f>
        <v>Wilson Per Diem</v>
      </c>
      <c r="D125" s="31" t="s">
        <v>482</v>
      </c>
      <c r="E125" s="31" t="s">
        <v>483</v>
      </c>
    </row>
    <row r="126" spans="1:5" x14ac:dyDescent="0.25">
      <c r="A126" s="31" t="s">
        <v>81</v>
      </c>
      <c r="B126" s="31" t="s">
        <v>3669</v>
      </c>
      <c r="C126" s="31" t="str">
        <f>VLOOKUP(B126,'Job Details'!$K:$L,2,FALSE)</f>
        <v>Wilson Per Diem</v>
      </c>
      <c r="D126" s="31" t="s">
        <v>484</v>
      </c>
      <c r="E126" s="31" t="s">
        <v>485</v>
      </c>
    </row>
    <row r="127" spans="1:5" x14ac:dyDescent="0.25">
      <c r="A127" s="31" t="s">
        <v>81</v>
      </c>
      <c r="B127" s="31" t="s">
        <v>3669</v>
      </c>
      <c r="C127" s="31" t="str">
        <f>VLOOKUP(B127,'Job Details'!$K:$L,2,FALSE)</f>
        <v>Wilson Per Diem</v>
      </c>
      <c r="D127" s="31" t="s">
        <v>3199</v>
      </c>
      <c r="E127" s="31" t="s">
        <v>3200</v>
      </c>
    </row>
    <row r="128" spans="1:5" x14ac:dyDescent="0.25">
      <c r="A128" s="31" t="s">
        <v>81</v>
      </c>
      <c r="B128" s="31" t="s">
        <v>3669</v>
      </c>
      <c r="C128" s="31" t="str">
        <f>VLOOKUP(B128,'Job Details'!$K:$L,2,FALSE)</f>
        <v>Wilson Per Diem</v>
      </c>
      <c r="D128" s="31" t="s">
        <v>3201</v>
      </c>
      <c r="E128" s="31" t="s">
        <v>3202</v>
      </c>
    </row>
    <row r="129" spans="1:5" x14ac:dyDescent="0.25">
      <c r="A129" s="31" t="s">
        <v>81</v>
      </c>
      <c r="B129" s="31" t="s">
        <v>3231</v>
      </c>
      <c r="C129" s="31" t="str">
        <f>VLOOKUP(B129,'Job Details'!$K:$L,2,FALSE)</f>
        <v>Safety Training (Hrs)</v>
      </c>
      <c r="D129" s="31" t="s">
        <v>475</v>
      </c>
      <c r="E129" s="31" t="s">
        <v>476</v>
      </c>
    </row>
    <row r="130" spans="1:5" x14ac:dyDescent="0.25">
      <c r="A130" s="31" t="s">
        <v>81</v>
      </c>
      <c r="B130" s="31" t="s">
        <v>3231</v>
      </c>
      <c r="C130" s="31" t="str">
        <f>VLOOKUP(B130,'Job Details'!$K:$L,2,FALSE)</f>
        <v>Safety Training (Hrs)</v>
      </c>
      <c r="D130" s="31" t="s">
        <v>477</v>
      </c>
      <c r="E130" s="31" t="s">
        <v>3223</v>
      </c>
    </row>
    <row r="131" spans="1:5" x14ac:dyDescent="0.25">
      <c r="A131" s="31" t="s">
        <v>81</v>
      </c>
      <c r="B131" s="31" t="s">
        <v>3231</v>
      </c>
      <c r="C131" s="31" t="str">
        <f>VLOOKUP(B131,'Job Details'!$K:$L,2,FALSE)</f>
        <v>Safety Training (Hrs)</v>
      </c>
      <c r="D131" s="31" t="s">
        <v>489</v>
      </c>
      <c r="E131" s="31" t="s">
        <v>490</v>
      </c>
    </row>
    <row r="132" spans="1:5" x14ac:dyDescent="0.25">
      <c r="A132" s="31" t="s">
        <v>81</v>
      </c>
      <c r="B132" s="31" t="s">
        <v>3231</v>
      </c>
      <c r="C132" s="31" t="str">
        <f>VLOOKUP(B132,'Job Details'!$K:$L,2,FALSE)</f>
        <v>Safety Training (Hrs)</v>
      </c>
      <c r="D132" s="31" t="s">
        <v>478</v>
      </c>
      <c r="E132" s="31" t="s">
        <v>479</v>
      </c>
    </row>
    <row r="133" spans="1:5" x14ac:dyDescent="0.25">
      <c r="A133" s="31" t="s">
        <v>81</v>
      </c>
      <c r="B133" s="31" t="s">
        <v>3231</v>
      </c>
      <c r="C133" s="31" t="str">
        <f>VLOOKUP(B133,'Job Details'!$K:$L,2,FALSE)</f>
        <v>Safety Training (Hrs)</v>
      </c>
      <c r="D133" s="31" t="s">
        <v>3205</v>
      </c>
      <c r="E133" s="31" t="s">
        <v>3206</v>
      </c>
    </row>
    <row r="134" spans="1:5" x14ac:dyDescent="0.25">
      <c r="A134" s="31" t="s">
        <v>81</v>
      </c>
      <c r="B134" s="31" t="s">
        <v>3231</v>
      </c>
      <c r="C134" s="31" t="str">
        <f>VLOOKUP(B134,'Job Details'!$K:$L,2,FALSE)</f>
        <v>Safety Training (Hrs)</v>
      </c>
      <c r="D134" s="31" t="s">
        <v>3232</v>
      </c>
      <c r="E134" s="31" t="s">
        <v>3233</v>
      </c>
    </row>
    <row r="135" spans="1:5" x14ac:dyDescent="0.25">
      <c r="A135" s="31" t="s">
        <v>81</v>
      </c>
      <c r="B135" s="31" t="s">
        <v>3231</v>
      </c>
      <c r="C135" s="31" t="str">
        <f>VLOOKUP(B135,'Job Details'!$K:$L,2,FALSE)</f>
        <v>Safety Training (Hrs)</v>
      </c>
      <c r="D135" s="31" t="s">
        <v>480</v>
      </c>
      <c r="E135" s="31" t="s">
        <v>481</v>
      </c>
    </row>
    <row r="136" spans="1:5" x14ac:dyDescent="0.25">
      <c r="A136" s="31" t="s">
        <v>81</v>
      </c>
      <c r="B136" s="31" t="s">
        <v>3231</v>
      </c>
      <c r="C136" s="31" t="str">
        <f>VLOOKUP(B136,'Job Details'!$K:$L,2,FALSE)</f>
        <v>Safety Training (Hrs)</v>
      </c>
      <c r="D136" s="31" t="s">
        <v>482</v>
      </c>
      <c r="E136" s="31" t="s">
        <v>483</v>
      </c>
    </row>
    <row r="137" spans="1:5" x14ac:dyDescent="0.25">
      <c r="A137" s="31" t="s">
        <v>81</v>
      </c>
      <c r="B137" s="31" t="s">
        <v>3231</v>
      </c>
      <c r="C137" s="31" t="str">
        <f>VLOOKUP(B137,'Job Details'!$K:$L,2,FALSE)</f>
        <v>Safety Training (Hrs)</v>
      </c>
      <c r="D137" s="31" t="s">
        <v>484</v>
      </c>
      <c r="E137" s="31" t="s">
        <v>485</v>
      </c>
    </row>
    <row r="138" spans="1:5" x14ac:dyDescent="0.25">
      <c r="A138" s="31" t="s">
        <v>81</v>
      </c>
      <c r="B138" s="31" t="s">
        <v>3231</v>
      </c>
      <c r="C138" s="31" t="str">
        <f>VLOOKUP(B138,'Job Details'!$K:$L,2,FALSE)</f>
        <v>Safety Training (Hrs)</v>
      </c>
      <c r="D138" s="31" t="s">
        <v>3199</v>
      </c>
      <c r="E138" s="31" t="s">
        <v>3200</v>
      </c>
    </row>
    <row r="139" spans="1:5" x14ac:dyDescent="0.25">
      <c r="A139" s="31" t="s">
        <v>81</v>
      </c>
      <c r="B139" s="31" t="s">
        <v>3231</v>
      </c>
      <c r="C139" s="31" t="str">
        <f>VLOOKUP(B139,'Job Details'!$K:$L,2,FALSE)</f>
        <v>Safety Training (Hrs)</v>
      </c>
      <c r="D139" s="31" t="s">
        <v>3201</v>
      </c>
      <c r="E139" s="31" t="s">
        <v>3202</v>
      </c>
    </row>
    <row r="140" spans="1:5" x14ac:dyDescent="0.25">
      <c r="A140" s="31" t="s">
        <v>81</v>
      </c>
      <c r="B140" s="31" t="s">
        <v>3497</v>
      </c>
      <c r="C140" s="31" t="str">
        <f>VLOOKUP(B140,'Job Details'!$K:$L,2,FALSE)</f>
        <v>*Type 1-Accessible</v>
      </c>
      <c r="D140" s="31" t="s">
        <v>475</v>
      </c>
      <c r="E140" s="31" t="s">
        <v>476</v>
      </c>
    </row>
    <row r="141" spans="1:5" x14ac:dyDescent="0.25">
      <c r="A141" s="31" t="s">
        <v>81</v>
      </c>
      <c r="B141" s="31" t="s">
        <v>3497</v>
      </c>
      <c r="C141" s="31" t="str">
        <f>VLOOKUP(B141,'Job Details'!$K:$L,2,FALSE)</f>
        <v>*Type 1-Accessible</v>
      </c>
      <c r="D141" s="31" t="s">
        <v>489</v>
      </c>
      <c r="E141" s="31" t="s">
        <v>490</v>
      </c>
    </row>
    <row r="142" spans="1:5" x14ac:dyDescent="0.25">
      <c r="A142" s="31" t="s">
        <v>81</v>
      </c>
      <c r="B142" s="31" t="s">
        <v>3497</v>
      </c>
      <c r="C142" s="31" t="str">
        <f>VLOOKUP(B142,'Job Details'!$K:$L,2,FALSE)</f>
        <v>*Type 1-Accessible</v>
      </c>
      <c r="D142" s="31" t="s">
        <v>478</v>
      </c>
      <c r="E142" s="31" t="s">
        <v>479</v>
      </c>
    </row>
    <row r="143" spans="1:5" x14ac:dyDescent="0.25">
      <c r="A143" s="31" t="s">
        <v>81</v>
      </c>
      <c r="B143" s="31" t="s">
        <v>3497</v>
      </c>
      <c r="C143" s="31" t="str">
        <f>VLOOKUP(B143,'Job Details'!$K:$L,2,FALSE)</f>
        <v>*Type 1-Accessible</v>
      </c>
      <c r="D143" s="31" t="s">
        <v>480</v>
      </c>
      <c r="E143" s="31" t="s">
        <v>481</v>
      </c>
    </row>
    <row r="144" spans="1:5" x14ac:dyDescent="0.25">
      <c r="A144" s="31" t="s">
        <v>81</v>
      </c>
      <c r="B144" s="31" t="s">
        <v>3497</v>
      </c>
      <c r="C144" s="31" t="str">
        <f>VLOOKUP(B144,'Job Details'!$K:$L,2,FALSE)</f>
        <v>*Type 1-Accessible</v>
      </c>
      <c r="D144" s="31" t="s">
        <v>484</v>
      </c>
      <c r="E144" s="31" t="s">
        <v>485</v>
      </c>
    </row>
    <row r="145" spans="1:5" x14ac:dyDescent="0.25">
      <c r="A145" s="31" t="s">
        <v>81</v>
      </c>
      <c r="B145" s="31" t="s">
        <v>3498</v>
      </c>
      <c r="C145" s="31" t="str">
        <f>VLOOKUP(B145,'Job Details'!$K:$L,2,FALSE)</f>
        <v>*Type 1-Inaccessible</v>
      </c>
      <c r="D145" s="31" t="s">
        <v>475</v>
      </c>
      <c r="E145" s="31" t="s">
        <v>476</v>
      </c>
    </row>
    <row r="146" spans="1:5" x14ac:dyDescent="0.25">
      <c r="A146" s="31" t="s">
        <v>81</v>
      </c>
      <c r="B146" s="31" t="s">
        <v>3498</v>
      </c>
      <c r="C146" s="31" t="str">
        <f>VLOOKUP(B146,'Job Details'!$K:$L,2,FALSE)</f>
        <v>*Type 1-Inaccessible</v>
      </c>
      <c r="D146" s="31" t="s">
        <v>489</v>
      </c>
      <c r="E146" s="31" t="s">
        <v>490</v>
      </c>
    </row>
    <row r="147" spans="1:5" x14ac:dyDescent="0.25">
      <c r="A147" s="31" t="s">
        <v>81</v>
      </c>
      <c r="B147" s="31" t="s">
        <v>3498</v>
      </c>
      <c r="C147" s="31" t="str">
        <f>VLOOKUP(B147,'Job Details'!$K:$L,2,FALSE)</f>
        <v>*Type 1-Inaccessible</v>
      </c>
      <c r="D147" s="31" t="s">
        <v>478</v>
      </c>
      <c r="E147" s="31" t="s">
        <v>479</v>
      </c>
    </row>
    <row r="148" spans="1:5" x14ac:dyDescent="0.25">
      <c r="A148" s="31" t="s">
        <v>81</v>
      </c>
      <c r="B148" s="31" t="s">
        <v>3498</v>
      </c>
      <c r="C148" s="31" t="str">
        <f>VLOOKUP(B148,'Job Details'!$K:$L,2,FALSE)</f>
        <v>*Type 1-Inaccessible</v>
      </c>
      <c r="D148" s="31" t="s">
        <v>3232</v>
      </c>
      <c r="E148" s="31" t="s">
        <v>3233</v>
      </c>
    </row>
    <row r="149" spans="1:5" x14ac:dyDescent="0.25">
      <c r="A149" s="31" t="s">
        <v>81</v>
      </c>
      <c r="B149" s="31" t="s">
        <v>3498</v>
      </c>
      <c r="C149" s="31" t="str">
        <f>VLOOKUP(B149,'Job Details'!$K:$L,2,FALSE)</f>
        <v>*Type 1-Inaccessible</v>
      </c>
      <c r="D149" s="31" t="s">
        <v>480</v>
      </c>
      <c r="E149" s="31" t="s">
        <v>481</v>
      </c>
    </row>
    <row r="150" spans="1:5" x14ac:dyDescent="0.25">
      <c r="A150" s="31" t="s">
        <v>81</v>
      </c>
      <c r="B150" s="31" t="s">
        <v>3498</v>
      </c>
      <c r="C150" s="31" t="str">
        <f>VLOOKUP(B150,'Job Details'!$K:$L,2,FALSE)</f>
        <v>*Type 1-Inaccessible</v>
      </c>
      <c r="D150" s="31" t="s">
        <v>484</v>
      </c>
      <c r="E150" s="31" t="s">
        <v>485</v>
      </c>
    </row>
    <row r="151" spans="1:5" x14ac:dyDescent="0.25">
      <c r="A151" s="31" t="s">
        <v>81</v>
      </c>
      <c r="B151" s="31" t="s">
        <v>3499</v>
      </c>
      <c r="C151" s="31" t="str">
        <f>VLOOKUP(B151,'Job Details'!$K:$L,2,FALSE)</f>
        <v>*Type 2-Accessible</v>
      </c>
      <c r="D151" s="31" t="s">
        <v>475</v>
      </c>
      <c r="E151" s="31" t="s">
        <v>476</v>
      </c>
    </row>
    <row r="152" spans="1:5" x14ac:dyDescent="0.25">
      <c r="A152" s="31" t="s">
        <v>81</v>
      </c>
      <c r="B152" s="31" t="s">
        <v>3499</v>
      </c>
      <c r="C152" s="31" t="str">
        <f>VLOOKUP(B152,'Job Details'!$K:$L,2,FALSE)</f>
        <v>*Type 2-Accessible</v>
      </c>
      <c r="D152" s="31" t="s">
        <v>489</v>
      </c>
      <c r="E152" s="31" t="s">
        <v>490</v>
      </c>
    </row>
    <row r="153" spans="1:5" x14ac:dyDescent="0.25">
      <c r="A153" s="31" t="s">
        <v>81</v>
      </c>
      <c r="B153" s="31" t="s">
        <v>3499</v>
      </c>
      <c r="C153" s="31" t="str">
        <f>VLOOKUP(B153,'Job Details'!$K:$L,2,FALSE)</f>
        <v>*Type 2-Accessible</v>
      </c>
      <c r="D153" s="31" t="s">
        <v>478</v>
      </c>
      <c r="E153" s="31" t="s">
        <v>479</v>
      </c>
    </row>
    <row r="154" spans="1:5" x14ac:dyDescent="0.25">
      <c r="A154" s="31" t="s">
        <v>81</v>
      </c>
      <c r="B154" s="31" t="s">
        <v>3499</v>
      </c>
      <c r="C154" s="31" t="str">
        <f>VLOOKUP(B154,'Job Details'!$K:$L,2,FALSE)</f>
        <v>*Type 2-Accessible</v>
      </c>
      <c r="D154" s="31" t="s">
        <v>3232</v>
      </c>
      <c r="E154" s="31" t="s">
        <v>3233</v>
      </c>
    </row>
    <row r="155" spans="1:5" x14ac:dyDescent="0.25">
      <c r="A155" s="31" t="s">
        <v>81</v>
      </c>
      <c r="B155" s="31" t="s">
        <v>3499</v>
      </c>
      <c r="C155" s="31" t="str">
        <f>VLOOKUP(B155,'Job Details'!$K:$L,2,FALSE)</f>
        <v>*Type 2-Accessible</v>
      </c>
      <c r="D155" s="31" t="s">
        <v>480</v>
      </c>
      <c r="E155" s="31" t="s">
        <v>481</v>
      </c>
    </row>
    <row r="156" spans="1:5" x14ac:dyDescent="0.25">
      <c r="A156" s="31" t="s">
        <v>81</v>
      </c>
      <c r="B156" s="31" t="s">
        <v>3499</v>
      </c>
      <c r="C156" s="31" t="str">
        <f>VLOOKUP(B156,'Job Details'!$K:$L,2,FALSE)</f>
        <v>*Type 2-Accessible</v>
      </c>
      <c r="D156" s="31" t="s">
        <v>484</v>
      </c>
      <c r="E156" s="31" t="s">
        <v>485</v>
      </c>
    </row>
    <row r="157" spans="1:5" x14ac:dyDescent="0.25">
      <c r="A157" s="31" t="s">
        <v>81</v>
      </c>
      <c r="B157" s="31" t="s">
        <v>3500</v>
      </c>
      <c r="C157" s="31" t="str">
        <f>VLOOKUP(B157,'Job Details'!$K:$L,2,FALSE)</f>
        <v>*Type 2-Inaccessible</v>
      </c>
      <c r="D157" s="31" t="s">
        <v>475</v>
      </c>
      <c r="E157" s="31" t="s">
        <v>476</v>
      </c>
    </row>
    <row r="158" spans="1:5" x14ac:dyDescent="0.25">
      <c r="A158" s="31" t="s">
        <v>81</v>
      </c>
      <c r="B158" s="31" t="s">
        <v>3500</v>
      </c>
      <c r="C158" s="31" t="str">
        <f>VLOOKUP(B158,'Job Details'!$K:$L,2,FALSE)</f>
        <v>*Type 2-Inaccessible</v>
      </c>
      <c r="D158" s="31" t="s">
        <v>489</v>
      </c>
      <c r="E158" s="31" t="s">
        <v>490</v>
      </c>
    </row>
    <row r="159" spans="1:5" x14ac:dyDescent="0.25">
      <c r="A159" s="31" t="s">
        <v>81</v>
      </c>
      <c r="B159" s="31" t="s">
        <v>3500</v>
      </c>
      <c r="C159" s="31" t="str">
        <f>VLOOKUP(B159,'Job Details'!$K:$L,2,FALSE)</f>
        <v>*Type 2-Inaccessible</v>
      </c>
      <c r="D159" s="31" t="s">
        <v>478</v>
      </c>
      <c r="E159" s="31" t="s">
        <v>479</v>
      </c>
    </row>
    <row r="160" spans="1:5" x14ac:dyDescent="0.25">
      <c r="A160" s="31" t="s">
        <v>81</v>
      </c>
      <c r="B160" s="31" t="s">
        <v>3500</v>
      </c>
      <c r="C160" s="31" t="str">
        <f>VLOOKUP(B160,'Job Details'!$K:$L,2,FALSE)</f>
        <v>*Type 2-Inaccessible</v>
      </c>
      <c r="D160" s="31" t="s">
        <v>3232</v>
      </c>
      <c r="E160" s="31" t="s">
        <v>3233</v>
      </c>
    </row>
    <row r="161" spans="1:5" x14ac:dyDescent="0.25">
      <c r="A161" s="31" t="s">
        <v>81</v>
      </c>
      <c r="B161" s="31" t="s">
        <v>3500</v>
      </c>
      <c r="C161" s="31" t="str">
        <f>VLOOKUP(B161,'Job Details'!$K:$L,2,FALSE)</f>
        <v>*Type 2-Inaccessible</v>
      </c>
      <c r="D161" s="31" t="s">
        <v>480</v>
      </c>
      <c r="E161" s="31" t="s">
        <v>481</v>
      </c>
    </row>
    <row r="162" spans="1:5" x14ac:dyDescent="0.25">
      <c r="A162" s="31" t="s">
        <v>81</v>
      </c>
      <c r="B162" s="31" t="s">
        <v>3500</v>
      </c>
      <c r="C162" s="31" t="str">
        <f>VLOOKUP(B162,'Job Details'!$K:$L,2,FALSE)</f>
        <v>*Type 2-Inaccessible</v>
      </c>
      <c r="D162" s="31" t="s">
        <v>484</v>
      </c>
      <c r="E162" s="31" t="s">
        <v>485</v>
      </c>
    </row>
    <row r="163" spans="1:5" x14ac:dyDescent="0.25">
      <c r="A163" s="31" t="s">
        <v>81</v>
      </c>
      <c r="B163" s="31" t="s">
        <v>3501</v>
      </c>
      <c r="C163" s="31" t="str">
        <f>VLOOKUP(B163,'Job Details'!$K:$L,2,FALSE)</f>
        <v>*Type 3-Accessible</v>
      </c>
      <c r="D163" s="31" t="s">
        <v>475</v>
      </c>
      <c r="E163" s="31" t="s">
        <v>476</v>
      </c>
    </row>
    <row r="164" spans="1:5" x14ac:dyDescent="0.25">
      <c r="A164" s="31" t="s">
        <v>81</v>
      </c>
      <c r="B164" s="31" t="s">
        <v>3501</v>
      </c>
      <c r="C164" s="31" t="str">
        <f>VLOOKUP(B164,'Job Details'!$K:$L,2,FALSE)</f>
        <v>*Type 3-Accessible</v>
      </c>
      <c r="D164" s="31" t="s">
        <v>3502</v>
      </c>
      <c r="E164" s="31" t="s">
        <v>3503</v>
      </c>
    </row>
    <row r="165" spans="1:5" x14ac:dyDescent="0.25">
      <c r="A165" s="31" t="s">
        <v>81</v>
      </c>
      <c r="B165" s="31" t="s">
        <v>3501</v>
      </c>
      <c r="C165" s="31" t="str">
        <f>VLOOKUP(B165,'Job Details'!$K:$L,2,FALSE)</f>
        <v>*Type 3-Accessible</v>
      </c>
      <c r="D165" s="31" t="s">
        <v>489</v>
      </c>
      <c r="E165" s="31" t="s">
        <v>490</v>
      </c>
    </row>
    <row r="166" spans="1:5" x14ac:dyDescent="0.25">
      <c r="A166" s="31" t="s">
        <v>81</v>
      </c>
      <c r="B166" s="31" t="s">
        <v>3501</v>
      </c>
      <c r="C166" s="31" t="str">
        <f>VLOOKUP(B166,'Job Details'!$K:$L,2,FALSE)</f>
        <v>*Type 3-Accessible</v>
      </c>
      <c r="D166" s="31" t="s">
        <v>478</v>
      </c>
      <c r="E166" s="31" t="s">
        <v>479</v>
      </c>
    </row>
    <row r="167" spans="1:5" x14ac:dyDescent="0.25">
      <c r="A167" s="31" t="s">
        <v>81</v>
      </c>
      <c r="B167" s="31" t="s">
        <v>3501</v>
      </c>
      <c r="C167" s="31" t="str">
        <f>VLOOKUP(B167,'Job Details'!$K:$L,2,FALSE)</f>
        <v>*Type 3-Accessible</v>
      </c>
      <c r="D167" s="31" t="s">
        <v>3232</v>
      </c>
      <c r="E167" s="31" t="s">
        <v>3233</v>
      </c>
    </row>
    <row r="168" spans="1:5" x14ac:dyDescent="0.25">
      <c r="A168" s="31" t="s">
        <v>81</v>
      </c>
      <c r="B168" s="31" t="s">
        <v>3501</v>
      </c>
      <c r="C168" s="31" t="str">
        <f>VLOOKUP(B168,'Job Details'!$K:$L,2,FALSE)</f>
        <v>*Type 3-Accessible</v>
      </c>
      <c r="D168" s="31" t="s">
        <v>480</v>
      </c>
      <c r="E168" s="31" t="s">
        <v>481</v>
      </c>
    </row>
    <row r="169" spans="1:5" x14ac:dyDescent="0.25">
      <c r="A169" s="31" t="s">
        <v>81</v>
      </c>
      <c r="B169" s="31" t="s">
        <v>3501</v>
      </c>
      <c r="C169" s="31" t="str">
        <f>VLOOKUP(B169,'Job Details'!$K:$L,2,FALSE)</f>
        <v>*Type 3-Accessible</v>
      </c>
      <c r="D169" s="31" t="s">
        <v>484</v>
      </c>
      <c r="E169" s="31" t="s">
        <v>485</v>
      </c>
    </row>
    <row r="170" spans="1:5" x14ac:dyDescent="0.25">
      <c r="A170" s="31" t="s">
        <v>81</v>
      </c>
      <c r="B170" s="31" t="s">
        <v>3504</v>
      </c>
      <c r="C170" s="31" t="str">
        <f>VLOOKUP(B170,'Job Details'!$K:$L,2,FALSE)</f>
        <v>*Type 3-Inaccessible</v>
      </c>
      <c r="D170" s="31" t="s">
        <v>475</v>
      </c>
      <c r="E170" s="31" t="s">
        <v>476</v>
      </c>
    </row>
    <row r="171" spans="1:5" x14ac:dyDescent="0.25">
      <c r="A171" s="31" t="s">
        <v>81</v>
      </c>
      <c r="B171" s="31" t="s">
        <v>3504</v>
      </c>
      <c r="C171" s="31" t="str">
        <f>VLOOKUP(B171,'Job Details'!$K:$L,2,FALSE)</f>
        <v>*Type 3-Inaccessible</v>
      </c>
      <c r="D171" s="31" t="s">
        <v>489</v>
      </c>
      <c r="E171" s="31" t="s">
        <v>490</v>
      </c>
    </row>
    <row r="172" spans="1:5" x14ac:dyDescent="0.25">
      <c r="A172" s="31" t="s">
        <v>81</v>
      </c>
      <c r="B172" s="31" t="s">
        <v>3504</v>
      </c>
      <c r="C172" s="31" t="str">
        <f>VLOOKUP(B172,'Job Details'!$K:$L,2,FALSE)</f>
        <v>*Type 3-Inaccessible</v>
      </c>
      <c r="D172" s="31" t="s">
        <v>478</v>
      </c>
      <c r="E172" s="31" t="s">
        <v>479</v>
      </c>
    </row>
    <row r="173" spans="1:5" x14ac:dyDescent="0.25">
      <c r="A173" s="31" t="s">
        <v>81</v>
      </c>
      <c r="B173" s="31" t="s">
        <v>3504</v>
      </c>
      <c r="C173" s="31" t="str">
        <f>VLOOKUP(B173,'Job Details'!$K:$L,2,FALSE)</f>
        <v>*Type 3-Inaccessible</v>
      </c>
      <c r="D173" s="31" t="s">
        <v>3232</v>
      </c>
      <c r="E173" s="31" t="s">
        <v>3233</v>
      </c>
    </row>
    <row r="174" spans="1:5" x14ac:dyDescent="0.25">
      <c r="A174" s="31" t="s">
        <v>81</v>
      </c>
      <c r="B174" s="31" t="s">
        <v>3504</v>
      </c>
      <c r="C174" s="31" t="str">
        <f>VLOOKUP(B174,'Job Details'!$K:$L,2,FALSE)</f>
        <v>*Type 3-Inaccessible</v>
      </c>
      <c r="D174" s="31" t="s">
        <v>480</v>
      </c>
      <c r="E174" s="31" t="s">
        <v>481</v>
      </c>
    </row>
    <row r="175" spans="1:5" x14ac:dyDescent="0.25">
      <c r="A175" s="31" t="s">
        <v>81</v>
      </c>
      <c r="B175" s="31" t="s">
        <v>3504</v>
      </c>
      <c r="C175" s="31" t="str">
        <f>VLOOKUP(B175,'Job Details'!$K:$L,2,FALSE)</f>
        <v>*Type 3-Inaccessible</v>
      </c>
      <c r="D175" s="31" t="s">
        <v>484</v>
      </c>
      <c r="E175" s="31" t="s">
        <v>485</v>
      </c>
    </row>
    <row r="176" spans="1:5" x14ac:dyDescent="0.25">
      <c r="A176" s="31" t="s">
        <v>81</v>
      </c>
      <c r="B176" s="31" t="s">
        <v>3505</v>
      </c>
      <c r="C176" s="31" t="str">
        <f>VLOOKUP(B176,'Job Details'!$K:$L,2,FALSE)</f>
        <v>Type 4-Accessible</v>
      </c>
      <c r="D176" s="31" t="s">
        <v>475</v>
      </c>
      <c r="E176" s="31" t="s">
        <v>476</v>
      </c>
    </row>
    <row r="177" spans="1:5" x14ac:dyDescent="0.25">
      <c r="A177" s="31" t="s">
        <v>81</v>
      </c>
      <c r="B177" s="31" t="s">
        <v>3505</v>
      </c>
      <c r="C177" s="31" t="str">
        <f>VLOOKUP(B177,'Job Details'!$K:$L,2,FALSE)</f>
        <v>Type 4-Accessible</v>
      </c>
      <c r="D177" s="31" t="s">
        <v>489</v>
      </c>
      <c r="E177" s="31" t="s">
        <v>490</v>
      </c>
    </row>
    <row r="178" spans="1:5" x14ac:dyDescent="0.25">
      <c r="A178" s="31" t="s">
        <v>81</v>
      </c>
      <c r="B178" s="31" t="s">
        <v>3505</v>
      </c>
      <c r="C178" s="31" t="str">
        <f>VLOOKUP(B178,'Job Details'!$K:$L,2,FALSE)</f>
        <v>Type 4-Accessible</v>
      </c>
      <c r="D178" s="31" t="s">
        <v>478</v>
      </c>
      <c r="E178" s="31" t="s">
        <v>479</v>
      </c>
    </row>
    <row r="179" spans="1:5" x14ac:dyDescent="0.25">
      <c r="A179" s="31" t="s">
        <v>81</v>
      </c>
      <c r="B179" s="31" t="s">
        <v>3505</v>
      </c>
      <c r="C179" s="31" t="str">
        <f>VLOOKUP(B179,'Job Details'!$K:$L,2,FALSE)</f>
        <v>Type 4-Accessible</v>
      </c>
      <c r="D179" s="31" t="s">
        <v>3232</v>
      </c>
      <c r="E179" s="31" t="s">
        <v>3233</v>
      </c>
    </row>
    <row r="180" spans="1:5" x14ac:dyDescent="0.25">
      <c r="A180" s="31" t="s">
        <v>81</v>
      </c>
      <c r="B180" s="31" t="s">
        <v>3505</v>
      </c>
      <c r="C180" s="31" t="str">
        <f>VLOOKUP(B180,'Job Details'!$K:$L,2,FALSE)</f>
        <v>Type 4-Accessible</v>
      </c>
      <c r="D180" s="31" t="s">
        <v>480</v>
      </c>
      <c r="E180" s="31" t="s">
        <v>481</v>
      </c>
    </row>
    <row r="181" spans="1:5" x14ac:dyDescent="0.25">
      <c r="A181" s="31" t="s">
        <v>81</v>
      </c>
      <c r="B181" s="31" t="s">
        <v>3505</v>
      </c>
      <c r="C181" s="31" t="str">
        <f>VLOOKUP(B181,'Job Details'!$K:$L,2,FALSE)</f>
        <v>Type 4-Accessible</v>
      </c>
      <c r="D181" s="31" t="s">
        <v>484</v>
      </c>
      <c r="E181" s="31" t="s">
        <v>485</v>
      </c>
    </row>
    <row r="182" spans="1:5" x14ac:dyDescent="0.25">
      <c r="A182" s="31" t="s">
        <v>81</v>
      </c>
      <c r="B182" s="31" t="s">
        <v>3506</v>
      </c>
      <c r="C182" s="31" t="str">
        <f>VLOOKUP(B182,'Job Details'!$K:$L,2,FALSE)</f>
        <v>Type 4-Inaccessible</v>
      </c>
      <c r="D182" s="31" t="s">
        <v>475</v>
      </c>
      <c r="E182" s="31" t="s">
        <v>476</v>
      </c>
    </row>
    <row r="183" spans="1:5" x14ac:dyDescent="0.25">
      <c r="A183" s="31" t="s">
        <v>81</v>
      </c>
      <c r="B183" s="31" t="s">
        <v>3506</v>
      </c>
      <c r="C183" s="31" t="str">
        <f>VLOOKUP(B183,'Job Details'!$K:$L,2,FALSE)</f>
        <v>Type 4-Inaccessible</v>
      </c>
      <c r="D183" s="31" t="s">
        <v>489</v>
      </c>
      <c r="E183" s="31" t="s">
        <v>490</v>
      </c>
    </row>
    <row r="184" spans="1:5" x14ac:dyDescent="0.25">
      <c r="A184" s="31" t="s">
        <v>81</v>
      </c>
      <c r="B184" s="31" t="s">
        <v>3506</v>
      </c>
      <c r="C184" s="31" t="str">
        <f>VLOOKUP(B184,'Job Details'!$K:$L,2,FALSE)</f>
        <v>Type 4-Inaccessible</v>
      </c>
      <c r="D184" s="31" t="s">
        <v>478</v>
      </c>
      <c r="E184" s="31" t="s">
        <v>479</v>
      </c>
    </row>
    <row r="185" spans="1:5" x14ac:dyDescent="0.25">
      <c r="A185" s="31" t="s">
        <v>81</v>
      </c>
      <c r="B185" s="31" t="s">
        <v>3506</v>
      </c>
      <c r="C185" s="31" t="str">
        <f>VLOOKUP(B185,'Job Details'!$K:$L,2,FALSE)</f>
        <v>Type 4-Inaccessible</v>
      </c>
      <c r="D185" s="31" t="s">
        <v>3232</v>
      </c>
      <c r="E185" s="31" t="s">
        <v>3233</v>
      </c>
    </row>
    <row r="186" spans="1:5" x14ac:dyDescent="0.25">
      <c r="A186" s="31" t="s">
        <v>81</v>
      </c>
      <c r="B186" s="31" t="s">
        <v>3506</v>
      </c>
      <c r="C186" s="31" t="str">
        <f>VLOOKUP(B186,'Job Details'!$K:$L,2,FALSE)</f>
        <v>Type 4-Inaccessible</v>
      </c>
      <c r="D186" s="31" t="s">
        <v>480</v>
      </c>
      <c r="E186" s="31" t="s">
        <v>481</v>
      </c>
    </row>
    <row r="187" spans="1:5" x14ac:dyDescent="0.25">
      <c r="A187" s="31" t="s">
        <v>81</v>
      </c>
      <c r="B187" s="31" t="s">
        <v>3506</v>
      </c>
      <c r="C187" s="31" t="str">
        <f>VLOOKUP(B187,'Job Details'!$K:$L,2,FALSE)</f>
        <v>Type 4-Inaccessible</v>
      </c>
      <c r="D187" s="31" t="s">
        <v>484</v>
      </c>
      <c r="E187" s="31" t="s">
        <v>485</v>
      </c>
    </row>
    <row r="188" spans="1:5" x14ac:dyDescent="0.25">
      <c r="A188" s="31" t="s">
        <v>81</v>
      </c>
      <c r="B188" s="31" t="s">
        <v>3570</v>
      </c>
      <c r="C188" s="31" t="str">
        <f>VLOOKUP(B188,'Job Details'!$K:$L,2,FALSE)</f>
        <v>*Extra Work</v>
      </c>
      <c r="D188" s="31" t="s">
        <v>475</v>
      </c>
      <c r="E188" s="31" t="s">
        <v>476</v>
      </c>
    </row>
    <row r="189" spans="1:5" x14ac:dyDescent="0.25">
      <c r="A189" s="31" t="s">
        <v>81</v>
      </c>
      <c r="B189" s="31" t="s">
        <v>3570</v>
      </c>
      <c r="C189" s="31" t="str">
        <f>VLOOKUP(B189,'Job Details'!$K:$L,2,FALSE)</f>
        <v>*Extra Work</v>
      </c>
      <c r="D189" s="31" t="s">
        <v>478</v>
      </c>
      <c r="E189" s="31" t="s">
        <v>479</v>
      </c>
    </row>
    <row r="190" spans="1:5" x14ac:dyDescent="0.25">
      <c r="A190" s="31" t="s">
        <v>81</v>
      </c>
      <c r="B190" s="31" t="s">
        <v>3570</v>
      </c>
      <c r="C190" s="31" t="str">
        <f>VLOOKUP(B190,'Job Details'!$K:$L,2,FALSE)</f>
        <v>*Extra Work</v>
      </c>
      <c r="D190" s="31" t="s">
        <v>3232</v>
      </c>
      <c r="E190" s="31" t="s">
        <v>3233</v>
      </c>
    </row>
    <row r="191" spans="1:5" x14ac:dyDescent="0.25">
      <c r="A191" s="31" t="s">
        <v>81</v>
      </c>
      <c r="B191" s="31" t="s">
        <v>3570</v>
      </c>
      <c r="C191" s="31" t="str">
        <f>VLOOKUP(B191,'Job Details'!$K:$L,2,FALSE)</f>
        <v>*Extra Work</v>
      </c>
      <c r="D191" s="31" t="s">
        <v>480</v>
      </c>
      <c r="E191" s="31" t="s">
        <v>481</v>
      </c>
    </row>
    <row r="192" spans="1:5" x14ac:dyDescent="0.25">
      <c r="A192" s="31" t="s">
        <v>81</v>
      </c>
      <c r="B192" s="31" t="s">
        <v>3570</v>
      </c>
      <c r="C192" s="31" t="str">
        <f>VLOOKUP(B192,'Job Details'!$K:$L,2,FALSE)</f>
        <v>*Extra Work</v>
      </c>
      <c r="D192" s="31" t="s">
        <v>484</v>
      </c>
      <c r="E192" s="31" t="s">
        <v>485</v>
      </c>
    </row>
    <row r="193" spans="1:5" x14ac:dyDescent="0.25">
      <c r="A193" s="31" t="s">
        <v>81</v>
      </c>
      <c r="B193" s="31" t="s">
        <v>505</v>
      </c>
      <c r="C193" s="31" t="str">
        <f>VLOOKUP(B193,'Job Details'!$K:$L,2,FALSE)</f>
        <v>Overhead</v>
      </c>
      <c r="D193" s="31" t="s">
        <v>480</v>
      </c>
      <c r="E193" s="31" t="s">
        <v>481</v>
      </c>
    </row>
    <row r="194" spans="1:5" x14ac:dyDescent="0.25">
      <c r="A194" s="31" t="s">
        <v>81</v>
      </c>
      <c r="B194" s="31" t="s">
        <v>426</v>
      </c>
      <c r="C194" s="31" t="str">
        <f>VLOOKUP(B194,'Job Details'!$K:$L,2,FALSE)</f>
        <v>Direct Job Cost</v>
      </c>
      <c r="D194" s="31" t="s">
        <v>25</v>
      </c>
      <c r="E194" s="31" t="s">
        <v>506</v>
      </c>
    </row>
    <row r="195" spans="1:5" x14ac:dyDescent="0.25">
      <c r="A195" s="31" t="s">
        <v>81</v>
      </c>
      <c r="B195" s="31" t="s">
        <v>426</v>
      </c>
      <c r="C195" s="31" t="str">
        <f>VLOOKUP(B195,'Job Details'!$K:$L,2,FALSE)</f>
        <v>Direct Job Cost</v>
      </c>
      <c r="D195" s="31" t="s">
        <v>3316</v>
      </c>
      <c r="E195" s="31" t="s">
        <v>3317</v>
      </c>
    </row>
    <row r="196" spans="1:5" x14ac:dyDescent="0.25">
      <c r="A196" s="31" t="s">
        <v>81</v>
      </c>
      <c r="B196" s="31" t="s">
        <v>426</v>
      </c>
      <c r="C196" s="31" t="str">
        <f>VLOOKUP(B196,'Job Details'!$K:$L,2,FALSE)</f>
        <v>Direct Job Cost</v>
      </c>
      <c r="D196" s="31" t="s">
        <v>3607</v>
      </c>
      <c r="E196" s="31" t="s">
        <v>3608</v>
      </c>
    </row>
    <row r="197" spans="1:5" x14ac:dyDescent="0.25">
      <c r="A197" s="31" t="s">
        <v>81</v>
      </c>
      <c r="B197" s="31" t="s">
        <v>426</v>
      </c>
      <c r="C197" s="31" t="str">
        <f>VLOOKUP(B197,'Job Details'!$K:$L,2,FALSE)</f>
        <v>Direct Job Cost</v>
      </c>
      <c r="D197" s="31" t="s">
        <v>491</v>
      </c>
      <c r="E197" s="31" t="s">
        <v>492</v>
      </c>
    </row>
    <row r="198" spans="1:5" x14ac:dyDescent="0.25">
      <c r="A198" s="31" t="s">
        <v>81</v>
      </c>
      <c r="B198" s="31" t="s">
        <v>426</v>
      </c>
      <c r="C198" s="31" t="str">
        <f>VLOOKUP(B198,'Job Details'!$K:$L,2,FALSE)</f>
        <v>Direct Job Cost</v>
      </c>
      <c r="D198" s="31" t="s">
        <v>493</v>
      </c>
      <c r="E198" s="31" t="s">
        <v>494</v>
      </c>
    </row>
    <row r="199" spans="1:5" x14ac:dyDescent="0.25">
      <c r="A199" s="31" t="s">
        <v>81</v>
      </c>
      <c r="B199" s="31" t="s">
        <v>426</v>
      </c>
      <c r="C199" s="31" t="str">
        <f>VLOOKUP(B199,'Job Details'!$K:$L,2,FALSE)</f>
        <v>Direct Job Cost</v>
      </c>
      <c r="D199" s="31" t="s">
        <v>3249</v>
      </c>
      <c r="E199" s="31" t="s">
        <v>3250</v>
      </c>
    </row>
    <row r="200" spans="1:5" x14ac:dyDescent="0.25">
      <c r="A200" s="31" t="s">
        <v>81</v>
      </c>
      <c r="B200" s="31" t="s">
        <v>426</v>
      </c>
      <c r="C200" s="31" t="str">
        <f>VLOOKUP(B200,'Job Details'!$K:$L,2,FALSE)</f>
        <v>Direct Job Cost</v>
      </c>
      <c r="D200" s="31" t="s">
        <v>3241</v>
      </c>
      <c r="E200" s="31" t="s">
        <v>3242</v>
      </c>
    </row>
    <row r="201" spans="1:5" x14ac:dyDescent="0.25">
      <c r="A201" s="31" t="s">
        <v>81</v>
      </c>
      <c r="B201" s="31" t="s">
        <v>426</v>
      </c>
      <c r="C201" s="31" t="str">
        <f>VLOOKUP(B201,'Job Details'!$K:$L,2,FALSE)</f>
        <v>Direct Job Cost</v>
      </c>
      <c r="D201" s="31" t="s">
        <v>3507</v>
      </c>
      <c r="E201" s="31" t="s">
        <v>3508</v>
      </c>
    </row>
    <row r="202" spans="1:5" x14ac:dyDescent="0.25">
      <c r="A202" s="31" t="s">
        <v>81</v>
      </c>
      <c r="B202" s="31" t="s">
        <v>426</v>
      </c>
      <c r="C202" s="31" t="str">
        <f>VLOOKUP(B202,'Job Details'!$K:$L,2,FALSE)</f>
        <v>Direct Job Cost</v>
      </c>
      <c r="D202" s="31" t="s">
        <v>3467</v>
      </c>
      <c r="E202" s="31" t="s">
        <v>3468</v>
      </c>
    </row>
    <row r="203" spans="1:5" x14ac:dyDescent="0.25">
      <c r="A203" s="31" t="s">
        <v>81</v>
      </c>
      <c r="B203" s="31" t="s">
        <v>426</v>
      </c>
      <c r="C203" s="31" t="str">
        <f>VLOOKUP(B203,'Job Details'!$K:$L,2,FALSE)</f>
        <v>Direct Job Cost</v>
      </c>
      <c r="D203" s="31" t="s">
        <v>3347</v>
      </c>
      <c r="E203" s="31" t="s">
        <v>3348</v>
      </c>
    </row>
    <row r="204" spans="1:5" x14ac:dyDescent="0.25">
      <c r="A204" s="31" t="s">
        <v>81</v>
      </c>
      <c r="B204" s="31" t="s">
        <v>426</v>
      </c>
      <c r="C204" s="31" t="str">
        <f>VLOOKUP(B204,'Job Details'!$K:$L,2,FALSE)</f>
        <v>Direct Job Cost</v>
      </c>
      <c r="D204" s="31" t="s">
        <v>3203</v>
      </c>
      <c r="E204" s="31" t="s">
        <v>3204</v>
      </c>
    </row>
    <row r="205" spans="1:5" x14ac:dyDescent="0.25">
      <c r="A205" s="31" t="s">
        <v>81</v>
      </c>
      <c r="B205" s="31" t="s">
        <v>426</v>
      </c>
      <c r="C205" s="31" t="str">
        <f>VLOOKUP(B205,'Job Details'!$K:$L,2,FALSE)</f>
        <v>Direct Job Cost</v>
      </c>
      <c r="D205" s="31" t="s">
        <v>3671</v>
      </c>
      <c r="E205" s="31" t="s">
        <v>3672</v>
      </c>
    </row>
    <row r="206" spans="1:5" x14ac:dyDescent="0.25">
      <c r="A206" s="31" t="s">
        <v>81</v>
      </c>
      <c r="B206" s="31" t="s">
        <v>426</v>
      </c>
      <c r="C206" s="31" t="str">
        <f>VLOOKUP(B206,'Job Details'!$K:$L,2,FALSE)</f>
        <v>Direct Job Cost</v>
      </c>
      <c r="D206" s="31" t="s">
        <v>495</v>
      </c>
      <c r="E206" s="31" t="s">
        <v>496</v>
      </c>
    </row>
    <row r="207" spans="1:5" x14ac:dyDescent="0.25">
      <c r="A207" s="31" t="s">
        <v>81</v>
      </c>
      <c r="B207" s="31" t="s">
        <v>426</v>
      </c>
      <c r="C207" s="31" t="str">
        <f>VLOOKUP(B207,'Job Details'!$K:$L,2,FALSE)</f>
        <v>Direct Job Cost</v>
      </c>
      <c r="D207" s="31" t="s">
        <v>497</v>
      </c>
      <c r="E207" s="31" t="s">
        <v>498</v>
      </c>
    </row>
    <row r="208" spans="1:5" x14ac:dyDescent="0.25">
      <c r="A208" s="31" t="s">
        <v>81</v>
      </c>
      <c r="B208" s="31" t="s">
        <v>426</v>
      </c>
      <c r="C208" s="31" t="str">
        <f>VLOOKUP(B208,'Job Details'!$K:$L,2,FALSE)</f>
        <v>Direct Job Cost</v>
      </c>
      <c r="D208" s="31" t="s">
        <v>3609</v>
      </c>
      <c r="E208" s="31" t="s">
        <v>3610</v>
      </c>
    </row>
    <row r="209" spans="1:5" x14ac:dyDescent="0.25">
      <c r="A209" s="31" t="s">
        <v>81</v>
      </c>
      <c r="B209" s="31" t="s">
        <v>426</v>
      </c>
      <c r="C209" s="31" t="str">
        <f>VLOOKUP(B209,'Job Details'!$K:$L,2,FALSE)</f>
        <v>Direct Job Cost</v>
      </c>
      <c r="D209" s="31" t="s">
        <v>507</v>
      </c>
      <c r="E209" s="31" t="s">
        <v>508</v>
      </c>
    </row>
    <row r="210" spans="1:5" x14ac:dyDescent="0.25">
      <c r="A210" s="31" t="s">
        <v>81</v>
      </c>
      <c r="B210" s="31" t="s">
        <v>426</v>
      </c>
      <c r="C210" s="31" t="str">
        <f>VLOOKUP(B210,'Job Details'!$K:$L,2,FALSE)</f>
        <v>Direct Job Cost</v>
      </c>
      <c r="D210" s="31" t="s">
        <v>3611</v>
      </c>
      <c r="E210" s="31" t="s">
        <v>3612</v>
      </c>
    </row>
    <row r="211" spans="1:5" x14ac:dyDescent="0.25">
      <c r="A211" s="31" t="s">
        <v>81</v>
      </c>
      <c r="B211" s="31" t="s">
        <v>426</v>
      </c>
      <c r="C211" s="31" t="str">
        <f>VLOOKUP(B211,'Job Details'!$K:$L,2,FALSE)</f>
        <v>Direct Job Cost</v>
      </c>
      <c r="D211" s="31" t="s">
        <v>499</v>
      </c>
      <c r="E211" s="31" t="s">
        <v>500</v>
      </c>
    </row>
    <row r="212" spans="1:5" x14ac:dyDescent="0.25">
      <c r="A212" s="31" t="s">
        <v>81</v>
      </c>
      <c r="B212" s="31" t="s">
        <v>426</v>
      </c>
      <c r="C212" s="31" t="str">
        <f>VLOOKUP(B212,'Job Details'!$K:$L,2,FALSE)</f>
        <v>Direct Job Cost</v>
      </c>
      <c r="D212" s="31" t="s">
        <v>3673</v>
      </c>
      <c r="E212" s="31" t="s">
        <v>3674</v>
      </c>
    </row>
    <row r="213" spans="1:5" x14ac:dyDescent="0.25">
      <c r="A213" s="31" t="s">
        <v>81</v>
      </c>
      <c r="B213" s="31" t="s">
        <v>426</v>
      </c>
      <c r="C213" s="31" t="str">
        <f>VLOOKUP(B213,'Job Details'!$K:$L,2,FALSE)</f>
        <v>Direct Job Cost</v>
      </c>
      <c r="D213" s="31" t="s">
        <v>501</v>
      </c>
      <c r="E213" s="31" t="s">
        <v>502</v>
      </c>
    </row>
    <row r="214" spans="1:5" x14ac:dyDescent="0.25">
      <c r="A214" s="31" t="s">
        <v>81</v>
      </c>
      <c r="B214" s="31" t="s">
        <v>426</v>
      </c>
      <c r="C214" s="31" t="str">
        <f>VLOOKUP(B214,'Job Details'!$K:$L,2,FALSE)</f>
        <v>Direct Job Cost</v>
      </c>
      <c r="D214" s="31" t="s">
        <v>3509</v>
      </c>
      <c r="E214" s="31" t="s">
        <v>3510</v>
      </c>
    </row>
    <row r="215" spans="1:5" x14ac:dyDescent="0.25">
      <c r="A215" s="31" t="s">
        <v>81</v>
      </c>
      <c r="B215" s="31" t="s">
        <v>426</v>
      </c>
      <c r="C215" s="31" t="str">
        <f>VLOOKUP(B215,'Job Details'!$K:$L,2,FALSE)</f>
        <v>Direct Job Cost</v>
      </c>
      <c r="D215" s="31" t="s">
        <v>3585</v>
      </c>
      <c r="E215" s="31" t="s">
        <v>3586</v>
      </c>
    </row>
    <row r="216" spans="1:5" x14ac:dyDescent="0.25">
      <c r="A216" s="31" t="s">
        <v>81</v>
      </c>
      <c r="B216" s="31" t="s">
        <v>426</v>
      </c>
      <c r="C216" s="31" t="str">
        <f>VLOOKUP(B216,'Job Details'!$K:$L,2,FALSE)</f>
        <v>Direct Job Cost</v>
      </c>
      <c r="D216" s="31" t="s">
        <v>3725</v>
      </c>
      <c r="E216" s="31" t="s">
        <v>3726</v>
      </c>
    </row>
    <row r="217" spans="1:5" x14ac:dyDescent="0.25">
      <c r="A217" s="31" t="s">
        <v>81</v>
      </c>
      <c r="B217" s="31" t="s">
        <v>426</v>
      </c>
      <c r="C217" s="31" t="str">
        <f>VLOOKUP(B217,'Job Details'!$K:$L,2,FALSE)</f>
        <v>Direct Job Cost</v>
      </c>
      <c r="D217" s="31" t="s">
        <v>503</v>
      </c>
      <c r="E217" s="31" t="s">
        <v>504</v>
      </c>
    </row>
    <row r="218" spans="1:5" x14ac:dyDescent="0.25">
      <c r="A218" s="31" t="s">
        <v>81</v>
      </c>
      <c r="B218" s="31" t="s">
        <v>426</v>
      </c>
      <c r="C218" s="31" t="str">
        <f>VLOOKUP(B218,'Job Details'!$K:$L,2,FALSE)</f>
        <v>Direct Job Cost</v>
      </c>
      <c r="D218" s="31" t="s">
        <v>475</v>
      </c>
      <c r="E218" s="31" t="s">
        <v>476</v>
      </c>
    </row>
    <row r="219" spans="1:5" x14ac:dyDescent="0.25">
      <c r="A219" s="31" t="s">
        <v>81</v>
      </c>
      <c r="B219" s="31" t="s">
        <v>426</v>
      </c>
      <c r="C219" s="31" t="str">
        <f>VLOOKUP(B219,'Job Details'!$K:$L,2,FALSE)</f>
        <v>Direct Job Cost</v>
      </c>
      <c r="D219" s="31" t="s">
        <v>3579</v>
      </c>
      <c r="E219" s="31" t="s">
        <v>3580</v>
      </c>
    </row>
    <row r="220" spans="1:5" x14ac:dyDescent="0.25">
      <c r="A220" s="31" t="s">
        <v>81</v>
      </c>
      <c r="B220" s="31" t="s">
        <v>426</v>
      </c>
      <c r="C220" s="31" t="str">
        <f>VLOOKUP(B220,'Job Details'!$K:$L,2,FALSE)</f>
        <v>Direct Job Cost</v>
      </c>
      <c r="D220" s="31" t="s">
        <v>489</v>
      </c>
      <c r="E220" s="31" t="s">
        <v>490</v>
      </c>
    </row>
    <row r="221" spans="1:5" x14ac:dyDescent="0.25">
      <c r="A221" s="31" t="s">
        <v>81</v>
      </c>
      <c r="B221" s="31" t="s">
        <v>426</v>
      </c>
      <c r="C221" s="31" t="str">
        <f>VLOOKUP(B221,'Job Details'!$K:$L,2,FALSE)</f>
        <v>Direct Job Cost</v>
      </c>
      <c r="D221" s="31" t="s">
        <v>478</v>
      </c>
      <c r="E221" s="31" t="s">
        <v>479</v>
      </c>
    </row>
    <row r="222" spans="1:5" x14ac:dyDescent="0.25">
      <c r="A222" s="31" t="s">
        <v>81</v>
      </c>
      <c r="B222" s="31" t="s">
        <v>426</v>
      </c>
      <c r="C222" s="31" t="str">
        <f>VLOOKUP(B222,'Job Details'!$K:$L,2,FALSE)</f>
        <v>Direct Job Cost</v>
      </c>
      <c r="D222" s="31" t="s">
        <v>3205</v>
      </c>
      <c r="E222" s="31" t="s">
        <v>3206</v>
      </c>
    </row>
    <row r="223" spans="1:5" x14ac:dyDescent="0.25">
      <c r="A223" s="31" t="s">
        <v>81</v>
      </c>
      <c r="B223" s="31" t="s">
        <v>426</v>
      </c>
      <c r="C223" s="31" t="str">
        <f>VLOOKUP(B223,'Job Details'!$K:$L,2,FALSE)</f>
        <v>Direct Job Cost</v>
      </c>
      <c r="D223" s="31" t="s">
        <v>3232</v>
      </c>
      <c r="E223" s="31" t="s">
        <v>3233</v>
      </c>
    </row>
    <row r="224" spans="1:5" x14ac:dyDescent="0.25">
      <c r="A224" s="31" t="s">
        <v>81</v>
      </c>
      <c r="B224" s="31" t="s">
        <v>426</v>
      </c>
      <c r="C224" s="31" t="str">
        <f>VLOOKUP(B224,'Job Details'!$K:$L,2,FALSE)</f>
        <v>Direct Job Cost</v>
      </c>
      <c r="D224" s="31" t="s">
        <v>480</v>
      </c>
      <c r="E224" s="31" t="s">
        <v>481</v>
      </c>
    </row>
    <row r="225" spans="1:5" x14ac:dyDescent="0.25">
      <c r="A225" s="31" t="s">
        <v>81</v>
      </c>
      <c r="B225" s="31" t="s">
        <v>426</v>
      </c>
      <c r="C225" s="31" t="str">
        <f>VLOOKUP(B225,'Job Details'!$K:$L,2,FALSE)</f>
        <v>Direct Job Cost</v>
      </c>
      <c r="D225" s="31" t="s">
        <v>484</v>
      </c>
      <c r="E225" s="31" t="s">
        <v>485</v>
      </c>
    </row>
    <row r="226" spans="1:5" x14ac:dyDescent="0.25">
      <c r="A226" s="31" t="s">
        <v>81</v>
      </c>
      <c r="B226" s="31" t="s">
        <v>426</v>
      </c>
      <c r="C226" s="31" t="str">
        <f>VLOOKUP(B226,'Job Details'!$K:$L,2,FALSE)</f>
        <v>Direct Job Cost</v>
      </c>
      <c r="D226" s="31" t="s">
        <v>3199</v>
      </c>
      <c r="E226" s="31" t="s">
        <v>3200</v>
      </c>
    </row>
    <row r="227" spans="1:5" x14ac:dyDescent="0.25">
      <c r="A227" s="31" t="s">
        <v>81</v>
      </c>
      <c r="B227" s="31" t="s">
        <v>426</v>
      </c>
      <c r="C227" s="31" t="str">
        <f>VLOOKUP(B227,'Job Details'!$K:$L,2,FALSE)</f>
        <v>Direct Job Cost</v>
      </c>
      <c r="D227" s="31" t="s">
        <v>3201</v>
      </c>
      <c r="E227" s="31" t="s">
        <v>3202</v>
      </c>
    </row>
    <row r="228" spans="1:5" x14ac:dyDescent="0.25">
      <c r="A228" s="31" t="s">
        <v>81</v>
      </c>
      <c r="B228" s="31" t="s">
        <v>3574</v>
      </c>
      <c r="C228" s="31" t="str">
        <f>VLOOKUP(B228,'Job Details'!$K:$L,2,FALSE)</f>
        <v>REVENUE- SUBS MAT WILSON</v>
      </c>
      <c r="D228" s="31" t="s">
        <v>3587</v>
      </c>
      <c r="E228" s="31" t="s">
        <v>3588</v>
      </c>
    </row>
    <row r="229" spans="1:5" x14ac:dyDescent="0.25">
      <c r="A229" s="31" t="s">
        <v>81</v>
      </c>
      <c r="B229" s="31" t="s">
        <v>3578</v>
      </c>
      <c r="C229" s="31" t="str">
        <f>VLOOKUP(B229,'Job Details'!$K:$L,2,FALSE)</f>
        <v>Accrued Revenue</v>
      </c>
      <c r="D229" s="31" t="s">
        <v>3587</v>
      </c>
      <c r="E229" s="31" t="s">
        <v>3588</v>
      </c>
    </row>
  </sheetData>
  <conditionalFormatting sqref="A2:A3">
    <cfRule type="cellIs" dxfId="3454" priority="1" operator="equal">
      <formula>0</formula>
    </cfRule>
  </conditionalFormatting>
  <pageMargins left="0.7" right="0.7" top="0.75" bottom="0.75" header="0.3" footer="0.3"/>
  <pageSetup scale="5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BB215"/>
  <sheetViews>
    <sheetView workbookViewId="0">
      <pane ySplit="2" topLeftCell="A105" activePane="bottomLeft" state="frozen"/>
      <selection activeCell="BB2" sqref="BB2"/>
      <selection pane="bottomLeft" activeCell="A130" sqref="A130"/>
    </sheetView>
  </sheetViews>
  <sheetFormatPr defaultRowHeight="15" x14ac:dyDescent="0.25"/>
  <cols>
    <col min="1" max="1" width="11.42578125" bestFit="1" customWidth="1"/>
    <col min="2" max="2" width="35" bestFit="1" customWidth="1"/>
    <col min="3" max="3" width="29.42578125" customWidth="1"/>
    <col min="4" max="4" width="32.85546875" customWidth="1"/>
    <col min="5" max="5" width="10.7109375" style="25" customWidth="1"/>
    <col min="6" max="6" width="16.28515625" style="25" customWidth="1"/>
    <col min="7" max="7" width="21" style="25" customWidth="1"/>
    <col min="8" max="8" width="10.7109375" style="25" customWidth="1"/>
  </cols>
  <sheetData>
    <row r="1" spans="1:54" ht="23.25" x14ac:dyDescent="0.35">
      <c r="A1" s="38" t="s">
        <v>95</v>
      </c>
      <c r="B1" s="30"/>
      <c r="C1" s="30"/>
      <c r="D1" s="30"/>
      <c r="E1" s="39"/>
      <c r="F1" s="39"/>
      <c r="G1" s="39"/>
      <c r="H1" s="39"/>
      <c r="BB1">
        <v>43617</v>
      </c>
    </row>
    <row r="2" spans="1:54" x14ac:dyDescent="0.25">
      <c r="A2" s="3" t="s">
        <v>20</v>
      </c>
      <c r="B2" s="3" t="s">
        <v>21</v>
      </c>
      <c r="C2" s="3" t="s">
        <v>79</v>
      </c>
      <c r="D2" s="3" t="s">
        <v>80</v>
      </c>
      <c r="E2" s="24" t="s">
        <v>92</v>
      </c>
      <c r="F2" s="24" t="s">
        <v>96</v>
      </c>
      <c r="G2" s="24" t="s">
        <v>97</v>
      </c>
      <c r="H2" s="24" t="s">
        <v>98</v>
      </c>
    </row>
    <row r="3" spans="1:54" x14ac:dyDescent="0.25">
      <c r="A3" t="s">
        <v>3399</v>
      </c>
      <c r="B3" t="s">
        <v>3400</v>
      </c>
      <c r="C3" t="s">
        <v>3401</v>
      </c>
      <c r="D3" t="s">
        <v>81</v>
      </c>
      <c r="E3" s="25" t="s">
        <v>93</v>
      </c>
      <c r="F3" s="25" t="s">
        <v>81</v>
      </c>
      <c r="G3" s="25" t="s">
        <v>81</v>
      </c>
      <c r="H3" s="25" t="s">
        <v>99</v>
      </c>
    </row>
    <row r="4" spans="1:54" x14ac:dyDescent="0.25">
      <c r="A4" t="s">
        <v>3402</v>
      </c>
      <c r="B4" t="s">
        <v>85</v>
      </c>
      <c r="C4" t="s">
        <v>3403</v>
      </c>
      <c r="D4" t="s">
        <v>81</v>
      </c>
      <c r="E4" s="25" t="s">
        <v>93</v>
      </c>
      <c r="F4" s="25" t="s">
        <v>81</v>
      </c>
      <c r="G4" s="25" t="s">
        <v>81</v>
      </c>
      <c r="H4" s="25" t="s">
        <v>81</v>
      </c>
    </row>
    <row r="5" spans="1:54" x14ac:dyDescent="0.25">
      <c r="A5" t="s">
        <v>3404</v>
      </c>
      <c r="B5" t="s">
        <v>3405</v>
      </c>
      <c r="C5" t="s">
        <v>83</v>
      </c>
      <c r="D5" t="s">
        <v>81</v>
      </c>
      <c r="E5" s="25" t="s">
        <v>93</v>
      </c>
      <c r="F5" s="25" t="s">
        <v>81</v>
      </c>
      <c r="G5" s="25" t="s">
        <v>111</v>
      </c>
      <c r="H5" s="25" t="s">
        <v>99</v>
      </c>
    </row>
    <row r="6" spans="1:54" x14ac:dyDescent="0.25">
      <c r="A6" t="s">
        <v>3406</v>
      </c>
      <c r="B6" t="s">
        <v>827</v>
      </c>
      <c r="C6" t="s">
        <v>83</v>
      </c>
      <c r="D6" t="s">
        <v>81</v>
      </c>
      <c r="E6" s="25" t="s">
        <v>93</v>
      </c>
      <c r="F6" s="25" t="s">
        <v>81</v>
      </c>
      <c r="G6" s="25" t="s">
        <v>81</v>
      </c>
      <c r="H6" s="25" t="s">
        <v>81</v>
      </c>
    </row>
    <row r="7" spans="1:54" x14ac:dyDescent="0.25">
      <c r="A7" t="s">
        <v>3407</v>
      </c>
      <c r="B7" t="s">
        <v>724</v>
      </c>
      <c r="C7" t="s">
        <v>3102</v>
      </c>
      <c r="D7" t="s">
        <v>81</v>
      </c>
      <c r="E7" s="25" t="s">
        <v>93</v>
      </c>
      <c r="F7" s="25" t="s">
        <v>81</v>
      </c>
      <c r="G7" s="25" t="s">
        <v>725</v>
      </c>
      <c r="H7" s="25" t="s">
        <v>340</v>
      </c>
    </row>
    <row r="8" spans="1:54" x14ac:dyDescent="0.25">
      <c r="A8" t="s">
        <v>3408</v>
      </c>
      <c r="B8" t="s">
        <v>828</v>
      </c>
      <c r="C8" t="s">
        <v>82</v>
      </c>
      <c r="D8" t="s">
        <v>81</v>
      </c>
      <c r="E8" s="25" t="s">
        <v>93</v>
      </c>
      <c r="F8" s="25" t="s">
        <v>100</v>
      </c>
      <c r="G8" s="25" t="s">
        <v>104</v>
      </c>
      <c r="H8" s="25" t="s">
        <v>99</v>
      </c>
    </row>
    <row r="9" spans="1:54" x14ac:dyDescent="0.25">
      <c r="A9" t="s">
        <v>3409</v>
      </c>
      <c r="B9" t="s">
        <v>726</v>
      </c>
      <c r="C9" t="s">
        <v>3102</v>
      </c>
      <c r="D9" t="s">
        <v>81</v>
      </c>
      <c r="E9" s="25" t="s">
        <v>93</v>
      </c>
      <c r="F9" s="25" t="s">
        <v>81</v>
      </c>
      <c r="G9" s="25" t="s">
        <v>339</v>
      </c>
      <c r="H9" s="25" t="s">
        <v>340</v>
      </c>
    </row>
    <row r="10" spans="1:54" x14ac:dyDescent="0.25">
      <c r="A10" t="s">
        <v>3410</v>
      </c>
      <c r="B10" t="s">
        <v>3182</v>
      </c>
      <c r="C10" t="s">
        <v>3411</v>
      </c>
      <c r="D10" t="s">
        <v>81</v>
      </c>
      <c r="E10" s="25" t="s">
        <v>93</v>
      </c>
      <c r="F10" s="25" t="s">
        <v>81</v>
      </c>
      <c r="G10" s="25" t="s">
        <v>81</v>
      </c>
      <c r="H10" s="25" t="s">
        <v>81</v>
      </c>
    </row>
    <row r="11" spans="1:54" x14ac:dyDescent="0.25">
      <c r="A11" t="s">
        <v>3412</v>
      </c>
      <c r="B11" t="s">
        <v>3413</v>
      </c>
      <c r="C11" t="s">
        <v>83</v>
      </c>
      <c r="D11" t="s">
        <v>81</v>
      </c>
      <c r="E11" s="25" t="s">
        <v>93</v>
      </c>
      <c r="F11" s="25" t="s">
        <v>81</v>
      </c>
      <c r="G11" s="25" t="s">
        <v>81</v>
      </c>
      <c r="H11" s="25" t="s">
        <v>81</v>
      </c>
    </row>
    <row r="12" spans="1:54" x14ac:dyDescent="0.25">
      <c r="A12" t="s">
        <v>3414</v>
      </c>
      <c r="B12" t="s">
        <v>1298</v>
      </c>
      <c r="C12" t="s">
        <v>728</v>
      </c>
      <c r="D12" t="s">
        <v>81</v>
      </c>
      <c r="E12" s="25" t="s">
        <v>93</v>
      </c>
      <c r="F12" s="25" t="s">
        <v>81</v>
      </c>
      <c r="G12" s="25" t="s">
        <v>101</v>
      </c>
      <c r="H12" s="25" t="s">
        <v>102</v>
      </c>
    </row>
    <row r="13" spans="1:54" x14ac:dyDescent="0.25">
      <c r="A13" t="s">
        <v>3415</v>
      </c>
      <c r="B13" t="s">
        <v>1299</v>
      </c>
      <c r="C13" t="s">
        <v>730</v>
      </c>
      <c r="D13" t="s">
        <v>81</v>
      </c>
      <c r="E13" s="25" t="s">
        <v>93</v>
      </c>
      <c r="F13" s="25" t="s">
        <v>81</v>
      </c>
      <c r="G13" s="25" t="s">
        <v>81</v>
      </c>
      <c r="H13" s="25" t="s">
        <v>102</v>
      </c>
    </row>
    <row r="14" spans="1:54" x14ac:dyDescent="0.25">
      <c r="A14" t="s">
        <v>3416</v>
      </c>
      <c r="B14" t="s">
        <v>3417</v>
      </c>
      <c r="C14" t="s">
        <v>2939</v>
      </c>
      <c r="D14" t="s">
        <v>727</v>
      </c>
      <c r="E14" s="25" t="s">
        <v>93</v>
      </c>
      <c r="F14" s="25" t="s">
        <v>81</v>
      </c>
      <c r="G14" s="25" t="s">
        <v>103</v>
      </c>
      <c r="H14" s="25" t="s">
        <v>99</v>
      </c>
    </row>
    <row r="15" spans="1:54" x14ac:dyDescent="0.25">
      <c r="A15" t="s">
        <v>3418</v>
      </c>
      <c r="B15" t="s">
        <v>1730</v>
      </c>
      <c r="C15" t="s">
        <v>2939</v>
      </c>
      <c r="D15" t="s">
        <v>81</v>
      </c>
      <c r="E15" s="25" t="s">
        <v>93</v>
      </c>
      <c r="F15" s="25" t="s">
        <v>81</v>
      </c>
      <c r="G15" s="25" t="s">
        <v>829</v>
      </c>
      <c r="H15" s="25" t="s">
        <v>102</v>
      </c>
    </row>
    <row r="16" spans="1:54" x14ac:dyDescent="0.25">
      <c r="A16" t="s">
        <v>3419</v>
      </c>
      <c r="B16" t="s">
        <v>945</v>
      </c>
      <c r="C16" t="s">
        <v>81</v>
      </c>
      <c r="D16" t="s">
        <v>81</v>
      </c>
      <c r="E16" s="25" t="s">
        <v>93</v>
      </c>
      <c r="F16" s="25" t="s">
        <v>81</v>
      </c>
      <c r="G16" s="25" t="s">
        <v>81</v>
      </c>
      <c r="H16" s="25" t="s">
        <v>81</v>
      </c>
    </row>
    <row r="17" spans="1:8" x14ac:dyDescent="0.25">
      <c r="A17" t="s">
        <v>3420</v>
      </c>
      <c r="B17" t="s">
        <v>1731</v>
      </c>
      <c r="C17" t="s">
        <v>1300</v>
      </c>
      <c r="D17" t="s">
        <v>81</v>
      </c>
      <c r="E17" s="25" t="s">
        <v>93</v>
      </c>
      <c r="F17" s="25" t="s">
        <v>81</v>
      </c>
      <c r="G17" s="25" t="s">
        <v>104</v>
      </c>
      <c r="H17" s="25" t="s">
        <v>99</v>
      </c>
    </row>
    <row r="18" spans="1:8" x14ac:dyDescent="0.25">
      <c r="A18" t="s">
        <v>3421</v>
      </c>
      <c r="B18" t="s">
        <v>1732</v>
      </c>
      <c r="C18" t="s">
        <v>1733</v>
      </c>
      <c r="D18" t="s">
        <v>1734</v>
      </c>
      <c r="E18" s="25" t="s">
        <v>93</v>
      </c>
      <c r="F18" s="25" t="s">
        <v>81</v>
      </c>
      <c r="G18" s="25" t="s">
        <v>81</v>
      </c>
      <c r="H18" s="25" t="s">
        <v>81</v>
      </c>
    </row>
    <row r="19" spans="1:8" x14ac:dyDescent="0.25">
      <c r="A19" t="s">
        <v>3422</v>
      </c>
      <c r="B19" t="s">
        <v>3423</v>
      </c>
      <c r="C19" t="s">
        <v>1735</v>
      </c>
      <c r="D19" t="s">
        <v>1736</v>
      </c>
      <c r="E19" s="25" t="s">
        <v>93</v>
      </c>
      <c r="F19" s="25" t="s">
        <v>81</v>
      </c>
      <c r="G19" s="25" t="s">
        <v>81</v>
      </c>
      <c r="H19" s="25" t="s">
        <v>105</v>
      </c>
    </row>
    <row r="20" spans="1:8" x14ac:dyDescent="0.25">
      <c r="A20" t="s">
        <v>3424</v>
      </c>
      <c r="B20" t="s">
        <v>3425</v>
      </c>
      <c r="C20" t="s">
        <v>1735</v>
      </c>
      <c r="D20" t="s">
        <v>1737</v>
      </c>
      <c r="E20" s="25" t="s">
        <v>93</v>
      </c>
      <c r="F20" s="25" t="s">
        <v>81</v>
      </c>
      <c r="G20" s="25" t="s">
        <v>81</v>
      </c>
      <c r="H20" s="25" t="s">
        <v>106</v>
      </c>
    </row>
    <row r="21" spans="1:8" x14ac:dyDescent="0.25">
      <c r="A21" t="s">
        <v>3426</v>
      </c>
      <c r="B21" t="s">
        <v>3427</v>
      </c>
      <c r="C21" t="s">
        <v>83</v>
      </c>
      <c r="D21" t="s">
        <v>728</v>
      </c>
      <c r="E21" s="25" t="s">
        <v>93</v>
      </c>
      <c r="F21" s="25" t="s">
        <v>81</v>
      </c>
      <c r="G21" s="25" t="s">
        <v>829</v>
      </c>
      <c r="H21" s="25" t="s">
        <v>102</v>
      </c>
    </row>
    <row r="22" spans="1:8" x14ac:dyDescent="0.25">
      <c r="A22" t="s">
        <v>3469</v>
      </c>
      <c r="B22" t="s">
        <v>3470</v>
      </c>
      <c r="C22" t="s">
        <v>81</v>
      </c>
      <c r="D22" t="s">
        <v>81</v>
      </c>
      <c r="E22" s="25" t="s">
        <v>93</v>
      </c>
      <c r="F22" s="25" t="s">
        <v>81</v>
      </c>
      <c r="G22" s="25" t="s">
        <v>81</v>
      </c>
      <c r="H22" s="25" t="s">
        <v>81</v>
      </c>
    </row>
    <row r="23" spans="1:8" x14ac:dyDescent="0.25">
      <c r="A23" t="s">
        <v>3428</v>
      </c>
      <c r="B23" t="s">
        <v>3429</v>
      </c>
      <c r="C23" t="s">
        <v>729</v>
      </c>
      <c r="D23" t="s">
        <v>81</v>
      </c>
      <c r="E23" s="25" t="s">
        <v>93</v>
      </c>
      <c r="F23" s="25" t="s">
        <v>81</v>
      </c>
      <c r="G23" s="25" t="s">
        <v>107</v>
      </c>
      <c r="H23" s="25" t="s">
        <v>106</v>
      </c>
    </row>
    <row r="24" spans="1:8" x14ac:dyDescent="0.25">
      <c r="A24" t="s">
        <v>3775</v>
      </c>
      <c r="B24" t="s">
        <v>3776</v>
      </c>
      <c r="C24" t="s">
        <v>3401</v>
      </c>
      <c r="D24" t="s">
        <v>81</v>
      </c>
      <c r="E24" s="25" t="s">
        <v>93</v>
      </c>
      <c r="F24" s="25" t="s">
        <v>81</v>
      </c>
      <c r="G24" s="25" t="s">
        <v>81</v>
      </c>
      <c r="H24" s="25" t="s">
        <v>99</v>
      </c>
    </row>
    <row r="25" spans="1:8" x14ac:dyDescent="0.25">
      <c r="A25" t="s">
        <v>3777</v>
      </c>
      <c r="B25" t="s">
        <v>3778</v>
      </c>
      <c r="C25" t="s">
        <v>3403</v>
      </c>
      <c r="D25" t="s">
        <v>81</v>
      </c>
      <c r="E25" s="25" t="s">
        <v>93</v>
      </c>
      <c r="F25" s="25" t="s">
        <v>81</v>
      </c>
      <c r="G25" s="25" t="s">
        <v>81</v>
      </c>
      <c r="H25" s="25" t="s">
        <v>81</v>
      </c>
    </row>
    <row r="26" spans="1:8" x14ac:dyDescent="0.25">
      <c r="A26" t="s">
        <v>3779</v>
      </c>
      <c r="B26" t="s">
        <v>3780</v>
      </c>
      <c r="C26" t="s">
        <v>83</v>
      </c>
      <c r="D26" t="s">
        <v>81</v>
      </c>
      <c r="E26" s="25" t="s">
        <v>94</v>
      </c>
      <c r="F26" s="25" t="s">
        <v>81</v>
      </c>
      <c r="G26" s="25" t="s">
        <v>111</v>
      </c>
      <c r="H26" s="25" t="s">
        <v>99</v>
      </c>
    </row>
    <row r="27" spans="1:8" x14ac:dyDescent="0.25">
      <c r="A27" t="s">
        <v>4027</v>
      </c>
      <c r="B27" t="s">
        <v>4028</v>
      </c>
      <c r="C27" t="s">
        <v>83</v>
      </c>
      <c r="D27" t="s">
        <v>81</v>
      </c>
      <c r="E27" s="25" t="s">
        <v>93</v>
      </c>
      <c r="F27" s="25" t="s">
        <v>81</v>
      </c>
      <c r="G27" s="25" t="s">
        <v>81</v>
      </c>
      <c r="H27" s="25" t="s">
        <v>99</v>
      </c>
    </row>
    <row r="28" spans="1:8" x14ac:dyDescent="0.25">
      <c r="A28" t="s">
        <v>3781</v>
      </c>
      <c r="B28" t="s">
        <v>3782</v>
      </c>
      <c r="C28" t="s">
        <v>83</v>
      </c>
      <c r="D28" t="s">
        <v>81</v>
      </c>
      <c r="E28" s="25" t="s">
        <v>93</v>
      </c>
      <c r="F28" s="25" t="s">
        <v>81</v>
      </c>
      <c r="G28" s="25" t="s">
        <v>81</v>
      </c>
      <c r="H28" s="25" t="s">
        <v>81</v>
      </c>
    </row>
    <row r="29" spans="1:8" x14ac:dyDescent="0.25">
      <c r="A29" t="s">
        <v>3783</v>
      </c>
      <c r="B29" t="s">
        <v>3784</v>
      </c>
      <c r="C29" t="s">
        <v>3102</v>
      </c>
      <c r="D29" t="s">
        <v>3411</v>
      </c>
      <c r="E29" s="25" t="s">
        <v>93</v>
      </c>
      <c r="F29" s="25" t="s">
        <v>81</v>
      </c>
      <c r="G29" s="25" t="s">
        <v>339</v>
      </c>
      <c r="H29" s="25" t="s">
        <v>340</v>
      </c>
    </row>
    <row r="30" spans="1:8" x14ac:dyDescent="0.25">
      <c r="A30" t="s">
        <v>3785</v>
      </c>
      <c r="B30" t="s">
        <v>828</v>
      </c>
      <c r="C30" t="s">
        <v>82</v>
      </c>
      <c r="D30" t="s">
        <v>3786</v>
      </c>
      <c r="E30" s="25" t="s">
        <v>93</v>
      </c>
      <c r="F30" s="25" t="s">
        <v>100</v>
      </c>
      <c r="G30" s="25" t="s">
        <v>81</v>
      </c>
      <c r="H30" s="25" t="s">
        <v>99</v>
      </c>
    </row>
    <row r="31" spans="1:8" x14ac:dyDescent="0.25">
      <c r="A31" t="s">
        <v>3787</v>
      </c>
      <c r="B31" t="s">
        <v>3788</v>
      </c>
      <c r="C31" t="s">
        <v>3102</v>
      </c>
      <c r="D31" t="s">
        <v>81</v>
      </c>
      <c r="E31" s="25" t="s">
        <v>93</v>
      </c>
      <c r="F31" s="25" t="s">
        <v>81</v>
      </c>
      <c r="G31" s="25" t="s">
        <v>339</v>
      </c>
      <c r="H31" s="25" t="s">
        <v>340</v>
      </c>
    </row>
    <row r="32" spans="1:8" x14ac:dyDescent="0.25">
      <c r="A32" t="s">
        <v>3789</v>
      </c>
      <c r="B32" t="s">
        <v>3790</v>
      </c>
      <c r="C32" t="s">
        <v>3411</v>
      </c>
      <c r="D32" t="s">
        <v>3102</v>
      </c>
      <c r="E32" s="25" t="s">
        <v>93</v>
      </c>
      <c r="F32" s="25" t="s">
        <v>81</v>
      </c>
      <c r="G32" s="25" t="s">
        <v>3791</v>
      </c>
      <c r="H32" s="25" t="s">
        <v>3792</v>
      </c>
    </row>
    <row r="33" spans="1:8" x14ac:dyDescent="0.25">
      <c r="A33" t="s">
        <v>3793</v>
      </c>
      <c r="B33" t="s">
        <v>3794</v>
      </c>
      <c r="C33" t="s">
        <v>83</v>
      </c>
      <c r="D33" t="s">
        <v>81</v>
      </c>
      <c r="E33" s="25" t="s">
        <v>94</v>
      </c>
      <c r="F33" s="25" t="s">
        <v>81</v>
      </c>
      <c r="G33" s="25" t="s">
        <v>1707</v>
      </c>
      <c r="H33" s="25" t="s">
        <v>1668</v>
      </c>
    </row>
    <row r="34" spans="1:8" x14ac:dyDescent="0.25">
      <c r="A34" t="s">
        <v>3795</v>
      </c>
      <c r="B34" t="s">
        <v>3796</v>
      </c>
      <c r="C34" t="s">
        <v>728</v>
      </c>
      <c r="D34" t="s">
        <v>81</v>
      </c>
      <c r="E34" s="25" t="s">
        <v>93</v>
      </c>
      <c r="F34" s="25" t="s">
        <v>81</v>
      </c>
      <c r="G34" s="25" t="s">
        <v>101</v>
      </c>
      <c r="H34" s="25" t="s">
        <v>102</v>
      </c>
    </row>
    <row r="35" spans="1:8" x14ac:dyDescent="0.25">
      <c r="A35" t="s">
        <v>3797</v>
      </c>
      <c r="B35" t="s">
        <v>3798</v>
      </c>
      <c r="C35" t="s">
        <v>730</v>
      </c>
      <c r="D35" t="s">
        <v>81</v>
      </c>
      <c r="E35" s="25" t="s">
        <v>93</v>
      </c>
      <c r="F35" s="25" t="s">
        <v>81</v>
      </c>
      <c r="G35" s="25" t="s">
        <v>101</v>
      </c>
      <c r="H35" s="25" t="s">
        <v>102</v>
      </c>
    </row>
    <row r="36" spans="1:8" x14ac:dyDescent="0.25">
      <c r="A36" t="s">
        <v>3799</v>
      </c>
      <c r="B36" t="s">
        <v>3800</v>
      </c>
      <c r="C36" t="s">
        <v>2939</v>
      </c>
      <c r="D36" t="s">
        <v>727</v>
      </c>
      <c r="E36" s="25" t="s">
        <v>93</v>
      </c>
      <c r="F36" s="25" t="s">
        <v>81</v>
      </c>
      <c r="G36" s="25" t="s">
        <v>81</v>
      </c>
      <c r="H36" s="25" t="s">
        <v>99</v>
      </c>
    </row>
    <row r="37" spans="1:8" x14ac:dyDescent="0.25">
      <c r="A37" t="s">
        <v>3801</v>
      </c>
      <c r="B37" t="s">
        <v>3802</v>
      </c>
      <c r="C37" t="s">
        <v>2939</v>
      </c>
      <c r="D37" t="s">
        <v>727</v>
      </c>
      <c r="E37" s="25" t="s">
        <v>93</v>
      </c>
      <c r="F37" s="25" t="s">
        <v>81</v>
      </c>
      <c r="G37" s="25" t="s">
        <v>101</v>
      </c>
      <c r="H37" s="25" t="s">
        <v>102</v>
      </c>
    </row>
    <row r="38" spans="1:8" x14ac:dyDescent="0.25">
      <c r="A38" t="s">
        <v>3803</v>
      </c>
      <c r="B38" t="s">
        <v>3804</v>
      </c>
      <c r="C38" t="s">
        <v>81</v>
      </c>
      <c r="D38" t="s">
        <v>81</v>
      </c>
      <c r="E38" s="25" t="s">
        <v>94</v>
      </c>
      <c r="F38" s="25" t="s">
        <v>81</v>
      </c>
      <c r="G38" s="25" t="s">
        <v>81</v>
      </c>
      <c r="H38" s="25" t="s">
        <v>81</v>
      </c>
    </row>
    <row r="39" spans="1:8" x14ac:dyDescent="0.25">
      <c r="A39" t="s">
        <v>3805</v>
      </c>
      <c r="B39" t="s">
        <v>3806</v>
      </c>
      <c r="C39" t="s">
        <v>1300</v>
      </c>
      <c r="D39" t="s">
        <v>81</v>
      </c>
      <c r="E39" s="25" t="s">
        <v>93</v>
      </c>
      <c r="F39" s="25" t="s">
        <v>81</v>
      </c>
      <c r="G39" s="25" t="s">
        <v>104</v>
      </c>
      <c r="H39" s="25" t="s">
        <v>99</v>
      </c>
    </row>
    <row r="40" spans="1:8" x14ac:dyDescent="0.25">
      <c r="A40" t="s">
        <v>3807</v>
      </c>
      <c r="B40" t="s">
        <v>3808</v>
      </c>
      <c r="C40" t="s">
        <v>1733</v>
      </c>
      <c r="D40" t="s">
        <v>1734</v>
      </c>
      <c r="E40" s="25" t="s">
        <v>93</v>
      </c>
      <c r="F40" s="25" t="s">
        <v>81</v>
      </c>
      <c r="G40" s="25" t="s">
        <v>81</v>
      </c>
      <c r="H40" s="25" t="s">
        <v>99</v>
      </c>
    </row>
    <row r="41" spans="1:8" x14ac:dyDescent="0.25">
      <c r="A41" t="s">
        <v>3809</v>
      </c>
      <c r="B41" t="s">
        <v>3810</v>
      </c>
      <c r="C41" t="s">
        <v>1735</v>
      </c>
      <c r="D41" t="s">
        <v>1736</v>
      </c>
      <c r="E41" s="25" t="s">
        <v>93</v>
      </c>
      <c r="F41" s="25" t="s">
        <v>81</v>
      </c>
      <c r="G41" s="25" t="s">
        <v>81</v>
      </c>
      <c r="H41" s="25" t="s">
        <v>105</v>
      </c>
    </row>
    <row r="42" spans="1:8" x14ac:dyDescent="0.25">
      <c r="A42" t="s">
        <v>3811</v>
      </c>
      <c r="B42" t="s">
        <v>3812</v>
      </c>
      <c r="C42" t="s">
        <v>1735</v>
      </c>
      <c r="D42" t="s">
        <v>1737</v>
      </c>
      <c r="E42" s="25" t="s">
        <v>93</v>
      </c>
      <c r="F42" s="25" t="s">
        <v>81</v>
      </c>
      <c r="G42" s="25" t="s">
        <v>81</v>
      </c>
      <c r="H42" s="25" t="s">
        <v>106</v>
      </c>
    </row>
    <row r="43" spans="1:8" x14ac:dyDescent="0.25">
      <c r="A43" t="s">
        <v>3813</v>
      </c>
      <c r="B43" t="s">
        <v>3814</v>
      </c>
      <c r="C43" t="s">
        <v>83</v>
      </c>
      <c r="D43" t="s">
        <v>728</v>
      </c>
      <c r="E43" s="25" t="s">
        <v>93</v>
      </c>
      <c r="F43" s="25" t="s">
        <v>81</v>
      </c>
      <c r="G43" s="25" t="s">
        <v>101</v>
      </c>
      <c r="H43" s="25" t="s">
        <v>102</v>
      </c>
    </row>
    <row r="44" spans="1:8" x14ac:dyDescent="0.25">
      <c r="A44" t="s">
        <v>3923</v>
      </c>
      <c r="B44" t="s">
        <v>3470</v>
      </c>
      <c r="C44" t="s">
        <v>81</v>
      </c>
      <c r="D44" t="s">
        <v>81</v>
      </c>
      <c r="E44" s="25" t="s">
        <v>93</v>
      </c>
      <c r="F44" s="25" t="s">
        <v>81</v>
      </c>
      <c r="G44" s="25" t="s">
        <v>81</v>
      </c>
      <c r="H44" s="25" t="s">
        <v>81</v>
      </c>
    </row>
    <row r="45" spans="1:8" x14ac:dyDescent="0.25">
      <c r="A45" t="s">
        <v>4305</v>
      </c>
      <c r="B45" t="s">
        <v>4306</v>
      </c>
      <c r="C45" t="s">
        <v>81</v>
      </c>
      <c r="D45" t="s">
        <v>81</v>
      </c>
      <c r="E45" s="25" t="s">
        <v>93</v>
      </c>
      <c r="F45" s="25" t="s">
        <v>81</v>
      </c>
      <c r="G45" s="25" t="s">
        <v>81</v>
      </c>
      <c r="H45" s="25" t="s">
        <v>81</v>
      </c>
    </row>
    <row r="46" spans="1:8" x14ac:dyDescent="0.25">
      <c r="A46" t="s">
        <v>3815</v>
      </c>
      <c r="B46" t="s">
        <v>3816</v>
      </c>
      <c r="C46" t="s">
        <v>729</v>
      </c>
      <c r="D46" t="s">
        <v>81</v>
      </c>
      <c r="E46" s="25" t="s">
        <v>93</v>
      </c>
      <c r="F46" s="25" t="s">
        <v>81</v>
      </c>
      <c r="G46" s="25" t="s">
        <v>109</v>
      </c>
      <c r="H46" s="25" t="s">
        <v>106</v>
      </c>
    </row>
    <row r="47" spans="1:8" x14ac:dyDescent="0.25">
      <c r="A47" t="s">
        <v>3104</v>
      </c>
      <c r="B47" t="s">
        <v>1738</v>
      </c>
      <c r="C47" t="s">
        <v>82</v>
      </c>
      <c r="D47" t="s">
        <v>81</v>
      </c>
      <c r="E47" s="25" t="s">
        <v>93</v>
      </c>
      <c r="F47" s="25" t="s">
        <v>81</v>
      </c>
      <c r="G47" s="25" t="s">
        <v>104</v>
      </c>
      <c r="H47" s="25" t="s">
        <v>99</v>
      </c>
    </row>
    <row r="48" spans="1:8" x14ac:dyDescent="0.25">
      <c r="A48" t="s">
        <v>3105</v>
      </c>
      <c r="B48" t="s">
        <v>1301</v>
      </c>
      <c r="C48" t="s">
        <v>82</v>
      </c>
      <c r="D48" t="s">
        <v>81</v>
      </c>
      <c r="E48" s="25" t="s">
        <v>93</v>
      </c>
      <c r="F48" s="25" t="s">
        <v>81</v>
      </c>
      <c r="G48" s="25" t="s">
        <v>1302</v>
      </c>
      <c r="H48" s="25" t="s">
        <v>340</v>
      </c>
    </row>
    <row r="49" spans="1:8" x14ac:dyDescent="0.25">
      <c r="A49" t="s">
        <v>3183</v>
      </c>
      <c r="B49" t="s">
        <v>3184</v>
      </c>
      <c r="C49" t="s">
        <v>82</v>
      </c>
      <c r="D49" t="s">
        <v>81</v>
      </c>
      <c r="E49" s="25" t="s">
        <v>93</v>
      </c>
      <c r="F49" s="25" t="s">
        <v>81</v>
      </c>
      <c r="G49" s="25" t="s">
        <v>1302</v>
      </c>
      <c r="H49" s="25" t="s">
        <v>340</v>
      </c>
    </row>
    <row r="50" spans="1:8" x14ac:dyDescent="0.25">
      <c r="A50" t="s">
        <v>3106</v>
      </c>
      <c r="B50" t="s">
        <v>1710</v>
      </c>
      <c r="C50" t="s">
        <v>82</v>
      </c>
      <c r="D50" t="s">
        <v>81</v>
      </c>
      <c r="E50" s="25" t="s">
        <v>93</v>
      </c>
      <c r="F50" s="25" t="s">
        <v>81</v>
      </c>
      <c r="G50" s="25" t="s">
        <v>3103</v>
      </c>
      <c r="H50" s="25" t="s">
        <v>1668</v>
      </c>
    </row>
    <row r="51" spans="1:8" x14ac:dyDescent="0.25">
      <c r="A51" t="s">
        <v>3107</v>
      </c>
      <c r="B51" t="s">
        <v>1739</v>
      </c>
      <c r="C51" t="s">
        <v>82</v>
      </c>
      <c r="D51" t="s">
        <v>81</v>
      </c>
      <c r="E51" s="25" t="s">
        <v>93</v>
      </c>
      <c r="F51" s="25" t="s">
        <v>81</v>
      </c>
      <c r="G51" s="25" t="s">
        <v>1303</v>
      </c>
      <c r="H51" s="25" t="s">
        <v>102</v>
      </c>
    </row>
    <row r="52" spans="1:8" x14ac:dyDescent="0.25">
      <c r="A52" t="s">
        <v>3108</v>
      </c>
      <c r="B52" t="s">
        <v>1304</v>
      </c>
      <c r="C52" t="s">
        <v>82</v>
      </c>
      <c r="D52" t="s">
        <v>81</v>
      </c>
      <c r="E52" s="25" t="s">
        <v>93</v>
      </c>
      <c r="F52" s="25" t="s">
        <v>81</v>
      </c>
      <c r="G52" s="25" t="s">
        <v>1303</v>
      </c>
      <c r="H52" s="25" t="s">
        <v>102</v>
      </c>
    </row>
    <row r="53" spans="1:8" x14ac:dyDescent="0.25">
      <c r="A53" t="s">
        <v>3109</v>
      </c>
      <c r="B53" t="s">
        <v>1305</v>
      </c>
      <c r="C53" t="s">
        <v>82</v>
      </c>
      <c r="D53" t="s">
        <v>81</v>
      </c>
      <c r="E53" s="25" t="s">
        <v>93</v>
      </c>
      <c r="F53" s="25" t="s">
        <v>81</v>
      </c>
      <c r="G53" s="25" t="s">
        <v>104</v>
      </c>
      <c r="H53" s="25" t="s">
        <v>99</v>
      </c>
    </row>
    <row r="54" spans="1:8" x14ac:dyDescent="0.25">
      <c r="A54" t="s">
        <v>3110</v>
      </c>
      <c r="B54" t="s">
        <v>1306</v>
      </c>
      <c r="C54" t="s">
        <v>82</v>
      </c>
      <c r="D54" t="s">
        <v>81</v>
      </c>
      <c r="E54" s="25" t="s">
        <v>93</v>
      </c>
      <c r="F54" s="25" t="s">
        <v>81</v>
      </c>
      <c r="G54" s="25" t="s">
        <v>112</v>
      </c>
      <c r="H54" s="25" t="s">
        <v>105</v>
      </c>
    </row>
    <row r="55" spans="1:8" x14ac:dyDescent="0.25">
      <c r="A55" t="s">
        <v>3111</v>
      </c>
      <c r="B55" t="s">
        <v>1740</v>
      </c>
      <c r="C55" t="s">
        <v>82</v>
      </c>
      <c r="D55" t="s">
        <v>81</v>
      </c>
      <c r="E55" s="25" t="s">
        <v>93</v>
      </c>
      <c r="F55" s="25" t="s">
        <v>81</v>
      </c>
      <c r="G55" s="25" t="s">
        <v>1307</v>
      </c>
      <c r="H55" s="25" t="s">
        <v>106</v>
      </c>
    </row>
    <row r="56" spans="1:8" x14ac:dyDescent="0.25">
      <c r="A56" t="s">
        <v>3112</v>
      </c>
      <c r="B56" t="s">
        <v>1308</v>
      </c>
      <c r="C56" t="s">
        <v>82</v>
      </c>
      <c r="D56" t="s">
        <v>81</v>
      </c>
      <c r="E56" s="25" t="s">
        <v>93</v>
      </c>
      <c r="F56" s="25" t="s">
        <v>81</v>
      </c>
      <c r="G56" s="25" t="s">
        <v>1303</v>
      </c>
      <c r="H56" s="25" t="s">
        <v>102</v>
      </c>
    </row>
    <row r="57" spans="1:8" x14ac:dyDescent="0.25">
      <c r="A57" t="s">
        <v>3430</v>
      </c>
      <c r="B57" t="s">
        <v>1738</v>
      </c>
      <c r="C57" t="s">
        <v>82</v>
      </c>
      <c r="D57" t="s">
        <v>81</v>
      </c>
      <c r="E57" s="25" t="s">
        <v>93</v>
      </c>
      <c r="F57" s="25" t="s">
        <v>81</v>
      </c>
      <c r="G57" s="25" t="s">
        <v>104</v>
      </c>
      <c r="H57" s="25" t="s">
        <v>99</v>
      </c>
    </row>
    <row r="58" spans="1:8" x14ac:dyDescent="0.25">
      <c r="A58" t="s">
        <v>3431</v>
      </c>
      <c r="B58" t="s">
        <v>1301</v>
      </c>
      <c r="C58" t="s">
        <v>82</v>
      </c>
      <c r="D58" t="s">
        <v>81</v>
      </c>
      <c r="E58" s="25" t="s">
        <v>93</v>
      </c>
      <c r="F58" s="25" t="s">
        <v>81</v>
      </c>
      <c r="G58" s="25" t="s">
        <v>1302</v>
      </c>
      <c r="H58" s="25" t="s">
        <v>340</v>
      </c>
    </row>
    <row r="59" spans="1:8" x14ac:dyDescent="0.25">
      <c r="A59" t="s">
        <v>3432</v>
      </c>
      <c r="B59" t="s">
        <v>3184</v>
      </c>
      <c r="C59" t="s">
        <v>82</v>
      </c>
      <c r="D59" t="s">
        <v>81</v>
      </c>
      <c r="E59" s="25" t="s">
        <v>93</v>
      </c>
      <c r="F59" s="25" t="s">
        <v>81</v>
      </c>
      <c r="G59" s="25" t="s">
        <v>1302</v>
      </c>
      <c r="H59" s="25" t="s">
        <v>340</v>
      </c>
    </row>
    <row r="60" spans="1:8" x14ac:dyDescent="0.25">
      <c r="A60" t="s">
        <v>3433</v>
      </c>
      <c r="B60" t="s">
        <v>1710</v>
      </c>
      <c r="C60" t="s">
        <v>82</v>
      </c>
      <c r="D60" t="s">
        <v>81</v>
      </c>
      <c r="E60" s="25" t="s">
        <v>93</v>
      </c>
      <c r="F60" s="25" t="s">
        <v>81</v>
      </c>
      <c r="G60" s="25" t="s">
        <v>3103</v>
      </c>
      <c r="H60" s="25" t="s">
        <v>1668</v>
      </c>
    </row>
    <row r="61" spans="1:8" x14ac:dyDescent="0.25">
      <c r="A61" t="s">
        <v>3434</v>
      </c>
      <c r="B61" t="s">
        <v>1739</v>
      </c>
      <c r="C61" t="s">
        <v>82</v>
      </c>
      <c r="D61" t="s">
        <v>81</v>
      </c>
      <c r="E61" s="25" t="s">
        <v>93</v>
      </c>
      <c r="F61" s="25" t="s">
        <v>81</v>
      </c>
      <c r="G61" s="25" t="s">
        <v>1303</v>
      </c>
      <c r="H61" s="25" t="s">
        <v>102</v>
      </c>
    </row>
    <row r="62" spans="1:8" x14ac:dyDescent="0.25">
      <c r="A62" t="s">
        <v>3435</v>
      </c>
      <c r="B62" t="s">
        <v>1304</v>
      </c>
      <c r="C62" t="s">
        <v>82</v>
      </c>
      <c r="D62" t="s">
        <v>81</v>
      </c>
      <c r="E62" s="25" t="s">
        <v>93</v>
      </c>
      <c r="F62" s="25" t="s">
        <v>81</v>
      </c>
      <c r="G62" s="25" t="s">
        <v>1303</v>
      </c>
      <c r="H62" s="25" t="s">
        <v>102</v>
      </c>
    </row>
    <row r="63" spans="1:8" x14ac:dyDescent="0.25">
      <c r="A63" t="s">
        <v>3436</v>
      </c>
      <c r="B63" t="s">
        <v>1305</v>
      </c>
      <c r="C63" t="s">
        <v>82</v>
      </c>
      <c r="D63" t="s">
        <v>81</v>
      </c>
      <c r="E63" s="25" t="s">
        <v>93</v>
      </c>
      <c r="F63" s="25" t="s">
        <v>81</v>
      </c>
      <c r="G63" s="25" t="s">
        <v>104</v>
      </c>
      <c r="H63" s="25" t="s">
        <v>99</v>
      </c>
    </row>
    <row r="64" spans="1:8" x14ac:dyDescent="0.25">
      <c r="A64" t="s">
        <v>3437</v>
      </c>
      <c r="B64" t="s">
        <v>1306</v>
      </c>
      <c r="C64" t="s">
        <v>82</v>
      </c>
      <c r="D64" t="s">
        <v>81</v>
      </c>
      <c r="E64" s="25" t="s">
        <v>93</v>
      </c>
      <c r="F64" s="25" t="s">
        <v>81</v>
      </c>
      <c r="G64" s="25" t="s">
        <v>112</v>
      </c>
      <c r="H64" s="25" t="s">
        <v>105</v>
      </c>
    </row>
    <row r="65" spans="1:8" x14ac:dyDescent="0.25">
      <c r="A65" t="s">
        <v>3438</v>
      </c>
      <c r="B65" t="s">
        <v>1740</v>
      </c>
      <c r="C65" t="s">
        <v>82</v>
      </c>
      <c r="D65" t="s">
        <v>81</v>
      </c>
      <c r="E65" s="25" t="s">
        <v>93</v>
      </c>
      <c r="F65" s="25" t="s">
        <v>81</v>
      </c>
      <c r="G65" s="25" t="s">
        <v>1307</v>
      </c>
      <c r="H65" s="25" t="s">
        <v>106</v>
      </c>
    </row>
    <row r="66" spans="1:8" x14ac:dyDescent="0.25">
      <c r="A66" t="s">
        <v>3439</v>
      </c>
      <c r="B66" t="s">
        <v>3440</v>
      </c>
      <c r="C66" t="s">
        <v>82</v>
      </c>
      <c r="D66" t="s">
        <v>81</v>
      </c>
      <c r="E66" s="25" t="s">
        <v>93</v>
      </c>
      <c r="F66" s="25" t="s">
        <v>81</v>
      </c>
      <c r="G66" s="25" t="s">
        <v>1303</v>
      </c>
      <c r="H66" s="25" t="s">
        <v>102</v>
      </c>
    </row>
    <row r="67" spans="1:8" x14ac:dyDescent="0.25">
      <c r="A67" t="s">
        <v>3817</v>
      </c>
      <c r="B67" t="s">
        <v>1738</v>
      </c>
      <c r="C67" t="s">
        <v>82</v>
      </c>
      <c r="D67" t="s">
        <v>3818</v>
      </c>
      <c r="E67" s="25" t="s">
        <v>93</v>
      </c>
      <c r="F67" s="25" t="s">
        <v>81</v>
      </c>
      <c r="G67" s="25" t="s">
        <v>104</v>
      </c>
      <c r="H67" s="25" t="s">
        <v>99</v>
      </c>
    </row>
    <row r="68" spans="1:8" x14ac:dyDescent="0.25">
      <c r="A68" t="s">
        <v>3969</v>
      </c>
      <c r="B68" t="s">
        <v>3970</v>
      </c>
      <c r="C68" t="s">
        <v>82</v>
      </c>
      <c r="D68" t="s">
        <v>3818</v>
      </c>
      <c r="E68" s="25" t="s">
        <v>93</v>
      </c>
      <c r="F68" s="25" t="s">
        <v>81</v>
      </c>
      <c r="G68" s="25" t="s">
        <v>3361</v>
      </c>
      <c r="H68" s="25" t="s">
        <v>3362</v>
      </c>
    </row>
    <row r="69" spans="1:8" x14ac:dyDescent="0.25">
      <c r="A69" t="s">
        <v>3819</v>
      </c>
      <c r="B69" t="s">
        <v>3820</v>
      </c>
      <c r="C69" t="s">
        <v>82</v>
      </c>
      <c r="D69" t="s">
        <v>3818</v>
      </c>
      <c r="E69" s="25" t="s">
        <v>93</v>
      </c>
      <c r="F69" s="25" t="s">
        <v>81</v>
      </c>
      <c r="G69" s="25" t="s">
        <v>1302</v>
      </c>
      <c r="H69" s="25" t="s">
        <v>340</v>
      </c>
    </row>
    <row r="70" spans="1:8" x14ac:dyDescent="0.25">
      <c r="A70" t="s">
        <v>3821</v>
      </c>
      <c r="B70" t="s">
        <v>3822</v>
      </c>
      <c r="C70" t="s">
        <v>3823</v>
      </c>
      <c r="D70" t="s">
        <v>3818</v>
      </c>
      <c r="E70" s="25" t="s">
        <v>94</v>
      </c>
      <c r="F70" s="25" t="s">
        <v>81</v>
      </c>
      <c r="G70" s="25" t="s">
        <v>1302</v>
      </c>
      <c r="H70" s="25" t="s">
        <v>340</v>
      </c>
    </row>
    <row r="71" spans="1:8" x14ac:dyDescent="0.25">
      <c r="A71" t="s">
        <v>3824</v>
      </c>
      <c r="B71" t="s">
        <v>3825</v>
      </c>
      <c r="C71" t="s">
        <v>82</v>
      </c>
      <c r="D71" t="s">
        <v>3818</v>
      </c>
      <c r="E71" s="25" t="s">
        <v>93</v>
      </c>
      <c r="F71" s="25" t="s">
        <v>81</v>
      </c>
      <c r="G71" s="25" t="s">
        <v>1303</v>
      </c>
      <c r="H71" s="25" t="s">
        <v>102</v>
      </c>
    </row>
    <row r="72" spans="1:8" x14ac:dyDescent="0.25">
      <c r="A72" t="s">
        <v>3826</v>
      </c>
      <c r="B72" t="s">
        <v>3827</v>
      </c>
      <c r="C72" t="s">
        <v>82</v>
      </c>
      <c r="D72" t="s">
        <v>3818</v>
      </c>
      <c r="E72" s="25" t="s">
        <v>93</v>
      </c>
      <c r="F72" s="25" t="s">
        <v>81</v>
      </c>
      <c r="G72" s="25" t="s">
        <v>1303</v>
      </c>
      <c r="H72" s="25" t="s">
        <v>102</v>
      </c>
    </row>
    <row r="73" spans="1:8" x14ac:dyDescent="0.25">
      <c r="A73" t="s">
        <v>3971</v>
      </c>
      <c r="B73" t="s">
        <v>3972</v>
      </c>
      <c r="C73" t="s">
        <v>82</v>
      </c>
      <c r="D73" t="s">
        <v>3818</v>
      </c>
      <c r="E73" s="25" t="s">
        <v>93</v>
      </c>
      <c r="F73" s="25" t="s">
        <v>81</v>
      </c>
      <c r="G73" s="25" t="s">
        <v>113</v>
      </c>
      <c r="H73" s="25" t="s">
        <v>114</v>
      </c>
    </row>
    <row r="74" spans="1:8" x14ac:dyDescent="0.25">
      <c r="A74" t="s">
        <v>3828</v>
      </c>
      <c r="B74" t="s">
        <v>3829</v>
      </c>
      <c r="C74" t="s">
        <v>82</v>
      </c>
      <c r="D74" t="s">
        <v>81</v>
      </c>
      <c r="E74" s="25" t="s">
        <v>93</v>
      </c>
      <c r="F74" s="25" t="s">
        <v>81</v>
      </c>
      <c r="G74" s="25" t="s">
        <v>104</v>
      </c>
      <c r="H74" s="25" t="s">
        <v>99</v>
      </c>
    </row>
    <row r="75" spans="1:8" x14ac:dyDescent="0.25">
      <c r="A75" t="s">
        <v>3830</v>
      </c>
      <c r="B75" t="s">
        <v>3831</v>
      </c>
      <c r="C75" t="s">
        <v>82</v>
      </c>
      <c r="D75" t="s">
        <v>3818</v>
      </c>
      <c r="E75" s="25" t="s">
        <v>93</v>
      </c>
      <c r="F75" s="25" t="s">
        <v>81</v>
      </c>
      <c r="G75" s="25" t="s">
        <v>112</v>
      </c>
      <c r="H75" s="25" t="s">
        <v>105</v>
      </c>
    </row>
    <row r="76" spans="1:8" x14ac:dyDescent="0.25">
      <c r="A76" t="s">
        <v>3832</v>
      </c>
      <c r="B76" t="s">
        <v>3833</v>
      </c>
      <c r="C76" t="s">
        <v>82</v>
      </c>
      <c r="D76" t="s">
        <v>3818</v>
      </c>
      <c r="E76" s="25" t="s">
        <v>93</v>
      </c>
      <c r="F76" s="25" t="s">
        <v>81</v>
      </c>
      <c r="G76" s="25" t="s">
        <v>1307</v>
      </c>
      <c r="H76" s="25" t="s">
        <v>106</v>
      </c>
    </row>
    <row r="77" spans="1:8" x14ac:dyDescent="0.25">
      <c r="A77" t="s">
        <v>3834</v>
      </c>
      <c r="B77" t="s">
        <v>3835</v>
      </c>
      <c r="C77" t="s">
        <v>82</v>
      </c>
      <c r="D77" t="s">
        <v>3818</v>
      </c>
      <c r="E77" s="25" t="s">
        <v>93</v>
      </c>
      <c r="F77" s="25" t="s">
        <v>81</v>
      </c>
      <c r="G77" s="25" t="s">
        <v>1303</v>
      </c>
      <c r="H77" s="25" t="s">
        <v>102</v>
      </c>
    </row>
    <row r="78" spans="1:8" x14ac:dyDescent="0.25">
      <c r="A78" t="s">
        <v>3349</v>
      </c>
      <c r="B78" t="s">
        <v>3350</v>
      </c>
      <c r="C78" t="s">
        <v>1297</v>
      </c>
      <c r="D78" t="s">
        <v>3248</v>
      </c>
      <c r="E78" s="25" t="s">
        <v>93</v>
      </c>
      <c r="F78" s="25" t="s">
        <v>81</v>
      </c>
      <c r="G78" s="25" t="s">
        <v>112</v>
      </c>
      <c r="H78" s="25" t="s">
        <v>105</v>
      </c>
    </row>
    <row r="79" spans="1:8" x14ac:dyDescent="0.25">
      <c r="A79" t="s">
        <v>3113</v>
      </c>
      <c r="B79" t="s">
        <v>3114</v>
      </c>
      <c r="C79" t="s">
        <v>1297</v>
      </c>
      <c r="D79" t="s">
        <v>81</v>
      </c>
      <c r="E79" s="25" t="s">
        <v>93</v>
      </c>
      <c r="F79" s="25" t="s">
        <v>81</v>
      </c>
      <c r="G79" s="25" t="s">
        <v>1707</v>
      </c>
      <c r="H79" s="25" t="s">
        <v>1668</v>
      </c>
    </row>
    <row r="80" spans="1:8" x14ac:dyDescent="0.25">
      <c r="A80" t="s">
        <v>3160</v>
      </c>
      <c r="B80" t="s">
        <v>3161</v>
      </c>
      <c r="C80" t="s">
        <v>1297</v>
      </c>
      <c r="D80" t="s">
        <v>81</v>
      </c>
      <c r="E80" s="25" t="s">
        <v>93</v>
      </c>
      <c r="F80" s="25" t="s">
        <v>81</v>
      </c>
      <c r="G80" s="25" t="s">
        <v>1707</v>
      </c>
      <c r="H80" s="25" t="s">
        <v>1668</v>
      </c>
    </row>
    <row r="81" spans="1:8" x14ac:dyDescent="0.25">
      <c r="A81" t="s">
        <v>3338</v>
      </c>
      <c r="B81" t="s">
        <v>3339</v>
      </c>
      <c r="C81" t="s">
        <v>1297</v>
      </c>
      <c r="D81" t="s">
        <v>3248</v>
      </c>
      <c r="E81" s="25" t="s">
        <v>93</v>
      </c>
      <c r="F81" s="25" t="s">
        <v>81</v>
      </c>
      <c r="G81" s="25" t="s">
        <v>111</v>
      </c>
      <c r="H81" s="25" t="s">
        <v>99</v>
      </c>
    </row>
    <row r="82" spans="1:8" x14ac:dyDescent="0.25">
      <c r="A82" t="s">
        <v>3115</v>
      </c>
      <c r="B82" t="s">
        <v>3116</v>
      </c>
      <c r="C82" t="s">
        <v>1297</v>
      </c>
      <c r="D82" t="s">
        <v>81</v>
      </c>
      <c r="E82" s="25" t="s">
        <v>93</v>
      </c>
      <c r="F82" s="25" t="s">
        <v>81</v>
      </c>
      <c r="G82" s="25" t="s">
        <v>101</v>
      </c>
      <c r="H82" s="25" t="s">
        <v>102</v>
      </c>
    </row>
    <row r="83" spans="1:8" x14ac:dyDescent="0.25">
      <c r="A83" t="s">
        <v>3246</v>
      </c>
      <c r="B83" t="s">
        <v>3247</v>
      </c>
      <c r="C83" t="s">
        <v>1297</v>
      </c>
      <c r="D83" t="s">
        <v>3248</v>
      </c>
      <c r="E83" s="25" t="s">
        <v>93</v>
      </c>
      <c r="F83" s="25" t="s">
        <v>81</v>
      </c>
      <c r="G83" s="25" t="s">
        <v>111</v>
      </c>
      <c r="H83" s="25" t="s">
        <v>99</v>
      </c>
    </row>
    <row r="84" spans="1:8" x14ac:dyDescent="0.25">
      <c r="A84" t="s">
        <v>3117</v>
      </c>
      <c r="B84" t="s">
        <v>3118</v>
      </c>
      <c r="C84" t="s">
        <v>1297</v>
      </c>
      <c r="D84" t="s">
        <v>81</v>
      </c>
      <c r="E84" s="25" t="s">
        <v>93</v>
      </c>
      <c r="F84" s="25" t="s">
        <v>81</v>
      </c>
      <c r="G84" s="25" t="s">
        <v>1296</v>
      </c>
      <c r="H84" s="25" t="s">
        <v>99</v>
      </c>
    </row>
    <row r="85" spans="1:8" x14ac:dyDescent="0.25">
      <c r="A85" t="s">
        <v>3441</v>
      </c>
      <c r="B85" t="s">
        <v>3350</v>
      </c>
      <c r="C85" t="s">
        <v>1297</v>
      </c>
      <c r="D85" t="s">
        <v>3248</v>
      </c>
      <c r="E85" s="25" t="s">
        <v>93</v>
      </c>
      <c r="F85" s="25" t="s">
        <v>81</v>
      </c>
      <c r="G85" s="25" t="s">
        <v>112</v>
      </c>
      <c r="H85" s="25" t="s">
        <v>105</v>
      </c>
    </row>
    <row r="86" spans="1:8" x14ac:dyDescent="0.25">
      <c r="A86" t="s">
        <v>3727</v>
      </c>
      <c r="B86" t="s">
        <v>3728</v>
      </c>
      <c r="C86" t="s">
        <v>1297</v>
      </c>
      <c r="D86" t="s">
        <v>3248</v>
      </c>
      <c r="E86" s="25" t="s">
        <v>93</v>
      </c>
      <c r="F86" s="25" t="s">
        <v>81</v>
      </c>
      <c r="G86" s="25" t="s">
        <v>115</v>
      </c>
      <c r="H86" s="25" t="s">
        <v>116</v>
      </c>
    </row>
    <row r="87" spans="1:8" x14ac:dyDescent="0.25">
      <c r="A87" t="s">
        <v>3442</v>
      </c>
      <c r="B87" t="s">
        <v>3114</v>
      </c>
      <c r="C87" t="s">
        <v>1297</v>
      </c>
      <c r="D87" t="s">
        <v>81</v>
      </c>
      <c r="E87" s="25" t="s">
        <v>94</v>
      </c>
      <c r="F87" s="25" t="s">
        <v>81</v>
      </c>
      <c r="G87" s="25" t="s">
        <v>1707</v>
      </c>
      <c r="H87" s="25" t="s">
        <v>1668</v>
      </c>
    </row>
    <row r="88" spans="1:8" x14ac:dyDescent="0.25">
      <c r="A88" t="s">
        <v>3443</v>
      </c>
      <c r="B88" t="s">
        <v>3161</v>
      </c>
      <c r="C88" t="s">
        <v>1297</v>
      </c>
      <c r="D88" t="s">
        <v>81</v>
      </c>
      <c r="E88" s="25" t="s">
        <v>93</v>
      </c>
      <c r="F88" s="25" t="s">
        <v>81</v>
      </c>
      <c r="G88" s="25" t="s">
        <v>1707</v>
      </c>
      <c r="H88" s="25" t="s">
        <v>1668</v>
      </c>
    </row>
    <row r="89" spans="1:8" x14ac:dyDescent="0.25">
      <c r="A89" t="s">
        <v>3444</v>
      </c>
      <c r="B89" t="s">
        <v>3445</v>
      </c>
      <c r="C89" t="s">
        <v>1297</v>
      </c>
      <c r="D89" t="s">
        <v>81</v>
      </c>
      <c r="E89" s="25" t="s">
        <v>93</v>
      </c>
      <c r="F89" s="25" t="s">
        <v>81</v>
      </c>
      <c r="G89" s="25" t="s">
        <v>101</v>
      </c>
      <c r="H89" s="25" t="s">
        <v>102</v>
      </c>
    </row>
    <row r="90" spans="1:8" x14ac:dyDescent="0.25">
      <c r="A90" t="s">
        <v>3691</v>
      </c>
      <c r="B90" t="s">
        <v>3692</v>
      </c>
      <c r="C90" t="s">
        <v>1297</v>
      </c>
      <c r="D90" t="s">
        <v>3693</v>
      </c>
      <c r="E90" s="25" t="s">
        <v>93</v>
      </c>
      <c r="F90" s="25" t="s">
        <v>81</v>
      </c>
      <c r="G90" s="25" t="s">
        <v>109</v>
      </c>
      <c r="H90" s="25" t="s">
        <v>106</v>
      </c>
    </row>
    <row r="91" spans="1:8" x14ac:dyDescent="0.25">
      <c r="A91" t="s">
        <v>3446</v>
      </c>
      <c r="B91" t="s">
        <v>3247</v>
      </c>
      <c r="C91" t="s">
        <v>1297</v>
      </c>
      <c r="D91" t="s">
        <v>3248</v>
      </c>
      <c r="E91" s="25" t="s">
        <v>93</v>
      </c>
      <c r="F91" s="25" t="s">
        <v>81</v>
      </c>
      <c r="G91" s="25" t="s">
        <v>111</v>
      </c>
      <c r="H91" s="25" t="s">
        <v>99</v>
      </c>
    </row>
    <row r="92" spans="1:8" x14ac:dyDescent="0.25">
      <c r="A92" t="s">
        <v>3447</v>
      </c>
      <c r="B92" t="s">
        <v>3118</v>
      </c>
      <c r="C92" t="s">
        <v>1297</v>
      </c>
      <c r="D92" t="s">
        <v>81</v>
      </c>
      <c r="E92" s="25" t="s">
        <v>93</v>
      </c>
      <c r="F92" s="25" t="s">
        <v>81</v>
      </c>
      <c r="G92" s="25" t="s">
        <v>1296</v>
      </c>
      <c r="H92" s="25" t="s">
        <v>99</v>
      </c>
    </row>
    <row r="93" spans="1:8" x14ac:dyDescent="0.25">
      <c r="A93" t="s">
        <v>3836</v>
      </c>
      <c r="B93" t="s">
        <v>3837</v>
      </c>
      <c r="C93" t="s">
        <v>1297</v>
      </c>
      <c r="D93" t="s">
        <v>3248</v>
      </c>
      <c r="E93" s="25" t="s">
        <v>93</v>
      </c>
      <c r="F93" s="25" t="s">
        <v>81</v>
      </c>
      <c r="G93" s="25" t="s">
        <v>112</v>
      </c>
      <c r="H93" s="25" t="s">
        <v>105</v>
      </c>
    </row>
    <row r="94" spans="1:8" x14ac:dyDescent="0.25">
      <c r="A94" t="s">
        <v>3838</v>
      </c>
      <c r="B94" t="s">
        <v>3839</v>
      </c>
      <c r="C94" t="s">
        <v>1297</v>
      </c>
      <c r="D94" t="s">
        <v>3248</v>
      </c>
      <c r="E94" s="25" t="s">
        <v>93</v>
      </c>
      <c r="F94" s="25" t="s">
        <v>81</v>
      </c>
      <c r="G94" s="25" t="s">
        <v>115</v>
      </c>
      <c r="H94" s="25" t="s">
        <v>116</v>
      </c>
    </row>
    <row r="95" spans="1:8" x14ac:dyDescent="0.25">
      <c r="A95" t="s">
        <v>4307</v>
      </c>
      <c r="B95" t="s">
        <v>4308</v>
      </c>
      <c r="C95" t="s">
        <v>1297</v>
      </c>
      <c r="D95" t="s">
        <v>3248</v>
      </c>
      <c r="E95" s="25" t="s">
        <v>93</v>
      </c>
      <c r="F95" s="25" t="s">
        <v>81</v>
      </c>
      <c r="G95" s="25" t="s">
        <v>111</v>
      </c>
      <c r="H95" s="25" t="s">
        <v>99</v>
      </c>
    </row>
    <row r="96" spans="1:8" x14ac:dyDescent="0.25">
      <c r="A96" t="s">
        <v>3840</v>
      </c>
      <c r="B96" t="s">
        <v>3841</v>
      </c>
      <c r="C96" t="s">
        <v>1297</v>
      </c>
      <c r="D96" t="s">
        <v>3248</v>
      </c>
      <c r="E96" s="25" t="s">
        <v>93</v>
      </c>
      <c r="F96" s="25" t="s">
        <v>81</v>
      </c>
      <c r="G96" s="25" t="s">
        <v>101</v>
      </c>
      <c r="H96" s="25" t="s">
        <v>102</v>
      </c>
    </row>
    <row r="97" spans="1:8" x14ac:dyDescent="0.25">
      <c r="A97" t="s">
        <v>4114</v>
      </c>
      <c r="B97" t="s">
        <v>4115</v>
      </c>
      <c r="C97" t="s">
        <v>1297</v>
      </c>
      <c r="D97" t="s">
        <v>3248</v>
      </c>
      <c r="E97" s="25" t="s">
        <v>93</v>
      </c>
      <c r="F97" s="25" t="s">
        <v>81</v>
      </c>
      <c r="G97" s="25" t="s">
        <v>112</v>
      </c>
      <c r="H97" s="25" t="s">
        <v>105</v>
      </c>
    </row>
    <row r="98" spans="1:8" x14ac:dyDescent="0.25">
      <c r="A98" t="s">
        <v>3842</v>
      </c>
      <c r="B98" t="s">
        <v>3843</v>
      </c>
      <c r="C98" t="s">
        <v>1297</v>
      </c>
      <c r="D98" t="s">
        <v>3248</v>
      </c>
      <c r="E98" s="25" t="s">
        <v>93</v>
      </c>
      <c r="F98" s="25" t="s">
        <v>81</v>
      </c>
      <c r="G98" s="25" t="s">
        <v>111</v>
      </c>
      <c r="H98" s="25" t="s">
        <v>99</v>
      </c>
    </row>
    <row r="99" spans="1:8" x14ac:dyDescent="0.25">
      <c r="A99" t="s">
        <v>3844</v>
      </c>
      <c r="B99" t="s">
        <v>3845</v>
      </c>
      <c r="C99" t="s">
        <v>1297</v>
      </c>
      <c r="D99" t="s">
        <v>3248</v>
      </c>
      <c r="E99" s="25" t="s">
        <v>93</v>
      </c>
      <c r="F99" s="25" t="s">
        <v>81</v>
      </c>
      <c r="G99" s="25" t="s">
        <v>1296</v>
      </c>
      <c r="H99" s="25" t="s">
        <v>99</v>
      </c>
    </row>
    <row r="100" spans="1:8" x14ac:dyDescent="0.25">
      <c r="A100" t="s">
        <v>3924</v>
      </c>
      <c r="B100" t="s">
        <v>3925</v>
      </c>
      <c r="C100" t="s">
        <v>3926</v>
      </c>
      <c r="D100" t="s">
        <v>81</v>
      </c>
      <c r="E100" s="25" t="s">
        <v>93</v>
      </c>
      <c r="F100" s="25" t="s">
        <v>81</v>
      </c>
      <c r="G100" s="25" t="s">
        <v>112</v>
      </c>
      <c r="H100" s="25" t="s">
        <v>105</v>
      </c>
    </row>
    <row r="101" spans="1:8" x14ac:dyDescent="0.25">
      <c r="A101" t="s">
        <v>4029</v>
      </c>
      <c r="B101" t="s">
        <v>4030</v>
      </c>
      <c r="C101" t="s">
        <v>3926</v>
      </c>
      <c r="D101" t="s">
        <v>81</v>
      </c>
      <c r="E101" s="25" t="s">
        <v>93</v>
      </c>
      <c r="F101" s="25" t="s">
        <v>81</v>
      </c>
      <c r="G101" s="25" t="s">
        <v>112</v>
      </c>
      <c r="H101" s="25" t="s">
        <v>105</v>
      </c>
    </row>
    <row r="102" spans="1:8" x14ac:dyDescent="0.25">
      <c r="A102" t="s">
        <v>3846</v>
      </c>
      <c r="B102" t="s">
        <v>1741</v>
      </c>
      <c r="C102" t="s">
        <v>3454</v>
      </c>
      <c r="D102" t="s">
        <v>3448</v>
      </c>
      <c r="E102" s="25" t="s">
        <v>93</v>
      </c>
      <c r="F102" s="25" t="s">
        <v>81</v>
      </c>
      <c r="G102" s="25" t="s">
        <v>101</v>
      </c>
      <c r="H102" s="25" t="s">
        <v>102</v>
      </c>
    </row>
    <row r="103" spans="1:8" x14ac:dyDescent="0.25">
      <c r="A103" t="s">
        <v>4309</v>
      </c>
      <c r="B103" t="s">
        <v>4310</v>
      </c>
      <c r="C103" t="s">
        <v>4311</v>
      </c>
      <c r="D103" t="s">
        <v>1734</v>
      </c>
      <c r="E103" s="25" t="s">
        <v>93</v>
      </c>
      <c r="F103" s="25" t="s">
        <v>108</v>
      </c>
      <c r="G103" s="25" t="s">
        <v>111</v>
      </c>
      <c r="H103" s="25" t="s">
        <v>99</v>
      </c>
    </row>
    <row r="104" spans="1:8" x14ac:dyDescent="0.25">
      <c r="A104" t="s">
        <v>1667</v>
      </c>
      <c r="B104" t="s">
        <v>2864</v>
      </c>
      <c r="C104" t="s">
        <v>90</v>
      </c>
      <c r="D104" t="s">
        <v>3209</v>
      </c>
      <c r="E104" s="25" t="s">
        <v>93</v>
      </c>
      <c r="F104" s="25" t="s">
        <v>110</v>
      </c>
      <c r="G104" s="25" t="s">
        <v>101</v>
      </c>
      <c r="H104" s="25" t="s">
        <v>102</v>
      </c>
    </row>
    <row r="105" spans="1:8" x14ac:dyDescent="0.25">
      <c r="A105" t="s">
        <v>2842</v>
      </c>
      <c r="B105" t="s">
        <v>3355</v>
      </c>
      <c r="C105" t="s">
        <v>3648</v>
      </c>
      <c r="D105" t="s">
        <v>2843</v>
      </c>
      <c r="E105" s="25" t="s">
        <v>93</v>
      </c>
      <c r="F105" s="25" t="s">
        <v>110</v>
      </c>
      <c r="G105" s="25" t="s">
        <v>101</v>
      </c>
      <c r="H105" s="25" t="s">
        <v>102</v>
      </c>
    </row>
    <row r="106" spans="1:8" x14ac:dyDescent="0.25">
      <c r="A106" t="s">
        <v>3927</v>
      </c>
      <c r="B106" t="s">
        <v>3928</v>
      </c>
      <c r="C106" t="s">
        <v>3450</v>
      </c>
      <c r="D106" t="s">
        <v>1736</v>
      </c>
      <c r="E106" s="25" t="s">
        <v>93</v>
      </c>
      <c r="F106" s="25" t="s">
        <v>108</v>
      </c>
      <c r="G106" s="25" t="s">
        <v>112</v>
      </c>
      <c r="H106" s="25" t="s">
        <v>105</v>
      </c>
    </row>
    <row r="107" spans="1:8" x14ac:dyDescent="0.25">
      <c r="A107" t="s">
        <v>3929</v>
      </c>
      <c r="B107" t="s">
        <v>3930</v>
      </c>
      <c r="C107" t="s">
        <v>3450</v>
      </c>
      <c r="D107" t="s">
        <v>1736</v>
      </c>
      <c r="E107" s="25" t="s">
        <v>93</v>
      </c>
      <c r="F107" s="25" t="s">
        <v>108</v>
      </c>
      <c r="G107" s="25" t="s">
        <v>115</v>
      </c>
      <c r="H107" s="25" t="s">
        <v>116</v>
      </c>
    </row>
    <row r="108" spans="1:8" x14ac:dyDescent="0.25">
      <c r="A108" t="s">
        <v>3039</v>
      </c>
      <c r="B108" t="s">
        <v>3356</v>
      </c>
      <c r="C108" t="s">
        <v>91</v>
      </c>
      <c r="D108" t="s">
        <v>3040</v>
      </c>
      <c r="E108" s="25" t="s">
        <v>93</v>
      </c>
      <c r="F108" s="25" t="s">
        <v>110</v>
      </c>
      <c r="G108" s="25" t="s">
        <v>101</v>
      </c>
      <c r="H108" s="25" t="s">
        <v>102</v>
      </c>
    </row>
    <row r="109" spans="1:8" x14ac:dyDescent="0.25">
      <c r="A109" t="s">
        <v>3076</v>
      </c>
      <c r="B109" t="s">
        <v>3589</v>
      </c>
      <c r="C109" t="s">
        <v>4031</v>
      </c>
      <c r="D109" t="s">
        <v>1309</v>
      </c>
      <c r="E109" s="25" t="s">
        <v>93</v>
      </c>
      <c r="F109" s="25" t="s">
        <v>110</v>
      </c>
      <c r="G109" s="25" t="s">
        <v>101</v>
      </c>
      <c r="H109" s="25" t="s">
        <v>102</v>
      </c>
    </row>
    <row r="110" spans="1:8" x14ac:dyDescent="0.25">
      <c r="A110" t="s">
        <v>3143</v>
      </c>
      <c r="B110" t="s">
        <v>3243</v>
      </c>
      <c r="C110" t="s">
        <v>344</v>
      </c>
      <c r="D110" t="s">
        <v>3040</v>
      </c>
      <c r="E110" s="25" t="s">
        <v>93</v>
      </c>
      <c r="F110" s="25" t="s">
        <v>110</v>
      </c>
      <c r="G110" s="25" t="s">
        <v>111</v>
      </c>
      <c r="H110" s="25" t="s">
        <v>99</v>
      </c>
    </row>
    <row r="111" spans="1:8" x14ac:dyDescent="0.25">
      <c r="A111" t="s">
        <v>3142</v>
      </c>
      <c r="B111" t="s">
        <v>3318</v>
      </c>
      <c r="C111" t="s">
        <v>424</v>
      </c>
      <c r="D111" t="s">
        <v>87</v>
      </c>
      <c r="E111" s="25" t="s">
        <v>93</v>
      </c>
      <c r="F111" s="25" t="s">
        <v>110</v>
      </c>
      <c r="G111" s="25" t="s">
        <v>101</v>
      </c>
      <c r="H111" s="25" t="s">
        <v>102</v>
      </c>
    </row>
    <row r="112" spans="1:8" x14ac:dyDescent="0.25">
      <c r="A112" t="s">
        <v>3295</v>
      </c>
      <c r="B112" t="s">
        <v>3340</v>
      </c>
      <c r="C112" t="s">
        <v>3613</v>
      </c>
      <c r="D112" t="s">
        <v>88</v>
      </c>
      <c r="E112" s="25" t="s">
        <v>93</v>
      </c>
      <c r="F112" s="25" t="s">
        <v>110</v>
      </c>
      <c r="G112" s="25" t="s">
        <v>101</v>
      </c>
      <c r="H112" s="25" t="s">
        <v>102</v>
      </c>
    </row>
    <row r="113" spans="1:8" x14ac:dyDescent="0.25">
      <c r="A113" t="s">
        <v>3357</v>
      </c>
      <c r="B113" t="s">
        <v>3358</v>
      </c>
      <c r="C113" t="s">
        <v>3359</v>
      </c>
      <c r="D113" t="s">
        <v>3360</v>
      </c>
      <c r="E113" s="25" t="s">
        <v>93</v>
      </c>
      <c r="F113" s="25" t="s">
        <v>110</v>
      </c>
      <c r="G113" s="25" t="s">
        <v>3361</v>
      </c>
      <c r="H113" s="25" t="s">
        <v>3362</v>
      </c>
    </row>
    <row r="114" spans="1:8" x14ac:dyDescent="0.25">
      <c r="A114" t="s">
        <v>3471</v>
      </c>
      <c r="B114" t="s">
        <v>3485</v>
      </c>
      <c r="C114" t="s">
        <v>90</v>
      </c>
      <c r="D114" t="s">
        <v>3472</v>
      </c>
      <c r="E114" s="25" t="s">
        <v>93</v>
      </c>
      <c r="F114" s="25" t="s">
        <v>2995</v>
      </c>
      <c r="G114" s="25" t="s">
        <v>101</v>
      </c>
      <c r="H114" s="25" t="s">
        <v>102</v>
      </c>
    </row>
    <row r="115" spans="1:8" x14ac:dyDescent="0.25">
      <c r="A115" t="s">
        <v>3847</v>
      </c>
      <c r="B115" t="s">
        <v>3473</v>
      </c>
      <c r="C115" t="s">
        <v>84</v>
      </c>
      <c r="D115" t="s">
        <v>3848</v>
      </c>
      <c r="E115" s="25" t="s">
        <v>93</v>
      </c>
      <c r="F115" s="25" t="s">
        <v>108</v>
      </c>
      <c r="G115" s="25" t="s">
        <v>109</v>
      </c>
      <c r="H115" s="25" t="s">
        <v>106</v>
      </c>
    </row>
    <row r="116" spans="1:8" x14ac:dyDescent="0.25">
      <c r="A116" t="s">
        <v>3476</v>
      </c>
      <c r="B116" t="s">
        <v>4659</v>
      </c>
      <c r="C116" t="s">
        <v>90</v>
      </c>
      <c r="D116" t="s">
        <v>3472</v>
      </c>
      <c r="E116" s="25" t="s">
        <v>93</v>
      </c>
      <c r="F116" s="25" t="s">
        <v>2995</v>
      </c>
      <c r="G116" s="25" t="s">
        <v>101</v>
      </c>
      <c r="H116" s="25" t="s">
        <v>102</v>
      </c>
    </row>
    <row r="117" spans="1:8" x14ac:dyDescent="0.25">
      <c r="A117" t="s">
        <v>3522</v>
      </c>
      <c r="B117" t="s">
        <v>3523</v>
      </c>
      <c r="C117" t="s">
        <v>1737</v>
      </c>
      <c r="D117" t="s">
        <v>3524</v>
      </c>
      <c r="E117" s="25" t="s">
        <v>94</v>
      </c>
      <c r="F117" s="25" t="s">
        <v>108</v>
      </c>
      <c r="G117" s="25" t="s">
        <v>109</v>
      </c>
      <c r="H117" s="25" t="s">
        <v>106</v>
      </c>
    </row>
    <row r="118" spans="1:8" x14ac:dyDescent="0.25">
      <c r="A118" t="s">
        <v>3525</v>
      </c>
      <c r="B118" t="s">
        <v>3526</v>
      </c>
      <c r="C118" t="s">
        <v>90</v>
      </c>
      <c r="D118" t="s">
        <v>3527</v>
      </c>
      <c r="E118" s="25" t="s">
        <v>93</v>
      </c>
      <c r="F118" s="25" t="s">
        <v>110</v>
      </c>
      <c r="G118" s="25" t="s">
        <v>101</v>
      </c>
      <c r="H118" s="25" t="s">
        <v>102</v>
      </c>
    </row>
    <row r="119" spans="1:8" x14ac:dyDescent="0.25">
      <c r="A119" t="s">
        <v>3614</v>
      </c>
      <c r="B119" t="s">
        <v>3615</v>
      </c>
      <c r="C119" t="s">
        <v>3616</v>
      </c>
      <c r="D119" t="s">
        <v>946</v>
      </c>
      <c r="E119" s="25" t="s">
        <v>93</v>
      </c>
      <c r="F119" s="25" t="s">
        <v>110</v>
      </c>
      <c r="G119" s="25" t="s">
        <v>101</v>
      </c>
      <c r="H119" s="25" t="s">
        <v>102</v>
      </c>
    </row>
    <row r="120" spans="1:8" x14ac:dyDescent="0.25">
      <c r="A120" t="s">
        <v>3636</v>
      </c>
      <c r="B120" t="s">
        <v>3657</v>
      </c>
      <c r="C120" t="s">
        <v>3849</v>
      </c>
      <c r="D120" t="s">
        <v>3850</v>
      </c>
      <c r="E120" s="25" t="s">
        <v>93</v>
      </c>
      <c r="F120" s="25" t="s">
        <v>110</v>
      </c>
      <c r="G120" s="25" t="s">
        <v>101</v>
      </c>
      <c r="H120" s="25" t="s">
        <v>102</v>
      </c>
    </row>
    <row r="121" spans="1:8" x14ac:dyDescent="0.25">
      <c r="A121" t="s">
        <v>3679</v>
      </c>
      <c r="B121" t="s">
        <v>3694</v>
      </c>
      <c r="C121" t="s">
        <v>3730</v>
      </c>
      <c r="D121" t="s">
        <v>3729</v>
      </c>
      <c r="E121" s="25" t="s">
        <v>93</v>
      </c>
      <c r="F121" s="25" t="s">
        <v>2995</v>
      </c>
      <c r="G121" s="25" t="s">
        <v>101</v>
      </c>
      <c r="H121" s="25" t="s">
        <v>102</v>
      </c>
    </row>
    <row r="122" spans="1:8" x14ac:dyDescent="0.25">
      <c r="A122" t="s">
        <v>3680</v>
      </c>
      <c r="B122" t="s">
        <v>3695</v>
      </c>
      <c r="C122" t="s">
        <v>830</v>
      </c>
      <c r="D122" t="s">
        <v>86</v>
      </c>
      <c r="E122" s="25" t="s">
        <v>93</v>
      </c>
      <c r="F122" s="25" t="s">
        <v>110</v>
      </c>
      <c r="G122" s="25" t="s">
        <v>112</v>
      </c>
      <c r="H122" s="25" t="s">
        <v>105</v>
      </c>
    </row>
    <row r="123" spans="1:8" x14ac:dyDescent="0.25">
      <c r="A123" t="s">
        <v>4312</v>
      </c>
      <c r="B123" t="s">
        <v>4313</v>
      </c>
      <c r="C123" t="s">
        <v>84</v>
      </c>
      <c r="D123" t="s">
        <v>3696</v>
      </c>
      <c r="E123" s="25" t="s">
        <v>93</v>
      </c>
      <c r="F123" s="25" t="s">
        <v>108</v>
      </c>
      <c r="G123" s="25" t="s">
        <v>109</v>
      </c>
      <c r="H123" s="25" t="s">
        <v>106</v>
      </c>
    </row>
    <row r="124" spans="1:8" x14ac:dyDescent="0.25">
      <c r="A124" t="s">
        <v>3732</v>
      </c>
      <c r="B124" t="s">
        <v>3733</v>
      </c>
      <c r="C124" t="s">
        <v>3448</v>
      </c>
      <c r="D124" t="s">
        <v>3734</v>
      </c>
      <c r="E124" s="25" t="s">
        <v>93</v>
      </c>
      <c r="F124" s="25" t="s">
        <v>110</v>
      </c>
      <c r="G124" s="25" t="s">
        <v>101</v>
      </c>
      <c r="H124" s="25" t="s">
        <v>102</v>
      </c>
    </row>
    <row r="125" spans="1:8" x14ac:dyDescent="0.25">
      <c r="A125" t="s">
        <v>3735</v>
      </c>
      <c r="B125" t="s">
        <v>3736</v>
      </c>
      <c r="C125" t="s">
        <v>3737</v>
      </c>
      <c r="D125" t="s">
        <v>3738</v>
      </c>
      <c r="E125" s="25" t="s">
        <v>93</v>
      </c>
      <c r="F125" s="25" t="s">
        <v>110</v>
      </c>
      <c r="G125" s="25" t="s">
        <v>111</v>
      </c>
      <c r="H125" s="25" t="s">
        <v>99</v>
      </c>
    </row>
    <row r="126" spans="1:8" x14ac:dyDescent="0.25">
      <c r="A126" t="s">
        <v>3740</v>
      </c>
      <c r="B126" t="s">
        <v>3741</v>
      </c>
      <c r="C126" t="s">
        <v>91</v>
      </c>
      <c r="D126" t="s">
        <v>425</v>
      </c>
      <c r="E126" s="25" t="s">
        <v>94</v>
      </c>
      <c r="F126" s="25" t="s">
        <v>108</v>
      </c>
      <c r="G126" s="25" t="s">
        <v>101</v>
      </c>
      <c r="H126" s="25" t="s">
        <v>102</v>
      </c>
    </row>
    <row r="127" spans="1:8" x14ac:dyDescent="0.25">
      <c r="A127" t="s">
        <v>3851</v>
      </c>
      <c r="B127" t="s">
        <v>3739</v>
      </c>
      <c r="C127" t="s">
        <v>3852</v>
      </c>
      <c r="D127" t="s">
        <v>3850</v>
      </c>
      <c r="E127" s="25" t="s">
        <v>93</v>
      </c>
      <c r="F127" s="25" t="s">
        <v>110</v>
      </c>
      <c r="G127" s="25" t="s">
        <v>101</v>
      </c>
      <c r="H127" s="25" t="s">
        <v>102</v>
      </c>
    </row>
    <row r="128" spans="1:8" x14ac:dyDescent="0.25">
      <c r="A128" t="s">
        <v>3853</v>
      </c>
      <c r="B128" t="s">
        <v>3854</v>
      </c>
      <c r="C128" t="s">
        <v>91</v>
      </c>
      <c r="D128" t="s">
        <v>425</v>
      </c>
      <c r="E128" s="25" t="s">
        <v>94</v>
      </c>
      <c r="F128" s="25" t="s">
        <v>108</v>
      </c>
      <c r="G128" s="25" t="s">
        <v>101</v>
      </c>
      <c r="H128" s="25" t="s">
        <v>102</v>
      </c>
    </row>
    <row r="129" spans="1:8" x14ac:dyDescent="0.25">
      <c r="A129" t="s">
        <v>3855</v>
      </c>
      <c r="B129" t="s">
        <v>3856</v>
      </c>
      <c r="C129" t="s">
        <v>91</v>
      </c>
      <c r="D129" t="s">
        <v>425</v>
      </c>
      <c r="E129" s="25" t="s">
        <v>93</v>
      </c>
      <c r="F129" s="25" t="s">
        <v>108</v>
      </c>
      <c r="G129" s="25" t="s">
        <v>101</v>
      </c>
      <c r="H129" s="25" t="s">
        <v>102</v>
      </c>
    </row>
    <row r="130" spans="1:8" x14ac:dyDescent="0.25">
      <c r="A130" t="s">
        <v>3857</v>
      </c>
      <c r="B130" t="s">
        <v>3858</v>
      </c>
      <c r="C130" t="s">
        <v>830</v>
      </c>
      <c r="D130" t="s">
        <v>3649</v>
      </c>
      <c r="E130" s="25" t="s">
        <v>93</v>
      </c>
      <c r="F130" s="25" t="s">
        <v>108</v>
      </c>
      <c r="G130" s="25" t="s">
        <v>115</v>
      </c>
      <c r="H130" s="25" t="s">
        <v>116</v>
      </c>
    </row>
    <row r="131" spans="1:8" x14ac:dyDescent="0.25">
      <c r="A131" t="s">
        <v>3859</v>
      </c>
      <c r="B131" t="s">
        <v>3931</v>
      </c>
      <c r="C131" t="s">
        <v>830</v>
      </c>
      <c r="D131" t="s">
        <v>86</v>
      </c>
      <c r="E131" s="25" t="s">
        <v>93</v>
      </c>
      <c r="F131" s="25" t="s">
        <v>108</v>
      </c>
      <c r="G131" s="25" t="s">
        <v>112</v>
      </c>
      <c r="H131" s="25" t="s">
        <v>105</v>
      </c>
    </row>
    <row r="132" spans="1:8" x14ac:dyDescent="0.25">
      <c r="A132" t="s">
        <v>3932</v>
      </c>
      <c r="B132" t="s">
        <v>3933</v>
      </c>
      <c r="C132" t="s">
        <v>3450</v>
      </c>
      <c r="D132" t="s">
        <v>1736</v>
      </c>
      <c r="E132" s="25" t="s">
        <v>93</v>
      </c>
      <c r="F132" s="25" t="s">
        <v>108</v>
      </c>
      <c r="G132" s="25" t="s">
        <v>115</v>
      </c>
      <c r="H132" s="25" t="s">
        <v>116</v>
      </c>
    </row>
    <row r="133" spans="1:8" x14ac:dyDescent="0.25">
      <c r="A133" t="s">
        <v>3935</v>
      </c>
      <c r="B133" t="s">
        <v>3999</v>
      </c>
      <c r="C133" t="s">
        <v>3450</v>
      </c>
      <c r="D133" t="s">
        <v>3449</v>
      </c>
      <c r="E133" s="25" t="s">
        <v>93</v>
      </c>
      <c r="F133" s="25" t="s">
        <v>108</v>
      </c>
      <c r="G133" s="25" t="s">
        <v>112</v>
      </c>
      <c r="H133" s="25" t="s">
        <v>105</v>
      </c>
    </row>
    <row r="134" spans="1:8" x14ac:dyDescent="0.25">
      <c r="A134" t="s">
        <v>3936</v>
      </c>
      <c r="B134" t="s">
        <v>3937</v>
      </c>
      <c r="C134" t="s">
        <v>830</v>
      </c>
      <c r="D134" t="s">
        <v>3938</v>
      </c>
      <c r="E134" s="25" t="s">
        <v>93</v>
      </c>
      <c r="F134" s="25" t="s">
        <v>108</v>
      </c>
      <c r="G134" s="25" t="s">
        <v>112</v>
      </c>
      <c r="H134" s="25" t="s">
        <v>105</v>
      </c>
    </row>
    <row r="135" spans="1:8" x14ac:dyDescent="0.25">
      <c r="A135" t="s">
        <v>3939</v>
      </c>
      <c r="B135" t="s">
        <v>3940</v>
      </c>
      <c r="C135" t="s">
        <v>830</v>
      </c>
      <c r="D135" t="s">
        <v>3938</v>
      </c>
      <c r="E135" s="25" t="s">
        <v>93</v>
      </c>
      <c r="F135" s="25" t="s">
        <v>108</v>
      </c>
      <c r="G135" s="25" t="s">
        <v>115</v>
      </c>
      <c r="H135" s="25" t="s">
        <v>116</v>
      </c>
    </row>
    <row r="136" spans="1:8" x14ac:dyDescent="0.25">
      <c r="A136" t="s">
        <v>3941</v>
      </c>
      <c r="B136" t="s">
        <v>3942</v>
      </c>
      <c r="C136" t="s">
        <v>84</v>
      </c>
      <c r="D136" t="s">
        <v>89</v>
      </c>
      <c r="E136" s="25" t="s">
        <v>93</v>
      </c>
      <c r="F136" s="25" t="s">
        <v>108</v>
      </c>
      <c r="G136" s="25" t="s">
        <v>113</v>
      </c>
      <c r="H136" s="25" t="s">
        <v>114</v>
      </c>
    </row>
    <row r="137" spans="1:8" x14ac:dyDescent="0.25">
      <c r="A137" t="s">
        <v>3944</v>
      </c>
      <c r="B137" t="s">
        <v>3945</v>
      </c>
      <c r="C137" t="s">
        <v>3448</v>
      </c>
      <c r="D137" t="s">
        <v>3734</v>
      </c>
      <c r="E137" s="25" t="s">
        <v>93</v>
      </c>
      <c r="F137" s="25" t="s">
        <v>110</v>
      </c>
      <c r="G137" s="25" t="s">
        <v>101</v>
      </c>
      <c r="H137" s="25" t="s">
        <v>102</v>
      </c>
    </row>
    <row r="138" spans="1:8" x14ac:dyDescent="0.25">
      <c r="A138" t="s">
        <v>3947</v>
      </c>
      <c r="B138" t="s">
        <v>3948</v>
      </c>
      <c r="C138" t="s">
        <v>4660</v>
      </c>
      <c r="D138" t="s">
        <v>3734</v>
      </c>
      <c r="E138" s="25" t="s">
        <v>93</v>
      </c>
      <c r="F138" s="25" t="s">
        <v>2995</v>
      </c>
      <c r="G138" s="25" t="s">
        <v>101</v>
      </c>
      <c r="H138" s="25" t="s">
        <v>102</v>
      </c>
    </row>
    <row r="139" spans="1:8" x14ac:dyDescent="0.25">
      <c r="A139" t="s">
        <v>3949</v>
      </c>
      <c r="B139" t="s">
        <v>4661</v>
      </c>
      <c r="C139" t="s">
        <v>4662</v>
      </c>
      <c r="D139" t="s">
        <v>3472</v>
      </c>
      <c r="E139" s="25" t="s">
        <v>93</v>
      </c>
      <c r="F139" s="25" t="s">
        <v>2995</v>
      </c>
      <c r="G139" s="25" t="s">
        <v>101</v>
      </c>
      <c r="H139" s="25" t="s">
        <v>102</v>
      </c>
    </row>
    <row r="140" spans="1:8" x14ac:dyDescent="0.25">
      <c r="A140" t="s">
        <v>3950</v>
      </c>
      <c r="B140" t="s">
        <v>3951</v>
      </c>
      <c r="C140" t="s">
        <v>3450</v>
      </c>
      <c r="D140" t="s">
        <v>3952</v>
      </c>
      <c r="E140" s="25" t="s">
        <v>93</v>
      </c>
      <c r="F140" s="25" t="s">
        <v>108</v>
      </c>
      <c r="G140" s="25" t="s">
        <v>112</v>
      </c>
      <c r="H140" s="25" t="s">
        <v>105</v>
      </c>
    </row>
    <row r="141" spans="1:8" x14ac:dyDescent="0.25">
      <c r="A141" t="s">
        <v>3953</v>
      </c>
      <c r="B141" t="s">
        <v>3954</v>
      </c>
      <c r="C141" t="s">
        <v>3450</v>
      </c>
      <c r="D141" t="s">
        <v>3952</v>
      </c>
      <c r="E141" s="25" t="s">
        <v>93</v>
      </c>
      <c r="F141" s="25" t="s">
        <v>108</v>
      </c>
      <c r="G141" s="25" t="s">
        <v>115</v>
      </c>
      <c r="H141" s="25" t="s">
        <v>116</v>
      </c>
    </row>
    <row r="142" spans="1:8" x14ac:dyDescent="0.25">
      <c r="A142" t="s">
        <v>3973</v>
      </c>
      <c r="B142" t="s">
        <v>4032</v>
      </c>
      <c r="C142" t="s">
        <v>344</v>
      </c>
      <c r="D142" t="s">
        <v>3040</v>
      </c>
      <c r="E142" s="25" t="s">
        <v>93</v>
      </c>
      <c r="F142" s="25" t="s">
        <v>110</v>
      </c>
      <c r="G142" s="25" t="s">
        <v>111</v>
      </c>
      <c r="H142" s="25" t="s">
        <v>99</v>
      </c>
    </row>
    <row r="143" spans="1:8" x14ac:dyDescent="0.25">
      <c r="A143" t="s">
        <v>3866</v>
      </c>
      <c r="B143" t="s">
        <v>3955</v>
      </c>
      <c r="C143" t="s">
        <v>4663</v>
      </c>
      <c r="D143" t="s">
        <v>3734</v>
      </c>
      <c r="E143" s="25" t="s">
        <v>93</v>
      </c>
      <c r="F143" s="25" t="s">
        <v>2995</v>
      </c>
      <c r="G143" s="25" t="s">
        <v>101</v>
      </c>
      <c r="H143" s="25" t="s">
        <v>102</v>
      </c>
    </row>
    <row r="144" spans="1:8" x14ac:dyDescent="0.25">
      <c r="A144" t="s">
        <v>3956</v>
      </c>
      <c r="B144" t="s">
        <v>3957</v>
      </c>
      <c r="C144" t="s">
        <v>4000</v>
      </c>
      <c r="D144" t="s">
        <v>3649</v>
      </c>
      <c r="E144" s="25" t="s">
        <v>93</v>
      </c>
      <c r="F144" s="25" t="s">
        <v>2995</v>
      </c>
      <c r="G144" s="25" t="s">
        <v>112</v>
      </c>
      <c r="H144" s="25" t="s">
        <v>105</v>
      </c>
    </row>
    <row r="145" spans="1:8" x14ac:dyDescent="0.25">
      <c r="A145" t="s">
        <v>3958</v>
      </c>
      <c r="B145" t="s">
        <v>3959</v>
      </c>
      <c r="C145" t="s">
        <v>4001</v>
      </c>
      <c r="D145" t="s">
        <v>3649</v>
      </c>
      <c r="E145" s="25" t="s">
        <v>93</v>
      </c>
      <c r="F145" s="25" t="s">
        <v>2995</v>
      </c>
      <c r="G145" s="25" t="s">
        <v>115</v>
      </c>
      <c r="H145" s="25" t="s">
        <v>116</v>
      </c>
    </row>
    <row r="146" spans="1:8" x14ac:dyDescent="0.25">
      <c r="A146" t="s">
        <v>3960</v>
      </c>
      <c r="B146" t="s">
        <v>4033</v>
      </c>
      <c r="C146" t="s">
        <v>84</v>
      </c>
      <c r="D146" t="s">
        <v>88</v>
      </c>
      <c r="E146" s="25" t="s">
        <v>93</v>
      </c>
      <c r="F146" s="25" t="s">
        <v>110</v>
      </c>
      <c r="G146" s="25" t="s">
        <v>109</v>
      </c>
      <c r="H146" s="25" t="s">
        <v>106</v>
      </c>
    </row>
    <row r="147" spans="1:8" x14ac:dyDescent="0.25">
      <c r="A147" t="s">
        <v>3974</v>
      </c>
      <c r="B147" t="s">
        <v>3975</v>
      </c>
      <c r="C147" t="s">
        <v>3450</v>
      </c>
      <c r="D147" t="s">
        <v>3952</v>
      </c>
      <c r="E147" s="25" t="s">
        <v>93</v>
      </c>
      <c r="F147" s="25" t="s">
        <v>108</v>
      </c>
      <c r="G147" s="25" t="s">
        <v>112</v>
      </c>
      <c r="H147" s="25" t="s">
        <v>105</v>
      </c>
    </row>
    <row r="148" spans="1:8" x14ac:dyDescent="0.25">
      <c r="A148" t="s">
        <v>3976</v>
      </c>
      <c r="B148" t="s">
        <v>4664</v>
      </c>
      <c r="C148" t="s">
        <v>4314</v>
      </c>
      <c r="D148" t="s">
        <v>3472</v>
      </c>
      <c r="E148" s="25" t="s">
        <v>93</v>
      </c>
      <c r="F148" s="25" t="s">
        <v>2995</v>
      </c>
      <c r="G148" s="25" t="s">
        <v>101</v>
      </c>
      <c r="H148" s="25" t="s">
        <v>102</v>
      </c>
    </row>
    <row r="149" spans="1:8" x14ac:dyDescent="0.25">
      <c r="A149" t="s">
        <v>3977</v>
      </c>
      <c r="B149" t="s">
        <v>4665</v>
      </c>
      <c r="C149" t="s">
        <v>3448</v>
      </c>
      <c r="D149" t="s">
        <v>3943</v>
      </c>
      <c r="E149" s="25" t="s">
        <v>93</v>
      </c>
      <c r="F149" s="25" t="s">
        <v>2995</v>
      </c>
      <c r="G149" s="25" t="s">
        <v>101</v>
      </c>
      <c r="H149" s="25" t="s">
        <v>102</v>
      </c>
    </row>
    <row r="150" spans="1:8" x14ac:dyDescent="0.25">
      <c r="A150" t="s">
        <v>3978</v>
      </c>
      <c r="B150" t="s">
        <v>3979</v>
      </c>
      <c r="C150" t="s">
        <v>4077</v>
      </c>
      <c r="D150" t="s">
        <v>3270</v>
      </c>
      <c r="E150" s="25" t="s">
        <v>93</v>
      </c>
      <c r="F150" s="25" t="s">
        <v>110</v>
      </c>
      <c r="G150" s="25" t="s">
        <v>101</v>
      </c>
      <c r="H150" s="25" t="s">
        <v>102</v>
      </c>
    </row>
    <row r="151" spans="1:8" x14ac:dyDescent="0.25">
      <c r="A151" t="s">
        <v>3980</v>
      </c>
      <c r="B151" t="s">
        <v>3981</v>
      </c>
      <c r="C151" t="s">
        <v>84</v>
      </c>
      <c r="D151" t="s">
        <v>89</v>
      </c>
      <c r="E151" s="25" t="s">
        <v>93</v>
      </c>
      <c r="F151" s="25" t="s">
        <v>108</v>
      </c>
      <c r="G151" s="25" t="s">
        <v>113</v>
      </c>
      <c r="H151" s="25" t="s">
        <v>114</v>
      </c>
    </row>
    <row r="152" spans="1:8" x14ac:dyDescent="0.25">
      <c r="A152" t="s">
        <v>3982</v>
      </c>
      <c r="B152" t="s">
        <v>4078</v>
      </c>
      <c r="C152" t="s">
        <v>3946</v>
      </c>
      <c r="D152" t="s">
        <v>3040</v>
      </c>
      <c r="E152" s="25" t="s">
        <v>93</v>
      </c>
      <c r="F152" s="25" t="s">
        <v>110</v>
      </c>
      <c r="G152" s="25" t="s">
        <v>111</v>
      </c>
      <c r="H152" s="25" t="s">
        <v>99</v>
      </c>
    </row>
    <row r="153" spans="1:8" x14ac:dyDescent="0.25">
      <c r="A153" t="s">
        <v>3983</v>
      </c>
      <c r="B153" t="s">
        <v>4079</v>
      </c>
      <c r="C153" t="s">
        <v>3984</v>
      </c>
      <c r="D153" t="s">
        <v>87</v>
      </c>
      <c r="E153" s="25" t="s">
        <v>93</v>
      </c>
      <c r="F153" s="25" t="s">
        <v>110</v>
      </c>
      <c r="G153" s="25" t="s">
        <v>111</v>
      </c>
      <c r="H153" s="25" t="s">
        <v>99</v>
      </c>
    </row>
    <row r="154" spans="1:8" x14ac:dyDescent="0.25">
      <c r="A154" t="s">
        <v>4002</v>
      </c>
      <c r="B154" t="s">
        <v>4034</v>
      </c>
      <c r="C154" t="s">
        <v>4077</v>
      </c>
      <c r="D154" t="s">
        <v>4003</v>
      </c>
      <c r="E154" s="25" t="s">
        <v>93</v>
      </c>
      <c r="F154" s="25" t="s">
        <v>110</v>
      </c>
      <c r="G154" s="25" t="s">
        <v>101</v>
      </c>
      <c r="H154" s="25" t="s">
        <v>102</v>
      </c>
    </row>
    <row r="155" spans="1:8" x14ac:dyDescent="0.25">
      <c r="A155" t="s">
        <v>3985</v>
      </c>
      <c r="B155" t="s">
        <v>4035</v>
      </c>
      <c r="C155" t="s">
        <v>3448</v>
      </c>
      <c r="D155" t="s">
        <v>3270</v>
      </c>
      <c r="E155" s="25" t="s">
        <v>93</v>
      </c>
      <c r="F155" s="25" t="s">
        <v>2995</v>
      </c>
      <c r="G155" s="25" t="s">
        <v>101</v>
      </c>
      <c r="H155" s="25" t="s">
        <v>102</v>
      </c>
    </row>
    <row r="156" spans="1:8" x14ac:dyDescent="0.25">
      <c r="A156" t="s">
        <v>3986</v>
      </c>
      <c r="B156" t="s">
        <v>4666</v>
      </c>
      <c r="C156" t="s">
        <v>4663</v>
      </c>
      <c r="D156" t="s">
        <v>3472</v>
      </c>
      <c r="E156" s="25" t="s">
        <v>93</v>
      </c>
      <c r="F156" s="25" t="s">
        <v>2995</v>
      </c>
      <c r="G156" s="25" t="s">
        <v>101</v>
      </c>
      <c r="H156" s="25" t="s">
        <v>102</v>
      </c>
    </row>
    <row r="157" spans="1:8" x14ac:dyDescent="0.25">
      <c r="A157" t="s">
        <v>3987</v>
      </c>
      <c r="B157" t="s">
        <v>3988</v>
      </c>
      <c r="C157" t="s">
        <v>84</v>
      </c>
      <c r="D157" t="s">
        <v>88</v>
      </c>
      <c r="E157" s="25" t="s">
        <v>93</v>
      </c>
      <c r="F157" s="25" t="s">
        <v>108</v>
      </c>
      <c r="G157" s="25" t="s">
        <v>109</v>
      </c>
      <c r="H157" s="25" t="s">
        <v>106</v>
      </c>
    </row>
    <row r="158" spans="1:8" x14ac:dyDescent="0.25">
      <c r="A158" t="s">
        <v>4036</v>
      </c>
      <c r="B158" t="s">
        <v>4037</v>
      </c>
      <c r="C158" t="s">
        <v>3448</v>
      </c>
      <c r="D158" t="s">
        <v>3734</v>
      </c>
      <c r="E158" s="25" t="s">
        <v>93</v>
      </c>
      <c r="F158" s="25" t="s">
        <v>110</v>
      </c>
      <c r="G158" s="25" t="s">
        <v>101</v>
      </c>
      <c r="H158" s="25" t="s">
        <v>102</v>
      </c>
    </row>
    <row r="159" spans="1:8" x14ac:dyDescent="0.25">
      <c r="A159" t="s">
        <v>4315</v>
      </c>
      <c r="B159" t="s">
        <v>4316</v>
      </c>
      <c r="C159" t="s">
        <v>4317</v>
      </c>
      <c r="D159" t="s">
        <v>425</v>
      </c>
      <c r="E159" s="25" t="s">
        <v>94</v>
      </c>
      <c r="F159" s="25" t="s">
        <v>108</v>
      </c>
      <c r="G159" s="25" t="s">
        <v>101</v>
      </c>
      <c r="H159" s="25" t="s">
        <v>102</v>
      </c>
    </row>
    <row r="160" spans="1:8" x14ac:dyDescent="0.25">
      <c r="A160" t="s">
        <v>4116</v>
      </c>
      <c r="B160" t="s">
        <v>4117</v>
      </c>
      <c r="C160" t="s">
        <v>4118</v>
      </c>
      <c r="D160" t="s">
        <v>3731</v>
      </c>
      <c r="E160" s="25" t="s">
        <v>93</v>
      </c>
      <c r="F160" s="25" t="s">
        <v>108</v>
      </c>
      <c r="G160" s="25" t="s">
        <v>101</v>
      </c>
      <c r="H160" s="25" t="s">
        <v>102</v>
      </c>
    </row>
    <row r="161" spans="1:8" x14ac:dyDescent="0.25">
      <c r="A161" t="s">
        <v>4038</v>
      </c>
      <c r="B161" t="s">
        <v>4080</v>
      </c>
      <c r="C161" t="s">
        <v>3737</v>
      </c>
      <c r="D161" t="s">
        <v>4039</v>
      </c>
      <c r="E161" s="25" t="s">
        <v>93</v>
      </c>
      <c r="F161" s="25" t="s">
        <v>110</v>
      </c>
      <c r="G161" s="25" t="s">
        <v>112</v>
      </c>
      <c r="H161" s="25" t="s">
        <v>105</v>
      </c>
    </row>
    <row r="162" spans="1:8" x14ac:dyDescent="0.25">
      <c r="A162" t="s">
        <v>4040</v>
      </c>
      <c r="B162" t="s">
        <v>4041</v>
      </c>
      <c r="C162" t="s">
        <v>3448</v>
      </c>
      <c r="D162" t="s">
        <v>3934</v>
      </c>
      <c r="E162" s="25" t="s">
        <v>93</v>
      </c>
      <c r="F162" s="25" t="s">
        <v>2995</v>
      </c>
      <c r="G162" s="25" t="s">
        <v>101</v>
      </c>
      <c r="H162" s="25" t="s">
        <v>102</v>
      </c>
    </row>
    <row r="163" spans="1:8" x14ac:dyDescent="0.25">
      <c r="A163" t="s">
        <v>4042</v>
      </c>
      <c r="B163" t="s">
        <v>4043</v>
      </c>
      <c r="C163" t="s">
        <v>3448</v>
      </c>
      <c r="D163" t="s">
        <v>3934</v>
      </c>
      <c r="E163" s="25" t="s">
        <v>93</v>
      </c>
      <c r="F163" s="25" t="s">
        <v>108</v>
      </c>
      <c r="G163" s="25" t="s">
        <v>101</v>
      </c>
      <c r="H163" s="25" t="s">
        <v>102</v>
      </c>
    </row>
    <row r="164" spans="1:8" x14ac:dyDescent="0.25">
      <c r="A164" t="s">
        <v>4081</v>
      </c>
      <c r="B164" t="s">
        <v>4082</v>
      </c>
      <c r="C164" t="s">
        <v>3448</v>
      </c>
      <c r="D164" t="s">
        <v>3270</v>
      </c>
      <c r="E164" s="25" t="s">
        <v>93</v>
      </c>
      <c r="F164" s="25" t="s">
        <v>108</v>
      </c>
      <c r="G164" s="25" t="s">
        <v>101</v>
      </c>
      <c r="H164" s="25" t="s">
        <v>102</v>
      </c>
    </row>
    <row r="165" spans="1:8" x14ac:dyDescent="0.25">
      <c r="A165" t="s">
        <v>4083</v>
      </c>
      <c r="B165" t="s">
        <v>4084</v>
      </c>
      <c r="C165" t="s">
        <v>4085</v>
      </c>
      <c r="D165" t="s">
        <v>4086</v>
      </c>
      <c r="E165" s="25" t="s">
        <v>93</v>
      </c>
      <c r="F165" s="25" t="s">
        <v>2995</v>
      </c>
      <c r="G165" s="25" t="s">
        <v>101</v>
      </c>
      <c r="H165" s="25" t="s">
        <v>102</v>
      </c>
    </row>
    <row r="166" spans="1:8" x14ac:dyDescent="0.25">
      <c r="A166" t="s">
        <v>4087</v>
      </c>
      <c r="B166" t="s">
        <v>4119</v>
      </c>
      <c r="C166" t="s">
        <v>3450</v>
      </c>
      <c r="D166" t="s">
        <v>3449</v>
      </c>
      <c r="E166" s="25" t="s">
        <v>93</v>
      </c>
      <c r="F166" s="25" t="s">
        <v>110</v>
      </c>
      <c r="G166" s="25" t="s">
        <v>112</v>
      </c>
      <c r="H166" s="25" t="s">
        <v>105</v>
      </c>
    </row>
    <row r="167" spans="1:8" x14ac:dyDescent="0.25">
      <c r="A167" t="s">
        <v>4088</v>
      </c>
      <c r="B167" t="s">
        <v>4120</v>
      </c>
      <c r="C167" t="s">
        <v>4318</v>
      </c>
      <c r="D167" t="s">
        <v>4089</v>
      </c>
      <c r="E167" s="25" t="s">
        <v>93</v>
      </c>
      <c r="F167" s="25" t="s">
        <v>2995</v>
      </c>
      <c r="G167" s="25" t="s">
        <v>101</v>
      </c>
      <c r="H167" s="25" t="s">
        <v>102</v>
      </c>
    </row>
    <row r="168" spans="1:8" x14ac:dyDescent="0.25">
      <c r="A168" t="s">
        <v>4090</v>
      </c>
      <c r="B168" t="s">
        <v>4091</v>
      </c>
      <c r="C168" t="s">
        <v>3450</v>
      </c>
      <c r="D168" t="s">
        <v>3449</v>
      </c>
      <c r="E168" s="25" t="s">
        <v>94</v>
      </c>
      <c r="F168" s="25" t="s">
        <v>108</v>
      </c>
      <c r="G168" s="25" t="s">
        <v>111</v>
      </c>
      <c r="H168" s="25" t="s">
        <v>99</v>
      </c>
    </row>
    <row r="169" spans="1:8" x14ac:dyDescent="0.25">
      <c r="A169" t="s">
        <v>4092</v>
      </c>
      <c r="B169" t="s">
        <v>4093</v>
      </c>
      <c r="C169" t="s">
        <v>4094</v>
      </c>
      <c r="D169" t="s">
        <v>4095</v>
      </c>
      <c r="E169" s="25" t="s">
        <v>93</v>
      </c>
      <c r="F169" s="25" t="s">
        <v>110</v>
      </c>
      <c r="G169" s="25" t="s">
        <v>111</v>
      </c>
      <c r="H169" s="25" t="s">
        <v>99</v>
      </c>
    </row>
    <row r="170" spans="1:8" x14ac:dyDescent="0.25">
      <c r="A170" t="s">
        <v>4096</v>
      </c>
      <c r="B170" t="s">
        <v>4097</v>
      </c>
      <c r="C170" t="s">
        <v>84</v>
      </c>
      <c r="D170" t="s">
        <v>89</v>
      </c>
      <c r="E170" s="25" t="s">
        <v>93</v>
      </c>
      <c r="F170" s="25" t="s">
        <v>110</v>
      </c>
      <c r="G170" s="25" t="s">
        <v>113</v>
      </c>
      <c r="H170" s="25" t="s">
        <v>114</v>
      </c>
    </row>
    <row r="171" spans="1:8" x14ac:dyDescent="0.25">
      <c r="A171" t="s">
        <v>4121</v>
      </c>
      <c r="B171" t="s">
        <v>4122</v>
      </c>
      <c r="C171" t="s">
        <v>4077</v>
      </c>
      <c r="D171" t="s">
        <v>3454</v>
      </c>
      <c r="E171" s="25" t="s">
        <v>94</v>
      </c>
      <c r="F171" s="25" t="s">
        <v>2995</v>
      </c>
      <c r="G171" s="25" t="s">
        <v>101</v>
      </c>
      <c r="H171" s="25" t="s">
        <v>102</v>
      </c>
    </row>
    <row r="172" spans="1:8" x14ac:dyDescent="0.25">
      <c r="A172" t="s">
        <v>4123</v>
      </c>
      <c r="B172" t="s">
        <v>4124</v>
      </c>
      <c r="C172" t="s">
        <v>3448</v>
      </c>
      <c r="D172" t="s">
        <v>3943</v>
      </c>
      <c r="E172" s="25" t="s">
        <v>93</v>
      </c>
      <c r="F172" s="25" t="s">
        <v>108</v>
      </c>
      <c r="G172" s="25" t="s">
        <v>101</v>
      </c>
      <c r="H172" s="25" t="s">
        <v>102</v>
      </c>
    </row>
    <row r="173" spans="1:8" x14ac:dyDescent="0.25">
      <c r="A173" t="s">
        <v>4125</v>
      </c>
      <c r="B173" t="s">
        <v>4319</v>
      </c>
      <c r="C173" t="s">
        <v>1737</v>
      </c>
      <c r="D173" t="s">
        <v>4126</v>
      </c>
      <c r="E173" s="25" t="s">
        <v>93</v>
      </c>
      <c r="F173" s="25" t="s">
        <v>108</v>
      </c>
      <c r="G173" s="25" t="s">
        <v>113</v>
      </c>
      <c r="H173" s="25" t="s">
        <v>114</v>
      </c>
    </row>
    <row r="174" spans="1:8" x14ac:dyDescent="0.25">
      <c r="A174" t="s">
        <v>4320</v>
      </c>
      <c r="B174" t="s">
        <v>4321</v>
      </c>
      <c r="C174" t="s">
        <v>4314</v>
      </c>
      <c r="D174" t="s">
        <v>3209</v>
      </c>
      <c r="E174" s="25" t="s">
        <v>93</v>
      </c>
      <c r="F174" s="25" t="s">
        <v>110</v>
      </c>
      <c r="G174" s="25" t="s">
        <v>101</v>
      </c>
      <c r="H174" s="25" t="s">
        <v>102</v>
      </c>
    </row>
    <row r="175" spans="1:8" x14ac:dyDescent="0.25">
      <c r="A175" t="s">
        <v>4322</v>
      </c>
      <c r="B175" t="s">
        <v>4667</v>
      </c>
      <c r="C175" t="s">
        <v>3450</v>
      </c>
      <c r="D175" t="s">
        <v>3449</v>
      </c>
      <c r="E175" s="25" t="s">
        <v>93</v>
      </c>
      <c r="F175" s="25" t="s">
        <v>108</v>
      </c>
      <c r="G175" s="25" t="s">
        <v>112</v>
      </c>
      <c r="H175" s="25" t="s">
        <v>105</v>
      </c>
    </row>
    <row r="176" spans="1:8" x14ac:dyDescent="0.25">
      <c r="A176" t="s">
        <v>4323</v>
      </c>
      <c r="B176" t="s">
        <v>4324</v>
      </c>
      <c r="C176" t="s">
        <v>84</v>
      </c>
      <c r="D176" t="s">
        <v>89</v>
      </c>
      <c r="E176" s="25" t="s">
        <v>93</v>
      </c>
      <c r="F176" s="25" t="s">
        <v>108</v>
      </c>
      <c r="G176" s="25" t="s">
        <v>113</v>
      </c>
      <c r="H176" s="25" t="s">
        <v>114</v>
      </c>
    </row>
    <row r="177" spans="1:8" x14ac:dyDescent="0.25">
      <c r="A177" t="s">
        <v>4326</v>
      </c>
      <c r="B177" t="s">
        <v>4327</v>
      </c>
      <c r="C177" t="s">
        <v>4325</v>
      </c>
      <c r="D177" t="s">
        <v>81</v>
      </c>
      <c r="E177" s="25" t="s">
        <v>93</v>
      </c>
      <c r="F177" s="25" t="s">
        <v>2995</v>
      </c>
      <c r="G177" s="25" t="s">
        <v>101</v>
      </c>
      <c r="H177" s="25" t="s">
        <v>102</v>
      </c>
    </row>
    <row r="178" spans="1:8" x14ac:dyDescent="0.25">
      <c r="A178" t="s">
        <v>4328</v>
      </c>
      <c r="B178" t="s">
        <v>4329</v>
      </c>
      <c r="C178" t="s">
        <v>84</v>
      </c>
      <c r="D178" t="s">
        <v>89</v>
      </c>
      <c r="E178" s="25" t="s">
        <v>93</v>
      </c>
      <c r="F178" s="25" t="s">
        <v>108</v>
      </c>
      <c r="G178" s="25" t="s">
        <v>113</v>
      </c>
      <c r="H178" s="25" t="s">
        <v>114</v>
      </c>
    </row>
    <row r="179" spans="1:8" x14ac:dyDescent="0.25">
      <c r="A179" t="s">
        <v>4330</v>
      </c>
      <c r="B179" t="s">
        <v>4331</v>
      </c>
      <c r="C179" t="s">
        <v>4332</v>
      </c>
      <c r="D179" t="s">
        <v>3850</v>
      </c>
      <c r="E179" s="25" t="s">
        <v>93</v>
      </c>
      <c r="F179" s="25" t="s">
        <v>110</v>
      </c>
      <c r="G179" s="25" t="s">
        <v>112</v>
      </c>
      <c r="H179" s="25" t="s">
        <v>105</v>
      </c>
    </row>
    <row r="180" spans="1:8" x14ac:dyDescent="0.25">
      <c r="A180" t="s">
        <v>4333</v>
      </c>
      <c r="B180" t="s">
        <v>4668</v>
      </c>
      <c r="C180" t="s">
        <v>4334</v>
      </c>
      <c r="D180" t="s">
        <v>4335</v>
      </c>
      <c r="E180" s="25" t="s">
        <v>93</v>
      </c>
      <c r="F180" s="25" t="s">
        <v>110</v>
      </c>
      <c r="G180" s="25" t="s">
        <v>101</v>
      </c>
      <c r="H180" s="25" t="s">
        <v>102</v>
      </c>
    </row>
    <row r="181" spans="1:8" x14ac:dyDescent="0.25">
      <c r="A181" t="s">
        <v>4336</v>
      </c>
      <c r="B181" t="s">
        <v>4337</v>
      </c>
      <c r="C181" t="s">
        <v>3448</v>
      </c>
      <c r="D181" t="s">
        <v>3943</v>
      </c>
      <c r="E181" s="25" t="s">
        <v>93</v>
      </c>
      <c r="F181" s="25" t="s">
        <v>108</v>
      </c>
      <c r="G181" s="25" t="s">
        <v>101</v>
      </c>
      <c r="H181" s="25" t="s">
        <v>102</v>
      </c>
    </row>
    <row r="182" spans="1:8" x14ac:dyDescent="0.25">
      <c r="A182" t="s">
        <v>4338</v>
      </c>
      <c r="B182" t="s">
        <v>4339</v>
      </c>
      <c r="C182" t="s">
        <v>1737</v>
      </c>
      <c r="D182" t="s">
        <v>4340</v>
      </c>
      <c r="E182" s="25" t="s">
        <v>93</v>
      </c>
      <c r="F182" s="25" t="s">
        <v>108</v>
      </c>
      <c r="G182" s="25" t="s">
        <v>109</v>
      </c>
      <c r="H182" s="25" t="s">
        <v>106</v>
      </c>
    </row>
    <row r="183" spans="1:8" x14ac:dyDescent="0.25">
      <c r="A183" t="s">
        <v>4341</v>
      </c>
      <c r="B183" t="s">
        <v>4342</v>
      </c>
      <c r="C183" t="s">
        <v>4343</v>
      </c>
      <c r="D183" t="s">
        <v>4344</v>
      </c>
      <c r="E183" s="25" t="s">
        <v>93</v>
      </c>
      <c r="F183" s="25" t="s">
        <v>110</v>
      </c>
      <c r="G183" s="25" t="s">
        <v>101</v>
      </c>
      <c r="H183" s="25" t="s">
        <v>102</v>
      </c>
    </row>
    <row r="184" spans="1:8" x14ac:dyDescent="0.25">
      <c r="A184" t="s">
        <v>4345</v>
      </c>
      <c r="B184" t="s">
        <v>4669</v>
      </c>
      <c r="C184" t="s">
        <v>4334</v>
      </c>
      <c r="D184" t="s">
        <v>4335</v>
      </c>
      <c r="E184" s="25" t="s">
        <v>93</v>
      </c>
      <c r="F184" s="25" t="s">
        <v>110</v>
      </c>
      <c r="G184" s="25" t="s">
        <v>101</v>
      </c>
      <c r="H184" s="25" t="s">
        <v>102</v>
      </c>
    </row>
    <row r="185" spans="1:8" x14ac:dyDescent="0.25">
      <c r="A185" t="s">
        <v>4346</v>
      </c>
      <c r="B185" t="s">
        <v>4347</v>
      </c>
      <c r="C185" t="s">
        <v>84</v>
      </c>
      <c r="D185" t="s">
        <v>89</v>
      </c>
      <c r="E185" s="25" t="s">
        <v>93</v>
      </c>
      <c r="F185" s="25" t="s">
        <v>108</v>
      </c>
      <c r="G185" s="25" t="s">
        <v>113</v>
      </c>
      <c r="H185" s="25" t="s">
        <v>114</v>
      </c>
    </row>
    <row r="186" spans="1:8" x14ac:dyDescent="0.25">
      <c r="A186" t="s">
        <v>4348</v>
      </c>
      <c r="B186" t="s">
        <v>4349</v>
      </c>
      <c r="C186" t="s">
        <v>1737</v>
      </c>
      <c r="D186" t="s">
        <v>4340</v>
      </c>
      <c r="E186" s="25" t="s">
        <v>93</v>
      </c>
      <c r="F186" s="25" t="s">
        <v>108</v>
      </c>
      <c r="G186" s="25" t="s">
        <v>109</v>
      </c>
      <c r="H186" s="25" t="s">
        <v>106</v>
      </c>
    </row>
    <row r="187" spans="1:8" x14ac:dyDescent="0.25">
      <c r="A187" t="s">
        <v>4350</v>
      </c>
      <c r="B187" t="s">
        <v>4351</v>
      </c>
      <c r="C187" t="s">
        <v>84</v>
      </c>
      <c r="D187" t="s">
        <v>89</v>
      </c>
      <c r="E187" s="25" t="s">
        <v>93</v>
      </c>
      <c r="F187" s="25" t="s">
        <v>108</v>
      </c>
      <c r="G187" s="25" t="s">
        <v>113</v>
      </c>
      <c r="H187" s="25" t="s">
        <v>114</v>
      </c>
    </row>
    <row r="188" spans="1:8" x14ac:dyDescent="0.25">
      <c r="A188" t="s">
        <v>4352</v>
      </c>
      <c r="B188" t="s">
        <v>4353</v>
      </c>
      <c r="C188" t="s">
        <v>830</v>
      </c>
      <c r="D188" t="s">
        <v>86</v>
      </c>
      <c r="E188" s="25" t="s">
        <v>93</v>
      </c>
      <c r="F188" s="25" t="s">
        <v>110</v>
      </c>
      <c r="G188" s="25" t="s">
        <v>115</v>
      </c>
      <c r="H188" s="25" t="s">
        <v>116</v>
      </c>
    </row>
    <row r="189" spans="1:8" x14ac:dyDescent="0.25">
      <c r="A189" t="s">
        <v>4354</v>
      </c>
      <c r="B189" t="s">
        <v>4670</v>
      </c>
      <c r="C189" t="s">
        <v>4314</v>
      </c>
      <c r="D189" t="s">
        <v>3209</v>
      </c>
      <c r="E189" s="25" t="s">
        <v>94</v>
      </c>
      <c r="F189" s="25" t="s">
        <v>2995</v>
      </c>
      <c r="G189" s="25" t="s">
        <v>101</v>
      </c>
      <c r="H189" s="25" t="s">
        <v>102</v>
      </c>
    </row>
    <row r="190" spans="1:8" x14ac:dyDescent="0.25">
      <c r="A190" t="s">
        <v>4355</v>
      </c>
      <c r="B190" t="s">
        <v>4356</v>
      </c>
      <c r="C190" t="s">
        <v>4671</v>
      </c>
      <c r="D190" t="s">
        <v>3734</v>
      </c>
      <c r="E190" s="25" t="s">
        <v>93</v>
      </c>
      <c r="F190" s="25" t="s">
        <v>2995</v>
      </c>
      <c r="G190" s="25" t="s">
        <v>101</v>
      </c>
      <c r="H190" s="25" t="s">
        <v>102</v>
      </c>
    </row>
    <row r="191" spans="1:8" x14ac:dyDescent="0.25">
      <c r="A191" t="s">
        <v>4357</v>
      </c>
      <c r="B191" t="s">
        <v>4672</v>
      </c>
      <c r="C191" t="s">
        <v>4077</v>
      </c>
      <c r="D191" t="s">
        <v>3392</v>
      </c>
      <c r="E191" s="25" t="s">
        <v>93</v>
      </c>
      <c r="F191" s="25" t="s">
        <v>2995</v>
      </c>
      <c r="G191" s="25" t="s">
        <v>101</v>
      </c>
      <c r="H191" s="25" t="s">
        <v>102</v>
      </c>
    </row>
    <row r="192" spans="1:8" x14ac:dyDescent="0.25">
      <c r="A192" t="s">
        <v>4358</v>
      </c>
      <c r="B192" t="s">
        <v>4359</v>
      </c>
      <c r="C192" t="s">
        <v>3448</v>
      </c>
      <c r="D192" t="s">
        <v>4360</v>
      </c>
      <c r="E192" s="25" t="s">
        <v>93</v>
      </c>
      <c r="F192" s="25" t="s">
        <v>2995</v>
      </c>
      <c r="G192" s="25" t="s">
        <v>101</v>
      </c>
      <c r="H192" s="25" t="s">
        <v>102</v>
      </c>
    </row>
    <row r="193" spans="1:8" x14ac:dyDescent="0.25">
      <c r="A193" t="s">
        <v>4361</v>
      </c>
      <c r="B193" t="s">
        <v>4362</v>
      </c>
      <c r="C193" t="s">
        <v>4363</v>
      </c>
      <c r="D193" t="s">
        <v>3449</v>
      </c>
      <c r="E193" s="25" t="s">
        <v>93</v>
      </c>
      <c r="F193" s="25" t="s">
        <v>108</v>
      </c>
      <c r="G193" s="25" t="s">
        <v>112</v>
      </c>
      <c r="H193" s="25" t="s">
        <v>105</v>
      </c>
    </row>
    <row r="194" spans="1:8" x14ac:dyDescent="0.25">
      <c r="A194" t="s">
        <v>4364</v>
      </c>
      <c r="B194" t="s">
        <v>4413</v>
      </c>
      <c r="C194" t="s">
        <v>4663</v>
      </c>
      <c r="D194" t="s">
        <v>3734</v>
      </c>
      <c r="E194" s="25" t="s">
        <v>93</v>
      </c>
      <c r="F194" s="25" t="s">
        <v>2995</v>
      </c>
      <c r="G194" s="25" t="s">
        <v>101</v>
      </c>
      <c r="H194" s="25" t="s">
        <v>102</v>
      </c>
    </row>
    <row r="195" spans="1:8" x14ac:dyDescent="0.25">
      <c r="A195" t="s">
        <v>4365</v>
      </c>
      <c r="B195" t="s">
        <v>4366</v>
      </c>
      <c r="C195" t="s">
        <v>3448</v>
      </c>
      <c r="D195" t="s">
        <v>3734</v>
      </c>
      <c r="E195" s="25" t="s">
        <v>93</v>
      </c>
      <c r="F195" s="25" t="s">
        <v>2995</v>
      </c>
      <c r="G195" s="25" t="s">
        <v>101</v>
      </c>
      <c r="H195" s="25" t="s">
        <v>102</v>
      </c>
    </row>
    <row r="196" spans="1:8" x14ac:dyDescent="0.25">
      <c r="A196" t="s">
        <v>4414</v>
      </c>
      <c r="B196" t="s">
        <v>4415</v>
      </c>
      <c r="C196" t="s">
        <v>4673</v>
      </c>
      <c r="D196" t="s">
        <v>3734</v>
      </c>
      <c r="E196" s="25" t="s">
        <v>93</v>
      </c>
      <c r="F196" s="25" t="s">
        <v>2995</v>
      </c>
      <c r="G196" s="25" t="s">
        <v>101</v>
      </c>
      <c r="H196" s="25" t="s">
        <v>102</v>
      </c>
    </row>
    <row r="197" spans="1:8" x14ac:dyDescent="0.25">
      <c r="A197" t="s">
        <v>4416</v>
      </c>
      <c r="B197" t="s">
        <v>4417</v>
      </c>
      <c r="C197" t="s">
        <v>3448</v>
      </c>
      <c r="D197" t="s">
        <v>3734</v>
      </c>
      <c r="E197" s="25" t="s">
        <v>93</v>
      </c>
      <c r="F197" s="25" t="s">
        <v>2995</v>
      </c>
      <c r="G197" s="25" t="s">
        <v>101</v>
      </c>
      <c r="H197" s="25" t="s">
        <v>102</v>
      </c>
    </row>
    <row r="198" spans="1:8" x14ac:dyDescent="0.25">
      <c r="A198" t="s">
        <v>4418</v>
      </c>
      <c r="B198" t="s">
        <v>4419</v>
      </c>
      <c r="C198" t="s">
        <v>4343</v>
      </c>
      <c r="D198" t="s">
        <v>4420</v>
      </c>
      <c r="E198" s="25" t="s">
        <v>93</v>
      </c>
      <c r="F198" s="25" t="s">
        <v>110</v>
      </c>
      <c r="G198" s="25" t="s">
        <v>101</v>
      </c>
      <c r="H198" s="25" t="s">
        <v>102</v>
      </c>
    </row>
    <row r="199" spans="1:8" x14ac:dyDescent="0.25">
      <c r="A199" t="s">
        <v>4421</v>
      </c>
      <c r="B199" t="s">
        <v>4674</v>
      </c>
      <c r="C199" t="s">
        <v>4343</v>
      </c>
      <c r="D199" t="s">
        <v>4422</v>
      </c>
      <c r="E199" s="25" t="s">
        <v>93</v>
      </c>
      <c r="F199" s="25" t="s">
        <v>110</v>
      </c>
      <c r="G199" s="25" t="s">
        <v>101</v>
      </c>
      <c r="H199" s="25" t="s">
        <v>102</v>
      </c>
    </row>
    <row r="200" spans="1:8" x14ac:dyDescent="0.25">
      <c r="A200" t="s">
        <v>4423</v>
      </c>
      <c r="B200" t="s">
        <v>4424</v>
      </c>
      <c r="C200" t="s">
        <v>1737</v>
      </c>
      <c r="D200" t="s">
        <v>4126</v>
      </c>
      <c r="E200" s="25" t="s">
        <v>93</v>
      </c>
      <c r="F200" s="25" t="s">
        <v>108</v>
      </c>
      <c r="G200" s="25" t="s">
        <v>113</v>
      </c>
      <c r="H200" s="25" t="s">
        <v>114</v>
      </c>
    </row>
    <row r="201" spans="1:8" x14ac:dyDescent="0.25">
      <c r="A201" t="s">
        <v>4425</v>
      </c>
      <c r="B201" t="s">
        <v>4426</v>
      </c>
      <c r="C201" t="s">
        <v>3448</v>
      </c>
      <c r="D201" t="s">
        <v>3734</v>
      </c>
      <c r="E201" s="25" t="s">
        <v>93</v>
      </c>
      <c r="F201" s="25" t="s">
        <v>2995</v>
      </c>
      <c r="G201" s="25" t="s">
        <v>101</v>
      </c>
      <c r="H201" s="25" t="s">
        <v>102</v>
      </c>
    </row>
    <row r="202" spans="1:8" x14ac:dyDescent="0.25">
      <c r="A202" t="s">
        <v>4427</v>
      </c>
      <c r="B202" t="s">
        <v>4428</v>
      </c>
      <c r="C202" t="s">
        <v>1737</v>
      </c>
      <c r="D202" t="s">
        <v>4126</v>
      </c>
      <c r="E202" s="25" t="s">
        <v>93</v>
      </c>
      <c r="F202" s="25" t="s">
        <v>108</v>
      </c>
      <c r="G202" s="25" t="s">
        <v>113</v>
      </c>
      <c r="H202" s="25" t="s">
        <v>114</v>
      </c>
    </row>
    <row r="203" spans="1:8" x14ac:dyDescent="0.25">
      <c r="A203" t="s">
        <v>4675</v>
      </c>
      <c r="B203" t="s">
        <v>4676</v>
      </c>
      <c r="C203" t="s">
        <v>4677</v>
      </c>
      <c r="D203" t="s">
        <v>3952</v>
      </c>
      <c r="E203" s="25" t="s">
        <v>93</v>
      </c>
      <c r="F203" s="25" t="s">
        <v>110</v>
      </c>
      <c r="G203" s="25" t="s">
        <v>112</v>
      </c>
      <c r="H203" s="25" t="s">
        <v>105</v>
      </c>
    </row>
    <row r="204" spans="1:8" x14ac:dyDescent="0.25">
      <c r="A204" t="s">
        <v>4678</v>
      </c>
      <c r="B204" t="s">
        <v>4679</v>
      </c>
      <c r="C204" t="s">
        <v>4094</v>
      </c>
      <c r="D204" t="s">
        <v>4095</v>
      </c>
      <c r="E204" s="25" t="s">
        <v>93</v>
      </c>
      <c r="F204" s="25" t="s">
        <v>110</v>
      </c>
      <c r="G204" s="25" t="s">
        <v>111</v>
      </c>
      <c r="H204" s="25" t="s">
        <v>99</v>
      </c>
    </row>
    <row r="205" spans="1:8" x14ac:dyDescent="0.25">
      <c r="A205" t="s">
        <v>4680</v>
      </c>
      <c r="B205" t="s">
        <v>4681</v>
      </c>
      <c r="C205" t="s">
        <v>1737</v>
      </c>
      <c r="D205" t="s">
        <v>4126</v>
      </c>
      <c r="E205" s="25" t="s">
        <v>93</v>
      </c>
      <c r="F205" s="25" t="s">
        <v>108</v>
      </c>
      <c r="G205" s="25" t="s">
        <v>113</v>
      </c>
      <c r="H205" s="25" t="s">
        <v>114</v>
      </c>
    </row>
    <row r="206" spans="1:8" x14ac:dyDescent="0.25">
      <c r="A206" t="s">
        <v>4682</v>
      </c>
      <c r="B206" t="s">
        <v>4683</v>
      </c>
      <c r="C206" t="s">
        <v>3450</v>
      </c>
      <c r="D206" t="s">
        <v>1736</v>
      </c>
      <c r="E206" s="25" t="s">
        <v>93</v>
      </c>
      <c r="F206" s="25" t="s">
        <v>110</v>
      </c>
      <c r="G206" s="25" t="s">
        <v>115</v>
      </c>
      <c r="H206" s="25" t="s">
        <v>116</v>
      </c>
    </row>
    <row r="207" spans="1:8" x14ac:dyDescent="0.25">
      <c r="A207" t="s">
        <v>4684</v>
      </c>
      <c r="B207" t="s">
        <v>4685</v>
      </c>
      <c r="C207" t="s">
        <v>1737</v>
      </c>
      <c r="D207" t="s">
        <v>4126</v>
      </c>
      <c r="E207" s="25" t="s">
        <v>93</v>
      </c>
      <c r="F207" s="25" t="s">
        <v>108</v>
      </c>
      <c r="G207" s="25" t="s">
        <v>113</v>
      </c>
      <c r="H207" s="25" t="s">
        <v>114</v>
      </c>
    </row>
    <row r="208" spans="1:8" x14ac:dyDescent="0.25">
      <c r="A208" t="s">
        <v>4686</v>
      </c>
      <c r="B208" t="s">
        <v>4687</v>
      </c>
      <c r="C208" t="s">
        <v>1737</v>
      </c>
      <c r="D208" t="s">
        <v>4126</v>
      </c>
      <c r="E208" s="25" t="s">
        <v>93</v>
      </c>
      <c r="F208" s="25" t="s">
        <v>108</v>
      </c>
      <c r="G208" s="25" t="s">
        <v>113</v>
      </c>
      <c r="H208" s="25" t="s">
        <v>114</v>
      </c>
    </row>
    <row r="209" spans="1:8" x14ac:dyDescent="0.25">
      <c r="A209" t="s">
        <v>4688</v>
      </c>
      <c r="B209" t="s">
        <v>4689</v>
      </c>
      <c r="C209" t="s">
        <v>1737</v>
      </c>
      <c r="D209" t="s">
        <v>4126</v>
      </c>
      <c r="E209" s="25" t="s">
        <v>93</v>
      </c>
      <c r="F209" s="25" t="s">
        <v>108</v>
      </c>
      <c r="G209" s="25" t="s">
        <v>113</v>
      </c>
      <c r="H209" s="25" t="s">
        <v>114</v>
      </c>
    </row>
    <row r="210" spans="1:8" x14ac:dyDescent="0.25">
      <c r="A210" t="s">
        <v>4690</v>
      </c>
      <c r="B210" t="s">
        <v>4691</v>
      </c>
      <c r="C210" t="s">
        <v>3737</v>
      </c>
      <c r="D210" t="s">
        <v>4422</v>
      </c>
      <c r="E210" s="25" t="s">
        <v>94</v>
      </c>
      <c r="F210" s="25" t="s">
        <v>110</v>
      </c>
      <c r="G210" s="25" t="s">
        <v>112</v>
      </c>
      <c r="H210" s="25" t="s">
        <v>105</v>
      </c>
    </row>
    <row r="211" spans="1:8" x14ac:dyDescent="0.25">
      <c r="A211" t="s">
        <v>4692</v>
      </c>
      <c r="B211" t="s">
        <v>4693</v>
      </c>
      <c r="C211" t="s">
        <v>4334</v>
      </c>
      <c r="D211" t="s">
        <v>4335</v>
      </c>
      <c r="E211" s="25" t="s">
        <v>94</v>
      </c>
      <c r="F211" s="25" t="s">
        <v>2995</v>
      </c>
      <c r="G211" s="25" t="s">
        <v>101</v>
      </c>
      <c r="H211" s="25" t="s">
        <v>102</v>
      </c>
    </row>
    <row r="212" spans="1:8" x14ac:dyDescent="0.25">
      <c r="A212" t="s">
        <v>4694</v>
      </c>
      <c r="B212" t="s">
        <v>4695</v>
      </c>
      <c r="C212" t="s">
        <v>830</v>
      </c>
      <c r="D212" t="s">
        <v>86</v>
      </c>
      <c r="E212" s="25" t="s">
        <v>94</v>
      </c>
      <c r="F212" s="25" t="s">
        <v>110</v>
      </c>
      <c r="G212" s="25" t="s">
        <v>112</v>
      </c>
      <c r="H212" s="25" t="s">
        <v>105</v>
      </c>
    </row>
    <row r="213" spans="1:8" x14ac:dyDescent="0.25">
      <c r="A213" t="s">
        <v>4696</v>
      </c>
      <c r="B213" t="s">
        <v>4697</v>
      </c>
      <c r="C213" t="s">
        <v>4698</v>
      </c>
      <c r="D213" t="s">
        <v>4335</v>
      </c>
      <c r="E213" s="25" t="s">
        <v>93</v>
      </c>
      <c r="F213" s="25" t="s">
        <v>108</v>
      </c>
      <c r="G213" s="25" t="s">
        <v>101</v>
      </c>
      <c r="H213" s="25" t="s">
        <v>102</v>
      </c>
    </row>
    <row r="214" spans="1:8" x14ac:dyDescent="0.25">
      <c r="A214" t="s">
        <v>4699</v>
      </c>
      <c r="B214" t="s">
        <v>4700</v>
      </c>
      <c r="C214" t="s">
        <v>4701</v>
      </c>
      <c r="D214" t="s">
        <v>4702</v>
      </c>
      <c r="E214" s="25" t="s">
        <v>94</v>
      </c>
      <c r="F214" s="25" t="s">
        <v>108</v>
      </c>
      <c r="G214" s="25" t="s">
        <v>101</v>
      </c>
      <c r="H214" s="25" t="s">
        <v>102</v>
      </c>
    </row>
    <row r="215" spans="1:8" x14ac:dyDescent="0.25">
      <c r="A215" t="s">
        <v>4703</v>
      </c>
      <c r="B215" t="s">
        <v>4704</v>
      </c>
      <c r="C215" t="s">
        <v>3450</v>
      </c>
      <c r="D215" t="s">
        <v>3449</v>
      </c>
      <c r="E215" s="25" t="s">
        <v>94</v>
      </c>
      <c r="F215" s="25" t="s">
        <v>110</v>
      </c>
      <c r="G215" s="25" t="s">
        <v>111</v>
      </c>
      <c r="H215" s="25" t="s">
        <v>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L6" sqref="L6:Q6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customWidth="1"/>
    <col min="4" max="4" width="23.140625" style="1" customWidth="1"/>
    <col min="5" max="5" width="16.140625" style="1" customWidth="1"/>
    <col min="6" max="6" width="17.85546875" style="1" customWidth="1"/>
    <col min="7" max="7" width="14.42578125" style="1" customWidth="1"/>
    <col min="8" max="8" width="8.42578125" style="1" customWidth="1"/>
    <col min="9" max="9" width="11.28515625" customWidth="1"/>
    <col min="10" max="11" width="11.28515625" style="1" customWidth="1"/>
    <col min="12" max="12" width="6.7109375" style="1" bestFit="1" customWidth="1"/>
    <col min="13" max="13" width="6.7109375" style="1" customWidth="1"/>
    <col min="14" max="14" width="7.85546875" style="1" bestFit="1" customWidth="1"/>
    <col min="15" max="19" width="6.7109375" style="1" customWidth="1"/>
    <col min="20" max="20" width="7.85546875" style="1" bestFit="1" customWidth="1"/>
    <col min="21" max="24" width="6.7109375" style="1" customWidth="1"/>
    <col min="25" max="26" width="7" style="1" customWidth="1"/>
    <col min="27" max="27" width="8.140625" style="1" customWidth="1"/>
    <col min="28" max="29" width="7.5703125" style="1" customWidth="1"/>
    <col min="30" max="31" width="8.140625" style="1" customWidth="1"/>
    <col min="32" max="32" width="7" style="1" customWidth="1"/>
    <col min="33" max="33" width="7.85546875" style="1" customWidth="1"/>
    <col min="34" max="34" width="8.140625" style="1" customWidth="1"/>
    <col min="35" max="35" width="7.85546875" style="1" customWidth="1"/>
    <col min="36" max="36" width="8.140625" style="1" customWidth="1"/>
    <col min="37" max="37" width="6.7109375" style="1" customWidth="1"/>
    <col min="38" max="38" width="7.85546875" style="1" bestFit="1" customWidth="1"/>
    <col min="39" max="43" width="6.7109375" style="1" customWidth="1"/>
    <col min="44" max="44" width="7.85546875" style="1" bestFit="1" customWidth="1"/>
    <col min="45" max="49" width="6.7109375" style="1" customWidth="1"/>
    <col min="50" max="50" width="7.85546875" style="1" bestFit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59" width="8.5703125" style="1" customWidth="1"/>
    <col min="60" max="60" width="9.42578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IF(ISNA(VLOOKUP($B$2,[3]Employees!$B:$H,2,FALSE)),"Input Employee Number",VLOOKUP($B$2,[3]Employees!$B:$H,2,FALSE))</f>
        <v>Case; Kory V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94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2634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IF(ISNA(VLOOKUP($B$2,[4]Employees!$B:$H,4,FALSE)),"",VLOOKUP($B$2,[4]Employees!$B:$H,4,FALSE))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IF(ISNA(VLOOKUP($B$2,[4]Employees!$B:$H,5,FALSE)),"",VLOOKUP($B$2,[4]Employees!$B:$H,5,FALSE))</f>
        <v>1245</v>
      </c>
      <c r="D4" s="67"/>
      <c r="E4" s="226"/>
      <c r="F4" s="227"/>
      <c r="G4" s="227"/>
      <c r="H4" s="227"/>
      <c r="I4" s="227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 t="s">
        <v>4705</v>
      </c>
      <c r="M5" s="416"/>
      <c r="N5" s="416"/>
      <c r="O5" s="416"/>
      <c r="P5" s="416"/>
      <c r="Q5" s="417"/>
      <c r="R5" s="415">
        <v>0.25</v>
      </c>
      <c r="S5" s="416"/>
      <c r="T5" s="416"/>
      <c r="U5" s="416"/>
      <c r="V5" s="416"/>
      <c r="W5" s="417"/>
      <c r="X5" s="415">
        <v>0.25</v>
      </c>
      <c r="Y5" s="416"/>
      <c r="Z5" s="416"/>
      <c r="AA5" s="416"/>
      <c r="AB5" s="416"/>
      <c r="AC5" s="417"/>
      <c r="AD5" s="415">
        <v>0.25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0.25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347"/>
      <c r="B6" s="348"/>
      <c r="C6" s="348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/>
      <c r="M8" s="416"/>
      <c r="N8" s="416"/>
      <c r="O8" s="416"/>
      <c r="P8" s="416"/>
      <c r="Q8" s="417"/>
      <c r="R8" s="415">
        <v>0.875</v>
      </c>
      <c r="S8" s="416"/>
      <c r="T8" s="416"/>
      <c r="U8" s="416"/>
      <c r="V8" s="416"/>
      <c r="W8" s="417"/>
      <c r="X8" s="415">
        <v>0.91666666666666663</v>
      </c>
      <c r="Y8" s="416"/>
      <c r="Z8" s="416"/>
      <c r="AA8" s="416"/>
      <c r="AB8" s="416"/>
      <c r="AC8" s="417"/>
      <c r="AD8" s="415">
        <v>0.875</v>
      </c>
      <c r="AE8" s="416"/>
      <c r="AF8" s="416"/>
      <c r="AG8" s="416"/>
      <c r="AH8" s="416"/>
      <c r="AI8" s="417"/>
      <c r="AJ8" s="415">
        <v>0.91666666666666663</v>
      </c>
      <c r="AK8" s="416"/>
      <c r="AL8" s="416"/>
      <c r="AM8" s="416"/>
      <c r="AN8" s="416"/>
      <c r="AO8" s="417"/>
      <c r="AP8" s="415">
        <v>0.91666666666666663</v>
      </c>
      <c r="AQ8" s="416"/>
      <c r="AR8" s="416"/>
      <c r="AS8" s="416"/>
      <c r="AT8" s="416"/>
      <c r="AU8" s="417"/>
      <c r="AV8" s="415">
        <v>0.91666666666666663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 t="e">
        <f>IF(AND(L5&gt;=0,L8&gt;=0),(L6-L5+L8-L7)*24,0)</f>
        <v>#VALUE!</v>
      </c>
      <c r="M9" s="401"/>
      <c r="N9" s="401"/>
      <c r="O9" s="401"/>
      <c r="P9" s="401"/>
      <c r="Q9" s="402"/>
      <c r="R9" s="400">
        <f>IF(AND(R5&gt;=0,R8&gt;=0),(R6-R5+R8-R7)*24,0)</f>
        <v>15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15</v>
      </c>
      <c r="AE9" s="401"/>
      <c r="AF9" s="401"/>
      <c r="AG9" s="401"/>
      <c r="AH9" s="401"/>
      <c r="AI9" s="402"/>
      <c r="AJ9" s="400">
        <f>IF(AND(AJ5&gt;=0,AJ8&gt;=0),(AJ6-AJ5+AJ8-AJ7)*24,0)</f>
        <v>16</v>
      </c>
      <c r="AK9" s="401"/>
      <c r="AL9" s="401"/>
      <c r="AM9" s="401"/>
      <c r="AN9" s="401"/>
      <c r="AO9" s="402"/>
      <c r="AP9" s="400">
        <f>IF(AND(AP5&gt;=0,AP8&gt;=0),(AP6-AP5+AP8-AP7)*24,0)</f>
        <v>16</v>
      </c>
      <c r="AQ9" s="401"/>
      <c r="AR9" s="401"/>
      <c r="AS9" s="401"/>
      <c r="AT9" s="401"/>
      <c r="AU9" s="402"/>
      <c r="AV9" s="400">
        <f>IF(AND(AV5&gt;=0,AV8&gt;=0),(AV6-AV5+AV8-AV7)*24,0)</f>
        <v>16</v>
      </c>
      <c r="AW9" s="401"/>
      <c r="AX9" s="401"/>
      <c r="AY9" s="401"/>
      <c r="AZ9" s="401"/>
      <c r="BA9" s="402"/>
      <c r="BB9" s="400" t="e">
        <f>SUM(L9:BA9)</f>
        <v>#VALUE!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L24+N24</f>
        <v>0</v>
      </c>
      <c r="M10" s="407"/>
      <c r="N10" s="407"/>
      <c r="O10" s="407"/>
      <c r="P10" s="407"/>
      <c r="Q10" s="408"/>
      <c r="R10" s="406">
        <f>R24+T24</f>
        <v>15</v>
      </c>
      <c r="S10" s="407"/>
      <c r="T10" s="407"/>
      <c r="U10" s="407"/>
      <c r="V10" s="407"/>
      <c r="W10" s="408"/>
      <c r="X10" s="406">
        <f>TimeSheet341252[[#Totals],[RT3]]+TimeSheet341252[[#Totals],[DT3]]</f>
        <v>16</v>
      </c>
      <c r="Y10" s="407"/>
      <c r="Z10" s="407"/>
      <c r="AA10" s="407"/>
      <c r="AB10" s="407"/>
      <c r="AC10" s="408"/>
      <c r="AD10" s="406">
        <f>AD24+AE24+AF24</f>
        <v>15</v>
      </c>
      <c r="AE10" s="407"/>
      <c r="AF10" s="407"/>
      <c r="AG10" s="407"/>
      <c r="AH10" s="407"/>
      <c r="AI10" s="408"/>
      <c r="AJ10" s="406">
        <f>AJ24+AK24+AL24</f>
        <v>16</v>
      </c>
      <c r="AK10" s="407"/>
      <c r="AL10" s="407"/>
      <c r="AM10" s="407"/>
      <c r="AN10" s="407"/>
      <c r="AO10" s="408"/>
      <c r="AP10" s="406">
        <f>AP24+AQ24+AR24</f>
        <v>16</v>
      </c>
      <c r="AQ10" s="407"/>
      <c r="AR10" s="407"/>
      <c r="AS10" s="407"/>
      <c r="AT10" s="407"/>
      <c r="AU10" s="408"/>
      <c r="AV10" s="409">
        <f>AV24+AW24+AX24</f>
        <v>16</v>
      </c>
      <c r="AW10" s="410"/>
      <c r="AX10" s="410"/>
      <c r="AY10" s="410"/>
      <c r="AZ10" s="410"/>
      <c r="BA10" s="411"/>
      <c r="BB10" s="412">
        <f>SUM(L10:BA10)</f>
        <v>94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 t="e">
        <f>L9-L10</f>
        <v>#VALUE!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4">
        <f>AJ9-AJ10</f>
        <v>0</v>
      </c>
      <c r="AK11" s="395"/>
      <c r="AL11" s="395"/>
      <c r="AM11" s="395"/>
      <c r="AN11" s="395"/>
      <c r="AO11" s="396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 t="e">
        <f>BB9-BB10</f>
        <v>#VALUE!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 t="shared" ref="A13:A23" si="0">IF(ISBLANK(C13),"",IF(ISBLANK($D$3),"",$D$3))</f>
        <v>x</v>
      </c>
      <c r="B13" s="276" t="s">
        <v>101</v>
      </c>
      <c r="C13" s="316" t="s">
        <v>3866</v>
      </c>
      <c r="D13" s="277"/>
      <c r="E13" s="316" t="s">
        <v>731</v>
      </c>
      <c r="F13" s="225">
        <v>1245</v>
      </c>
      <c r="G13" s="110" t="s">
        <v>102</v>
      </c>
      <c r="H13" s="110" t="s">
        <v>102</v>
      </c>
      <c r="I13" s="139">
        <v>1</v>
      </c>
      <c r="J13" s="153" t="str">
        <f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B23" si="1">SUM(AV13,AP13,AJ13,AD13,X13,R13,L13)</f>
        <v>0</v>
      </c>
      <c r="BC13" s="120">
        <f t="shared" ref="BC13:BC23" si="2">SUM(AW13,AQ13,AK13,AE13,Y13,S13,M13)</f>
        <v>0</v>
      </c>
      <c r="BD13" s="120">
        <f t="shared" ref="BD13:BD23" si="3">SUM(AX13,AR13,AL13,AF13,Z13,T13,N13)</f>
        <v>0</v>
      </c>
      <c r="BE13" s="120">
        <f t="shared" ref="BE13:BE23" si="4">SUM(AY13,AS13,AM13,AG13,AA13,U13,O13)</f>
        <v>0</v>
      </c>
      <c r="BF13" s="120">
        <f t="shared" ref="BF13:BF23" si="5">SUM(AZ13,AT13,AN13,AH13,AB13,V13,P13)</f>
        <v>0</v>
      </c>
      <c r="BG13" s="154">
        <f t="shared" ref="BG13:BG23" si="6">SUM(BA13,AU13,AO13,AI13,AC13,W13,Q13)</f>
        <v>0</v>
      </c>
      <c r="BH13" s="123">
        <f>SUM(TimeSheet341252[[#This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 t="shared" si="0"/>
        <v/>
      </c>
      <c r="B14" s="110" t="s">
        <v>101</v>
      </c>
      <c r="C14" s="276"/>
      <c r="D14" s="112"/>
      <c r="E14" s="110"/>
      <c r="F14" s="225">
        <v>1245</v>
      </c>
      <c r="G14" s="110" t="s">
        <v>102</v>
      </c>
      <c r="H14" s="110" t="s">
        <v>102</v>
      </c>
      <c r="I14" s="139">
        <v>1</v>
      </c>
      <c r="J14" s="153" t="str">
        <f>IF($K14=0,"",IF($K14&lt;10,"0"&amp;$K14,$K14))</f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117"/>
      <c r="AE14" s="115"/>
      <c r="AF14" s="115"/>
      <c r="AG14" s="115"/>
      <c r="AH14" s="115"/>
      <c r="AI14" s="116"/>
      <c r="AJ14" s="118"/>
      <c r="AK14" s="113"/>
      <c r="AL14" s="113"/>
      <c r="AM14" s="113"/>
      <c r="AN14" s="113"/>
      <c r="AO14" s="114"/>
      <c r="AP14" s="117"/>
      <c r="AQ14" s="115"/>
      <c r="AR14" s="115"/>
      <c r="AS14" s="115"/>
      <c r="AT14" s="115"/>
      <c r="AU14" s="116"/>
      <c r="AV14" s="118"/>
      <c r="AW14" s="113"/>
      <c r="AX14" s="113"/>
      <c r="AY14" s="113"/>
      <c r="AZ14" s="113"/>
      <c r="BA14" s="114"/>
      <c r="BB14" s="119">
        <f t="shared" si="1"/>
        <v>0</v>
      </c>
      <c r="BC14" s="120">
        <f t="shared" si="2"/>
        <v>0</v>
      </c>
      <c r="BD14" s="120">
        <f t="shared" si="3"/>
        <v>0</v>
      </c>
      <c r="BE14" s="120">
        <f t="shared" si="4"/>
        <v>0</v>
      </c>
      <c r="BF14" s="120">
        <f t="shared" si="5"/>
        <v>0</v>
      </c>
      <c r="BG14" s="154">
        <f t="shared" si="6"/>
        <v>0</v>
      </c>
      <c r="BH14" s="123">
        <f>SUM(TimeSheet341252[[#This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0"/>
        <v>x</v>
      </c>
      <c r="B15" s="276" t="s">
        <v>101</v>
      </c>
      <c r="C15" s="334" t="s">
        <v>4081</v>
      </c>
      <c r="D15" s="344"/>
      <c r="E15" s="316" t="s">
        <v>731</v>
      </c>
      <c r="F15" s="225">
        <v>1245</v>
      </c>
      <c r="G15" s="110" t="s">
        <v>102</v>
      </c>
      <c r="H15" s="110" t="s">
        <v>102</v>
      </c>
      <c r="I15" s="139">
        <v>1</v>
      </c>
      <c r="J15" s="153" t="str">
        <f>IF($K15=0,"",IF($K15&lt;10,"0"&amp;$K15,$K15))</f>
        <v>01</v>
      </c>
      <c r="K15" s="150">
        <v>1</v>
      </c>
      <c r="L15" s="263"/>
      <c r="M15" s="258"/>
      <c r="N15" s="258"/>
      <c r="O15" s="258"/>
      <c r="P15" s="258"/>
      <c r="Q15" s="259"/>
      <c r="R15" s="262">
        <v>8</v>
      </c>
      <c r="S15" s="260"/>
      <c r="T15" s="260">
        <v>7</v>
      </c>
      <c r="U15" s="260">
        <v>3</v>
      </c>
      <c r="V15" s="260">
        <v>3</v>
      </c>
      <c r="W15" s="261">
        <v>1.5</v>
      </c>
      <c r="X15" s="263">
        <v>8</v>
      </c>
      <c r="Y15" s="258"/>
      <c r="Z15" s="258">
        <v>8</v>
      </c>
      <c r="AA15" s="258">
        <v>3</v>
      </c>
      <c r="AB15" s="258">
        <v>3</v>
      </c>
      <c r="AC15" s="259">
        <v>1.5</v>
      </c>
      <c r="AD15" s="117">
        <v>8</v>
      </c>
      <c r="AE15" s="115"/>
      <c r="AF15" s="115">
        <v>7</v>
      </c>
      <c r="AG15" s="115">
        <v>3</v>
      </c>
      <c r="AH15" s="115">
        <v>3</v>
      </c>
      <c r="AI15" s="116">
        <v>1.5</v>
      </c>
      <c r="AJ15" s="118">
        <v>8</v>
      </c>
      <c r="AK15" s="113"/>
      <c r="AL15" s="113">
        <v>8</v>
      </c>
      <c r="AM15" s="113">
        <v>3</v>
      </c>
      <c r="AN15" s="113">
        <v>3</v>
      </c>
      <c r="AO15" s="114">
        <v>1.5</v>
      </c>
      <c r="AP15" s="117"/>
      <c r="AQ15" s="115"/>
      <c r="AR15" s="115">
        <v>16</v>
      </c>
      <c r="AS15" s="115">
        <v>3</v>
      </c>
      <c r="AT15" s="115">
        <v>3</v>
      </c>
      <c r="AU15" s="116">
        <v>1.5</v>
      </c>
      <c r="AV15" s="118"/>
      <c r="AW15" s="113"/>
      <c r="AX15" s="113">
        <v>16</v>
      </c>
      <c r="AY15" s="113">
        <v>3</v>
      </c>
      <c r="AZ15" s="113">
        <v>3</v>
      </c>
      <c r="BA15" s="114">
        <v>1.5</v>
      </c>
      <c r="BB15" s="119">
        <f t="shared" si="1"/>
        <v>32</v>
      </c>
      <c r="BC15" s="120">
        <f t="shared" si="2"/>
        <v>0</v>
      </c>
      <c r="BD15" s="120">
        <f t="shared" si="3"/>
        <v>62</v>
      </c>
      <c r="BE15" s="120">
        <f t="shared" si="4"/>
        <v>18</v>
      </c>
      <c r="BF15" s="120">
        <f t="shared" si="5"/>
        <v>18</v>
      </c>
      <c r="BG15" s="154">
        <f t="shared" si="6"/>
        <v>9</v>
      </c>
      <c r="BH15" s="123">
        <f>SUM(TimeSheet341252[[#This Row],[1]:[4A]])</f>
        <v>139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 t="e">
        <f ca="1"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#NAME?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 t="e">
        <f ca="1"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#NAME?</v>
      </c>
      <c r="BR15" s="127" t="e">
        <f ca="1"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#NAME?</v>
      </c>
      <c r="BS15" s="127" t="e">
        <f ca="1"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#NAME?</v>
      </c>
      <c r="BT15" s="128" t="e">
        <f ca="1"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#NAME?</v>
      </c>
      <c r="BU15" s="126" t="e">
        <f ca="1"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#NAME?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 t="e">
        <f ca="1"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#NAME?</v>
      </c>
      <c r="BX15" s="127" t="e">
        <f ca="1"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#NAME?</v>
      </c>
      <c r="BY15" s="127" t="e">
        <f ca="1"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#NAME?</v>
      </c>
      <c r="BZ15" s="128" t="e">
        <f ca="1"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#NAME?</v>
      </c>
      <c r="CA15" s="126" t="e">
        <f ca="1"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#NAME?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 t="e">
        <f ca="1"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#NAME?</v>
      </c>
      <c r="CD15" s="127" t="e">
        <f ca="1"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#NAME?</v>
      </c>
      <c r="CE15" s="127" t="e">
        <f ca="1"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#NAME?</v>
      </c>
      <c r="CF15" s="128" t="e">
        <f ca="1"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#NAME?</v>
      </c>
      <c r="CG15" s="126" t="e">
        <f ca="1"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#NAME?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 t="e">
        <f ca="1"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#NAME?</v>
      </c>
      <c r="CJ15" s="127" t="e">
        <f ca="1"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#NAME?</v>
      </c>
      <c r="CK15" s="127" t="e">
        <f ca="1"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#NAME?</v>
      </c>
      <c r="CL15" s="128" t="e">
        <f ca="1"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#NAME?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 t="e">
        <f ca="1"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#NAME?</v>
      </c>
      <c r="CP15" s="127" t="e">
        <f ca="1"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#NAME?</v>
      </c>
      <c r="CQ15" s="127" t="e">
        <f ca="1"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#NAME?</v>
      </c>
      <c r="CR15" s="128" t="e">
        <f ca="1"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#NAME?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 t="e">
        <f ca="1"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#NAME?</v>
      </c>
      <c r="CV15" s="127" t="e">
        <f ca="1"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#NAME?</v>
      </c>
      <c r="CW15" s="127" t="e">
        <f ca="1"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#NAME?</v>
      </c>
      <c r="CX15" s="128" t="e">
        <f ca="1"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#NAME?</v>
      </c>
    </row>
    <row r="16" spans="1:102" ht="39" customHeight="1" x14ac:dyDescent="0.3">
      <c r="A16" s="109" t="str">
        <f t="shared" si="0"/>
        <v/>
      </c>
      <c r="B16" s="110" t="s">
        <v>101</v>
      </c>
      <c r="C16" s="110"/>
      <c r="D16" s="112"/>
      <c r="E16" s="110"/>
      <c r="F16" s="225">
        <v>1245</v>
      </c>
      <c r="G16" s="110" t="s">
        <v>102</v>
      </c>
      <c r="H16" s="110" t="s">
        <v>102</v>
      </c>
      <c r="I16" s="139">
        <v>1</v>
      </c>
      <c r="J16" s="153" t="str">
        <f t="shared" ref="J16:J21" si="7">IF($K16=0,"",IF($K16&lt;10,"0"&amp;$K16,$K16))</f>
        <v>01</v>
      </c>
      <c r="K16" s="150">
        <v>1</v>
      </c>
      <c r="L16" s="118"/>
      <c r="M16" s="113"/>
      <c r="N16" s="113"/>
      <c r="O16" s="113"/>
      <c r="P16" s="113"/>
      <c r="Q16" s="114"/>
      <c r="R16" s="117"/>
      <c r="S16" s="115"/>
      <c r="T16" s="115"/>
      <c r="U16" s="115"/>
      <c r="V16" s="115"/>
      <c r="W16" s="116"/>
      <c r="X16" s="118"/>
      <c r="Y16" s="113"/>
      <c r="Z16" s="113"/>
      <c r="AA16" s="113"/>
      <c r="AB16" s="113"/>
      <c r="AC16" s="114"/>
      <c r="AD16" s="117"/>
      <c r="AE16" s="115"/>
      <c r="AF16" s="115"/>
      <c r="AG16" s="115"/>
      <c r="AH16" s="115"/>
      <c r="AI16" s="116"/>
      <c r="AJ16" s="118"/>
      <c r="AK16" s="113"/>
      <c r="AL16" s="113"/>
      <c r="AM16" s="113"/>
      <c r="AN16" s="113"/>
      <c r="AO16" s="114"/>
      <c r="AP16" s="117"/>
      <c r="AQ16" s="115"/>
      <c r="AR16" s="115"/>
      <c r="AS16" s="115"/>
      <c r="AT16" s="115"/>
      <c r="AU16" s="116"/>
      <c r="AV16" s="118"/>
      <c r="AW16" s="113"/>
      <c r="AX16" s="113"/>
      <c r="AY16" s="113"/>
      <c r="AZ16" s="113"/>
      <c r="BA16" s="114"/>
      <c r="BB16" s="119">
        <f t="shared" si="1"/>
        <v>0</v>
      </c>
      <c r="BC16" s="120">
        <f t="shared" si="2"/>
        <v>0</v>
      </c>
      <c r="BD16" s="120">
        <f t="shared" si="3"/>
        <v>0</v>
      </c>
      <c r="BE16" s="120">
        <f t="shared" si="4"/>
        <v>0</v>
      </c>
      <c r="BF16" s="120">
        <f t="shared" si="5"/>
        <v>0</v>
      </c>
      <c r="BG16" s="154">
        <f t="shared" si="6"/>
        <v>0</v>
      </c>
      <c r="BH16" s="123">
        <f>SUM(TimeSheet341252[[#This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>x</v>
      </c>
      <c r="B17" s="276" t="s">
        <v>101</v>
      </c>
      <c r="C17" s="334" t="s">
        <v>4040</v>
      </c>
      <c r="D17" s="112"/>
      <c r="E17" s="110" t="s">
        <v>731</v>
      </c>
      <c r="F17" s="225">
        <v>1245</v>
      </c>
      <c r="G17" s="110" t="s">
        <v>102</v>
      </c>
      <c r="H17" s="110" t="s">
        <v>102</v>
      </c>
      <c r="I17" s="139">
        <v>1</v>
      </c>
      <c r="J17" s="153" t="str">
        <f t="shared" si="7"/>
        <v>01</v>
      </c>
      <c r="K17" s="150">
        <v>1</v>
      </c>
      <c r="L17" s="118"/>
      <c r="M17" s="113"/>
      <c r="N17" s="113"/>
      <c r="O17" s="113"/>
      <c r="P17" s="113"/>
      <c r="Q17" s="114"/>
      <c r="R17" s="117"/>
      <c r="S17" s="115"/>
      <c r="T17" s="115"/>
      <c r="U17" s="115"/>
      <c r="V17" s="115"/>
      <c r="W17" s="116"/>
      <c r="X17" s="118"/>
      <c r="Y17" s="113"/>
      <c r="Z17" s="113"/>
      <c r="AA17" s="113"/>
      <c r="AB17" s="113"/>
      <c r="AC17" s="114"/>
      <c r="AD17" s="117"/>
      <c r="AE17" s="115"/>
      <c r="AF17" s="115"/>
      <c r="AG17" s="115"/>
      <c r="AH17" s="115"/>
      <c r="AI17" s="116"/>
      <c r="AJ17" s="118"/>
      <c r="AK17" s="113"/>
      <c r="AL17" s="113"/>
      <c r="AM17" s="113"/>
      <c r="AN17" s="113"/>
      <c r="AO17" s="114"/>
      <c r="AP17" s="117"/>
      <c r="AQ17" s="115"/>
      <c r="AR17" s="115"/>
      <c r="AS17" s="115"/>
      <c r="AT17" s="115"/>
      <c r="AU17" s="116"/>
      <c r="AV17" s="118"/>
      <c r="AW17" s="113"/>
      <c r="AX17" s="113"/>
      <c r="AY17" s="113"/>
      <c r="AZ17" s="113"/>
      <c r="BA17" s="114"/>
      <c r="BB17" s="119">
        <f t="shared" si="1"/>
        <v>0</v>
      </c>
      <c r="BC17" s="120">
        <f t="shared" si="2"/>
        <v>0</v>
      </c>
      <c r="BD17" s="120">
        <f t="shared" si="3"/>
        <v>0</v>
      </c>
      <c r="BE17" s="120">
        <f t="shared" si="4"/>
        <v>0</v>
      </c>
      <c r="BF17" s="120">
        <f t="shared" si="5"/>
        <v>0</v>
      </c>
      <c r="BG17" s="154">
        <f t="shared" si="6"/>
        <v>0</v>
      </c>
      <c r="BH17" s="123">
        <f>SUM(TimeSheet341252[[#This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0"/>
        <v/>
      </c>
      <c r="B18" s="242"/>
      <c r="C18" s="242"/>
      <c r="D18" s="241"/>
      <c r="E18" s="242"/>
      <c r="F18" s="225">
        <v>1245</v>
      </c>
      <c r="G18" s="276" t="s">
        <v>102</v>
      </c>
      <c r="H18" s="276" t="s">
        <v>102</v>
      </c>
      <c r="I18" s="139">
        <v>1</v>
      </c>
      <c r="J18" s="153" t="str">
        <f t="shared" si="7"/>
        <v>01</v>
      </c>
      <c r="K18" s="150">
        <v>1</v>
      </c>
      <c r="L18" s="118"/>
      <c r="M18" s="113"/>
      <c r="N18" s="113"/>
      <c r="O18" s="113"/>
      <c r="P18" s="113"/>
      <c r="Q18" s="114"/>
      <c r="R18" s="117"/>
      <c r="S18" s="115"/>
      <c r="T18" s="115"/>
      <c r="U18" s="115"/>
      <c r="V18" s="115"/>
      <c r="W18" s="116"/>
      <c r="X18" s="118"/>
      <c r="Y18" s="113"/>
      <c r="Z18" s="113"/>
      <c r="AA18" s="113"/>
      <c r="AB18" s="113"/>
      <c r="AC18" s="114"/>
      <c r="AD18" s="117"/>
      <c r="AE18" s="115"/>
      <c r="AF18" s="115"/>
      <c r="AG18" s="115"/>
      <c r="AH18" s="115"/>
      <c r="AI18" s="116"/>
      <c r="AJ18" s="118"/>
      <c r="AK18" s="113"/>
      <c r="AL18" s="113"/>
      <c r="AM18" s="113"/>
      <c r="AN18" s="113"/>
      <c r="AO18" s="114"/>
      <c r="AP18" s="117"/>
      <c r="AQ18" s="115"/>
      <c r="AR18" s="115"/>
      <c r="AS18" s="115"/>
      <c r="AT18" s="115"/>
      <c r="AU18" s="116"/>
      <c r="AV18" s="118"/>
      <c r="AW18" s="113"/>
      <c r="AX18" s="113"/>
      <c r="AY18" s="113"/>
      <c r="AZ18" s="113"/>
      <c r="BA18" s="114"/>
      <c r="BB18" s="119">
        <f t="shared" si="1"/>
        <v>0</v>
      </c>
      <c r="BC18" s="120">
        <f t="shared" si="2"/>
        <v>0</v>
      </c>
      <c r="BD18" s="120">
        <f t="shared" si="3"/>
        <v>0</v>
      </c>
      <c r="BE18" s="120">
        <f t="shared" si="4"/>
        <v>0</v>
      </c>
      <c r="BF18" s="120">
        <f t="shared" si="5"/>
        <v>0</v>
      </c>
      <c r="BG18" s="154">
        <f t="shared" si="6"/>
        <v>0</v>
      </c>
      <c r="BH18" s="123">
        <f>SUM(TimeSheet341252[[#This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0"/>
        <v>x</v>
      </c>
      <c r="B19" s="276" t="s">
        <v>101</v>
      </c>
      <c r="C19" s="316" t="s">
        <v>3846</v>
      </c>
      <c r="D19" s="277"/>
      <c r="E19" s="316" t="s">
        <v>3210</v>
      </c>
      <c r="F19" s="225">
        <v>1245</v>
      </c>
      <c r="G19" s="276" t="s">
        <v>102</v>
      </c>
      <c r="H19" s="276" t="s">
        <v>102</v>
      </c>
      <c r="I19" s="139">
        <v>1</v>
      </c>
      <c r="J19" s="153" t="str">
        <f t="shared" si="7"/>
        <v>01</v>
      </c>
      <c r="K19" s="150">
        <v>1</v>
      </c>
      <c r="L19" s="118"/>
      <c r="M19" s="113"/>
      <c r="N19" s="113"/>
      <c r="O19" s="113"/>
      <c r="P19" s="113"/>
      <c r="Q19" s="114"/>
      <c r="R19" s="117"/>
      <c r="S19" s="115"/>
      <c r="T19" s="115"/>
      <c r="U19" s="115"/>
      <c r="V19" s="115"/>
      <c r="W19" s="116"/>
      <c r="X19" s="118"/>
      <c r="Y19" s="113"/>
      <c r="Z19" s="113"/>
      <c r="AA19" s="113"/>
      <c r="AB19" s="113"/>
      <c r="AC19" s="114"/>
      <c r="AD19" s="117"/>
      <c r="AE19" s="115"/>
      <c r="AF19" s="115"/>
      <c r="AG19" s="115"/>
      <c r="AH19" s="115"/>
      <c r="AI19" s="116"/>
      <c r="AJ19" s="118"/>
      <c r="AK19" s="113"/>
      <c r="AL19" s="113"/>
      <c r="AM19" s="113"/>
      <c r="AN19" s="113"/>
      <c r="AO19" s="114"/>
      <c r="AP19" s="117"/>
      <c r="AQ19" s="115"/>
      <c r="AR19" s="115"/>
      <c r="AS19" s="115"/>
      <c r="AT19" s="115"/>
      <c r="AU19" s="116"/>
      <c r="AV19" s="118"/>
      <c r="AW19" s="113"/>
      <c r="AX19" s="113"/>
      <c r="AY19" s="113"/>
      <c r="AZ19" s="113"/>
      <c r="BA19" s="114"/>
      <c r="BB19" s="383">
        <f t="shared" si="1"/>
        <v>0</v>
      </c>
      <c r="BC19" s="120">
        <f t="shared" si="2"/>
        <v>0</v>
      </c>
      <c r="BD19" s="120">
        <f t="shared" si="3"/>
        <v>0</v>
      </c>
      <c r="BE19" s="120">
        <f t="shared" si="4"/>
        <v>0</v>
      </c>
      <c r="BF19" s="120">
        <f t="shared" si="5"/>
        <v>0</v>
      </c>
      <c r="BG19" s="154">
        <f t="shared" si="6"/>
        <v>0</v>
      </c>
      <c r="BH19" s="123">
        <f>SUM(TimeSheet341252[[#This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0"/>
        <v/>
      </c>
      <c r="B20" s="242"/>
      <c r="C20" s="296"/>
      <c r="D20" s="241"/>
      <c r="E20" s="242"/>
      <c r="F20" s="225">
        <v>1245</v>
      </c>
      <c r="G20" s="276" t="s">
        <v>102</v>
      </c>
      <c r="H20" s="276" t="s">
        <v>102</v>
      </c>
      <c r="I20" s="139">
        <v>1</v>
      </c>
      <c r="J20" s="153" t="str">
        <f t="shared" si="7"/>
        <v>01</v>
      </c>
      <c r="K20" s="150">
        <v>1</v>
      </c>
      <c r="L20" s="118"/>
      <c r="M20" s="113"/>
      <c r="N20" s="113"/>
      <c r="O20" s="113"/>
      <c r="P20" s="113"/>
      <c r="Q20" s="114"/>
      <c r="R20" s="117"/>
      <c r="S20" s="115"/>
      <c r="T20" s="115"/>
      <c r="U20" s="115"/>
      <c r="V20" s="115"/>
      <c r="W20" s="116"/>
      <c r="X20" s="118"/>
      <c r="Y20" s="113"/>
      <c r="Z20" s="113"/>
      <c r="AA20" s="113"/>
      <c r="AB20" s="113"/>
      <c r="AC20" s="114"/>
      <c r="AD20" s="117"/>
      <c r="AE20" s="115"/>
      <c r="AF20" s="115"/>
      <c r="AG20" s="115"/>
      <c r="AH20" s="115"/>
      <c r="AI20" s="116"/>
      <c r="AJ20" s="118"/>
      <c r="AK20" s="113"/>
      <c r="AL20" s="113"/>
      <c r="AM20" s="113"/>
      <c r="AN20" s="113"/>
      <c r="AO20" s="114"/>
      <c r="AP20" s="117"/>
      <c r="AQ20" s="115"/>
      <c r="AR20" s="115"/>
      <c r="AS20" s="115"/>
      <c r="AT20" s="115"/>
      <c r="AU20" s="116"/>
      <c r="AV20" s="118"/>
      <c r="AW20" s="113"/>
      <c r="AX20" s="113"/>
      <c r="AY20" s="113"/>
      <c r="AZ20" s="113"/>
      <c r="BA20" s="114"/>
      <c r="BB20" s="119">
        <f t="shared" si="1"/>
        <v>0</v>
      </c>
      <c r="BC20" s="120">
        <f t="shared" si="2"/>
        <v>0</v>
      </c>
      <c r="BD20" s="120">
        <f t="shared" si="3"/>
        <v>0</v>
      </c>
      <c r="BE20" s="120">
        <f t="shared" si="4"/>
        <v>0</v>
      </c>
      <c r="BF20" s="120">
        <f t="shared" si="5"/>
        <v>0</v>
      </c>
      <c r="BG20" s="154">
        <f t="shared" si="6"/>
        <v>0</v>
      </c>
      <c r="BH20" s="123">
        <f>SUM(TimeSheet341252[[#This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0"/>
        <v/>
      </c>
      <c r="B21" s="294"/>
      <c r="C21" s="294"/>
      <c r="D21" s="295"/>
      <c r="E21" s="294"/>
      <c r="F21" s="225">
        <v>1245</v>
      </c>
      <c r="G21" s="276" t="s">
        <v>102</v>
      </c>
      <c r="H21" s="276" t="s">
        <v>102</v>
      </c>
      <c r="I21" s="139">
        <v>1</v>
      </c>
      <c r="J21" s="153" t="str">
        <f t="shared" si="7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02"/>
      <c r="AG21" s="202"/>
      <c r="AH21" s="202"/>
      <c r="AI21" s="203"/>
      <c r="AJ21" s="200"/>
      <c r="AK21" s="201"/>
      <c r="AL21" s="201"/>
      <c r="AM21" s="201"/>
      <c r="AN21" s="201"/>
      <c r="AO21" s="237"/>
      <c r="AP21" s="238"/>
      <c r="AQ21" s="202"/>
      <c r="AR21" s="202"/>
      <c r="AS21" s="202"/>
      <c r="AT21" s="202"/>
      <c r="AU21" s="203"/>
      <c r="AV21" s="200"/>
      <c r="AW21" s="201"/>
      <c r="AX21" s="201"/>
      <c r="AY21" s="201"/>
      <c r="AZ21" s="113"/>
      <c r="BA21" s="114"/>
      <c r="BB21" s="119">
        <f t="shared" si="1"/>
        <v>0</v>
      </c>
      <c r="BC21" s="120">
        <f t="shared" si="2"/>
        <v>0</v>
      </c>
      <c r="BD21" s="120">
        <f t="shared" si="3"/>
        <v>0</v>
      </c>
      <c r="BE21" s="120">
        <f t="shared" si="4"/>
        <v>0</v>
      </c>
      <c r="BF21" s="120">
        <f t="shared" si="5"/>
        <v>0</v>
      </c>
      <c r="BG21" s="154">
        <f t="shared" si="6"/>
        <v>0</v>
      </c>
      <c r="BH21" s="123">
        <f>SUM(TimeSheet341252[[#This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0"/>
        <v/>
      </c>
      <c r="B22" s="316"/>
      <c r="C22" s="316"/>
      <c r="D22" s="277"/>
      <c r="E22" s="316"/>
      <c r="F22" s="225"/>
      <c r="G22" s="316"/>
      <c r="H22" s="316"/>
      <c r="I22" s="139"/>
      <c r="J22" s="153"/>
      <c r="K22" s="150"/>
      <c r="L22" s="263"/>
      <c r="M22" s="258"/>
      <c r="N22" s="258"/>
      <c r="O22" s="258"/>
      <c r="P22" s="258"/>
      <c r="Q22" s="259"/>
      <c r="R22" s="262"/>
      <c r="S22" s="115"/>
      <c r="T22" s="115"/>
      <c r="U22" s="115"/>
      <c r="V22" s="115"/>
      <c r="W22" s="116"/>
      <c r="X22" s="118"/>
      <c r="Y22" s="113"/>
      <c r="Z22" s="113"/>
      <c r="AA22" s="113"/>
      <c r="AB22" s="113"/>
      <c r="AC22" s="114"/>
      <c r="AD22" s="117"/>
      <c r="AE22" s="115"/>
      <c r="AF22" s="115"/>
      <c r="AG22" s="115"/>
      <c r="AH22" s="115"/>
      <c r="AI22" s="116"/>
      <c r="AJ22" s="118"/>
      <c r="AK22" s="113"/>
      <c r="AL22" s="113"/>
      <c r="AM22" s="201"/>
      <c r="AN22" s="113"/>
      <c r="AO22" s="114"/>
      <c r="AP22" s="117"/>
      <c r="AQ22" s="115"/>
      <c r="AR22" s="115"/>
      <c r="AS22" s="115"/>
      <c r="AT22" s="115"/>
      <c r="AU22" s="116"/>
      <c r="AV22" s="118"/>
      <c r="AW22" s="113"/>
      <c r="AX22" s="113"/>
      <c r="AY22" s="113"/>
      <c r="AZ22" s="113"/>
      <c r="BA22" s="114"/>
      <c r="BB22" s="119">
        <f t="shared" si="1"/>
        <v>0</v>
      </c>
      <c r="BC22" s="120">
        <f t="shared" si="2"/>
        <v>0</v>
      </c>
      <c r="BD22" s="120">
        <f t="shared" si="3"/>
        <v>0</v>
      </c>
      <c r="BE22" s="120">
        <f t="shared" si="4"/>
        <v>0</v>
      </c>
      <c r="BF22" s="120">
        <f t="shared" si="5"/>
        <v>0</v>
      </c>
      <c r="BG22" s="154">
        <f t="shared" si="6"/>
        <v>0</v>
      </c>
      <c r="BH22" s="123">
        <f>SUM(TimeSheet341252[[#This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0"/>
        <v/>
      </c>
      <c r="B23" s="242"/>
      <c r="C23" s="296"/>
      <c r="D23" s="241"/>
      <c r="E23" s="242"/>
      <c r="F23" s="225"/>
      <c r="G23" s="316"/>
      <c r="H23" s="316"/>
      <c r="I23" s="139"/>
      <c r="J23" s="153"/>
      <c r="K23" s="150"/>
      <c r="L23" s="263"/>
      <c r="M23" s="258"/>
      <c r="N23" s="258"/>
      <c r="O23" s="258"/>
      <c r="P23" s="258"/>
      <c r="Q23" s="259"/>
      <c r="R23" s="262"/>
      <c r="S23" s="115"/>
      <c r="T23" s="115"/>
      <c r="U23" s="115"/>
      <c r="V23" s="115"/>
      <c r="W23" s="116"/>
      <c r="X23" s="118"/>
      <c r="Y23" s="113"/>
      <c r="Z23" s="113"/>
      <c r="AA23" s="113"/>
      <c r="AB23" s="113"/>
      <c r="AC23" s="114"/>
      <c r="AD23" s="117"/>
      <c r="AE23" s="115"/>
      <c r="AF23" s="115"/>
      <c r="AG23" s="115"/>
      <c r="AH23" s="115"/>
      <c r="AI23" s="116"/>
      <c r="AJ23" s="118"/>
      <c r="AK23" s="113"/>
      <c r="AL23" s="113"/>
      <c r="AM23" s="113"/>
      <c r="AN23" s="113"/>
      <c r="AO23" s="114"/>
      <c r="AP23" s="117"/>
      <c r="AQ23" s="115"/>
      <c r="AR23" s="115"/>
      <c r="AS23" s="115"/>
      <c r="AT23" s="115"/>
      <c r="AU23" s="116"/>
      <c r="AV23" s="118"/>
      <c r="AW23" s="113"/>
      <c r="AX23" s="113"/>
      <c r="AY23" s="113"/>
      <c r="AZ23" s="113"/>
      <c r="BA23" s="114"/>
      <c r="BB23" s="119">
        <f t="shared" si="1"/>
        <v>0</v>
      </c>
      <c r="BC23" s="120">
        <f t="shared" si="2"/>
        <v>0</v>
      </c>
      <c r="BD23" s="120">
        <f t="shared" si="3"/>
        <v>0</v>
      </c>
      <c r="BE23" s="120">
        <f t="shared" si="4"/>
        <v>0</v>
      </c>
      <c r="BF23" s="120">
        <f t="shared" si="5"/>
        <v>0</v>
      </c>
      <c r="BG23" s="154">
        <f t="shared" si="6"/>
        <v>0</v>
      </c>
      <c r="BH23" s="123">
        <f>SUM(TimeSheet341252[[#This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SUBTOTAL(109,TimeSheet341252[RT1])</f>
        <v>0</v>
      </c>
      <c r="M24" s="359">
        <f>SUBTOTAL(109,TimeSheet341252[OT1])</f>
        <v>0</v>
      </c>
      <c r="N24" s="359">
        <f>SUBTOTAL(109,TimeSheet341252[DT1])</f>
        <v>0</v>
      </c>
      <c r="O24" s="359">
        <f>SUBTOTAL(109,TimeSheet341252[PD1])</f>
        <v>0</v>
      </c>
      <c r="P24" s="359">
        <f>SUBTOTAL(109,TimeSheet341252[4D1])</f>
        <v>0</v>
      </c>
      <c r="Q24" s="360">
        <f>SUBTOTAL(109,TimeSheet341252[4A1])</f>
        <v>0</v>
      </c>
      <c r="R24" s="361">
        <f>SUBTOTAL(109,TimeSheet341252[RT2])</f>
        <v>8</v>
      </c>
      <c r="S24" s="362">
        <f>SUBTOTAL(109,TimeSheet341252[OT2])</f>
        <v>0</v>
      </c>
      <c r="T24" s="362">
        <f>SUBTOTAL(109,TimeSheet341252[DT2])</f>
        <v>7</v>
      </c>
      <c r="U24" s="362">
        <f>SUBTOTAL(109,TimeSheet341252[PD2])</f>
        <v>3</v>
      </c>
      <c r="V24" s="362">
        <f>SUBTOTAL(109,TimeSheet341252[4D2])</f>
        <v>3</v>
      </c>
      <c r="W24" s="363">
        <f>SUBTOTAL(109,TimeSheet341252[4A2])</f>
        <v>1.5</v>
      </c>
      <c r="X24" s="358">
        <f>SUBTOTAL(109,TimeSheet341252[RT3])</f>
        <v>8</v>
      </c>
      <c r="Y24" s="359">
        <f>SUBTOTAL(109,TimeSheet341252[OT3])</f>
        <v>0</v>
      </c>
      <c r="Z24" s="359">
        <f>SUBTOTAL(109,TimeSheet341252[DT3])</f>
        <v>8</v>
      </c>
      <c r="AA24" s="359">
        <f>SUBTOTAL(109,TimeSheet341252[PD3])</f>
        <v>3</v>
      </c>
      <c r="AB24" s="359">
        <f>SUBTOTAL(109,TimeSheet341252[4D3])</f>
        <v>3</v>
      </c>
      <c r="AC24" s="360">
        <f>SUBTOTAL(109,TimeSheet341252[4A3])</f>
        <v>1.5</v>
      </c>
      <c r="AD24" s="361">
        <f>SUBTOTAL(109,TimeSheet341252[RT4])</f>
        <v>8</v>
      </c>
      <c r="AE24" s="362">
        <f>SUBTOTAL(109,TimeSheet341252[OT4])</f>
        <v>0</v>
      </c>
      <c r="AF24" s="362">
        <f>SUBTOTAL(109,TimeSheet341252[DT4])</f>
        <v>7</v>
      </c>
      <c r="AG24" s="362">
        <f>SUBTOTAL(109,TimeSheet341252[PD4])</f>
        <v>3</v>
      </c>
      <c r="AH24" s="362">
        <f>SUBTOTAL(109,TimeSheet341252[4D4])</f>
        <v>3</v>
      </c>
      <c r="AI24" s="363">
        <f>SUBTOTAL(109,TimeSheet341252[4A4])</f>
        <v>1.5</v>
      </c>
      <c r="AJ24" s="358">
        <f>SUBTOTAL(109,TimeSheet341252[RT5])</f>
        <v>8</v>
      </c>
      <c r="AK24" s="359">
        <f>SUBTOTAL(109,TimeSheet341252[OT5])</f>
        <v>0</v>
      </c>
      <c r="AL24" s="359">
        <f>SUBTOTAL(109,TimeSheet341252[DT5])</f>
        <v>8</v>
      </c>
      <c r="AM24" s="359">
        <f>SUBTOTAL(109,TimeSheet341252[PD5])</f>
        <v>3</v>
      </c>
      <c r="AN24" s="359">
        <f>SUBTOTAL(109,TimeSheet341252[4D5])</f>
        <v>3</v>
      </c>
      <c r="AO24" s="360">
        <f>SUBTOTAL(109,TimeSheet341252[4A5])</f>
        <v>1.5</v>
      </c>
      <c r="AP24" s="361">
        <f>SUBTOTAL(109,TimeSheet341252[RT6])</f>
        <v>0</v>
      </c>
      <c r="AQ24" s="362">
        <f>SUBTOTAL(109,TimeSheet341252[OT6])</f>
        <v>0</v>
      </c>
      <c r="AR24" s="362">
        <f>SUBTOTAL(109,TimeSheet341252[DT6])</f>
        <v>16</v>
      </c>
      <c r="AS24" s="362">
        <f>SUBTOTAL(109,TimeSheet341252[PD6])</f>
        <v>3</v>
      </c>
      <c r="AT24" s="362">
        <f>SUBTOTAL(109,TimeSheet341252[4D6])</f>
        <v>3</v>
      </c>
      <c r="AU24" s="363">
        <f>SUBTOTAL(109,TimeSheet341252[4A6])</f>
        <v>1.5</v>
      </c>
      <c r="AV24" s="358">
        <f>SUBTOTAL(109,TimeSheet341252[RT7])</f>
        <v>0</v>
      </c>
      <c r="AW24" s="359">
        <f>SUBTOTAL(109,TimeSheet341252[OT7])</f>
        <v>0</v>
      </c>
      <c r="AX24" s="359">
        <f>SUBTOTAL(109,TimeSheet341252[DT7])</f>
        <v>16</v>
      </c>
      <c r="AY24" s="359">
        <f>SUBTOTAL(109,TimeSheet341252[PD7])</f>
        <v>3</v>
      </c>
      <c r="AZ24" s="359">
        <f>SUBTOTAL(109,TimeSheet341252[4D7])</f>
        <v>3</v>
      </c>
      <c r="BA24" s="360">
        <f>SUBTOTAL(109,TimeSheet341252[4A7])</f>
        <v>1.5</v>
      </c>
      <c r="BB24" s="384">
        <f>SUBTOTAL(109,TimeSheet341252[1])</f>
        <v>32</v>
      </c>
      <c r="BC24" s="365">
        <f>SUBTOTAL(109,TimeSheet341252[3])</f>
        <v>0</v>
      </c>
      <c r="BD24" s="365">
        <f>SUBTOTAL(109,TimeSheet341252[2])</f>
        <v>62</v>
      </c>
      <c r="BE24" s="365">
        <f>SUBTOTAL(109,TimeSheet341252[4])</f>
        <v>18</v>
      </c>
      <c r="BF24" s="365">
        <f>SUBTOTAL(109,TimeSheet341252[4D])</f>
        <v>18</v>
      </c>
      <c r="BG24" s="366">
        <f>SUBTOTAL(109,TimeSheet341252[4A])</f>
        <v>9</v>
      </c>
      <c r="BH24" s="367">
        <f>SUBTOTAL(109,TimeSheet341252[Total])-SUM(TimeSheet341252[[#Totals],[RT1]:[4A7]])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5">
      <c r="A25" s="173"/>
      <c r="B25" s="28" t="s">
        <v>356</v>
      </c>
      <c r="C25" s="28"/>
      <c r="D25" s="28"/>
      <c r="E25" s="28"/>
      <c r="K25" s="228"/>
      <c r="L25" s="349"/>
      <c r="M25" s="232"/>
      <c r="N25" s="232"/>
      <c r="O25" s="232"/>
      <c r="P25" s="232"/>
      <c r="Q25" s="232"/>
      <c r="R25" s="375"/>
      <c r="S25" s="232"/>
      <c r="T25" s="232"/>
      <c r="U25" s="228"/>
      <c r="V25" s="228"/>
      <c r="W25" s="228"/>
      <c r="X25" s="275"/>
      <c r="Y25" s="231"/>
      <c r="Z25" s="222"/>
      <c r="AA25" s="222"/>
      <c r="AB25" s="222"/>
      <c r="AD25" s="275"/>
      <c r="AJ25" s="275"/>
      <c r="AP25" s="293"/>
      <c r="AQ25" s="267"/>
      <c r="AR25" s="267"/>
      <c r="AS25" s="268"/>
      <c r="AT25" s="267"/>
      <c r="AU25" s="267"/>
      <c r="AV25" s="275"/>
      <c r="BB25" s="256"/>
      <c r="BC25" s="256"/>
      <c r="BD25" s="256"/>
      <c r="BE25" s="256"/>
      <c r="BF25" s="256"/>
      <c r="BG25" s="256"/>
    </row>
    <row r="26" spans="1:102" ht="39" customHeight="1" x14ac:dyDescent="0.7">
      <c r="A26" s="174" t="str">
        <f>IF(ISBLANK('[3]Job Details'!A5),"",'[3]Job Details'!A5)</f>
        <v>5/8's Crew</v>
      </c>
      <c r="B26" s="175"/>
      <c r="C26" s="176">
        <f>IF(ISBLANK('[3]Job Details'!B5),"",'[3]Job Details'!B5)</f>
        <v>0</v>
      </c>
      <c r="D26" s="174" t="str">
        <f>IF(ISBLANK('[3]Job Details'!C5),"",'[3]Job Details'!C5)</f>
        <v>4/10's Crew</v>
      </c>
      <c r="E26" s="177">
        <f>IF(ISBLANK('[3]Job Details'!D5),"",'[3]Job Details'!D5)</f>
        <v>0</v>
      </c>
      <c r="F26" s="178" t="str">
        <f>IF(ISBLANK('[3]Job Details'!E5),"",'[3]Job Details'!E5)</f>
        <v>Distribution Crews</v>
      </c>
      <c r="G26"/>
      <c r="H26"/>
      <c r="L26" s="257"/>
      <c r="M26" s="245"/>
      <c r="N26" s="205"/>
      <c r="O26" s="205"/>
      <c r="P26" s="205"/>
      <c r="Q26" s="205"/>
      <c r="R26" s="205"/>
      <c r="S26" s="205"/>
      <c r="T26" s="205"/>
      <c r="U26" s="204"/>
      <c r="X26" s="204"/>
      <c r="AB26" s="204"/>
      <c r="AD26" s="204"/>
      <c r="AJ26" s="204"/>
      <c r="AS26" s="204"/>
      <c r="BB26" s="256"/>
      <c r="BC26" s="256"/>
      <c r="BD26" s="256"/>
      <c r="BE26" s="256"/>
      <c r="BF26" s="256"/>
      <c r="BG26" s="256"/>
    </row>
    <row r="27" spans="1:102" ht="39" customHeight="1" x14ac:dyDescent="0.7">
      <c r="A27" s="179" t="str">
        <f>IF(ISBLANK('[3]Job Details'!A6),"",'[3]Job Details'!A6)</f>
        <v>8 ST</v>
      </c>
      <c r="B27" s="180"/>
      <c r="C27" s="181" t="str">
        <f>IF(ISBLANK('[3]Job Details'!B6),"",'[3]Job Details'!B6)</f>
        <v>10 ST</v>
      </c>
      <c r="D27" s="182" t="str">
        <f>IF(ISBLANK('[3]Job Details'!C6),"",'[3]Job Details'!C6)</f>
        <v>5/8's Crew</v>
      </c>
      <c r="E27" s="181">
        <f>IF(ISBLANK('[3]Job Details'!D6),"",'[3]Job Details'!D6)</f>
        <v>0</v>
      </c>
      <c r="F27" s="183" t="str">
        <f>IF(ISBLANK('[3]Job Details'!E6),"",'[3]Job Details'!E6)</f>
        <v>4/10's Crew</v>
      </c>
      <c r="G27"/>
      <c r="H27"/>
      <c r="I27" s="224"/>
      <c r="J27" s="223"/>
      <c r="K27" s="222"/>
      <c r="L27" s="204"/>
      <c r="M27" s="221"/>
      <c r="N27" s="204"/>
      <c r="O27" s="204"/>
      <c r="P27" s="204"/>
      <c r="Q27" s="204"/>
      <c r="R27" s="204"/>
      <c r="S27" s="204"/>
      <c r="T27" s="204"/>
      <c r="U27" s="204"/>
      <c r="X27" s="204"/>
      <c r="Y27" s="254"/>
      <c r="Z27" s="254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IF(ISBLANK('[3]Job Details'!A7),"",'[3]Job Details'!A7)</f>
        <v>2 OT</v>
      </c>
      <c r="B28" s="180"/>
      <c r="C28" s="181" t="str">
        <f>IF(ISBLANK('[3]Job Details'!B7),"",'[3]Job Details'!B7)</f>
        <v>10+ DT</v>
      </c>
      <c r="D28" s="179" t="str">
        <f>IF(ISBLANK('[3]Job Details'!C7),"",'[3]Job Details'!C7)</f>
        <v>8 ST</v>
      </c>
      <c r="E28" s="181" t="str">
        <f>IF(ISBLANK('[3]Job Details'!D7),"",'[3]Job Details'!D7)</f>
        <v>10 ST</v>
      </c>
      <c r="F28" s="183" t="str">
        <f>IF(ISBLANK('[3]Job Details'!E7),"",'[3]Job Details'!E7)</f>
        <v>Saturday</v>
      </c>
      <c r="G28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IF(ISBLANK('[3]Job Details'!A8),"",'[3]Job Details'!A8)</f>
        <v>10+ DT</v>
      </c>
      <c r="B29" s="185"/>
      <c r="C29" s="186">
        <f>IF(ISBLANK('[3]Job Details'!B8),"",'[3]Job Details'!B8)</f>
        <v>0</v>
      </c>
      <c r="D29" s="179" t="str">
        <f>IF(ISBLANK('[3]Job Details'!C8),"",'[3]Job Details'!C8)</f>
        <v>8+ DT</v>
      </c>
      <c r="E29" s="181" t="str">
        <f>IF(ISBLANK('[3]Job Details'!D8),"",'[3]Job Details'!D8)</f>
        <v>10+ DT</v>
      </c>
      <c r="F29" s="187" t="str">
        <f>IF(ISBLANK('[3]Job Details'!E8),"",'[3]Job Details'!E8)</f>
        <v>All DT</v>
      </c>
      <c r="G29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</row>
    <row r="30" spans="1:102" ht="39" customHeight="1" x14ac:dyDescent="0.4">
      <c r="A30" s="188" t="str">
        <f>IF(ISBLANK('[3]Job Details'!A9),"",'[3]Job Details'!A9)</f>
        <v>Saturday</v>
      </c>
      <c r="B30" s="175"/>
      <c r="C30" s="189">
        <f>IF(ISBLANK('[3]Job Details'!B9),"",'[3]Job Details'!B9)</f>
        <v>0</v>
      </c>
      <c r="D30" s="190" t="str">
        <f>IF(ISBLANK('[3]Job Details'!C9),"",'[3]Job Details'!C9)</f>
        <v>Sunday</v>
      </c>
      <c r="E30" s="176">
        <f>IF(ISBLANK('[3]Job Details'!D9),"",'[3]Job Details'!D9)</f>
        <v>0</v>
      </c>
      <c r="F30" s="183" t="str">
        <f>IF(ISBLANK('[3]Job Details'!E9),"",'[3]Job Details'!E9)</f>
        <v>Sunday</v>
      </c>
      <c r="G3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IF(ISBLANK('[3]Job Details'!A10),"",'[3]Job Details'!A10)</f>
        <v>8 OT</v>
      </c>
      <c r="B31" s="180"/>
      <c r="C31" s="181">
        <f>IF(ISBLANK('[3]Job Details'!B10),"",'[3]Job Details'!B10)</f>
        <v>0</v>
      </c>
      <c r="D31" s="191" t="str">
        <f>IF(ISBLANK('[3]Job Details'!C10),"",'[3]Job Details'!C10)</f>
        <v>All DT</v>
      </c>
      <c r="E31" s="181">
        <f>IF(ISBLANK('[3]Job Details'!D10),"",'[3]Job Details'!D10)</f>
        <v>0</v>
      </c>
      <c r="F31" s="187" t="str">
        <f>IF(ISBLANK('[3]Job Details'!E10),"",'[3]Job Details'!E10)</f>
        <v>All DT</v>
      </c>
      <c r="G31"/>
      <c r="H31" s="209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7"/>
    </row>
    <row r="32" spans="1:102" ht="39" customHeight="1" x14ac:dyDescent="0.4">
      <c r="A32" s="184" t="str">
        <f>IF(ISBLANK('[3]Job Details'!A11),"",'[3]Job Details'!A11)</f>
        <v>8+DT</v>
      </c>
      <c r="B32" s="185"/>
      <c r="C32" s="186">
        <f>IF(ISBLANK('[3]Job Details'!B11),"",'[3]Job Details'!B11)</f>
        <v>0</v>
      </c>
      <c r="D32" s="192">
        <f>IF(ISBLANK('[3]Job Details'!C11),"",'[3]Job Details'!C11)</f>
        <v>0</v>
      </c>
      <c r="E32" s="186">
        <f>IF(ISBLANK('[3]Job Details'!D11),"",'[3]Job Details'!D11)</f>
        <v>0</v>
      </c>
      <c r="F32" s="193">
        <f>IF(ISBLANK('[3]Job Details'!E11),"",'[3]Job Details'!E11)</f>
        <v>0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7">
    <mergeCell ref="L3:Q3"/>
    <mergeCell ref="R3:W3"/>
    <mergeCell ref="X3:AC3"/>
    <mergeCell ref="AD3:AI3"/>
    <mergeCell ref="AJ3:AO3"/>
    <mergeCell ref="L6:Q6"/>
    <mergeCell ref="L7:Q7"/>
    <mergeCell ref="BB1:BG1"/>
    <mergeCell ref="AV3:BA3"/>
    <mergeCell ref="AV4:BA4"/>
    <mergeCell ref="BB4:BG4"/>
    <mergeCell ref="L5:Q5"/>
    <mergeCell ref="AP5:AU5"/>
    <mergeCell ref="AV5:BA5"/>
    <mergeCell ref="L4:Q4"/>
    <mergeCell ref="AP3:AU3"/>
    <mergeCell ref="R4:W4"/>
    <mergeCell ref="X4:AC4"/>
    <mergeCell ref="AD4:AI4"/>
    <mergeCell ref="AJ4:AO4"/>
    <mergeCell ref="AP4:AU4"/>
    <mergeCell ref="AV6:BA6"/>
    <mergeCell ref="AV8:BA8"/>
    <mergeCell ref="AP7:AU7"/>
    <mergeCell ref="AV7:BA7"/>
    <mergeCell ref="AP6:AU6"/>
    <mergeCell ref="L8:Q8"/>
    <mergeCell ref="BB9:BG9"/>
    <mergeCell ref="L9:Q9"/>
    <mergeCell ref="R9:W9"/>
    <mergeCell ref="X9:AC9"/>
    <mergeCell ref="AD9:AI9"/>
    <mergeCell ref="AJ9:AO9"/>
    <mergeCell ref="AP8:AU8"/>
    <mergeCell ref="R8:W8"/>
    <mergeCell ref="X8:AC8"/>
    <mergeCell ref="AD8:AI8"/>
    <mergeCell ref="AJ8:AO8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AP9:AU9"/>
    <mergeCell ref="AV9:BA9"/>
    <mergeCell ref="CM11:CR11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R5:W5"/>
    <mergeCell ref="X5:AC5"/>
    <mergeCell ref="AD5:AI5"/>
    <mergeCell ref="AJ5:AO5"/>
    <mergeCell ref="R7:W7"/>
    <mergeCell ref="X7:AC7"/>
    <mergeCell ref="AD7:AI7"/>
    <mergeCell ref="AJ7:AO7"/>
    <mergeCell ref="R6:W6"/>
    <mergeCell ref="X6:AC6"/>
    <mergeCell ref="AD6:AI6"/>
    <mergeCell ref="AJ6:AO6"/>
  </mergeCells>
  <conditionalFormatting sqref="D3 A13:A16 A18:A23">
    <cfRule type="expression" dxfId="3453" priority="449">
      <formula>ISBLANK(A3)</formula>
    </cfRule>
  </conditionalFormatting>
  <conditionalFormatting sqref="A1:K1">
    <cfRule type="expression" dxfId="3452" priority="447">
      <formula>$A$1="Input Employee Number"</formula>
    </cfRule>
  </conditionalFormatting>
  <conditionalFormatting sqref="BB1:BG1">
    <cfRule type="expression" dxfId="3451" priority="446">
      <formula>ISBLANK(BB1)</formula>
    </cfRule>
  </conditionalFormatting>
  <conditionalFormatting sqref="BH24">
    <cfRule type="expression" dxfId="3450" priority="444">
      <formula>$BH24&lt;&gt;0</formula>
    </cfRule>
    <cfRule type="expression" dxfId="3449" priority="445">
      <formula>$BH24=0</formula>
    </cfRule>
  </conditionalFormatting>
  <conditionalFormatting sqref="L11:BG11">
    <cfRule type="expression" dxfId="3448" priority="443">
      <formula>L11&lt;&gt;0</formula>
    </cfRule>
  </conditionalFormatting>
  <conditionalFormatting sqref="E24:H24 E20">
    <cfRule type="expression" dxfId="3447" priority="442">
      <formula>AND($BH20&lt;&gt;0,ISBLANK(E20))</formula>
    </cfRule>
  </conditionalFormatting>
  <conditionalFormatting sqref="B2">
    <cfRule type="cellIs" dxfId="3446" priority="441" operator="equal">
      <formula>0</formula>
    </cfRule>
  </conditionalFormatting>
  <conditionalFormatting sqref="D3 A13:A16 A18:A23">
    <cfRule type="cellIs" dxfId="3445" priority="448" operator="equal">
      <formula>"x"</formula>
    </cfRule>
  </conditionalFormatting>
  <conditionalFormatting sqref="E20">
    <cfRule type="expression" dxfId="3444" priority="440">
      <formula>AND($C20&gt;0,ISBLANK($E20))</formula>
    </cfRule>
  </conditionalFormatting>
  <conditionalFormatting sqref="C24 C20">
    <cfRule type="expression" dxfId="3443" priority="450">
      <formula>AND($C20=0,BH20&lt;&gt;0)</formula>
    </cfRule>
  </conditionalFormatting>
  <conditionalFormatting sqref="G13:H13">
    <cfRule type="expression" dxfId="3442" priority="439">
      <formula>AND($BH13&lt;&gt;0,ISBLANK(G13))</formula>
    </cfRule>
  </conditionalFormatting>
  <conditionalFormatting sqref="F13">
    <cfRule type="expression" dxfId="3441" priority="438">
      <formula>AND($BH13&lt;&gt;0,ISBLANK(F13))</formula>
    </cfRule>
  </conditionalFormatting>
  <conditionalFormatting sqref="E23">
    <cfRule type="expression" dxfId="3440" priority="415">
      <formula>AND($BH23&lt;&gt;0,ISBLANK(E23))</formula>
    </cfRule>
  </conditionalFormatting>
  <conditionalFormatting sqref="E23">
    <cfRule type="expression" dxfId="3439" priority="414">
      <formula>AND($BH23&lt;&gt;0,ISBLANK(E23))</formula>
    </cfRule>
  </conditionalFormatting>
  <conditionalFormatting sqref="E23">
    <cfRule type="expression" dxfId="3438" priority="413">
      <formula>AND($C23&gt;0,ISBLANK($E23))</formula>
    </cfRule>
  </conditionalFormatting>
  <conditionalFormatting sqref="C23">
    <cfRule type="expression" dxfId="3437" priority="416">
      <formula>AND($C23=0,BH23&lt;&gt;0)</formula>
    </cfRule>
  </conditionalFormatting>
  <conditionalFormatting sqref="G15:H15 G17:H21 G23:H23">
    <cfRule type="expression" dxfId="3436" priority="412">
      <formula>AND($BH15&lt;&gt;0,ISBLANK(G15))</formula>
    </cfRule>
  </conditionalFormatting>
  <conditionalFormatting sqref="F15 F17:F21 F23">
    <cfRule type="expression" dxfId="3435" priority="411">
      <formula>AND($BH15&lt;&gt;0,ISBLANK(F15))</formula>
    </cfRule>
  </conditionalFormatting>
  <conditionalFormatting sqref="G16:H16">
    <cfRule type="expression" dxfId="3434" priority="408">
      <formula>AND($BH16&lt;&gt;0,ISBLANK(G16))</formula>
    </cfRule>
  </conditionalFormatting>
  <conditionalFormatting sqref="F16">
    <cfRule type="expression" dxfId="3433" priority="407">
      <formula>AND($BH16&lt;&gt;0,ISBLANK(F16))</formula>
    </cfRule>
  </conditionalFormatting>
  <conditionalFormatting sqref="B3">
    <cfRule type="containsBlanks" dxfId="3432" priority="403">
      <formula>LEN(TRIM(B3))=0</formula>
    </cfRule>
  </conditionalFormatting>
  <conditionalFormatting sqref="B4">
    <cfRule type="containsBlanks" dxfId="3431" priority="402">
      <formula>LEN(TRIM(B4))=0</formula>
    </cfRule>
  </conditionalFormatting>
  <conditionalFormatting sqref="G14:H14">
    <cfRule type="expression" dxfId="3430" priority="401">
      <formula>AND($BH14&lt;&gt;0,ISBLANK(G14))</formula>
    </cfRule>
  </conditionalFormatting>
  <conditionalFormatting sqref="F14">
    <cfRule type="expression" dxfId="3429" priority="400">
      <formula>AND($BH14&lt;&gt;0,ISBLANK(F14))</formula>
    </cfRule>
  </conditionalFormatting>
  <conditionalFormatting sqref="E17">
    <cfRule type="expression" dxfId="3428" priority="354">
      <formula>AND($BH17&lt;&gt;0,ISBLANK(E17))</formula>
    </cfRule>
  </conditionalFormatting>
  <conditionalFormatting sqref="E17">
    <cfRule type="expression" dxfId="3427" priority="353">
      <formula>AND($C17&gt;0,ISBLANK($E17))</formula>
    </cfRule>
  </conditionalFormatting>
  <conditionalFormatting sqref="E16">
    <cfRule type="expression" dxfId="3426" priority="352">
      <formula>AND($BH16&lt;&gt;0,ISBLANK(E16))</formula>
    </cfRule>
  </conditionalFormatting>
  <conditionalFormatting sqref="E16">
    <cfRule type="expression" dxfId="3425" priority="351">
      <formula>AND($C16&gt;0,ISBLANK($E16))</formula>
    </cfRule>
  </conditionalFormatting>
  <conditionalFormatting sqref="A17">
    <cfRule type="expression" dxfId="3424" priority="348">
      <formula>ISBLANK(A17)</formula>
    </cfRule>
  </conditionalFormatting>
  <conditionalFormatting sqref="A17">
    <cfRule type="cellIs" dxfId="3423" priority="347" operator="equal">
      <formula>"x"</formula>
    </cfRule>
  </conditionalFormatting>
  <conditionalFormatting sqref="C16">
    <cfRule type="expression" dxfId="3422" priority="322">
      <formula>AND($BH16&lt;&gt;0,ISBLANK(C16))</formula>
    </cfRule>
  </conditionalFormatting>
  <conditionalFormatting sqref="C16">
    <cfRule type="expression" dxfId="3421" priority="321">
      <formula>AND($C16&gt;0,ISBLANK($E16))</formula>
    </cfRule>
  </conditionalFormatting>
  <conditionalFormatting sqref="E14">
    <cfRule type="expression" dxfId="3420" priority="320">
      <formula>AND($BH14&lt;&gt;0,ISBLANK(E14))</formula>
    </cfRule>
  </conditionalFormatting>
  <conditionalFormatting sqref="E14">
    <cfRule type="expression" dxfId="3419" priority="319">
      <formula>AND($C14&gt;0,ISBLANK($E14))</formula>
    </cfRule>
  </conditionalFormatting>
  <conditionalFormatting sqref="B18">
    <cfRule type="expression" dxfId="3418" priority="203">
      <formula>AND($BH18&lt;&gt;0,ISBLANK(B18))</formula>
    </cfRule>
  </conditionalFormatting>
  <conditionalFormatting sqref="B18">
    <cfRule type="expression" dxfId="3417" priority="202">
      <formula>AND($C18&gt;0,ISBLANK($E18))</formula>
    </cfRule>
  </conditionalFormatting>
  <conditionalFormatting sqref="E18">
    <cfRule type="expression" dxfId="3416" priority="201">
      <formula>AND($BH18&lt;&gt;0,ISBLANK(E18))</formula>
    </cfRule>
  </conditionalFormatting>
  <conditionalFormatting sqref="E18">
    <cfRule type="expression" dxfId="3415" priority="200">
      <formula>AND($BH18&lt;&gt;0,ISBLANK(E18))</formula>
    </cfRule>
  </conditionalFormatting>
  <conditionalFormatting sqref="E18">
    <cfRule type="expression" dxfId="3414" priority="199">
      <formula>AND($C18&gt;0,ISBLANK($E18))</formula>
    </cfRule>
  </conditionalFormatting>
  <conditionalFormatting sqref="C18">
    <cfRule type="expression" dxfId="3413" priority="198">
      <formula>AND($BH18&lt;&gt;0,ISBLANK(C18))</formula>
    </cfRule>
  </conditionalFormatting>
  <conditionalFormatting sqref="C18">
    <cfRule type="expression" dxfId="3412" priority="197">
      <formula>AND($C18&gt;0,ISBLANK($E18))</formula>
    </cfRule>
  </conditionalFormatting>
  <conditionalFormatting sqref="B21">
    <cfRule type="expression" dxfId="3411" priority="195">
      <formula>AND($BH21&lt;&gt;0,ISBLANK(B21))</formula>
    </cfRule>
  </conditionalFormatting>
  <conditionalFormatting sqref="B21">
    <cfRule type="expression" dxfId="3410" priority="194">
      <formula>AND($C21&gt;0,ISBLANK($E21))</formula>
    </cfRule>
  </conditionalFormatting>
  <conditionalFormatting sqref="E21">
    <cfRule type="expression" dxfId="3409" priority="193">
      <formula>AND($BH21&lt;&gt;0,ISBLANK(E21))</formula>
    </cfRule>
  </conditionalFormatting>
  <conditionalFormatting sqref="E21">
    <cfRule type="expression" dxfId="3408" priority="192">
      <formula>AND($BH21&lt;&gt;0,ISBLANK(E21))</formula>
    </cfRule>
  </conditionalFormatting>
  <conditionalFormatting sqref="E21">
    <cfRule type="expression" dxfId="3407" priority="191">
      <formula>AND($C21&gt;0,ISBLANK($E21))</formula>
    </cfRule>
  </conditionalFormatting>
  <conditionalFormatting sqref="C21">
    <cfRule type="expression" dxfId="3406" priority="190">
      <formula>AND($BH21&lt;&gt;0,ISBLANK(C21))</formula>
    </cfRule>
  </conditionalFormatting>
  <conditionalFormatting sqref="C21">
    <cfRule type="expression" dxfId="3405" priority="189">
      <formula>AND($C21&gt;0,ISBLANK($E21))</formula>
    </cfRule>
  </conditionalFormatting>
  <conditionalFormatting sqref="B15">
    <cfRule type="expression" dxfId="3404" priority="145">
      <formula>AND($BH15&lt;&gt;0,ISBLANK(B15))</formula>
    </cfRule>
  </conditionalFormatting>
  <conditionalFormatting sqref="B15">
    <cfRule type="expression" dxfId="3403" priority="144">
      <formula>AND($C15&gt;0,ISBLANK($E15))</formula>
    </cfRule>
  </conditionalFormatting>
  <conditionalFormatting sqref="B19">
    <cfRule type="expression" dxfId="3402" priority="143">
      <formula>AND($BH19&lt;&gt;0,ISBLANK(B19))</formula>
    </cfRule>
  </conditionalFormatting>
  <conditionalFormatting sqref="B19">
    <cfRule type="expression" dxfId="3401" priority="142">
      <formula>AND($C19&gt;0,ISBLANK($E19))</formula>
    </cfRule>
  </conditionalFormatting>
  <conditionalFormatting sqref="G22:H22">
    <cfRule type="expression" dxfId="3400" priority="114">
      <formula>AND($BH22&lt;&gt;0,ISBLANK(G22))</formula>
    </cfRule>
  </conditionalFormatting>
  <conditionalFormatting sqref="F22">
    <cfRule type="expression" dxfId="3399" priority="113">
      <formula>AND($BH22&lt;&gt;0,ISBLANK(F22))</formula>
    </cfRule>
  </conditionalFormatting>
  <conditionalFormatting sqref="E22">
    <cfRule type="expression" dxfId="3398" priority="112">
      <formula>AND($BH22&lt;&gt;0,ISBLANK(E22))</formula>
    </cfRule>
  </conditionalFormatting>
  <conditionalFormatting sqref="E22">
    <cfRule type="expression" dxfId="3397" priority="111">
      <formula>AND($C22&gt;0,ISBLANK($E22))</formula>
    </cfRule>
  </conditionalFormatting>
  <conditionalFormatting sqref="E19">
    <cfRule type="expression" dxfId="3396" priority="89">
      <formula>AND($BH19&lt;&gt;0,ISBLANK(E19))</formula>
    </cfRule>
  </conditionalFormatting>
  <conditionalFormatting sqref="E19">
    <cfRule type="expression" dxfId="3395" priority="88">
      <formula>AND($C19&gt;0,ISBLANK($E19))</formula>
    </cfRule>
  </conditionalFormatting>
  <conditionalFormatting sqref="C19">
    <cfRule type="expression" dxfId="3394" priority="87">
      <formula>AND($BH19&lt;&gt;0,ISBLANK(C19))</formula>
    </cfRule>
  </conditionalFormatting>
  <conditionalFormatting sqref="C19">
    <cfRule type="expression" dxfId="3393" priority="86">
      <formula>AND($C19&gt;0,ISBLANK($E19))</formula>
    </cfRule>
  </conditionalFormatting>
  <conditionalFormatting sqref="E13">
    <cfRule type="expression" dxfId="3392" priority="75">
      <formula>AND($BH13&lt;&gt;0,ISBLANK(E13))</formula>
    </cfRule>
  </conditionalFormatting>
  <conditionalFormatting sqref="E13">
    <cfRule type="expression" dxfId="3391" priority="74">
      <formula>AND($C13&gt;0,ISBLANK($E13))</formula>
    </cfRule>
  </conditionalFormatting>
  <conditionalFormatting sqref="C15">
    <cfRule type="expression" dxfId="3390" priority="73">
      <formula>AND($BH15&lt;&gt;0,ISBLANK(C15))</formula>
    </cfRule>
  </conditionalFormatting>
  <conditionalFormatting sqref="C15">
    <cfRule type="expression" dxfId="3389" priority="72">
      <formula>AND($C15&gt;0,ISBLANK($E15))</formula>
    </cfRule>
  </conditionalFormatting>
  <conditionalFormatting sqref="C15">
    <cfRule type="expression" dxfId="3388" priority="68">
      <formula>AND($BH15&lt;&gt;0,ISBLANK(C15))</formula>
    </cfRule>
  </conditionalFormatting>
  <conditionalFormatting sqref="C15">
    <cfRule type="expression" dxfId="3387" priority="67">
      <formula>AND($C15&gt;0,ISBLANK($E15))</formula>
    </cfRule>
  </conditionalFormatting>
  <conditionalFormatting sqref="C15">
    <cfRule type="expression" dxfId="3386" priority="71">
      <formula>AND($BH15&lt;&gt;0,ISBLANK(C15))</formula>
    </cfRule>
  </conditionalFormatting>
  <conditionalFormatting sqref="C15">
    <cfRule type="expression" dxfId="3385" priority="70">
      <formula>AND($BH15&lt;&gt;0,ISBLANK(C15))</formula>
    </cfRule>
  </conditionalFormatting>
  <conditionalFormatting sqref="C15">
    <cfRule type="expression" dxfId="3384" priority="69">
      <formula>AND($C15&gt;0,ISBLANK($E15))</formula>
    </cfRule>
  </conditionalFormatting>
  <conditionalFormatting sqref="C15">
    <cfRule type="expression" dxfId="3383" priority="66">
      <formula>AND($BH15&lt;&gt;0,ISBLANK(C15))</formula>
    </cfRule>
  </conditionalFormatting>
  <conditionalFormatting sqref="C15">
    <cfRule type="expression" dxfId="3382" priority="65">
      <formula>AND($C15&gt;0,ISBLANK($E15))</formula>
    </cfRule>
  </conditionalFormatting>
  <conditionalFormatting sqref="C15">
    <cfRule type="expression" dxfId="3381" priority="64">
      <formula>AND($BH15&lt;&gt;0,ISBLANK(C15))</formula>
    </cfRule>
  </conditionalFormatting>
  <conditionalFormatting sqref="E15">
    <cfRule type="expression" dxfId="3380" priority="63">
      <formula>AND($BH15&lt;&gt;0,ISBLANK(E15))</formula>
    </cfRule>
  </conditionalFormatting>
  <conditionalFormatting sqref="E15">
    <cfRule type="expression" dxfId="3379" priority="62">
      <formula>AND($C15&gt;0,ISBLANK($E15))</formula>
    </cfRule>
  </conditionalFormatting>
  <conditionalFormatting sqref="C17">
    <cfRule type="expression" dxfId="3378" priority="61">
      <formula>AND($BH17&lt;&gt;0,ISBLANK(C17))</formula>
    </cfRule>
  </conditionalFormatting>
  <conditionalFormatting sqref="C17">
    <cfRule type="expression" dxfId="3377" priority="60">
      <formula>AND($C17&gt;0,ISBLANK($E17))</formula>
    </cfRule>
  </conditionalFormatting>
  <conditionalFormatting sqref="C17">
    <cfRule type="expression" dxfId="3376" priority="56">
      <formula>AND($BH17&lt;&gt;0,ISBLANK(C17))</formula>
    </cfRule>
  </conditionalFormatting>
  <conditionalFormatting sqref="C17">
    <cfRule type="expression" dxfId="3375" priority="55">
      <formula>AND($C17&gt;0,ISBLANK($E17))</formula>
    </cfRule>
  </conditionalFormatting>
  <conditionalFormatting sqref="C17">
    <cfRule type="expression" dxfId="3374" priority="59">
      <formula>AND($BH17&lt;&gt;0,ISBLANK(C17))</formula>
    </cfRule>
  </conditionalFormatting>
  <conditionalFormatting sqref="C17">
    <cfRule type="expression" dxfId="3373" priority="58">
      <formula>AND($BH17&lt;&gt;0,ISBLANK(C17))</formula>
    </cfRule>
  </conditionalFormatting>
  <conditionalFormatting sqref="C17">
    <cfRule type="expression" dxfId="3372" priority="57">
      <formula>AND($C17&gt;0,ISBLANK($E17))</formula>
    </cfRule>
  </conditionalFormatting>
  <conditionalFormatting sqref="C17">
    <cfRule type="expression" dxfId="3371" priority="54">
      <formula>AND($BH17&lt;&gt;0,ISBLANK(C17))</formula>
    </cfRule>
  </conditionalFormatting>
  <conditionalFormatting sqref="C17">
    <cfRule type="expression" dxfId="3370" priority="53">
      <formula>AND($C17&gt;0,ISBLANK($E17))</formula>
    </cfRule>
  </conditionalFormatting>
  <conditionalFormatting sqref="C17">
    <cfRule type="expression" dxfId="3369" priority="52">
      <formula>AND($BH17&lt;&gt;0,ISBLANK(C17))</formula>
    </cfRule>
  </conditionalFormatting>
  <conditionalFormatting sqref="Q12">
    <cfRule type="expression" dxfId="3368" priority="19">
      <formula>AND(L$9&gt;10.5,Q$24=0)</formula>
    </cfRule>
  </conditionalFormatting>
  <conditionalFormatting sqref="P12">
    <cfRule type="expression" dxfId="3367" priority="20">
      <formula>AND(L$9&gt;10.5,P$24=0)</formula>
    </cfRule>
  </conditionalFormatting>
  <conditionalFormatting sqref="O12">
    <cfRule type="expression" dxfId="3366" priority="21">
      <formula>AND(L$10&gt;0,O$24=0)</formula>
    </cfRule>
  </conditionalFormatting>
  <conditionalFormatting sqref="W12">
    <cfRule type="expression" dxfId="3365" priority="17">
      <formula>AND(R$9&gt;10.5,W$24=0)</formula>
    </cfRule>
  </conditionalFormatting>
  <conditionalFormatting sqref="V12">
    <cfRule type="expression" dxfId="3364" priority="18">
      <formula>AND(R$9&gt;10.5,V$24=0)</formula>
    </cfRule>
  </conditionalFormatting>
  <conditionalFormatting sqref="U12">
    <cfRule type="expression" dxfId="3363" priority="16">
      <formula>AND(R$10&gt;0,U$24=0)</formula>
    </cfRule>
  </conditionalFormatting>
  <conditionalFormatting sqref="AC12">
    <cfRule type="expression" dxfId="3362" priority="13">
      <formula>AND(X$9&gt;10.5,AC$24=0)</formula>
    </cfRule>
  </conditionalFormatting>
  <conditionalFormatting sqref="AB12">
    <cfRule type="expression" dxfId="3361" priority="14">
      <formula>AND(X$9&gt;10.5,AB$24=0)</formula>
    </cfRule>
  </conditionalFormatting>
  <conditionalFormatting sqref="AA12">
    <cfRule type="expression" dxfId="3360" priority="15">
      <formula>AND(X$10&gt;0,AA$24=0)</formula>
    </cfRule>
  </conditionalFormatting>
  <conditionalFormatting sqref="AI12">
    <cfRule type="expression" dxfId="3359" priority="11">
      <formula>AND(AD$9&gt;10.5,AI$24=0)</formula>
    </cfRule>
  </conditionalFormatting>
  <conditionalFormatting sqref="AH12">
    <cfRule type="expression" dxfId="3358" priority="12">
      <formula>AND(AD$9&gt;10.5,AH$24=0)</formula>
    </cfRule>
  </conditionalFormatting>
  <conditionalFormatting sqref="AG12">
    <cfRule type="expression" dxfId="3357" priority="10">
      <formula>AND(AD$10&gt;0,AG$24=0)</formula>
    </cfRule>
  </conditionalFormatting>
  <conditionalFormatting sqref="AO12">
    <cfRule type="expression" dxfId="3356" priority="7">
      <formula>AND(AJ$9&gt;10.5,AO$24=0)</formula>
    </cfRule>
  </conditionalFormatting>
  <conditionalFormatting sqref="AN12">
    <cfRule type="expression" dxfId="3355" priority="8">
      <formula>AND(AJ$9&gt;10.5,AN$24=0)</formula>
    </cfRule>
  </conditionalFormatting>
  <conditionalFormatting sqref="AM12">
    <cfRule type="expression" dxfId="3354" priority="9">
      <formula>AND(AJ$10&gt;0,AM$24=0)</formula>
    </cfRule>
  </conditionalFormatting>
  <conditionalFormatting sqref="AU12">
    <cfRule type="expression" dxfId="3353" priority="5">
      <formula>AND(AP$9&gt;10.5,AU$24=0)</formula>
    </cfRule>
  </conditionalFormatting>
  <conditionalFormatting sqref="AT12">
    <cfRule type="expression" dxfId="3352" priority="6">
      <formula>AND(AP$9&gt;10.5,AT$24=0)</formula>
    </cfRule>
  </conditionalFormatting>
  <conditionalFormatting sqref="AS12">
    <cfRule type="expression" dxfId="3351" priority="4">
      <formula>AND(AP$10&gt;0,AS$24=0)</formula>
    </cfRule>
  </conditionalFormatting>
  <conditionalFormatting sqref="BA12">
    <cfRule type="expression" dxfId="3350" priority="1">
      <formula>AND(AV$9&gt;10.5,BA$24=0)</formula>
    </cfRule>
  </conditionalFormatting>
  <conditionalFormatting sqref="AZ12">
    <cfRule type="expression" dxfId="3349" priority="2">
      <formula>AND(AV$9&gt;10.5,AZ$24=0)</formula>
    </cfRule>
  </conditionalFormatting>
  <conditionalFormatting sqref="AY12">
    <cfRule type="expression" dxfId="3348" priority="3">
      <formula>AND(AV$10&gt;0,AY$24=0)</formula>
    </cfRule>
  </conditionalFormatting>
  <dataValidations count="2">
    <dataValidation type="textLength" allowBlank="1" showInputMessage="1" showErrorMessage="1" errorTitle="Digits" error="The EE# must be between 4 ad 5 digits" sqref="B2" xr:uid="{00000000-0002-0000-0500-000000000000}">
      <formula1>4</formula1>
      <formula2>5</formula2>
    </dataValidation>
    <dataValidation allowBlank="1" showInputMessage="1" showErrorMessage="1" sqref="E13:H23" xr:uid="{00000000-0002-0000-0500-000001000000}"/>
  </dataValidations>
  <pageMargins left="0.25" right="0.25" top="0.75" bottom="0.75" header="0.3" footer="0.3"/>
  <pageSetup paperSize="5" scale="31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2000000}">
          <x14:formula1>
            <xm:f>'G:\PR AR\Weekly Payroll Files\1California\[California WE 02 23 19.xlsx]Job List'!#REF!</xm:f>
          </x14:formula1>
          <xm:sqref>C20 C16 C23</xm:sqref>
        </x14:dataValidation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500-000003000000}">
          <x14:formula1>
            <xm:f>'Job List'!$A:$A</xm:f>
          </x14:formula1>
          <xm:sqref>C19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E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T31" sqref="T31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38.7109375" style="1" customWidth="1"/>
    <col min="7" max="7" width="14.42578125" style="1" bestFit="1" customWidth="1"/>
    <col min="8" max="8" width="8.42578125" style="1" customWidth="1"/>
    <col min="9" max="9" width="11.7109375" customWidth="1"/>
    <col min="10" max="10" width="13.42578125" style="1" hidden="1" customWidth="1"/>
    <col min="11" max="11" width="19.85546875" style="1" customWidth="1"/>
    <col min="12" max="12" width="6.7109375" style="1" bestFit="1" customWidth="1"/>
    <col min="13" max="13" width="6.7109375" style="1" customWidth="1"/>
    <col min="14" max="14" width="9" style="1" customWidth="1"/>
    <col min="15" max="15" width="8.42578125" style="1" customWidth="1"/>
    <col min="16" max="16" width="6.7109375" style="1" customWidth="1"/>
    <col min="17" max="17" width="7.85546875" style="1" customWidth="1"/>
    <col min="18" max="18" width="8.7109375" style="1" customWidth="1"/>
    <col min="19" max="19" width="6.7109375" style="1" customWidth="1"/>
    <col min="20" max="20" width="8.140625" style="1" customWidth="1"/>
    <col min="21" max="22" width="7.85546875" style="1" bestFit="1" customWidth="1"/>
    <col min="23" max="23" width="8.140625" style="1" customWidth="1"/>
    <col min="24" max="24" width="8.140625" style="1" bestFit="1" customWidth="1"/>
    <col min="25" max="25" width="7" style="1" bestFit="1" customWidth="1"/>
    <col min="26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8.140625" style="1" customWidth="1"/>
    <col min="36" max="36" width="8.140625" style="1" bestFit="1" customWidth="1"/>
    <col min="37" max="37" width="6.7109375" style="1" customWidth="1"/>
    <col min="38" max="38" width="7.85546875" style="1" bestFit="1" customWidth="1"/>
    <col min="39" max="39" width="7.5703125" style="1" customWidth="1"/>
    <col min="40" max="40" width="6.7109375" style="1" customWidth="1"/>
    <col min="41" max="41" width="8.140625" style="1" customWidth="1"/>
    <col min="42" max="43" width="6.7109375" style="1" customWidth="1"/>
    <col min="44" max="44" width="7.85546875" style="1" bestFit="1" customWidth="1"/>
    <col min="45" max="49" width="6.7109375" style="1" customWidth="1"/>
    <col min="50" max="50" width="7.85546875" style="1" bestFit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IF(ISNA(VLOOKUP($B$2,Employees!$B:$H,2,FALSE)),"Input Employee Number",VLOOKUP($B$2,Employees!$B:$H,2,FALSE))</f>
        <v>Sanders; Travis P.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94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9262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IF(ISNA(VLOOKUP($B$2,Employees!$B:$H,4,FALSE)),"",VLOOKUP($B$2,Employees!$B:$H,4,FALSE))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>1245</v>
      </c>
      <c r="D4" s="67"/>
      <c r="E4" s="67"/>
      <c r="F4" s="67"/>
      <c r="G4" s="67"/>
      <c r="H4" s="67"/>
      <c r="I4" s="67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0.25</v>
      </c>
      <c r="M5" s="416"/>
      <c r="N5" s="416"/>
      <c r="O5" s="416"/>
      <c r="P5" s="416"/>
      <c r="Q5" s="417"/>
      <c r="R5" s="415">
        <v>0.20833333333333334</v>
      </c>
      <c r="S5" s="416"/>
      <c r="T5" s="416"/>
      <c r="U5" s="416"/>
      <c r="V5" s="416"/>
      <c r="W5" s="417"/>
      <c r="X5" s="415">
        <v>0.20833333333333334</v>
      </c>
      <c r="Y5" s="416"/>
      <c r="Z5" s="416"/>
      <c r="AA5" s="416"/>
      <c r="AB5" s="416"/>
      <c r="AC5" s="417"/>
      <c r="AD5" s="415">
        <v>0.20833333333333334</v>
      </c>
      <c r="AE5" s="416"/>
      <c r="AF5" s="416"/>
      <c r="AG5" s="416"/>
      <c r="AH5" s="416"/>
      <c r="AI5" s="417"/>
      <c r="AJ5" s="415">
        <v>0.20833333333333334</v>
      </c>
      <c r="AK5" s="416"/>
      <c r="AL5" s="416"/>
      <c r="AM5" s="416"/>
      <c r="AN5" s="416"/>
      <c r="AO5" s="417"/>
      <c r="AP5" s="415">
        <v>0.20833333333333334</v>
      </c>
      <c r="AQ5" s="416"/>
      <c r="AR5" s="416"/>
      <c r="AS5" s="416"/>
      <c r="AT5" s="416"/>
      <c r="AU5" s="417"/>
      <c r="AV5" s="415">
        <v>0.20833333333333334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0.875</v>
      </c>
      <c r="M8" s="416"/>
      <c r="N8" s="416"/>
      <c r="O8" s="416"/>
      <c r="P8" s="416"/>
      <c r="Q8" s="417"/>
      <c r="R8" s="415">
        <v>0.875</v>
      </c>
      <c r="S8" s="416"/>
      <c r="T8" s="416"/>
      <c r="U8" s="416"/>
      <c r="V8" s="416"/>
      <c r="W8" s="417"/>
      <c r="X8" s="415">
        <v>0.875</v>
      </c>
      <c r="Y8" s="416"/>
      <c r="Z8" s="416"/>
      <c r="AA8" s="416"/>
      <c r="AB8" s="416"/>
      <c r="AC8" s="417"/>
      <c r="AD8" s="415">
        <v>0.91666666666666663</v>
      </c>
      <c r="AE8" s="416"/>
      <c r="AF8" s="416"/>
      <c r="AG8" s="416"/>
      <c r="AH8" s="416"/>
      <c r="AI8" s="417"/>
      <c r="AJ8" s="415">
        <v>0.875</v>
      </c>
      <c r="AK8" s="416"/>
      <c r="AL8" s="416"/>
      <c r="AM8" s="416"/>
      <c r="AN8" s="416"/>
      <c r="AO8" s="417"/>
      <c r="AP8" s="415">
        <v>0.875</v>
      </c>
      <c r="AQ8" s="416"/>
      <c r="AR8" s="416"/>
      <c r="AS8" s="416"/>
      <c r="AT8" s="416"/>
      <c r="AU8" s="417"/>
      <c r="AV8" s="415">
        <v>0.83333333333333337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15</v>
      </c>
      <c r="M9" s="401"/>
      <c r="N9" s="401"/>
      <c r="O9" s="401"/>
      <c r="P9" s="401"/>
      <c r="Q9" s="402"/>
      <c r="R9" s="400">
        <f>IF(AND(R5&gt;=0,R8&gt;=0),(R6-R5+R8-R7)*24,0)</f>
        <v>16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17</v>
      </c>
      <c r="AE9" s="401"/>
      <c r="AF9" s="401"/>
      <c r="AG9" s="401"/>
      <c r="AH9" s="401"/>
      <c r="AI9" s="402"/>
      <c r="AJ9" s="400">
        <f>IF(AND(AJ5&gt;=0,AJ8&gt;=0),(AJ6-AJ5+AJ8-AJ7)*24,0)</f>
        <v>16</v>
      </c>
      <c r="AK9" s="401"/>
      <c r="AL9" s="401"/>
      <c r="AM9" s="401"/>
      <c r="AN9" s="401"/>
      <c r="AO9" s="402"/>
      <c r="AP9" s="400">
        <f>IF(AND(AP5&gt;=0,AP8&gt;=0),(AP6-AP5+AP8-AP7)*24,0)</f>
        <v>16</v>
      </c>
      <c r="AQ9" s="401"/>
      <c r="AR9" s="401"/>
      <c r="AS9" s="401"/>
      <c r="AT9" s="401"/>
      <c r="AU9" s="402"/>
      <c r="AV9" s="400">
        <f>IF(AND(AV5&gt;=0,AV8&gt;=0),(AV6-AV5+AV8-AV7)*24,0)</f>
        <v>15</v>
      </c>
      <c r="AW9" s="401"/>
      <c r="AX9" s="401"/>
      <c r="AY9" s="401"/>
      <c r="AZ9" s="401"/>
      <c r="BA9" s="402"/>
      <c r="BB9" s="400">
        <f>SUM(L9:BA9)</f>
        <v>111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15</v>
      </c>
      <c r="M10" s="407"/>
      <c r="N10" s="407"/>
      <c r="O10" s="407"/>
      <c r="P10" s="407"/>
      <c r="Q10" s="408"/>
      <c r="R10" s="406">
        <f>R24+S24+T24</f>
        <v>16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AD24+AF24</f>
        <v>17</v>
      </c>
      <c r="AE10" s="407"/>
      <c r="AF10" s="407"/>
      <c r="AG10" s="407"/>
      <c r="AH10" s="407"/>
      <c r="AI10" s="408"/>
      <c r="AJ10" s="406">
        <f>AJ24+AL24</f>
        <v>16</v>
      </c>
      <c r="AK10" s="407"/>
      <c r="AL10" s="407"/>
      <c r="AM10" s="407"/>
      <c r="AN10" s="407"/>
      <c r="AO10" s="408"/>
      <c r="AP10" s="406">
        <f>AP24+AQ24+AR24</f>
        <v>16</v>
      </c>
      <c r="AQ10" s="407"/>
      <c r="AR10" s="407"/>
      <c r="AS10" s="407"/>
      <c r="AT10" s="407"/>
      <c r="AU10" s="408"/>
      <c r="AV10" s="409">
        <f>AV24+AW24+AX24</f>
        <v>15</v>
      </c>
      <c r="AW10" s="410"/>
      <c r="AX10" s="410"/>
      <c r="AY10" s="410"/>
      <c r="AZ10" s="410"/>
      <c r="BA10" s="411"/>
      <c r="BB10" s="412">
        <f>SUM(L10:BA10)</f>
        <v>111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>x</v>
      </c>
      <c r="B13" s="276" t="s">
        <v>101</v>
      </c>
      <c r="C13" s="353" t="s">
        <v>4414</v>
      </c>
      <c r="D13" s="277"/>
      <c r="E13" s="316" t="s">
        <v>731</v>
      </c>
      <c r="F13" s="110" t="str">
        <f t="shared" ref="F13:F23" si="0">IF(ISBLANK($B$4),"",$B$4)</f>
        <v>1245</v>
      </c>
      <c r="G13" s="110" t="s">
        <v>102</v>
      </c>
      <c r="H13" s="110" t="s">
        <v>102</v>
      </c>
      <c r="I13" s="139">
        <v>1</v>
      </c>
      <c r="J13" s="153" t="str">
        <f t="shared" ref="J13:J23" si="1"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G23" si="2">SUM(AV13,AP13,AJ13,AD13,X13,R13,L13)</f>
        <v>0</v>
      </c>
      <c r="BC13" s="120">
        <f t="shared" si="2"/>
        <v>0</v>
      </c>
      <c r="BD13" s="120">
        <f t="shared" si="2"/>
        <v>0</v>
      </c>
      <c r="BE13" s="120">
        <f t="shared" si="2"/>
        <v>0</v>
      </c>
      <c r="BF13" s="120">
        <f t="shared" si="2"/>
        <v>0</v>
      </c>
      <c r="BG13" s="154">
        <f t="shared" si="2"/>
        <v>0</v>
      </c>
      <c r="BH13" s="123">
        <f>SUM(TimeSheet348[[#This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>IF(ISBLANK(C14),"",IF(ISBLANK($D$3),"",$D$3))</f>
        <v/>
      </c>
      <c r="B14" s="276" t="s">
        <v>101</v>
      </c>
      <c r="C14" s="242"/>
      <c r="D14" s="241"/>
      <c r="E14" s="242"/>
      <c r="F14" s="110" t="str">
        <f t="shared" si="0"/>
        <v>1245</v>
      </c>
      <c r="G14" s="110" t="s">
        <v>102</v>
      </c>
      <c r="H14" s="110" t="s">
        <v>102</v>
      </c>
      <c r="I14" s="139">
        <v>1</v>
      </c>
      <c r="J14" s="153" t="str">
        <f t="shared" si="1"/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117"/>
      <c r="AE14" s="115"/>
      <c r="AF14" s="115"/>
      <c r="AG14" s="115"/>
      <c r="AH14" s="115"/>
      <c r="AI14" s="116"/>
      <c r="AJ14" s="118"/>
      <c r="AK14" s="113"/>
      <c r="AL14" s="113"/>
      <c r="AM14" s="113"/>
      <c r="AN14" s="113"/>
      <c r="AO14" s="114"/>
      <c r="AP14" s="117"/>
      <c r="AQ14" s="115"/>
      <c r="AR14" s="115"/>
      <c r="AS14" s="115"/>
      <c r="AT14" s="115"/>
      <c r="AU14" s="116"/>
      <c r="AV14" s="118"/>
      <c r="AW14" s="113"/>
      <c r="AX14" s="113"/>
      <c r="AY14" s="113"/>
      <c r="AZ14" s="113"/>
      <c r="BA14" s="114"/>
      <c r="BB14" s="119">
        <f t="shared" si="2"/>
        <v>0</v>
      </c>
      <c r="BC14" s="120">
        <f t="shared" si="2"/>
        <v>0</v>
      </c>
      <c r="BD14" s="120">
        <f t="shared" si="2"/>
        <v>0</v>
      </c>
      <c r="BE14" s="120">
        <f t="shared" si="2"/>
        <v>0</v>
      </c>
      <c r="BF14" s="120">
        <f t="shared" si="2"/>
        <v>0</v>
      </c>
      <c r="BG14" s="154">
        <f t="shared" si="2"/>
        <v>0</v>
      </c>
      <c r="BH14" s="123">
        <f>SUM(TimeSheet348[[#This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>IF(ISBLANK(C15),"",IF(ISBLANK($D$3),"",$D$3))</f>
        <v>x</v>
      </c>
      <c r="B15" s="276" t="s">
        <v>101</v>
      </c>
      <c r="C15" s="316" t="s">
        <v>3846</v>
      </c>
      <c r="D15" s="277"/>
      <c r="E15" s="316" t="s">
        <v>731</v>
      </c>
      <c r="F15" s="110" t="str">
        <f t="shared" si="0"/>
        <v>1245</v>
      </c>
      <c r="G15" s="110" t="s">
        <v>102</v>
      </c>
      <c r="H15" s="110" t="s">
        <v>102</v>
      </c>
      <c r="I15" s="139">
        <v>1</v>
      </c>
      <c r="J15" s="153" t="str">
        <f t="shared" si="1"/>
        <v>01</v>
      </c>
      <c r="K15" s="150">
        <v>1</v>
      </c>
      <c r="L15" s="263"/>
      <c r="M15" s="258"/>
      <c r="N15" s="258"/>
      <c r="O15" s="258"/>
      <c r="P15" s="258"/>
      <c r="Q15" s="259"/>
      <c r="R15" s="262"/>
      <c r="S15" s="260"/>
      <c r="T15" s="260"/>
      <c r="U15" s="260"/>
      <c r="V15" s="260"/>
      <c r="W15" s="261"/>
      <c r="X15" s="263"/>
      <c r="Y15" s="258"/>
      <c r="Z15" s="258"/>
      <c r="AA15" s="258"/>
      <c r="AB15" s="258"/>
      <c r="AC15" s="259"/>
      <c r="AD15" s="117"/>
      <c r="AE15" s="115"/>
      <c r="AF15" s="115"/>
      <c r="AG15" s="115"/>
      <c r="AH15" s="115"/>
      <c r="AI15" s="116"/>
      <c r="AJ15" s="263"/>
      <c r="AK15" s="258"/>
      <c r="AL15" s="258"/>
      <c r="AM15" s="258"/>
      <c r="AN15" s="258"/>
      <c r="AO15" s="259"/>
      <c r="AP15" s="117"/>
      <c r="AQ15" s="115"/>
      <c r="AR15" s="115"/>
      <c r="AS15" s="115"/>
      <c r="AT15" s="115"/>
      <c r="AU15" s="116"/>
      <c r="AV15" s="118"/>
      <c r="AW15" s="113"/>
      <c r="AX15" s="113"/>
      <c r="AY15" s="113"/>
      <c r="AZ15" s="113"/>
      <c r="BA15" s="114"/>
      <c r="BB15" s="119">
        <f t="shared" si="2"/>
        <v>0</v>
      </c>
      <c r="BC15" s="120">
        <f t="shared" si="2"/>
        <v>0</v>
      </c>
      <c r="BD15" s="120">
        <f t="shared" si="2"/>
        <v>0</v>
      </c>
      <c r="BE15" s="120">
        <f t="shared" si="2"/>
        <v>0</v>
      </c>
      <c r="BF15" s="120">
        <f t="shared" si="2"/>
        <v>0</v>
      </c>
      <c r="BG15" s="154">
        <f t="shared" si="2"/>
        <v>0</v>
      </c>
      <c r="BH15" s="123">
        <f>SUM(TimeSheet348[[#This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>IF(ISBLANK(C16),"",IF(ISBLANK($D$3),"",$D$3))</f>
        <v/>
      </c>
      <c r="B16" s="276" t="s">
        <v>101</v>
      </c>
      <c r="C16" s="206"/>
      <c r="D16" s="199"/>
      <c r="E16" s="206"/>
      <c r="F16" s="110" t="str">
        <f t="shared" si="0"/>
        <v>1245</v>
      </c>
      <c r="G16" s="110" t="s">
        <v>102</v>
      </c>
      <c r="H16" s="110" t="s">
        <v>102</v>
      </c>
      <c r="I16" s="139">
        <v>1</v>
      </c>
      <c r="J16" s="153" t="str">
        <f t="shared" si="1"/>
        <v>01</v>
      </c>
      <c r="K16" s="150">
        <v>1</v>
      </c>
      <c r="L16" s="118"/>
      <c r="M16" s="113"/>
      <c r="N16" s="113"/>
      <c r="O16" s="113"/>
      <c r="P16" s="113"/>
      <c r="Q16" s="114"/>
      <c r="R16" s="117"/>
      <c r="S16" s="115"/>
      <c r="T16" s="115"/>
      <c r="U16" s="115"/>
      <c r="V16" s="115"/>
      <c r="W16" s="116"/>
      <c r="X16" s="118"/>
      <c r="Y16" s="113"/>
      <c r="Z16" s="113"/>
      <c r="AA16" s="113"/>
      <c r="AB16" s="113"/>
      <c r="AC16" s="114"/>
      <c r="AD16" s="117"/>
      <c r="AE16" s="115"/>
      <c r="AF16" s="115"/>
      <c r="AG16" s="115"/>
      <c r="AH16" s="115"/>
      <c r="AI16" s="116"/>
      <c r="AJ16" s="263"/>
      <c r="AK16" s="258"/>
      <c r="AL16" s="258"/>
      <c r="AM16" s="258"/>
      <c r="AN16" s="258"/>
      <c r="AO16" s="259"/>
      <c r="AP16" s="117"/>
      <c r="AQ16" s="115"/>
      <c r="AR16" s="115"/>
      <c r="AS16" s="115"/>
      <c r="AT16" s="115"/>
      <c r="AU16" s="116"/>
      <c r="AV16" s="118"/>
      <c r="AW16" s="113"/>
      <c r="AX16" s="113"/>
      <c r="AY16" s="113"/>
      <c r="AZ16" s="113"/>
      <c r="BA16" s="114"/>
      <c r="BB16" s="119">
        <f t="shared" si="2"/>
        <v>0</v>
      </c>
      <c r="BC16" s="120">
        <f t="shared" si="2"/>
        <v>0</v>
      </c>
      <c r="BD16" s="120">
        <f t="shared" si="2"/>
        <v>0</v>
      </c>
      <c r="BE16" s="120">
        <f t="shared" si="2"/>
        <v>0</v>
      </c>
      <c r="BF16" s="120">
        <f t="shared" si="2"/>
        <v>0</v>
      </c>
      <c r="BG16" s="154">
        <f t="shared" si="2"/>
        <v>0</v>
      </c>
      <c r="BH16" s="123">
        <f>SUM(TimeSheet348[[#This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>x</v>
      </c>
      <c r="B17" s="276" t="s">
        <v>101</v>
      </c>
      <c r="C17" s="353" t="s">
        <v>4081</v>
      </c>
      <c r="D17" s="371"/>
      <c r="E17" s="372" t="s">
        <v>731</v>
      </c>
      <c r="F17" s="110" t="str">
        <f t="shared" si="0"/>
        <v>1245</v>
      </c>
      <c r="G17" s="110" t="s">
        <v>102</v>
      </c>
      <c r="H17" s="110" t="s">
        <v>102</v>
      </c>
      <c r="I17" s="139">
        <v>1</v>
      </c>
      <c r="J17" s="153" t="str">
        <f t="shared" si="1"/>
        <v>01</v>
      </c>
      <c r="K17" s="150">
        <v>1</v>
      </c>
      <c r="L17" s="118">
        <v>8</v>
      </c>
      <c r="M17" s="113"/>
      <c r="N17" s="113">
        <v>7</v>
      </c>
      <c r="O17" s="113">
        <v>3</v>
      </c>
      <c r="P17" s="113">
        <v>3</v>
      </c>
      <c r="Q17" s="114">
        <v>1.5</v>
      </c>
      <c r="R17" s="262">
        <v>8</v>
      </c>
      <c r="S17" s="260"/>
      <c r="T17" s="260">
        <v>8</v>
      </c>
      <c r="U17" s="260">
        <v>3</v>
      </c>
      <c r="V17" s="260">
        <v>3</v>
      </c>
      <c r="W17" s="261">
        <v>1.5</v>
      </c>
      <c r="X17" s="263">
        <v>8</v>
      </c>
      <c r="Y17" s="258"/>
      <c r="Z17" s="258">
        <v>8</v>
      </c>
      <c r="AA17" s="258">
        <v>3</v>
      </c>
      <c r="AB17" s="258">
        <v>3</v>
      </c>
      <c r="AC17" s="259">
        <v>1.5</v>
      </c>
      <c r="AD17" s="262">
        <v>8</v>
      </c>
      <c r="AE17" s="260"/>
      <c r="AF17" s="260">
        <v>9</v>
      </c>
      <c r="AG17" s="260">
        <v>3</v>
      </c>
      <c r="AH17" s="260">
        <v>3</v>
      </c>
      <c r="AI17" s="261">
        <v>1.5</v>
      </c>
      <c r="AJ17" s="118">
        <v>8</v>
      </c>
      <c r="AK17" s="113"/>
      <c r="AL17" s="113">
        <v>8</v>
      </c>
      <c r="AM17" s="113">
        <v>3</v>
      </c>
      <c r="AN17" s="113">
        <v>3</v>
      </c>
      <c r="AO17" s="114">
        <v>1.5</v>
      </c>
      <c r="AP17" s="117"/>
      <c r="AQ17" s="115"/>
      <c r="AR17" s="260">
        <v>16</v>
      </c>
      <c r="AS17" s="260">
        <v>3</v>
      </c>
      <c r="AT17" s="260">
        <v>3</v>
      </c>
      <c r="AU17" s="261">
        <v>1.5</v>
      </c>
      <c r="AV17" s="263"/>
      <c r="AW17" s="258"/>
      <c r="AX17" s="258">
        <v>15</v>
      </c>
      <c r="AY17" s="258">
        <v>3</v>
      </c>
      <c r="AZ17" s="258">
        <v>3</v>
      </c>
      <c r="BA17" s="259">
        <v>1.5</v>
      </c>
      <c r="BB17" s="119">
        <f t="shared" si="2"/>
        <v>40</v>
      </c>
      <c r="BC17" s="120">
        <f t="shared" si="2"/>
        <v>0</v>
      </c>
      <c r="BD17" s="120">
        <f t="shared" si="2"/>
        <v>71</v>
      </c>
      <c r="BE17" s="120">
        <f t="shared" si="2"/>
        <v>21</v>
      </c>
      <c r="BF17" s="120">
        <f t="shared" si="2"/>
        <v>21</v>
      </c>
      <c r="BG17" s="154">
        <f t="shared" si="2"/>
        <v>10.5</v>
      </c>
      <c r="BH17" s="123">
        <f>SUM(TimeSheet348[[#This Row],[1]:[4A]])</f>
        <v>163.5</v>
      </c>
      <c r="BI17" s="126" t="e">
        <f ca="1"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#NAME?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 t="e">
        <f ca="1"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#NAME?</v>
      </c>
      <c r="BL17" s="127" t="e">
        <f ca="1"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#NAME?</v>
      </c>
      <c r="BM17" s="127" t="e">
        <f ca="1"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#NAME?</v>
      </c>
      <c r="BN17" s="128" t="e">
        <f ca="1"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#NAME?</v>
      </c>
      <c r="BO17" s="126" t="e">
        <f ca="1"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#NAME?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 t="e">
        <f ca="1"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#NAME?</v>
      </c>
      <c r="BR17" s="127" t="e">
        <f ca="1"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#NAME?</v>
      </c>
      <c r="BS17" s="127" t="e">
        <f ca="1"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#NAME?</v>
      </c>
      <c r="BT17" s="128" t="e">
        <f ca="1"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#NAME?</v>
      </c>
      <c r="BU17" s="126" t="e">
        <f ca="1"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#NAME?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 t="e">
        <f ca="1"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#NAME?</v>
      </c>
      <c r="BX17" s="127" t="e">
        <f ca="1"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#NAME?</v>
      </c>
      <c r="BY17" s="127" t="e">
        <f ca="1"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#NAME?</v>
      </c>
      <c r="BZ17" s="128" t="e">
        <f ca="1"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#NAME?</v>
      </c>
      <c r="CA17" s="126" t="e">
        <f ca="1"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#NAME?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 t="e">
        <f ca="1"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#NAME?</v>
      </c>
      <c r="CD17" s="127" t="e">
        <f ca="1"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#NAME?</v>
      </c>
      <c r="CE17" s="127" t="e">
        <f ca="1"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#NAME?</v>
      </c>
      <c r="CF17" s="128" t="e">
        <f ca="1"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#NAME?</v>
      </c>
      <c r="CG17" s="126" t="e">
        <f ca="1"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#NAME?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 t="e">
        <f ca="1"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#NAME?</v>
      </c>
      <c r="CJ17" s="127" t="e">
        <f ca="1"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#NAME?</v>
      </c>
      <c r="CK17" s="127" t="e">
        <f ca="1"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#NAME?</v>
      </c>
      <c r="CL17" s="128" t="e">
        <f ca="1"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#NAME?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 t="e">
        <f ca="1"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#NAME?</v>
      </c>
      <c r="CP17" s="127" t="e">
        <f ca="1"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#NAME?</v>
      </c>
      <c r="CQ17" s="127" t="e">
        <f ca="1"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#NAME?</v>
      </c>
      <c r="CR17" s="128" t="e">
        <f ca="1"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#NAME?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 t="e">
        <f ca="1"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#NAME?</v>
      </c>
      <c r="CV17" s="127" t="e">
        <f ca="1"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#NAME?</v>
      </c>
      <c r="CW17" s="127" t="e">
        <f ca="1"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#NAME?</v>
      </c>
      <c r="CX17" s="128" t="e">
        <f ca="1"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#NAME?</v>
      </c>
    </row>
    <row r="18" spans="1:102" ht="39" customHeight="1" x14ac:dyDescent="0.3">
      <c r="A18" s="109" t="str">
        <f t="shared" ref="A18:A23" si="3">IF(ISBLANK(C18),"",IF(ISBLANK($D$3),"",$D$3))</f>
        <v/>
      </c>
      <c r="B18" s="276" t="s">
        <v>101</v>
      </c>
      <c r="C18" s="242"/>
      <c r="D18" s="241"/>
      <c r="E18" s="242"/>
      <c r="F18" s="276" t="str">
        <f t="shared" si="0"/>
        <v>1245</v>
      </c>
      <c r="G18" s="276" t="s">
        <v>102</v>
      </c>
      <c r="H18" s="276" t="s">
        <v>102</v>
      </c>
      <c r="I18" s="139">
        <v>1</v>
      </c>
      <c r="J18" s="153" t="str">
        <f t="shared" si="1"/>
        <v>01</v>
      </c>
      <c r="K18" s="150">
        <v>1</v>
      </c>
      <c r="L18" s="263"/>
      <c r="M18" s="258"/>
      <c r="N18" s="258"/>
      <c r="O18" s="258"/>
      <c r="P18" s="258"/>
      <c r="Q18" s="259"/>
      <c r="R18" s="262"/>
      <c r="S18" s="260"/>
      <c r="T18" s="260"/>
      <c r="U18" s="260"/>
      <c r="V18" s="260"/>
      <c r="W18" s="261"/>
      <c r="X18" s="263"/>
      <c r="Y18" s="258"/>
      <c r="Z18" s="258"/>
      <c r="AA18" s="258"/>
      <c r="AB18" s="258"/>
      <c r="AC18" s="259"/>
      <c r="AD18" s="262"/>
      <c r="AE18" s="260"/>
      <c r="AF18" s="260"/>
      <c r="AG18" s="115"/>
      <c r="AH18" s="115"/>
      <c r="AI18" s="116"/>
      <c r="AJ18" s="118"/>
      <c r="AK18" s="113"/>
      <c r="AL18" s="113"/>
      <c r="AM18" s="113"/>
      <c r="AN18" s="113"/>
      <c r="AO18" s="114"/>
      <c r="AP18" s="117"/>
      <c r="AQ18" s="115"/>
      <c r="AR18" s="115"/>
      <c r="AS18" s="115"/>
      <c r="AT18" s="115"/>
      <c r="AU18" s="116"/>
      <c r="AV18" s="118"/>
      <c r="AW18" s="113"/>
      <c r="AX18" s="113"/>
      <c r="AY18" s="113"/>
      <c r="AZ18" s="113"/>
      <c r="BA18" s="114"/>
      <c r="BB18" s="119">
        <f t="shared" si="2"/>
        <v>0</v>
      </c>
      <c r="BC18" s="120">
        <f t="shared" si="2"/>
        <v>0</v>
      </c>
      <c r="BD18" s="120">
        <f t="shared" si="2"/>
        <v>0</v>
      </c>
      <c r="BE18" s="120">
        <f t="shared" si="2"/>
        <v>0</v>
      </c>
      <c r="BF18" s="120">
        <f t="shared" si="2"/>
        <v>0</v>
      </c>
      <c r="BG18" s="154">
        <f t="shared" si="2"/>
        <v>0</v>
      </c>
      <c r="BH18" s="123">
        <f>SUM(TimeSheet348[[#This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3"/>
        <v/>
      </c>
      <c r="B19" s="276" t="s">
        <v>101</v>
      </c>
      <c r="C19" s="276"/>
      <c r="D19" s="277"/>
      <c r="E19" s="276"/>
      <c r="F19" s="276" t="str">
        <f t="shared" si="0"/>
        <v>1245</v>
      </c>
      <c r="G19" s="276" t="s">
        <v>102</v>
      </c>
      <c r="H19" s="276" t="s">
        <v>102</v>
      </c>
      <c r="I19" s="139">
        <v>1</v>
      </c>
      <c r="J19" s="153" t="str">
        <f t="shared" si="1"/>
        <v>01</v>
      </c>
      <c r="K19" s="150">
        <v>1</v>
      </c>
      <c r="L19" s="118"/>
      <c r="M19" s="113"/>
      <c r="N19" s="113"/>
      <c r="O19" s="113"/>
      <c r="P19" s="113"/>
      <c r="Q19" s="114"/>
      <c r="R19" s="117"/>
      <c r="S19" s="115"/>
      <c r="T19" s="115"/>
      <c r="U19" s="115"/>
      <c r="V19" s="115"/>
      <c r="W19" s="116"/>
      <c r="X19" s="118"/>
      <c r="Y19" s="113"/>
      <c r="Z19" s="113"/>
      <c r="AA19" s="113"/>
      <c r="AB19" s="113"/>
      <c r="AC19" s="114"/>
      <c r="AD19" s="117"/>
      <c r="AE19" s="115"/>
      <c r="AF19" s="115"/>
      <c r="AG19" s="115"/>
      <c r="AH19" s="115"/>
      <c r="AI19" s="116"/>
      <c r="AJ19" s="118"/>
      <c r="AK19" s="113"/>
      <c r="AL19" s="113"/>
      <c r="AM19" s="113"/>
      <c r="AN19" s="113"/>
      <c r="AO19" s="114"/>
      <c r="AP19" s="117"/>
      <c r="AQ19" s="115"/>
      <c r="AR19" s="115"/>
      <c r="AS19" s="115"/>
      <c r="AT19" s="115"/>
      <c r="AU19" s="116"/>
      <c r="AV19" s="118"/>
      <c r="AW19" s="113"/>
      <c r="AX19" s="113"/>
      <c r="AY19" s="113"/>
      <c r="AZ19" s="113"/>
      <c r="BA19" s="114"/>
      <c r="BB19" s="119">
        <f t="shared" si="2"/>
        <v>0</v>
      </c>
      <c r="BC19" s="120">
        <f t="shared" si="2"/>
        <v>0</v>
      </c>
      <c r="BD19" s="120">
        <f t="shared" si="2"/>
        <v>0</v>
      </c>
      <c r="BE19" s="120">
        <f t="shared" si="2"/>
        <v>0</v>
      </c>
      <c r="BF19" s="120">
        <f t="shared" si="2"/>
        <v>0</v>
      </c>
      <c r="BG19" s="154">
        <f t="shared" si="2"/>
        <v>0</v>
      </c>
      <c r="BH19" s="123">
        <f>SUM(TimeSheet348[[#This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3"/>
        <v/>
      </c>
      <c r="B20" s="242"/>
      <c r="C20" s="242"/>
      <c r="D20" s="241"/>
      <c r="E20" s="242"/>
      <c r="F20" s="276" t="str">
        <f t="shared" si="0"/>
        <v>1245</v>
      </c>
      <c r="G20" s="276" t="s">
        <v>102</v>
      </c>
      <c r="H20" s="276" t="s">
        <v>102</v>
      </c>
      <c r="I20" s="139">
        <v>1</v>
      </c>
      <c r="J20" s="153" t="str">
        <f t="shared" si="1"/>
        <v>01</v>
      </c>
      <c r="K20" s="150">
        <v>1</v>
      </c>
      <c r="L20" s="200"/>
      <c r="M20" s="201"/>
      <c r="N20" s="201"/>
      <c r="O20" s="201"/>
      <c r="P20" s="201"/>
      <c r="Q20" s="237"/>
      <c r="R20" s="238"/>
      <c r="S20" s="202"/>
      <c r="T20" s="202"/>
      <c r="U20" s="202"/>
      <c r="V20" s="202"/>
      <c r="W20" s="203"/>
      <c r="X20" s="200"/>
      <c r="Y20" s="201"/>
      <c r="Z20" s="201"/>
      <c r="AA20" s="201"/>
      <c r="AB20" s="201"/>
      <c r="AC20" s="237"/>
      <c r="AD20" s="238"/>
      <c r="AE20" s="202"/>
      <c r="AF20" s="202"/>
      <c r="AG20" s="202"/>
      <c r="AH20" s="202"/>
      <c r="AI20" s="203"/>
      <c r="AJ20" s="200"/>
      <c r="AK20" s="201"/>
      <c r="AL20" s="201"/>
      <c r="AM20" s="201"/>
      <c r="AN20" s="201"/>
      <c r="AO20" s="237"/>
      <c r="AP20" s="117"/>
      <c r="AQ20" s="115"/>
      <c r="AR20" s="115"/>
      <c r="AS20" s="115"/>
      <c r="AT20" s="115"/>
      <c r="AU20" s="116"/>
      <c r="AV20" s="118"/>
      <c r="AW20" s="113"/>
      <c r="AX20" s="113"/>
      <c r="AY20" s="113"/>
      <c r="AZ20" s="113"/>
      <c r="BA20" s="114"/>
      <c r="BB20" s="119">
        <f t="shared" si="2"/>
        <v>0</v>
      </c>
      <c r="BC20" s="120">
        <f t="shared" si="2"/>
        <v>0</v>
      </c>
      <c r="BD20" s="120">
        <f t="shared" si="2"/>
        <v>0</v>
      </c>
      <c r="BE20" s="120">
        <f t="shared" si="2"/>
        <v>0</v>
      </c>
      <c r="BF20" s="120">
        <f t="shared" si="2"/>
        <v>0</v>
      </c>
      <c r="BG20" s="154">
        <f t="shared" si="2"/>
        <v>0</v>
      </c>
      <c r="BH20" s="123">
        <f>SUM(TimeSheet348[[#This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3"/>
        <v/>
      </c>
      <c r="B21" s="316" t="s">
        <v>101</v>
      </c>
      <c r="C21" s="334"/>
      <c r="D21" s="277"/>
      <c r="E21" s="316"/>
      <c r="F21" s="276" t="str">
        <f t="shared" si="0"/>
        <v>1245</v>
      </c>
      <c r="G21" s="276" t="s">
        <v>102</v>
      </c>
      <c r="H21" s="276" t="s">
        <v>102</v>
      </c>
      <c r="I21" s="139">
        <v>1</v>
      </c>
      <c r="J21" s="153" t="str">
        <f t="shared" si="1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02"/>
      <c r="AG21" s="202"/>
      <c r="AH21" s="202"/>
      <c r="AI21" s="203"/>
      <c r="AJ21" s="200"/>
      <c r="AK21" s="201"/>
      <c r="AL21" s="201"/>
      <c r="AM21" s="201"/>
      <c r="AN21" s="201"/>
      <c r="AO21" s="237"/>
      <c r="AP21" s="238"/>
      <c r="AQ21" s="202"/>
      <c r="AR21" s="260"/>
      <c r="AS21" s="260"/>
      <c r="AT21" s="260"/>
      <c r="AU21" s="261"/>
      <c r="AV21" s="263"/>
      <c r="AW21" s="258"/>
      <c r="AX21" s="258"/>
      <c r="AY21" s="258"/>
      <c r="AZ21" s="113"/>
      <c r="BA21" s="114"/>
      <c r="BB21" s="119">
        <f t="shared" si="2"/>
        <v>0</v>
      </c>
      <c r="BC21" s="120">
        <f t="shared" si="2"/>
        <v>0</v>
      </c>
      <c r="BD21" s="120">
        <f t="shared" si="2"/>
        <v>0</v>
      </c>
      <c r="BE21" s="120">
        <f t="shared" si="2"/>
        <v>0</v>
      </c>
      <c r="BF21" s="120">
        <f t="shared" si="2"/>
        <v>0</v>
      </c>
      <c r="BG21" s="154">
        <f t="shared" si="2"/>
        <v>0</v>
      </c>
      <c r="BH21" s="123">
        <f>SUM(TimeSheet348[[#This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3"/>
        <v/>
      </c>
      <c r="B22" s="276"/>
      <c r="C22" s="276"/>
      <c r="D22" s="277"/>
      <c r="E22" s="276"/>
      <c r="F22" s="276" t="str">
        <f t="shared" si="0"/>
        <v>1245</v>
      </c>
      <c r="G22" s="276" t="s">
        <v>102</v>
      </c>
      <c r="H22" s="276" t="s">
        <v>102</v>
      </c>
      <c r="I22" s="139">
        <v>1</v>
      </c>
      <c r="J22" s="153" t="str">
        <f t="shared" si="1"/>
        <v>01</v>
      </c>
      <c r="K22" s="150">
        <v>1</v>
      </c>
      <c r="L22" s="200"/>
      <c r="M22" s="201"/>
      <c r="N22" s="201"/>
      <c r="O22" s="201"/>
      <c r="P22" s="201"/>
      <c r="Q22" s="237"/>
      <c r="R22" s="238"/>
      <c r="S22" s="202"/>
      <c r="T22" s="202"/>
      <c r="U22" s="202"/>
      <c r="V22" s="202"/>
      <c r="W22" s="203"/>
      <c r="X22" s="200"/>
      <c r="Y22" s="201"/>
      <c r="Z22" s="201"/>
      <c r="AA22" s="201"/>
      <c r="AB22" s="201"/>
      <c r="AC22" s="237"/>
      <c r="AD22" s="238"/>
      <c r="AE22" s="202"/>
      <c r="AF22" s="202"/>
      <c r="AG22" s="202"/>
      <c r="AH22" s="202"/>
      <c r="AI22" s="203"/>
      <c r="AJ22" s="200"/>
      <c r="AK22" s="201"/>
      <c r="AL22" s="201"/>
      <c r="AM22" s="201"/>
      <c r="AN22" s="201"/>
      <c r="AO22" s="237"/>
      <c r="AP22" s="117"/>
      <c r="AQ22" s="115"/>
      <c r="AR22" s="115"/>
      <c r="AS22" s="115"/>
      <c r="AT22" s="115"/>
      <c r="AU22" s="116"/>
      <c r="AV22" s="118"/>
      <c r="AW22" s="113"/>
      <c r="AX22" s="113"/>
      <c r="AY22" s="113"/>
      <c r="AZ22" s="113"/>
      <c r="BA22" s="114"/>
      <c r="BB22" s="119">
        <f t="shared" si="2"/>
        <v>0</v>
      </c>
      <c r="BC22" s="120">
        <f t="shared" si="2"/>
        <v>0</v>
      </c>
      <c r="BD22" s="120">
        <f t="shared" si="2"/>
        <v>0</v>
      </c>
      <c r="BE22" s="120">
        <f t="shared" si="2"/>
        <v>0</v>
      </c>
      <c r="BF22" s="120">
        <f t="shared" si="2"/>
        <v>0</v>
      </c>
      <c r="BG22" s="154">
        <f t="shared" si="2"/>
        <v>0</v>
      </c>
      <c r="BH22" s="123">
        <f>SUM(TimeSheet348[[#This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3"/>
        <v/>
      </c>
      <c r="B23" s="283"/>
      <c r="C23" s="283"/>
      <c r="D23" s="284"/>
      <c r="E23" s="283"/>
      <c r="F23" s="276" t="str">
        <f t="shared" si="0"/>
        <v>1245</v>
      </c>
      <c r="G23" s="276" t="s">
        <v>102</v>
      </c>
      <c r="H23" s="276" t="s">
        <v>102</v>
      </c>
      <c r="I23" s="139">
        <v>1</v>
      </c>
      <c r="J23" s="153" t="str">
        <f t="shared" si="1"/>
        <v>01</v>
      </c>
      <c r="K23" s="150">
        <v>1</v>
      </c>
      <c r="L23" s="285"/>
      <c r="M23" s="286"/>
      <c r="N23" s="286"/>
      <c r="O23" s="286"/>
      <c r="P23" s="286"/>
      <c r="Q23" s="287"/>
      <c r="R23" s="288"/>
      <c r="S23" s="289"/>
      <c r="T23" s="289"/>
      <c r="U23" s="289"/>
      <c r="V23" s="289"/>
      <c r="W23" s="290"/>
      <c r="X23" s="285"/>
      <c r="Y23" s="286"/>
      <c r="Z23" s="286"/>
      <c r="AA23" s="286"/>
      <c r="AB23" s="286"/>
      <c r="AC23" s="287"/>
      <c r="AD23" s="288"/>
      <c r="AE23" s="289"/>
      <c r="AF23" s="289"/>
      <c r="AG23" s="289"/>
      <c r="AH23" s="289"/>
      <c r="AI23" s="290"/>
      <c r="AJ23" s="118"/>
      <c r="AK23" s="113"/>
      <c r="AL23" s="113"/>
      <c r="AM23" s="113"/>
      <c r="AN23" s="113"/>
      <c r="AO23" s="114"/>
      <c r="AP23" s="117"/>
      <c r="AQ23" s="115"/>
      <c r="AR23" s="115"/>
      <c r="AS23" s="115"/>
      <c r="AT23" s="115"/>
      <c r="AU23" s="116"/>
      <c r="AV23" s="118"/>
      <c r="AW23" s="113"/>
      <c r="AX23" s="113"/>
      <c r="AY23" s="113"/>
      <c r="AZ23" s="113"/>
      <c r="BA23" s="114"/>
      <c r="BB23" s="119">
        <f t="shared" si="2"/>
        <v>0</v>
      </c>
      <c r="BC23" s="120">
        <f t="shared" si="2"/>
        <v>0</v>
      </c>
      <c r="BD23" s="120">
        <f t="shared" si="2"/>
        <v>0</v>
      </c>
      <c r="BE23" s="120">
        <f t="shared" si="2"/>
        <v>0</v>
      </c>
      <c r="BF23" s="120">
        <f t="shared" si="2"/>
        <v>0</v>
      </c>
      <c r="BG23" s="154">
        <f t="shared" si="2"/>
        <v>0</v>
      </c>
      <c r="BH23" s="123">
        <f>SUM(TimeSheet348[[#This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SUBTOTAL(109,TimeSheet348[RT1])</f>
        <v>8</v>
      </c>
      <c r="M24" s="359">
        <f>SUBTOTAL(109,TimeSheet348[OT1])</f>
        <v>0</v>
      </c>
      <c r="N24" s="359">
        <f>SUBTOTAL(109,TimeSheet348[DT1])</f>
        <v>7</v>
      </c>
      <c r="O24" s="359">
        <f>SUBTOTAL(109,TimeSheet348[PD1])</f>
        <v>3</v>
      </c>
      <c r="P24" s="359">
        <f>SUBTOTAL(109,TimeSheet348[4D1])</f>
        <v>3</v>
      </c>
      <c r="Q24" s="360">
        <f>SUBTOTAL(109,TimeSheet348[4A1])</f>
        <v>1.5</v>
      </c>
      <c r="R24" s="361">
        <f>SUBTOTAL(109,TimeSheet348[RT2])</f>
        <v>8</v>
      </c>
      <c r="S24" s="362">
        <f>SUBTOTAL(109,TimeSheet348[OT2])</f>
        <v>0</v>
      </c>
      <c r="T24" s="362">
        <f>SUBTOTAL(109,TimeSheet348[DT2])</f>
        <v>8</v>
      </c>
      <c r="U24" s="362">
        <f>SUBTOTAL(109,TimeSheet348[PD2])</f>
        <v>3</v>
      </c>
      <c r="V24" s="362">
        <f>SUBTOTAL(109,TimeSheet348[4D2])</f>
        <v>3</v>
      </c>
      <c r="W24" s="363">
        <f>SUBTOTAL(109,TimeSheet348[4A2])</f>
        <v>1.5</v>
      </c>
      <c r="X24" s="358">
        <f>SUBTOTAL(109,TimeSheet348[RT3])</f>
        <v>8</v>
      </c>
      <c r="Y24" s="359">
        <f>SUBTOTAL(109,TimeSheet348[OT3])</f>
        <v>0</v>
      </c>
      <c r="Z24" s="359">
        <f>SUBTOTAL(109,TimeSheet348[DT3])</f>
        <v>8</v>
      </c>
      <c r="AA24" s="359">
        <f>SUBTOTAL(109,TimeSheet348[PD3])</f>
        <v>3</v>
      </c>
      <c r="AB24" s="359">
        <f>SUBTOTAL(109,TimeSheet348[4D3])</f>
        <v>3</v>
      </c>
      <c r="AC24" s="360">
        <f>SUBTOTAL(109,TimeSheet348[4A3])</f>
        <v>1.5</v>
      </c>
      <c r="AD24" s="361">
        <f>SUBTOTAL(109,TimeSheet348[RT4])</f>
        <v>8</v>
      </c>
      <c r="AE24" s="362">
        <f>SUBTOTAL(109,TimeSheet348[OT4])</f>
        <v>0</v>
      </c>
      <c r="AF24" s="362">
        <f>SUBTOTAL(109,TimeSheet348[DT4])</f>
        <v>9</v>
      </c>
      <c r="AG24" s="362">
        <f>SUBTOTAL(109,TimeSheet348[PD4])</f>
        <v>3</v>
      </c>
      <c r="AH24" s="362">
        <f>SUBTOTAL(109,TimeSheet348[4D4])</f>
        <v>3</v>
      </c>
      <c r="AI24" s="363">
        <f>SUBTOTAL(109,TimeSheet348[4A4])</f>
        <v>1.5</v>
      </c>
      <c r="AJ24" s="358">
        <f>SUBTOTAL(109,TimeSheet348[RT5])</f>
        <v>8</v>
      </c>
      <c r="AK24" s="359">
        <f>SUBTOTAL(109,TimeSheet348[OT5])</f>
        <v>0</v>
      </c>
      <c r="AL24" s="359">
        <f>SUBTOTAL(109,TimeSheet348[DT5])</f>
        <v>8</v>
      </c>
      <c r="AM24" s="359">
        <f>SUBTOTAL(109,TimeSheet348[PD5])</f>
        <v>3</v>
      </c>
      <c r="AN24" s="359">
        <f>SUBTOTAL(109,TimeSheet348[4D5])</f>
        <v>3</v>
      </c>
      <c r="AO24" s="360">
        <f>SUBTOTAL(109,TimeSheet348[4A5])</f>
        <v>1.5</v>
      </c>
      <c r="AP24" s="361">
        <f>SUBTOTAL(109,TimeSheet348[RT6])</f>
        <v>0</v>
      </c>
      <c r="AQ24" s="362">
        <f>SUBTOTAL(109,TimeSheet348[OT6])</f>
        <v>0</v>
      </c>
      <c r="AR24" s="362">
        <f>SUBTOTAL(109,TimeSheet348[DT6])</f>
        <v>16</v>
      </c>
      <c r="AS24" s="362">
        <f>SUBTOTAL(109,TimeSheet348[PD6])</f>
        <v>3</v>
      </c>
      <c r="AT24" s="362">
        <f>SUBTOTAL(109,TimeSheet348[4D6])</f>
        <v>3</v>
      </c>
      <c r="AU24" s="363">
        <f>SUBTOTAL(109,TimeSheet348[4A6])</f>
        <v>1.5</v>
      </c>
      <c r="AV24" s="358">
        <f>SUBTOTAL(109,TimeSheet348[RT7])</f>
        <v>0</v>
      </c>
      <c r="AW24" s="359">
        <f>SUBTOTAL(109,TimeSheet348[OT7])</f>
        <v>0</v>
      </c>
      <c r="AX24" s="359">
        <f>SUBTOTAL(109,TimeSheet348[DT7])</f>
        <v>15</v>
      </c>
      <c r="AY24" s="359">
        <f>SUBTOTAL(109,TimeSheet348[PD7])</f>
        <v>3</v>
      </c>
      <c r="AZ24" s="359">
        <f>SUBTOTAL(109,TimeSheet348[4D7])</f>
        <v>3</v>
      </c>
      <c r="BA24" s="360">
        <f>SUBTOTAL(109,TimeSheet348[4A7])</f>
        <v>1.5</v>
      </c>
      <c r="BB24" s="364">
        <f>SUBTOTAL(109,TimeSheet348[1])</f>
        <v>40</v>
      </c>
      <c r="BC24" s="365">
        <f>SUBTOTAL(109,TimeSheet348[3])</f>
        <v>0</v>
      </c>
      <c r="BD24" s="365">
        <f>SUBTOTAL(109,TimeSheet348[2])</f>
        <v>71</v>
      </c>
      <c r="BE24" s="365">
        <f>SUBTOTAL(109,TimeSheet348[4])</f>
        <v>21</v>
      </c>
      <c r="BF24" s="365">
        <f>SUBTOTAL(109,TimeSheet348[4D])</f>
        <v>21</v>
      </c>
      <c r="BG24" s="366">
        <f>SUBTOTAL(109,TimeSheet348[4A])</f>
        <v>10.5</v>
      </c>
      <c r="BH24" s="367">
        <f>SUBTOTAL(109,TimeSheet348[Total])-SUM(TimeSheet348[[#Totals],[RT1]:[4A7]])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5">
      <c r="A25" s="173"/>
      <c r="B25" s="28" t="s">
        <v>356</v>
      </c>
      <c r="C25" s="28"/>
      <c r="D25" s="28"/>
      <c r="E25" s="28"/>
      <c r="L25" s="246"/>
      <c r="M25" s="228"/>
      <c r="N25" s="228"/>
      <c r="O25" s="228"/>
      <c r="P25" s="228"/>
      <c r="Q25" s="228"/>
      <c r="R25" s="282"/>
      <c r="S25" s="228"/>
      <c r="T25" s="228"/>
      <c r="U25" s="228"/>
      <c r="V25" s="228"/>
      <c r="W25" s="228"/>
      <c r="X25" s="246"/>
      <c r="AC25" s="235"/>
      <c r="AD25" s="246"/>
      <c r="AE25" s="235"/>
      <c r="AF25" s="235"/>
      <c r="AG25" s="291"/>
      <c r="AJ25" s="246"/>
      <c r="AO25" s="239"/>
      <c r="AP25" s="293"/>
      <c r="AQ25" s="239"/>
      <c r="AR25" s="239"/>
      <c r="AS25" s="335"/>
      <c r="AT25" s="239"/>
      <c r="AU25" s="239"/>
      <c r="AV25" s="246"/>
      <c r="AW25" s="278"/>
      <c r="AX25" s="239"/>
      <c r="BB25" s="256"/>
      <c r="BC25" s="256"/>
      <c r="BD25" s="256"/>
      <c r="BE25" s="256"/>
      <c r="BF25" s="256"/>
      <c r="BG25" s="256"/>
      <c r="BH25" s="252"/>
    </row>
    <row r="26" spans="1:102" ht="39" customHeight="1" x14ac:dyDescent="0.4">
      <c r="A26" s="174" t="str">
        <f>IF(ISBLANK('Job Details'!A5),"",'Job Details'!A5)</f>
        <v xml:space="preserve">Hours </v>
      </c>
      <c r="B26" s="175"/>
      <c r="C26" s="176" t="str">
        <f>IF(ISBLANK('Job Details'!B5),"",'Job Details'!B5)</f>
        <v>8ST, then everything else DT</v>
      </c>
      <c r="D26" s="174" t="str">
        <f>IF(ISBLANK('Job Details'!C5),"",'Job Details'!C5)</f>
        <v/>
      </c>
      <c r="E26" s="177" t="str">
        <f>IF(ISBLANK('Job Details'!D5),"",'Job Details'!D5)</f>
        <v/>
      </c>
      <c r="F26" s="178" t="str">
        <f>IF(ISBLANK('Job Details'!E5),"",'Job Details'!E5)</f>
        <v/>
      </c>
      <c r="G26"/>
      <c r="H26"/>
      <c r="K26" s="230"/>
      <c r="L26" s="232"/>
      <c r="M26" s="232"/>
      <c r="N26" s="232"/>
      <c r="O26" s="232"/>
      <c r="P26" s="232"/>
      <c r="Q26" s="232"/>
      <c r="AC26" s="236"/>
      <c r="AD26" s="236"/>
      <c r="AE26" s="236"/>
      <c r="AF26" s="236"/>
      <c r="AG26" s="236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BB26" s="256"/>
      <c r="BC26" s="256"/>
      <c r="BD26" s="256"/>
      <c r="BE26" s="256"/>
      <c r="BF26" s="256"/>
      <c r="BG26" s="256"/>
      <c r="BH26" s="252"/>
    </row>
    <row r="27" spans="1:102" ht="39" customHeight="1" x14ac:dyDescent="0.7">
      <c r="A27" s="179" t="str">
        <f>IF(ISBLANK('Job Details'!A6),"",'Job Details'!A6)</f>
        <v>PD</v>
      </c>
      <c r="B27" s="180"/>
      <c r="C27" s="181" t="str">
        <f>IF(ISBLANK('Job Details'!B6),"",'Job Details'!B6)</f>
        <v>$50/day (must work 4 hours or until noon, whichever is later)</v>
      </c>
      <c r="D27" s="182" t="str">
        <f>IF(ISBLANK('Job Details'!C6),"",'Job Details'!C6)</f>
        <v/>
      </c>
      <c r="E27" s="181" t="str">
        <f>IF(ISBLANK('Job Details'!D6),"",'Job Details'!D6)</f>
        <v/>
      </c>
      <c r="F27" s="183" t="str">
        <f>IF(ISBLANK('Job Details'!E6),"",'Job Details'!E6)</f>
        <v/>
      </c>
      <c r="G27"/>
      <c r="H27"/>
      <c r="K27" s="205"/>
      <c r="L27" s="245"/>
      <c r="M27" s="205"/>
      <c r="N27" s="205"/>
      <c r="O27" s="205"/>
      <c r="P27" s="205"/>
      <c r="Q27" s="205"/>
      <c r="T27" s="254"/>
      <c r="U27" s="254"/>
      <c r="V27" s="254"/>
      <c r="W27" s="254"/>
      <c r="X27" s="254"/>
      <c r="Y27" s="254"/>
      <c r="Z27" s="254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IF(ISBLANK('Job Details'!A7),"",'Job Details'!A7)</f>
        <v>Meal</v>
      </c>
      <c r="B28" s="180"/>
      <c r="C28" s="181" t="str">
        <f>IF(ISBLANK('Job Details'!B7),"",'Job Details'!B7)</f>
        <v>$15 after 10.5 hours (then after every 4.5 hours)</v>
      </c>
      <c r="D28" s="179" t="str">
        <f>IF(ISBLANK('Job Details'!C7),"",'Job Details'!C7)</f>
        <v/>
      </c>
      <c r="E28" s="181" t="str">
        <f>IF(ISBLANK('Job Details'!D7),"",'Job Details'!D7)</f>
        <v/>
      </c>
      <c r="F28" s="183" t="str">
        <f>IF(ISBLANK('Job Details'!E7),"",'Job Details'!E7)</f>
        <v/>
      </c>
      <c r="G28"/>
      <c r="H28"/>
      <c r="K28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IF(ISBLANK('Job Details'!A8),"",'Job Details'!A8)</f>
        <v>In Lieu</v>
      </c>
      <c r="B29" s="185"/>
      <c r="C29" s="186" t="str">
        <f>IF(ISBLANK('Job Details'!B8),"",'Job Details'!B8)</f>
        <v>0.5DT after 10.5 hours (then after every 4.5 hours)</v>
      </c>
      <c r="D29" s="179" t="str">
        <f>IF(ISBLANK('Job Details'!C8),"",'Job Details'!C8)</f>
        <v/>
      </c>
      <c r="E29" s="181" t="str">
        <f>IF(ISBLANK('Job Details'!D8),"",'Job Details'!D8)</f>
        <v/>
      </c>
      <c r="F29" s="187" t="str">
        <f>IF(ISBLANK('Job Details'!E8),"",'Job Details'!E8)</f>
        <v/>
      </c>
      <c r="G29"/>
      <c r="H29"/>
    </row>
    <row r="30" spans="1:102" ht="39" customHeight="1" x14ac:dyDescent="0.4">
      <c r="A30" s="188" t="str">
        <f>IF(ISBLANK('Job Details'!A9),"",'Job Details'!A9)</f>
        <v>Job Details</v>
      </c>
      <c r="B30" s="175"/>
      <c r="C30" s="189" t="str">
        <f>IF(ISBLANK('Job Details'!B9),"",'Job Details'!B9)</f>
        <v/>
      </c>
      <c r="D30" s="190" t="str">
        <f>IF(ISBLANK('Job Details'!C9),"",'Job Details'!C9)</f>
        <v/>
      </c>
      <c r="E30" s="176" t="str">
        <f>IF(ISBLANK('Job Details'!D9),"",'Job Details'!D9)</f>
        <v/>
      </c>
      <c r="F30" s="183" t="str">
        <f>IF(ISBLANK('Job Details'!E9),"",'Job Details'!E9)</f>
        <v/>
      </c>
      <c r="G30"/>
      <c r="H30"/>
    </row>
    <row r="31" spans="1:102" ht="39" customHeight="1" x14ac:dyDescent="0.4">
      <c r="A31" s="179" t="str">
        <f>IF(ISBLANK('Job Details'!A10),"",'Job Details'!A10)</f>
        <v>Extra</v>
      </c>
      <c r="B31" s="180"/>
      <c r="C31" s="181" t="str">
        <f>IF(ISBLANK('Job Details'!B10),"",'Job Details'!B10)</f>
        <v>Phase</v>
      </c>
      <c r="D31" s="191" t="str">
        <f>IF(ISBLANK('Job Details'!C10),"",'Job Details'!C10)</f>
        <v>Phase Description</v>
      </c>
      <c r="E31" s="181" t="str">
        <f>IF(ISBLANK('Job Details'!D10),"",'Job Details'!D10)</f>
        <v>Category</v>
      </c>
      <c r="F31" s="187" t="str">
        <f>IF(ISBLANK('Job Details'!E10),"",'Job Details'!E10)</f>
        <v>Description</v>
      </c>
      <c r="G31"/>
      <c r="H31"/>
    </row>
    <row r="32" spans="1:102" ht="39" customHeight="1" x14ac:dyDescent="0.4">
      <c r="A32" s="184" t="str">
        <f>IF(ISBLANK('Job Details'!A11),"",'Job Details'!A11)</f>
        <v/>
      </c>
      <c r="B32" s="185"/>
      <c r="C32" s="186" t="str">
        <f>IF(ISBLANK('Job Details'!B11),"",'Job Details'!B11)</f>
        <v>1-001</v>
      </c>
      <c r="D32" s="192" t="str">
        <f>IF(ISBLANK('Job Details'!C11),"",'Job Details'!C11)</f>
        <v>Project Superintendent (Hrs)</v>
      </c>
      <c r="E32" s="186" t="str">
        <f>IF(ISBLANK('Job Details'!D11),"",'Job Details'!D11)</f>
        <v>DT</v>
      </c>
      <c r="F32" s="193" t="str">
        <f>IF(ISBLANK('Job Details'!E11),"",'Job Details'!E11)</f>
        <v>Double Time - Jobs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7">
    <mergeCell ref="BB1:BG1"/>
    <mergeCell ref="L3:Q3"/>
    <mergeCell ref="R3:W3"/>
    <mergeCell ref="X3:AC3"/>
    <mergeCell ref="AD3:AI3"/>
    <mergeCell ref="AJ3:AO3"/>
    <mergeCell ref="AP3:AU3"/>
    <mergeCell ref="AV3:BA3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</mergeCells>
  <conditionalFormatting sqref="D3 A13:A23">
    <cfRule type="expression" dxfId="3137" priority="677">
      <formula>ISBLANK(A3)</formula>
    </cfRule>
  </conditionalFormatting>
  <conditionalFormatting sqref="A1:K1">
    <cfRule type="expression" dxfId="3136" priority="675">
      <formula>$A$1="Input Employee Number"</formula>
    </cfRule>
  </conditionalFormatting>
  <conditionalFormatting sqref="BB1:BG1">
    <cfRule type="expression" dxfId="3135" priority="674">
      <formula>ISBLANK(BB1)</formula>
    </cfRule>
  </conditionalFormatting>
  <conditionalFormatting sqref="BH24">
    <cfRule type="expression" dxfId="3134" priority="672">
      <formula>$BH24&lt;&gt;0</formula>
    </cfRule>
    <cfRule type="expression" dxfId="3133" priority="673">
      <formula>$BH24=0</formula>
    </cfRule>
  </conditionalFormatting>
  <conditionalFormatting sqref="L11:BG11">
    <cfRule type="expression" dxfId="3132" priority="671">
      <formula>L11&lt;&gt;0</formula>
    </cfRule>
  </conditionalFormatting>
  <conditionalFormatting sqref="E24:H24 F13:H18">
    <cfRule type="expression" dxfId="3131" priority="670">
      <formula>AND($BH13&lt;&gt;0,ISBLANK(E13))</formula>
    </cfRule>
  </conditionalFormatting>
  <conditionalFormatting sqref="B2">
    <cfRule type="cellIs" dxfId="3130" priority="669" operator="equal">
      <formula>0</formula>
    </cfRule>
  </conditionalFormatting>
  <conditionalFormatting sqref="B3">
    <cfRule type="containsBlanks" dxfId="3129" priority="668">
      <formula>LEN(TRIM(B3))=0</formula>
    </cfRule>
  </conditionalFormatting>
  <conditionalFormatting sqref="D3 A13:A23">
    <cfRule type="cellIs" dxfId="3128" priority="676" operator="equal">
      <formula>"x"</formula>
    </cfRule>
  </conditionalFormatting>
  <conditionalFormatting sqref="B4">
    <cfRule type="containsBlanks" dxfId="3127" priority="667">
      <formula>LEN(TRIM(B4))=0</formula>
    </cfRule>
  </conditionalFormatting>
  <conditionalFormatting sqref="C24">
    <cfRule type="expression" dxfId="3126" priority="678">
      <formula>AND($C24=0,BH24&lt;&gt;0)</formula>
    </cfRule>
  </conditionalFormatting>
  <conditionalFormatting sqref="E22">
    <cfRule type="expression" dxfId="3125" priority="471">
      <formula>AND($C22&gt;0,ISBLANK($E22))</formula>
    </cfRule>
  </conditionalFormatting>
  <conditionalFormatting sqref="C22">
    <cfRule type="expression" dxfId="3124" priority="472">
      <formula>AND($C22=0,BH22&lt;&gt;0)</formula>
    </cfRule>
  </conditionalFormatting>
  <conditionalFormatting sqref="E23">
    <cfRule type="expression" dxfId="3123" priority="450">
      <formula>AND($BH23&lt;&gt;0,ISBLANK(E23))</formula>
    </cfRule>
  </conditionalFormatting>
  <conditionalFormatting sqref="E23">
    <cfRule type="expression" dxfId="3122" priority="449">
      <formula>AND($BH23&lt;&gt;0,ISBLANK(E23))</formula>
    </cfRule>
  </conditionalFormatting>
  <conditionalFormatting sqref="E23">
    <cfRule type="expression" dxfId="3121" priority="448">
      <formula>AND($C23&gt;0,ISBLANK($E23))</formula>
    </cfRule>
  </conditionalFormatting>
  <conditionalFormatting sqref="E20">
    <cfRule type="expression" dxfId="3120" priority="430">
      <formula>AND($BH20&lt;&gt;0,ISBLANK(E20))</formula>
    </cfRule>
  </conditionalFormatting>
  <conditionalFormatting sqref="E20">
    <cfRule type="expression" dxfId="3119" priority="429">
      <formula>AND($C20&gt;0,ISBLANK($E20))</formula>
    </cfRule>
  </conditionalFormatting>
  <conditionalFormatting sqref="C20">
    <cfRule type="expression" dxfId="3118" priority="428">
      <formula>AND($BH20&lt;&gt;0,ISBLANK(C20))</formula>
    </cfRule>
  </conditionalFormatting>
  <conditionalFormatting sqref="C20">
    <cfRule type="expression" dxfId="3117" priority="427">
      <formula>AND($BH20&lt;&gt;0,ISBLANK(C20))</formula>
    </cfRule>
  </conditionalFormatting>
  <conditionalFormatting sqref="C20">
    <cfRule type="expression" dxfId="3116" priority="426">
      <formula>AND($C20&gt;0,ISBLANK($E20))</formula>
    </cfRule>
  </conditionalFormatting>
  <conditionalFormatting sqref="E16">
    <cfRule type="expression" dxfId="3115" priority="421">
      <formula>AND($BH16&lt;&gt;0,ISBLANK(E16))</formula>
    </cfRule>
  </conditionalFormatting>
  <conditionalFormatting sqref="E16">
    <cfRule type="expression" dxfId="3114" priority="420">
      <formula>AND($C16&gt;0,ISBLANK($E16))</formula>
    </cfRule>
  </conditionalFormatting>
  <conditionalFormatting sqref="C16">
    <cfRule type="expression" dxfId="3113" priority="419">
      <formula>AND($BH16&lt;&gt;0,ISBLANK(C16))</formula>
    </cfRule>
  </conditionalFormatting>
  <conditionalFormatting sqref="C16">
    <cfRule type="expression" dxfId="3112" priority="418">
      <formula>AND($C16&gt;0,ISBLANK($E16))</formula>
    </cfRule>
  </conditionalFormatting>
  <conditionalFormatting sqref="C16">
    <cfRule type="expression" dxfId="3111" priority="417">
      <formula>AND($BH16&lt;&gt;0,ISBLANK(C16))</formula>
    </cfRule>
  </conditionalFormatting>
  <conditionalFormatting sqref="E18">
    <cfRule type="expression" dxfId="3110" priority="299">
      <formula>AND($BH18&lt;&gt;0,ISBLANK(E18))</formula>
    </cfRule>
  </conditionalFormatting>
  <conditionalFormatting sqref="E18">
    <cfRule type="expression" dxfId="3109" priority="298">
      <formula>AND($BH18&lt;&gt;0,ISBLANK(E18))</formula>
    </cfRule>
  </conditionalFormatting>
  <conditionalFormatting sqref="E18">
    <cfRule type="expression" dxfId="3108" priority="297">
      <formula>AND($C18&gt;0,ISBLANK($E18))</formula>
    </cfRule>
  </conditionalFormatting>
  <conditionalFormatting sqref="C18">
    <cfRule type="expression" dxfId="3107" priority="296">
      <formula>AND($BH18&lt;&gt;0,ISBLANK(C18))</formula>
    </cfRule>
  </conditionalFormatting>
  <conditionalFormatting sqref="C18">
    <cfRule type="expression" dxfId="3106" priority="295">
      <formula>AND($C18&gt;0,ISBLANK($E18))</formula>
    </cfRule>
  </conditionalFormatting>
  <conditionalFormatting sqref="F19:H23">
    <cfRule type="expression" dxfId="3105" priority="278">
      <formula>AND($BH19&lt;&gt;0,ISBLANK(F19))</formula>
    </cfRule>
  </conditionalFormatting>
  <conditionalFormatting sqref="C19">
    <cfRule type="expression" dxfId="3104" priority="235">
      <formula>AND($BH19&lt;&gt;0,ISBLANK(C19))</formula>
    </cfRule>
  </conditionalFormatting>
  <conditionalFormatting sqref="C19">
    <cfRule type="expression" dxfId="3103" priority="234">
      <formula>AND($C19&gt;0,ISBLANK($E19))</formula>
    </cfRule>
  </conditionalFormatting>
  <conditionalFormatting sqref="E19">
    <cfRule type="expression" dxfId="3102" priority="233">
      <formula>AND($BH19&lt;&gt;0,ISBLANK(E19))</formula>
    </cfRule>
  </conditionalFormatting>
  <conditionalFormatting sqref="E19">
    <cfRule type="expression" dxfId="3101" priority="232">
      <formula>AND($C19&gt;0,ISBLANK($E19))</formula>
    </cfRule>
  </conditionalFormatting>
  <conditionalFormatting sqref="B13">
    <cfRule type="expression" dxfId="3100" priority="210">
      <formula>AND($BH13&lt;&gt;0,ISBLANK(B13))</formula>
    </cfRule>
  </conditionalFormatting>
  <conditionalFormatting sqref="B13">
    <cfRule type="expression" dxfId="3099" priority="209">
      <formula>AND($C13&gt;0,ISBLANK($E13))</formula>
    </cfRule>
  </conditionalFormatting>
  <conditionalFormatting sqref="B21">
    <cfRule type="expression" dxfId="3098" priority="202">
      <formula>AND($BH21&lt;&gt;0,ISBLANK(B21))</formula>
    </cfRule>
  </conditionalFormatting>
  <conditionalFormatting sqref="B21">
    <cfRule type="expression" dxfId="3097" priority="201">
      <formula>AND($BH21&lt;&gt;0,ISBLANK(B21))</formula>
    </cfRule>
  </conditionalFormatting>
  <conditionalFormatting sqref="B21">
    <cfRule type="expression" dxfId="3096" priority="200">
      <formula>AND($C21&gt;0,ISBLANK($E21))</formula>
    </cfRule>
  </conditionalFormatting>
  <conditionalFormatting sqref="B21">
    <cfRule type="expression" dxfId="3095" priority="199">
      <formula>AND($BH21&lt;&gt;0,ISBLANK(B21))</formula>
    </cfRule>
  </conditionalFormatting>
  <conditionalFormatting sqref="B21">
    <cfRule type="expression" dxfId="3094" priority="204">
      <formula>AND($BH21&lt;&gt;0,ISBLANK(B21))</formula>
    </cfRule>
  </conditionalFormatting>
  <conditionalFormatting sqref="B21">
    <cfRule type="expression" dxfId="3093" priority="203">
      <formula>AND($C21&gt;0,ISBLANK($E21))</formula>
    </cfRule>
  </conditionalFormatting>
  <conditionalFormatting sqref="B21">
    <cfRule type="expression" dxfId="3092" priority="198">
      <formula>AND($C21&gt;0,ISBLANK($E21))</formula>
    </cfRule>
  </conditionalFormatting>
  <conditionalFormatting sqref="B21">
    <cfRule type="expression" dxfId="3091" priority="197">
      <formula>AND($BH21&lt;&gt;0,ISBLANK(B21))</formula>
    </cfRule>
  </conditionalFormatting>
  <conditionalFormatting sqref="B21">
    <cfRule type="expression" dxfId="3090" priority="196">
      <formula>AND($C21&gt;0,ISBLANK($E21))</formula>
    </cfRule>
  </conditionalFormatting>
  <conditionalFormatting sqref="B21">
    <cfRule type="expression" dxfId="3089" priority="195">
      <formula>AND($BH21&lt;&gt;0,ISBLANK(B21))</formula>
    </cfRule>
  </conditionalFormatting>
  <conditionalFormatting sqref="B21">
    <cfRule type="expression" dxfId="3088" priority="194">
      <formula>AND($C21&gt;0,ISBLANK($E21))</formula>
    </cfRule>
  </conditionalFormatting>
  <conditionalFormatting sqref="E21">
    <cfRule type="expression" dxfId="3087" priority="193">
      <formula>AND($BH21&lt;&gt;0,ISBLANK(E21))</formula>
    </cfRule>
  </conditionalFormatting>
  <conditionalFormatting sqref="E21">
    <cfRule type="expression" dxfId="3086" priority="192">
      <formula>AND($C21&gt;0,ISBLANK($E21))</formula>
    </cfRule>
  </conditionalFormatting>
  <conditionalFormatting sqref="C21">
    <cfRule type="expression" dxfId="3085" priority="191">
      <formula>AND($BH21&lt;&gt;0,ISBLANK(C21))</formula>
    </cfRule>
  </conditionalFormatting>
  <conditionalFormatting sqref="C21">
    <cfRule type="expression" dxfId="3084" priority="190">
      <formula>AND($C21&gt;0,ISBLANK($E21))</formula>
    </cfRule>
  </conditionalFormatting>
  <conditionalFormatting sqref="C21">
    <cfRule type="expression" dxfId="3083" priority="186">
      <formula>AND($BH21&lt;&gt;0,ISBLANK(C21))</formula>
    </cfRule>
  </conditionalFormatting>
  <conditionalFormatting sqref="C21">
    <cfRule type="expression" dxfId="3082" priority="185">
      <formula>AND($C21&gt;0,ISBLANK($E21))</formula>
    </cfRule>
  </conditionalFormatting>
  <conditionalFormatting sqref="C21">
    <cfRule type="expression" dxfId="3081" priority="189">
      <formula>AND($BH21&lt;&gt;0,ISBLANK(C21))</formula>
    </cfRule>
  </conditionalFormatting>
  <conditionalFormatting sqref="C21">
    <cfRule type="expression" dxfId="3080" priority="188">
      <formula>AND($BH21&lt;&gt;0,ISBLANK(C21))</formula>
    </cfRule>
  </conditionalFormatting>
  <conditionalFormatting sqref="C21">
    <cfRule type="expression" dxfId="3079" priority="187">
      <formula>AND($C21&gt;0,ISBLANK($E21))</formula>
    </cfRule>
  </conditionalFormatting>
  <conditionalFormatting sqref="C21">
    <cfRule type="expression" dxfId="3078" priority="184">
      <formula>AND($BH21&lt;&gt;0,ISBLANK(C21))</formula>
    </cfRule>
  </conditionalFormatting>
  <conditionalFormatting sqref="C21">
    <cfRule type="expression" dxfId="3077" priority="183">
      <formula>AND($C21&gt;0,ISBLANK($E21))</formula>
    </cfRule>
  </conditionalFormatting>
  <conditionalFormatting sqref="C21">
    <cfRule type="expression" dxfId="3076" priority="182">
      <formula>AND($BH21&lt;&gt;0,ISBLANK(C21))</formula>
    </cfRule>
  </conditionalFormatting>
  <conditionalFormatting sqref="E13">
    <cfRule type="expression" dxfId="3075" priority="181">
      <formula>AND($BH13&lt;&gt;0,ISBLANK(E13))</formula>
    </cfRule>
  </conditionalFormatting>
  <conditionalFormatting sqref="E13">
    <cfRule type="expression" dxfId="3074" priority="180">
      <formula>AND($C13&gt;0,ISBLANK($E13))</formula>
    </cfRule>
  </conditionalFormatting>
  <conditionalFormatting sqref="E14">
    <cfRule type="expression" dxfId="3073" priority="179">
      <formula>AND($BH14&lt;&gt;0,ISBLANK(E14))</formula>
    </cfRule>
  </conditionalFormatting>
  <conditionalFormatting sqref="E14">
    <cfRule type="expression" dxfId="3072" priority="178">
      <formula>AND($BH14&lt;&gt;0,ISBLANK(E14))</formula>
    </cfRule>
  </conditionalFormatting>
  <conditionalFormatting sqref="E14">
    <cfRule type="expression" dxfId="3071" priority="177">
      <formula>AND($C14&gt;0,ISBLANK($E14))</formula>
    </cfRule>
  </conditionalFormatting>
  <conditionalFormatting sqref="C14">
    <cfRule type="expression" dxfId="3070" priority="176">
      <formula>AND($BH14&lt;&gt;0,ISBLANK(C14))</formula>
    </cfRule>
  </conditionalFormatting>
  <conditionalFormatting sqref="C14">
    <cfRule type="expression" dxfId="3069" priority="175">
      <formula>AND($C14&gt;0,ISBLANK($E14))</formula>
    </cfRule>
  </conditionalFormatting>
  <conditionalFormatting sqref="C15">
    <cfRule type="expression" dxfId="3068" priority="174">
      <formula>AND($BH15&lt;&gt;0,ISBLANK(C15))</formula>
    </cfRule>
  </conditionalFormatting>
  <conditionalFormatting sqref="C15">
    <cfRule type="expression" dxfId="3067" priority="173">
      <formula>AND($C15&gt;0,ISBLANK($E15))</formula>
    </cfRule>
  </conditionalFormatting>
  <conditionalFormatting sqref="E15">
    <cfRule type="expression" dxfId="3066" priority="172">
      <formula>AND($BH15&lt;&gt;0,ISBLANK(E15))</formula>
    </cfRule>
  </conditionalFormatting>
  <conditionalFormatting sqref="E15">
    <cfRule type="expression" dxfId="3065" priority="171">
      <formula>AND($C15&gt;0,ISBLANK($E15))</formula>
    </cfRule>
  </conditionalFormatting>
  <conditionalFormatting sqref="C13">
    <cfRule type="expression" dxfId="3064" priority="102">
      <formula>AND($BH13&lt;&gt;0,ISBLANK(C13))</formula>
    </cfRule>
  </conditionalFormatting>
  <conditionalFormatting sqref="C13">
    <cfRule type="expression" dxfId="3063" priority="101">
      <formula>AND($C13&gt;0,ISBLANK($E13))</formula>
    </cfRule>
  </conditionalFormatting>
  <conditionalFormatting sqref="E17">
    <cfRule type="expression" dxfId="3062" priority="80">
      <formula>AND($BH17&lt;&gt;0,ISBLANK(E17))</formula>
    </cfRule>
  </conditionalFormatting>
  <conditionalFormatting sqref="E17">
    <cfRule type="expression" dxfId="3061" priority="100">
      <formula>AND($BH17&lt;&gt;0,ISBLANK(E17))</formula>
    </cfRule>
  </conditionalFormatting>
  <conditionalFormatting sqref="E17">
    <cfRule type="expression" dxfId="3060" priority="99">
      <formula>AND($C17&gt;0,ISBLANK($E17))</formula>
    </cfRule>
  </conditionalFormatting>
  <conditionalFormatting sqref="E17">
    <cfRule type="expression" dxfId="3059" priority="95">
      <formula>AND($BH17&lt;&gt;0,ISBLANK(E17))</formula>
    </cfRule>
  </conditionalFormatting>
  <conditionalFormatting sqref="E17">
    <cfRule type="expression" dxfId="3058" priority="94">
      <formula>AND($C17&gt;0,ISBLANK($E17))</formula>
    </cfRule>
  </conditionalFormatting>
  <conditionalFormatting sqref="E17">
    <cfRule type="expression" dxfId="3057" priority="98">
      <formula>AND($BH17&lt;&gt;0,ISBLANK(E17))</formula>
    </cfRule>
  </conditionalFormatting>
  <conditionalFormatting sqref="E17">
    <cfRule type="expression" dxfId="3056" priority="97">
      <formula>AND($BH17&lt;&gt;0,ISBLANK(E17))</formula>
    </cfRule>
  </conditionalFormatting>
  <conditionalFormatting sqref="E17">
    <cfRule type="expression" dxfId="3055" priority="96">
      <formula>AND($C17&gt;0,ISBLANK($E17))</formula>
    </cfRule>
  </conditionalFormatting>
  <conditionalFormatting sqref="E17">
    <cfRule type="expression" dxfId="3054" priority="93">
      <formula>AND($BH17&lt;&gt;0,ISBLANK(E17))</formula>
    </cfRule>
  </conditionalFormatting>
  <conditionalFormatting sqref="E17">
    <cfRule type="expression" dxfId="3053" priority="92">
      <formula>AND($C17&gt;0,ISBLANK($E17))</formula>
    </cfRule>
  </conditionalFormatting>
  <conditionalFormatting sqref="E17">
    <cfRule type="expression" dxfId="3052" priority="91">
      <formula>AND($BH17&lt;&gt;0,ISBLANK(E17))</formula>
    </cfRule>
  </conditionalFormatting>
  <conditionalFormatting sqref="E17">
    <cfRule type="expression" dxfId="3051" priority="90">
      <formula>AND($C17&gt;0,ISBLANK($E17))</formula>
    </cfRule>
  </conditionalFormatting>
  <conditionalFormatting sqref="E17">
    <cfRule type="expression" dxfId="3050" priority="87">
      <formula>AND($BH16&lt;&gt;0,ISBLANK(E17))</formula>
    </cfRule>
  </conditionalFormatting>
  <conditionalFormatting sqref="E17">
    <cfRule type="expression" dxfId="3049" priority="89">
      <formula>AND($BH16&lt;&gt;0,ISBLANK(E17))</formula>
    </cfRule>
  </conditionalFormatting>
  <conditionalFormatting sqref="E17">
    <cfRule type="expression" dxfId="3048" priority="86">
      <formula>AND($BH16&lt;&gt;0,ISBLANK(E17))</formula>
    </cfRule>
  </conditionalFormatting>
  <conditionalFormatting sqref="E17">
    <cfRule type="expression" dxfId="3047" priority="85">
      <formula>AND($BH16&lt;&gt;0,ISBLANK(E17))</formula>
    </cfRule>
  </conditionalFormatting>
  <conditionalFormatting sqref="E17">
    <cfRule type="expression" dxfId="3046" priority="88">
      <formula>AND($BH16&lt;&gt;0,ISBLANK(E17))</formula>
    </cfRule>
  </conditionalFormatting>
  <conditionalFormatting sqref="E17">
    <cfRule type="expression" dxfId="3045" priority="84">
      <formula>AND($BH16&lt;&gt;0,ISBLANK(E17))</formula>
    </cfRule>
  </conditionalFormatting>
  <conditionalFormatting sqref="E17">
    <cfRule type="expression" dxfId="3044" priority="73">
      <formula>AND($C17&gt;0,ISBLANK($E17))</formula>
    </cfRule>
  </conditionalFormatting>
  <conditionalFormatting sqref="E17">
    <cfRule type="expression" dxfId="3043" priority="67">
      <formula>AND($BH16&lt;&gt;0,ISBLANK(E17))</formula>
    </cfRule>
  </conditionalFormatting>
  <conditionalFormatting sqref="E17">
    <cfRule type="expression" dxfId="3042" priority="83">
      <formula>AND($BH17&lt;&gt;0,ISBLANK(E17))</formula>
    </cfRule>
  </conditionalFormatting>
  <conditionalFormatting sqref="E17">
    <cfRule type="expression" dxfId="3041" priority="82">
      <formula>AND($C17&gt;0,ISBLANK($E17))</formula>
    </cfRule>
  </conditionalFormatting>
  <conditionalFormatting sqref="E17">
    <cfRule type="expression" dxfId="3040" priority="78">
      <formula>AND($BH17&lt;&gt;0,ISBLANK(E17))</formula>
    </cfRule>
  </conditionalFormatting>
  <conditionalFormatting sqref="E17">
    <cfRule type="expression" dxfId="3039" priority="77">
      <formula>AND($C17&gt;0,ISBLANK($E17))</formula>
    </cfRule>
  </conditionalFormatting>
  <conditionalFormatting sqref="E17">
    <cfRule type="expression" dxfId="3038" priority="81">
      <formula>AND($BH17&lt;&gt;0,ISBLANK(E17))</formula>
    </cfRule>
  </conditionalFormatting>
  <conditionalFormatting sqref="E17">
    <cfRule type="expression" dxfId="3037" priority="79">
      <formula>AND($C17&gt;0,ISBLANK($E17))</formula>
    </cfRule>
  </conditionalFormatting>
  <conditionalFormatting sqref="E17">
    <cfRule type="expression" dxfId="3036" priority="76">
      <formula>AND($BH17&lt;&gt;0,ISBLANK(E17))</formula>
    </cfRule>
  </conditionalFormatting>
  <conditionalFormatting sqref="E17">
    <cfRule type="expression" dxfId="3035" priority="75">
      <formula>AND($C17&gt;0,ISBLANK($E17))</formula>
    </cfRule>
  </conditionalFormatting>
  <conditionalFormatting sqref="E17">
    <cfRule type="expression" dxfId="3034" priority="74">
      <formula>AND($BH17&lt;&gt;0,ISBLANK(E17))</formula>
    </cfRule>
  </conditionalFormatting>
  <conditionalFormatting sqref="E17">
    <cfRule type="expression" dxfId="3033" priority="70">
      <formula>AND($BH16&lt;&gt;0,ISBLANK(E17))</formula>
    </cfRule>
  </conditionalFormatting>
  <conditionalFormatting sqref="E17">
    <cfRule type="expression" dxfId="3032" priority="72">
      <formula>AND($BH16&lt;&gt;0,ISBLANK(E17))</formula>
    </cfRule>
  </conditionalFormatting>
  <conditionalFormatting sqref="E17">
    <cfRule type="expression" dxfId="3031" priority="69">
      <formula>AND($BH16&lt;&gt;0,ISBLANK(E17))</formula>
    </cfRule>
  </conditionalFormatting>
  <conditionalFormatting sqref="E17">
    <cfRule type="expression" dxfId="3030" priority="68">
      <formula>AND($BH16&lt;&gt;0,ISBLANK(E17))</formula>
    </cfRule>
  </conditionalFormatting>
  <conditionalFormatting sqref="E17">
    <cfRule type="expression" dxfId="3029" priority="71">
      <formula>AND($BH16&lt;&gt;0,ISBLANK(E17))</formula>
    </cfRule>
  </conditionalFormatting>
  <conditionalFormatting sqref="C17">
    <cfRule type="expression" dxfId="3028" priority="32">
      <formula>AND($BH17&lt;&gt;0,ISBLANK(C17))</formula>
    </cfRule>
  </conditionalFormatting>
  <conditionalFormatting sqref="C17">
    <cfRule type="expression" dxfId="3027" priority="31">
      <formula>AND($C17&gt;0,ISBLANK($E17))</formula>
    </cfRule>
  </conditionalFormatting>
  <conditionalFormatting sqref="Q12">
    <cfRule type="expression" dxfId="3026" priority="19">
      <formula>AND(L$9&gt;10.5,Q$24=0)</formula>
    </cfRule>
  </conditionalFormatting>
  <conditionalFormatting sqref="P12">
    <cfRule type="expression" dxfId="3025" priority="20">
      <formula>AND(L$9&gt;10.5,P$24=0)</formula>
    </cfRule>
  </conditionalFormatting>
  <conditionalFormatting sqref="O12">
    <cfRule type="expression" dxfId="3024" priority="21">
      <formula>AND(L$10&gt;0,O$24=0)</formula>
    </cfRule>
  </conditionalFormatting>
  <conditionalFormatting sqref="W12">
    <cfRule type="expression" dxfId="3023" priority="17">
      <formula>AND(R$9&gt;10.5,W$24=0)</formula>
    </cfRule>
  </conditionalFormatting>
  <conditionalFormatting sqref="V12">
    <cfRule type="expression" dxfId="3022" priority="18">
      <formula>AND(R$9&gt;10.5,V$24=0)</formula>
    </cfRule>
  </conditionalFormatting>
  <conditionalFormatting sqref="U12">
    <cfRule type="expression" dxfId="3021" priority="16">
      <formula>AND(R$10&gt;0,U$24=0)</formula>
    </cfRule>
  </conditionalFormatting>
  <conditionalFormatting sqref="AC12">
    <cfRule type="expression" dxfId="3020" priority="13">
      <formula>AND(X$9&gt;10.5,AC$24=0)</formula>
    </cfRule>
  </conditionalFormatting>
  <conditionalFormatting sqref="AB12">
    <cfRule type="expression" dxfId="3019" priority="14">
      <formula>AND(X$9&gt;10.5,AB$24=0)</formula>
    </cfRule>
  </conditionalFormatting>
  <conditionalFormatting sqref="AA12">
    <cfRule type="expression" dxfId="3018" priority="15">
      <formula>AND(X$10&gt;0,AA$24=0)</formula>
    </cfRule>
  </conditionalFormatting>
  <conditionalFormatting sqref="AI12">
    <cfRule type="expression" dxfId="3017" priority="11">
      <formula>AND(AD$9&gt;10.5,AI$24=0)</formula>
    </cfRule>
  </conditionalFormatting>
  <conditionalFormatting sqref="AH12">
    <cfRule type="expression" dxfId="3016" priority="12">
      <formula>AND(AD$9&gt;10.5,AH$24=0)</formula>
    </cfRule>
  </conditionalFormatting>
  <conditionalFormatting sqref="AG12">
    <cfRule type="expression" dxfId="3015" priority="10">
      <formula>AND(AD$10&gt;0,AG$24=0)</formula>
    </cfRule>
  </conditionalFormatting>
  <conditionalFormatting sqref="AO12">
    <cfRule type="expression" dxfId="3014" priority="7">
      <formula>AND(AJ$9&gt;10.5,AO$24=0)</formula>
    </cfRule>
  </conditionalFormatting>
  <conditionalFormatting sqref="AN12">
    <cfRule type="expression" dxfId="3013" priority="8">
      <formula>AND(AJ$9&gt;10.5,AN$24=0)</formula>
    </cfRule>
  </conditionalFormatting>
  <conditionalFormatting sqref="AM12">
    <cfRule type="expression" dxfId="3012" priority="9">
      <formula>AND(AJ$10&gt;0,AM$24=0)</formula>
    </cfRule>
  </conditionalFormatting>
  <conditionalFormatting sqref="AU12">
    <cfRule type="expression" dxfId="3011" priority="5">
      <formula>AND(AP$9&gt;10.5,AU$24=0)</formula>
    </cfRule>
  </conditionalFormatting>
  <conditionalFormatting sqref="AT12">
    <cfRule type="expression" dxfId="3010" priority="6">
      <formula>AND(AP$9&gt;10.5,AT$24=0)</formula>
    </cfRule>
  </conditionalFormatting>
  <conditionalFormatting sqref="AS12">
    <cfRule type="expression" dxfId="3009" priority="4">
      <formula>AND(AP$10&gt;0,AS$24=0)</formula>
    </cfRule>
  </conditionalFormatting>
  <conditionalFormatting sqref="BA12">
    <cfRule type="expression" dxfId="3008" priority="1">
      <formula>AND(AV$9&gt;10.5,BA$24=0)</formula>
    </cfRule>
  </conditionalFormatting>
  <conditionalFormatting sqref="AZ12">
    <cfRule type="expression" dxfId="3007" priority="2">
      <formula>AND(AV$9&gt;10.5,AZ$24=0)</formula>
    </cfRule>
  </conditionalFormatting>
  <conditionalFormatting sqref="AY12">
    <cfRule type="expression" dxfId="3006" priority="3">
      <formula>AND(AV$10&gt;0,AY$24=0)</formula>
    </cfRule>
  </conditionalFormatting>
  <dataValidations count="2">
    <dataValidation allowBlank="1" showInputMessage="1" showErrorMessage="1" sqref="E13:H23" xr:uid="{00000000-0002-0000-0600-000000000000}"/>
    <dataValidation type="textLength" allowBlank="1" showInputMessage="1" showErrorMessage="1" errorTitle="Digits" error="The EE# must be between 4 ad 5 digits" sqref="B2" xr:uid="{00000000-0002-0000-0600-000001000000}">
      <formula1>4</formula1>
      <formula2>5</formula2>
    </dataValidation>
  </dataValidations>
  <pageMargins left="0.25" right="0.25" top="0.75" bottom="0.75" header="0.3" footer="0.3"/>
  <pageSetup paperSize="5" scale="3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600-000002000000}">
          <x14:formula1>
            <xm:f>'\\WCC-6\Data\EVERYONE\PR AR\Weekly Payroll Files\Weekly Spreadsheets\2020\WE 02 15 20\Whitney\[California WE 02 15 20 Bell Crew.xlsx]Job List'!#REF!</xm:f>
          </x14:formula1>
          <xm:sqref>C23</xm:sqref>
        </x14:dataValidation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600-000003000000}">
          <x14:formula1>
            <xm:f>'G:\PR AR\Weekly Payroll Files\Weekly Spreadsheets\2020\WE 09 12 20\Whitney\[WE 09 12 20 CA GF''S.xlsx]Job List'!#REF!</xm:f>
          </x14:formula1>
          <xm:sqref>C22</xm:sqref>
        </x14:dataValidation>
        <x14:dataValidation type="list" allowBlank="1" showInputMessage="1" showErrorMessage="1" xr:uid="{00000000-0002-0000-0600-000004000000}">
          <x14:formula1>
            <xm:f>'\\WCC-6\Data\EVERYONE\PR AR\Weekly Payroll Files\Weekly Spreadsheets\2020\WE 02 15 20\Whitney\[California WE 02 15 20 PG&amp;E 2.xlsx]Job List'!#REF!</xm:f>
          </x14:formula1>
          <xm:sqref>C16</xm:sqref>
        </x14:dataValidation>
        <x14:dataValidation type="list" allowBlank="1" showInputMessage="1" showErrorMessage="1" xr:uid="{00000000-0002-0000-0600-000005000000}">
          <x14:formula1>
            <xm:f>'G:\PR AR\Weekly Payroll Files\Weekly Spreadsheets\2020\WE 07 18 20\Whitney\[California WE 07 18 20 PG&amp;E.xlsx]Job List'!#REF!</xm:f>
          </x14:formula1>
          <xm:sqref>C20</xm:sqref>
        </x14:dataValidation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600-000006000000}">
          <x14:formula1>
            <xm:f>'Job List'!$A:$A</xm:f>
          </x14:formula1>
          <xm:sqref>C19 C15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33CCFF"/>
    <pageSetUpPr fitToPage="1"/>
  </sheetPr>
  <dimension ref="A1:CX33"/>
  <sheetViews>
    <sheetView showGridLines="0" tabSelected="1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L6" sqref="L6:Q6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25.85546875" style="1" customWidth="1"/>
    <col min="7" max="7" width="14.42578125" style="1" bestFit="1" customWidth="1"/>
    <col min="8" max="8" width="8.42578125" style="1" customWidth="1"/>
    <col min="9" max="9" width="11.7109375" customWidth="1"/>
    <col min="10" max="10" width="13.42578125" style="1" hidden="1" customWidth="1"/>
    <col min="11" max="11" width="19.85546875" style="1" customWidth="1"/>
    <col min="12" max="12" width="6.7109375" style="1" bestFit="1" customWidth="1"/>
    <col min="13" max="13" width="7" style="1" customWidth="1"/>
    <col min="14" max="14" width="8.42578125" style="1" customWidth="1"/>
    <col min="15" max="18" width="6.7109375" style="1" customWidth="1"/>
    <col min="19" max="19" width="9" style="1" customWidth="1"/>
    <col min="20" max="20" width="7.5703125" style="1" customWidth="1"/>
    <col min="21" max="22" width="6.7109375" style="1" customWidth="1"/>
    <col min="23" max="23" width="8.42578125" style="1" customWidth="1"/>
    <col min="24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9.5703125" style="1" customWidth="1"/>
    <col min="36" max="36" width="8.140625" style="1" bestFit="1" customWidth="1"/>
    <col min="37" max="37" width="8.140625" style="1" customWidth="1"/>
    <col min="38" max="38" width="7.5703125" style="1" customWidth="1"/>
    <col min="39" max="39" width="7.85546875" style="1" bestFit="1" customWidth="1"/>
    <col min="40" max="40" width="6.7109375" style="1" customWidth="1"/>
    <col min="41" max="41" width="7.85546875" style="1" customWidth="1"/>
    <col min="42" max="42" width="6.7109375" style="1" customWidth="1"/>
    <col min="43" max="43" width="9.5703125" style="1" customWidth="1"/>
    <col min="44" max="44" width="7.85546875" style="1" bestFit="1" customWidth="1"/>
    <col min="45" max="47" width="6.7109375" style="1" customWidth="1"/>
    <col min="48" max="48" width="7.85546875" style="1" bestFit="1" customWidth="1"/>
    <col min="49" max="49" width="6.7109375" style="1" customWidth="1"/>
    <col min="50" max="50" width="7.85546875" style="1" bestFit="1" customWidth="1"/>
    <col min="51" max="53" width="6.7109375" style="1" customWidth="1"/>
    <col min="54" max="54" width="15.5703125" style="1" bestFit="1" customWidth="1"/>
    <col min="55" max="55" width="8.5703125" style="1" customWidth="1"/>
    <col min="56" max="56" width="8.85546875" style="1" customWidth="1"/>
    <col min="57" max="57" width="9.5703125" style="1" bestFit="1" customWidth="1"/>
    <col min="58" max="58" width="8.5703125" style="1" customWidth="1"/>
    <col min="59" max="59" width="10.140625" style="1" customWidth="1"/>
    <col min="60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IF(ISNA(VLOOKUP($B$2,[10]Employees!$B:$H,2,FALSE)),"Input Employee Number",VLOOKUP($B$2,[10]Employees!$B:$H,2,FALSE))</f>
        <v>Schmidt; Eric M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94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9242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IF(ISNA(VLOOKUP($B$2,[10]Employees!$B:$H,4,FALSE)),"",VLOOKUP($B$2,[10]Employees!$B:$H,4,FALSE))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IF(ISNA(VLOOKUP($B$2,[10]Employees!$B:$H,5,FALSE)),"",VLOOKUP($B$2,[10]Employees!$B:$H,5,FALSE))</f>
        <v>1245</v>
      </c>
      <c r="D4" s="67"/>
      <c r="E4" s="67"/>
      <c r="F4" s="67"/>
      <c r="G4" s="67"/>
      <c r="H4" s="67"/>
      <c r="I4" s="67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 t="s">
        <v>4705</v>
      </c>
      <c r="M5" s="416"/>
      <c r="N5" s="416"/>
      <c r="O5" s="416"/>
      <c r="P5" s="416"/>
      <c r="Q5" s="417"/>
      <c r="R5" s="415">
        <v>0.25</v>
      </c>
      <c r="S5" s="416"/>
      <c r="T5" s="416"/>
      <c r="U5" s="416"/>
      <c r="V5" s="416"/>
      <c r="W5" s="417"/>
      <c r="X5" s="415">
        <v>0.25</v>
      </c>
      <c r="Y5" s="416"/>
      <c r="Z5" s="416"/>
      <c r="AA5" s="416"/>
      <c r="AB5" s="416"/>
      <c r="AC5" s="417"/>
      <c r="AD5" s="415">
        <v>0.25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0.25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380"/>
      <c r="S6" s="381"/>
      <c r="T6" s="381"/>
      <c r="U6" s="381"/>
      <c r="V6" s="381"/>
      <c r="W6" s="382"/>
      <c r="X6" s="385"/>
      <c r="Y6" s="386"/>
      <c r="Z6" s="386"/>
      <c r="AA6" s="386"/>
      <c r="AB6" s="386"/>
      <c r="AC6" s="38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380"/>
      <c r="S7" s="381"/>
      <c r="T7" s="381"/>
      <c r="U7" s="381"/>
      <c r="V7" s="381"/>
      <c r="W7" s="382"/>
      <c r="X7" s="385"/>
      <c r="Y7" s="386"/>
      <c r="Z7" s="386"/>
      <c r="AA7" s="386"/>
      <c r="AB7" s="386"/>
      <c r="AC7" s="38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/>
      <c r="M8" s="416"/>
      <c r="N8" s="416"/>
      <c r="O8" s="416"/>
      <c r="P8" s="416"/>
      <c r="Q8" s="417"/>
      <c r="R8" s="415">
        <v>0.91666666666666663</v>
      </c>
      <c r="S8" s="416"/>
      <c r="T8" s="416"/>
      <c r="U8" s="416"/>
      <c r="V8" s="416"/>
      <c r="W8" s="417"/>
      <c r="X8" s="415">
        <v>0.91666666666666663</v>
      </c>
      <c r="Y8" s="416"/>
      <c r="Z8" s="416"/>
      <c r="AA8" s="416"/>
      <c r="AB8" s="416"/>
      <c r="AC8" s="417"/>
      <c r="AD8" s="415">
        <v>0.91666666666666663</v>
      </c>
      <c r="AE8" s="416"/>
      <c r="AF8" s="416"/>
      <c r="AG8" s="416"/>
      <c r="AH8" s="416"/>
      <c r="AI8" s="417"/>
      <c r="AJ8" s="415">
        <v>0.875</v>
      </c>
      <c r="AK8" s="416"/>
      <c r="AL8" s="416"/>
      <c r="AM8" s="416"/>
      <c r="AN8" s="416"/>
      <c r="AO8" s="417"/>
      <c r="AP8" s="415">
        <v>0.91666666666666663</v>
      </c>
      <c r="AQ8" s="416"/>
      <c r="AR8" s="416"/>
      <c r="AS8" s="416"/>
      <c r="AT8" s="416"/>
      <c r="AU8" s="417"/>
      <c r="AV8" s="415">
        <v>0.91666666666666663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 t="e">
        <f>IF(AND(L5&gt;=0,L8&gt;=0),(L6-L5+L8-L7)*24,0)</f>
        <v>#VALUE!</v>
      </c>
      <c r="M9" s="401"/>
      <c r="N9" s="401"/>
      <c r="O9" s="401"/>
      <c r="P9" s="401"/>
      <c r="Q9" s="402"/>
      <c r="R9" s="400">
        <f>IF(AND(R5&gt;=0,R8&gt;=0),(R6-R5+R8-R7)*24,0)</f>
        <v>16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16</v>
      </c>
      <c r="AE9" s="401"/>
      <c r="AF9" s="401"/>
      <c r="AG9" s="401"/>
      <c r="AH9" s="401"/>
      <c r="AI9" s="402"/>
      <c r="AJ9" s="400">
        <f>IF(AND(AJ5&gt;=0,AJ8&gt;=0),(AJ6-AJ5+AJ8-AJ7)*24,0)</f>
        <v>15</v>
      </c>
      <c r="AK9" s="401"/>
      <c r="AL9" s="401"/>
      <c r="AM9" s="401"/>
      <c r="AN9" s="401"/>
      <c r="AO9" s="402"/>
      <c r="AP9" s="400">
        <f>IF(AND(AP5&gt;=0,AP8&gt;=0),(AP6-AP5+AP8-AP7)*24,0)</f>
        <v>16</v>
      </c>
      <c r="AQ9" s="401"/>
      <c r="AR9" s="401"/>
      <c r="AS9" s="401"/>
      <c r="AT9" s="401"/>
      <c r="AU9" s="402"/>
      <c r="AV9" s="400">
        <f>IF(AND(AV5&gt;=0,AV8&gt;=0),(AV6-AV5+AV8-AV7)*24,0)</f>
        <v>16</v>
      </c>
      <c r="AW9" s="401"/>
      <c r="AX9" s="401"/>
      <c r="AY9" s="401"/>
      <c r="AZ9" s="401"/>
      <c r="BA9" s="402"/>
      <c r="BB9" s="400" t="e">
        <f>SUM(L9:BA9)</f>
        <v>#VALUE!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0</v>
      </c>
      <c r="M10" s="407"/>
      <c r="N10" s="407"/>
      <c r="O10" s="407"/>
      <c r="P10" s="407"/>
      <c r="Q10" s="408"/>
      <c r="R10" s="406">
        <f>R24+S24+T24</f>
        <v>16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AD24+AE24+AF24</f>
        <v>16</v>
      </c>
      <c r="AE10" s="407"/>
      <c r="AF10" s="407"/>
      <c r="AG10" s="407"/>
      <c r="AH10" s="407"/>
      <c r="AI10" s="408"/>
      <c r="AJ10" s="406">
        <f>AJ24+AK24+AL24</f>
        <v>15</v>
      </c>
      <c r="AK10" s="407"/>
      <c r="AL10" s="407"/>
      <c r="AM10" s="407"/>
      <c r="AN10" s="407"/>
      <c r="AO10" s="408"/>
      <c r="AP10" s="406">
        <f>AP24+AQ24+AR24</f>
        <v>16</v>
      </c>
      <c r="AQ10" s="407"/>
      <c r="AR10" s="407"/>
      <c r="AS10" s="407"/>
      <c r="AT10" s="407"/>
      <c r="AU10" s="408"/>
      <c r="AV10" s="409">
        <f>AV24+AW24+AX24</f>
        <v>16</v>
      </c>
      <c r="AW10" s="410"/>
      <c r="AX10" s="410"/>
      <c r="AY10" s="410"/>
      <c r="AZ10" s="410"/>
      <c r="BA10" s="411"/>
      <c r="BB10" s="412">
        <f>SUM(L10:BA10)</f>
        <v>95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 t="e">
        <f>L9-L10</f>
        <v>#VALUE!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 t="e">
        <f>BB9-BB10</f>
        <v>#VALUE!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 t="shared" ref="A13:A23" si="0">IF(ISBLANK(C13),"",IF(ISBLANK($D$3),"",$D$3))</f>
        <v>x</v>
      </c>
      <c r="B13" s="276" t="s">
        <v>101</v>
      </c>
      <c r="C13" s="353" t="s">
        <v>3846</v>
      </c>
      <c r="D13" s="277"/>
      <c r="E13" s="353" t="s">
        <v>731</v>
      </c>
      <c r="F13" s="276" t="str">
        <f>IF(ISBLANK($B$4),"",$B$4)</f>
        <v>1245</v>
      </c>
      <c r="G13" s="276" t="s">
        <v>102</v>
      </c>
      <c r="H13" s="276" t="s">
        <v>102</v>
      </c>
      <c r="I13" s="139">
        <v>1</v>
      </c>
      <c r="J13" s="153" t="str">
        <f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G23" si="1">SUM(AV13,AP13,AJ13,AD13,X13,R13,L13)</f>
        <v>0</v>
      </c>
      <c r="BC13" s="120">
        <f t="shared" si="1"/>
        <v>0</v>
      </c>
      <c r="BD13" s="120">
        <f t="shared" si="1"/>
        <v>0</v>
      </c>
      <c r="BE13" s="120">
        <f t="shared" si="1"/>
        <v>0</v>
      </c>
      <c r="BF13" s="120">
        <f t="shared" si="1"/>
        <v>0</v>
      </c>
      <c r="BG13" s="154">
        <f t="shared" si="1"/>
        <v>0</v>
      </c>
      <c r="BH13" s="123">
        <f>SUM(TimeSheet3426[[#This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 t="shared" si="0"/>
        <v/>
      </c>
      <c r="B14" s="276"/>
      <c r="C14" s="276"/>
      <c r="D14" s="277"/>
      <c r="E14" s="276"/>
      <c r="F14" s="276"/>
      <c r="G14" s="276"/>
      <c r="H14" s="276"/>
      <c r="I14" s="139"/>
      <c r="J14" s="153"/>
      <c r="K14" s="150"/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1"/>
        <v>0</v>
      </c>
      <c r="BC14" s="120">
        <f t="shared" si="1"/>
        <v>0</v>
      </c>
      <c r="BD14" s="120">
        <f t="shared" si="1"/>
        <v>0</v>
      </c>
      <c r="BE14" s="120">
        <f t="shared" si="1"/>
        <v>0</v>
      </c>
      <c r="BF14" s="120">
        <f t="shared" si="1"/>
        <v>0</v>
      </c>
      <c r="BG14" s="154">
        <f t="shared" si="1"/>
        <v>0</v>
      </c>
      <c r="BH14" s="123">
        <f>SUM(TimeSheet3426[[#This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0"/>
        <v>x</v>
      </c>
      <c r="B15" s="276" t="s">
        <v>101</v>
      </c>
      <c r="C15" s="353" t="s">
        <v>4081</v>
      </c>
      <c r="D15" s="371"/>
      <c r="E15" s="372" t="s">
        <v>731</v>
      </c>
      <c r="F15" s="276" t="str">
        <f>IF(ISBLANK($B$4),"",$B$4)</f>
        <v>1245</v>
      </c>
      <c r="G15" s="276" t="s">
        <v>102</v>
      </c>
      <c r="H15" s="276" t="s">
        <v>102</v>
      </c>
      <c r="I15" s="139">
        <v>1</v>
      </c>
      <c r="J15" s="153" t="str">
        <f>IF($K15=0,"",IF($K15&lt;10,"0"&amp;$K15,$K15))</f>
        <v>01</v>
      </c>
      <c r="K15" s="150">
        <v>1</v>
      </c>
      <c r="L15" s="263"/>
      <c r="M15" s="258"/>
      <c r="N15" s="258"/>
      <c r="O15" s="258"/>
      <c r="P15" s="258"/>
      <c r="Q15" s="259"/>
      <c r="R15" s="262">
        <v>8</v>
      </c>
      <c r="S15" s="260"/>
      <c r="T15" s="260">
        <v>8</v>
      </c>
      <c r="U15" s="260">
        <v>3</v>
      </c>
      <c r="V15" s="260">
        <v>3</v>
      </c>
      <c r="W15" s="261">
        <v>1.5</v>
      </c>
      <c r="X15" s="263">
        <v>8</v>
      </c>
      <c r="Y15" s="258"/>
      <c r="Z15" s="258">
        <v>8</v>
      </c>
      <c r="AA15" s="258">
        <v>3</v>
      </c>
      <c r="AB15" s="258">
        <v>3</v>
      </c>
      <c r="AC15" s="259">
        <v>1.5</v>
      </c>
      <c r="AD15" s="262">
        <v>8</v>
      </c>
      <c r="AE15" s="260"/>
      <c r="AF15" s="260">
        <v>8</v>
      </c>
      <c r="AG15" s="260">
        <v>3</v>
      </c>
      <c r="AH15" s="260">
        <v>3</v>
      </c>
      <c r="AI15" s="261">
        <v>1.5</v>
      </c>
      <c r="AJ15" s="263">
        <v>8</v>
      </c>
      <c r="AK15" s="258"/>
      <c r="AL15" s="258">
        <v>7</v>
      </c>
      <c r="AM15" s="258">
        <v>3</v>
      </c>
      <c r="AN15" s="258">
        <v>3</v>
      </c>
      <c r="AO15" s="259">
        <v>1.5</v>
      </c>
      <c r="AP15" s="262"/>
      <c r="AQ15" s="260"/>
      <c r="AR15" s="260">
        <v>16</v>
      </c>
      <c r="AS15" s="260">
        <v>3</v>
      </c>
      <c r="AT15" s="260">
        <v>3</v>
      </c>
      <c r="AU15" s="261">
        <v>1.5</v>
      </c>
      <c r="AV15" s="263"/>
      <c r="AW15" s="258"/>
      <c r="AX15" s="258">
        <v>16</v>
      </c>
      <c r="AY15" s="258">
        <v>3</v>
      </c>
      <c r="AZ15" s="258">
        <v>3</v>
      </c>
      <c r="BA15" s="259">
        <v>1.5</v>
      </c>
      <c r="BB15" s="119">
        <f t="shared" si="1"/>
        <v>32</v>
      </c>
      <c r="BC15" s="120">
        <f t="shared" si="1"/>
        <v>0</v>
      </c>
      <c r="BD15" s="120">
        <f t="shared" si="1"/>
        <v>63</v>
      </c>
      <c r="BE15" s="120">
        <f t="shared" si="1"/>
        <v>18</v>
      </c>
      <c r="BF15" s="120">
        <f t="shared" si="1"/>
        <v>18</v>
      </c>
      <c r="BG15" s="154">
        <f t="shared" si="1"/>
        <v>9</v>
      </c>
      <c r="BH15" s="123">
        <f>SUM(TimeSheet3426[[#This Row],[1]:[4A]])</f>
        <v>140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 t="e">
        <f ca="1"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#NAME?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 t="e">
        <f ca="1"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#NAME?</v>
      </c>
      <c r="BR15" s="127" t="e">
        <f ca="1"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#NAME?</v>
      </c>
      <c r="BS15" s="127" t="e">
        <f ca="1"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#NAME?</v>
      </c>
      <c r="BT15" s="128" t="e">
        <f ca="1"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#NAME?</v>
      </c>
      <c r="BU15" s="126" t="e">
        <f ca="1"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#NAME?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 t="e">
        <f ca="1"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#NAME?</v>
      </c>
      <c r="BX15" s="127" t="e">
        <f ca="1"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#NAME?</v>
      </c>
      <c r="BY15" s="127" t="e">
        <f ca="1"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#NAME?</v>
      </c>
      <c r="BZ15" s="128" t="e">
        <f ca="1"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#NAME?</v>
      </c>
      <c r="CA15" s="126" t="e">
        <f ca="1"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#NAME?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 t="e">
        <f ca="1"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#NAME?</v>
      </c>
      <c r="CD15" s="127" t="e">
        <f ca="1"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#NAME?</v>
      </c>
      <c r="CE15" s="127" t="e">
        <f ca="1"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#NAME?</v>
      </c>
      <c r="CF15" s="128" t="e">
        <f ca="1"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#NAME?</v>
      </c>
      <c r="CG15" s="126" t="e">
        <f ca="1"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#NAME?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 t="e">
        <f ca="1"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#NAME?</v>
      </c>
      <c r="CJ15" s="127" t="e">
        <f ca="1"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#NAME?</v>
      </c>
      <c r="CK15" s="127" t="e">
        <f ca="1"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#NAME?</v>
      </c>
      <c r="CL15" s="128" t="e">
        <f ca="1"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#NAME?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 t="e">
        <f ca="1"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#NAME?</v>
      </c>
      <c r="CP15" s="127" t="e">
        <f ca="1"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#NAME?</v>
      </c>
      <c r="CQ15" s="127" t="e">
        <f ca="1"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#NAME?</v>
      </c>
      <c r="CR15" s="128" t="e">
        <f ca="1"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#NAME?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 t="e">
        <f ca="1"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#NAME?</v>
      </c>
      <c r="CV15" s="127" t="e">
        <f ca="1"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#NAME?</v>
      </c>
      <c r="CW15" s="127" t="e">
        <f ca="1"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#NAME?</v>
      </c>
      <c r="CX15" s="128" t="e">
        <f ca="1"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#NAME?</v>
      </c>
    </row>
    <row r="16" spans="1:102" ht="39" customHeight="1" x14ac:dyDescent="0.3">
      <c r="A16" s="109" t="str">
        <f t="shared" si="0"/>
        <v/>
      </c>
      <c r="B16" s="276"/>
      <c r="C16" s="276"/>
      <c r="D16" s="277"/>
      <c r="E16" s="276"/>
      <c r="F16" s="276"/>
      <c r="G16" s="276"/>
      <c r="H16" s="276"/>
      <c r="I16" s="139"/>
      <c r="J16" s="153"/>
      <c r="K16" s="150"/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8"/>
      <c r="AD16" s="262"/>
      <c r="AE16" s="260"/>
      <c r="AF16" s="260"/>
      <c r="AG16" s="260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1"/>
        <v>0</v>
      </c>
      <c r="BC16" s="120">
        <f t="shared" si="1"/>
        <v>0</v>
      </c>
      <c r="BD16" s="120">
        <f t="shared" si="1"/>
        <v>0</v>
      </c>
      <c r="BE16" s="120">
        <f t="shared" si="1"/>
        <v>0</v>
      </c>
      <c r="BF16" s="120">
        <f t="shared" si="1"/>
        <v>0</v>
      </c>
      <c r="BG16" s="154">
        <f t="shared" si="1"/>
        <v>0</v>
      </c>
      <c r="BH16" s="123">
        <f>SUM(TimeSheet3426[[#This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 t="shared" si="0"/>
        <v>x</v>
      </c>
      <c r="B17" s="276" t="s">
        <v>101</v>
      </c>
      <c r="C17" s="353" t="s">
        <v>3986</v>
      </c>
      <c r="D17" s="344"/>
      <c r="E17" s="316" t="s">
        <v>731</v>
      </c>
      <c r="F17" s="276" t="str">
        <f>IF(ISBLANK($B$4),"",$B$4)</f>
        <v>1245</v>
      </c>
      <c r="G17" s="276" t="s">
        <v>102</v>
      </c>
      <c r="H17" s="276" t="s">
        <v>102</v>
      </c>
      <c r="I17" s="139">
        <v>1</v>
      </c>
      <c r="J17" s="153" t="str">
        <f>IF($K17=0,"",IF($K17&lt;10,"0"&amp;$K17,$K17))</f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1"/>
        <v>0</v>
      </c>
      <c r="BC17" s="120">
        <f t="shared" si="1"/>
        <v>0</v>
      </c>
      <c r="BD17" s="120">
        <f t="shared" si="1"/>
        <v>0</v>
      </c>
      <c r="BE17" s="120">
        <f t="shared" si="1"/>
        <v>0</v>
      </c>
      <c r="BF17" s="120">
        <f t="shared" si="1"/>
        <v>0</v>
      </c>
      <c r="BG17" s="154">
        <f t="shared" si="1"/>
        <v>0</v>
      </c>
      <c r="BH17" s="123">
        <f>SUM(TimeSheet3426[[#This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0"/>
        <v/>
      </c>
      <c r="B18" s="276"/>
      <c r="C18" s="276"/>
      <c r="D18" s="277"/>
      <c r="E18" s="276"/>
      <c r="F18" s="276"/>
      <c r="G18" s="276"/>
      <c r="H18" s="276"/>
      <c r="I18" s="139"/>
      <c r="J18" s="153"/>
      <c r="K18" s="150"/>
      <c r="L18" s="263"/>
      <c r="M18" s="258"/>
      <c r="N18" s="258"/>
      <c r="O18" s="258"/>
      <c r="P18" s="258"/>
      <c r="Q18" s="259"/>
      <c r="R18" s="262"/>
      <c r="S18" s="260"/>
      <c r="T18" s="260"/>
      <c r="U18" s="260"/>
      <c r="V18" s="260"/>
      <c r="W18" s="261"/>
      <c r="X18" s="263"/>
      <c r="Y18" s="258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62"/>
      <c r="AQ18" s="260"/>
      <c r="AR18" s="260"/>
      <c r="AS18" s="260"/>
      <c r="AT18" s="260"/>
      <c r="AU18" s="261"/>
      <c r="AV18" s="263"/>
      <c r="AW18" s="258"/>
      <c r="AX18" s="258"/>
      <c r="AY18" s="258"/>
      <c r="AZ18" s="258"/>
      <c r="BA18" s="259"/>
      <c r="BB18" s="119">
        <f t="shared" si="1"/>
        <v>0</v>
      </c>
      <c r="BC18" s="120">
        <f t="shared" si="1"/>
        <v>0</v>
      </c>
      <c r="BD18" s="120">
        <f t="shared" si="1"/>
        <v>0</v>
      </c>
      <c r="BE18" s="120">
        <f t="shared" si="1"/>
        <v>0</v>
      </c>
      <c r="BF18" s="120">
        <f t="shared" si="1"/>
        <v>0</v>
      </c>
      <c r="BG18" s="154">
        <f t="shared" si="1"/>
        <v>0</v>
      </c>
      <c r="BH18" s="123">
        <f>SUM(TimeSheet3426[[#This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0"/>
        <v>x</v>
      </c>
      <c r="B19" s="316" t="s">
        <v>101</v>
      </c>
      <c r="C19" s="353" t="s">
        <v>4088</v>
      </c>
      <c r="D19" s="277"/>
      <c r="E19" s="353" t="s">
        <v>731</v>
      </c>
      <c r="F19" s="316" t="str">
        <f>IF(ISBLANK($B$4),"",$B$4)</f>
        <v>1245</v>
      </c>
      <c r="G19" s="276" t="s">
        <v>102</v>
      </c>
      <c r="H19" s="276" t="s">
        <v>102</v>
      </c>
      <c r="I19" s="139">
        <v>1</v>
      </c>
      <c r="J19" s="153"/>
      <c r="K19" s="150">
        <v>1</v>
      </c>
      <c r="L19" s="263"/>
      <c r="M19" s="258"/>
      <c r="N19" s="258"/>
      <c r="O19" s="258"/>
      <c r="P19" s="258"/>
      <c r="Q19" s="259"/>
      <c r="R19" s="262"/>
      <c r="S19" s="260"/>
      <c r="T19" s="260"/>
      <c r="U19" s="260"/>
      <c r="V19" s="260"/>
      <c r="W19" s="261"/>
      <c r="X19" s="263"/>
      <c r="Y19" s="258"/>
      <c r="Z19" s="258"/>
      <c r="AA19" s="258"/>
      <c r="AB19" s="258"/>
      <c r="AC19" s="259"/>
      <c r="AD19" s="262"/>
      <c r="AE19" s="260"/>
      <c r="AF19" s="260"/>
      <c r="AG19" s="260"/>
      <c r="AH19" s="260"/>
      <c r="AI19" s="261"/>
      <c r="AJ19" s="263"/>
      <c r="AK19" s="258"/>
      <c r="AL19" s="258"/>
      <c r="AM19" s="258"/>
      <c r="AN19" s="258"/>
      <c r="AO19" s="259"/>
      <c r="AP19" s="262"/>
      <c r="AQ19" s="260"/>
      <c r="AR19" s="260"/>
      <c r="AS19" s="260"/>
      <c r="AT19" s="260"/>
      <c r="AU19" s="261"/>
      <c r="AV19" s="263"/>
      <c r="AW19" s="258"/>
      <c r="AX19" s="201"/>
      <c r="AY19" s="201"/>
      <c r="AZ19" s="201"/>
      <c r="BA19" s="237"/>
      <c r="BB19" s="119">
        <f t="shared" si="1"/>
        <v>0</v>
      </c>
      <c r="BC19" s="120">
        <f t="shared" si="1"/>
        <v>0</v>
      </c>
      <c r="BD19" s="120">
        <f t="shared" si="1"/>
        <v>0</v>
      </c>
      <c r="BE19" s="120">
        <f t="shared" si="1"/>
        <v>0</v>
      </c>
      <c r="BF19" s="120">
        <f t="shared" si="1"/>
        <v>0</v>
      </c>
      <c r="BG19" s="154">
        <f t="shared" si="1"/>
        <v>0</v>
      </c>
      <c r="BH19" s="123">
        <f>SUM(TimeSheet3426[[#This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43.5" customHeight="1" x14ac:dyDescent="0.3">
      <c r="A20" s="109" t="str">
        <f t="shared" si="0"/>
        <v/>
      </c>
      <c r="B20" s="297"/>
      <c r="C20" s="276"/>
      <c r="D20" s="277"/>
      <c r="E20" s="276"/>
      <c r="F20" s="353"/>
      <c r="G20" s="276"/>
      <c r="H20" s="276"/>
      <c r="I20" s="139"/>
      <c r="J20" s="153"/>
      <c r="K20" s="150"/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1"/>
        <v>0</v>
      </c>
      <c r="BC20" s="120">
        <f t="shared" si="1"/>
        <v>0</v>
      </c>
      <c r="BD20" s="120">
        <f t="shared" si="1"/>
        <v>0</v>
      </c>
      <c r="BE20" s="120">
        <f t="shared" si="1"/>
        <v>0</v>
      </c>
      <c r="BF20" s="120">
        <f t="shared" si="1"/>
        <v>0</v>
      </c>
      <c r="BG20" s="154">
        <f t="shared" si="1"/>
        <v>0</v>
      </c>
      <c r="BH20" s="123">
        <f>SUM(TimeSheet3426[[#This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0"/>
        <v>x</v>
      </c>
      <c r="B21" s="353" t="s">
        <v>101</v>
      </c>
      <c r="C21" s="353" t="s">
        <v>3976</v>
      </c>
      <c r="D21" s="344"/>
      <c r="E21" s="316" t="s">
        <v>731</v>
      </c>
      <c r="F21" s="353" t="str">
        <f t="shared" ref="F21" si="2">IF(ISBLANK($B$4),"",$B$4)</f>
        <v>1245</v>
      </c>
      <c r="G21" s="353" t="s">
        <v>102</v>
      </c>
      <c r="H21" s="353" t="s">
        <v>102</v>
      </c>
      <c r="I21" s="139">
        <v>1</v>
      </c>
      <c r="J21" s="153"/>
      <c r="K21" s="150">
        <v>1</v>
      </c>
      <c r="L21" s="263"/>
      <c r="M21" s="258"/>
      <c r="N21" s="258"/>
      <c r="O21" s="258"/>
      <c r="P21" s="258"/>
      <c r="Q21" s="259"/>
      <c r="R21" s="262"/>
      <c r="S21" s="260"/>
      <c r="T21" s="260"/>
      <c r="U21" s="260"/>
      <c r="V21" s="260"/>
      <c r="W21" s="261"/>
      <c r="X21" s="263"/>
      <c r="Y21" s="258"/>
      <c r="Z21" s="258"/>
      <c r="AA21" s="258"/>
      <c r="AB21" s="258"/>
      <c r="AC21" s="259"/>
      <c r="AD21" s="262"/>
      <c r="AE21" s="260"/>
      <c r="AF21" s="260"/>
      <c r="AG21" s="260"/>
      <c r="AH21" s="260"/>
      <c r="AI21" s="261"/>
      <c r="AJ21" s="263"/>
      <c r="AK21" s="258"/>
      <c r="AL21" s="258"/>
      <c r="AM21" s="258"/>
      <c r="AN21" s="258"/>
      <c r="AO21" s="237"/>
      <c r="AP21" s="262"/>
      <c r="AQ21" s="260"/>
      <c r="AR21" s="260"/>
      <c r="AS21" s="260"/>
      <c r="AT21" s="260"/>
      <c r="AU21" s="261"/>
      <c r="AV21" s="200"/>
      <c r="AW21" s="258"/>
      <c r="AX21" s="258"/>
      <c r="AY21" s="258"/>
      <c r="AZ21" s="258"/>
      <c r="BA21" s="259"/>
      <c r="BB21" s="119">
        <f t="shared" si="1"/>
        <v>0</v>
      </c>
      <c r="BC21" s="120">
        <f t="shared" si="1"/>
        <v>0</v>
      </c>
      <c r="BD21" s="120">
        <f t="shared" si="1"/>
        <v>0</v>
      </c>
      <c r="BE21" s="120">
        <f t="shared" si="1"/>
        <v>0</v>
      </c>
      <c r="BF21" s="120">
        <f t="shared" si="1"/>
        <v>0</v>
      </c>
      <c r="BG21" s="154">
        <f t="shared" si="1"/>
        <v>0</v>
      </c>
      <c r="BH21" s="123">
        <f>SUM(TimeSheet3426[[#This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0"/>
        <v/>
      </c>
      <c r="B22" s="316"/>
      <c r="C22" s="316"/>
      <c r="D22" s="241"/>
      <c r="E22" s="316"/>
      <c r="F22" s="353"/>
      <c r="G22" s="316"/>
      <c r="H22" s="316"/>
      <c r="I22" s="139"/>
      <c r="J22" s="153"/>
      <c r="K22" s="150"/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37"/>
      <c r="AP22" s="238"/>
      <c r="AQ22" s="202"/>
      <c r="AR22" s="202"/>
      <c r="AS22" s="202"/>
      <c r="AT22" s="202"/>
      <c r="AU22" s="203"/>
      <c r="AV22" s="200"/>
      <c r="AW22" s="201"/>
      <c r="AX22" s="201"/>
      <c r="AY22" s="201"/>
      <c r="AZ22" s="258"/>
      <c r="BA22" s="259"/>
      <c r="BB22" s="119">
        <f t="shared" si="1"/>
        <v>0</v>
      </c>
      <c r="BC22" s="120">
        <f t="shared" si="1"/>
        <v>0</v>
      </c>
      <c r="BD22" s="120">
        <f t="shared" si="1"/>
        <v>0</v>
      </c>
      <c r="BE22" s="120">
        <f t="shared" si="1"/>
        <v>0</v>
      </c>
      <c r="BF22" s="120">
        <f t="shared" si="1"/>
        <v>0</v>
      </c>
      <c r="BG22" s="154">
        <f t="shared" si="1"/>
        <v>0</v>
      </c>
      <c r="BH22" s="123">
        <f>SUM(TimeSheet3426[[#This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0"/>
        <v/>
      </c>
      <c r="B23" s="316"/>
      <c r="C23"/>
      <c r="D23" s="277"/>
      <c r="E23" s="316"/>
      <c r="F23" s="353"/>
      <c r="G23" s="316"/>
      <c r="H23" s="316"/>
      <c r="I23" s="139"/>
      <c r="J23" s="153"/>
      <c r="K23" s="150"/>
      <c r="L23" s="263"/>
      <c r="M23" s="258"/>
      <c r="N23" s="258"/>
      <c r="O23" s="258"/>
      <c r="P23" s="258"/>
      <c r="Q23" s="259"/>
      <c r="R23" s="262"/>
      <c r="S23" s="260"/>
      <c r="T23" s="260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1"/>
        <v>0</v>
      </c>
      <c r="BC23" s="120">
        <f t="shared" si="1"/>
        <v>0</v>
      </c>
      <c r="BD23" s="120">
        <f t="shared" si="1"/>
        <v>0</v>
      </c>
      <c r="BE23" s="120">
        <f t="shared" si="1"/>
        <v>0</v>
      </c>
      <c r="BF23" s="120">
        <f t="shared" si="1"/>
        <v>0</v>
      </c>
      <c r="BG23" s="154">
        <f t="shared" si="1"/>
        <v>0</v>
      </c>
      <c r="BH23" s="123">
        <f>SUM(TimeSheet3426[[#This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SUBTOTAL(109,TimeSheet3426[RT1])</f>
        <v>0</v>
      </c>
      <c r="M24" s="359">
        <f>SUBTOTAL(109,TimeSheet3426[OT1])</f>
        <v>0</v>
      </c>
      <c r="N24" s="359">
        <f>SUBTOTAL(109,TimeSheet3426[DT1])</f>
        <v>0</v>
      </c>
      <c r="O24" s="359">
        <f>SUBTOTAL(109,TimeSheet3426[PD1])</f>
        <v>0</v>
      </c>
      <c r="P24" s="359">
        <f>SUBTOTAL(109,TimeSheet3426[4D1])</f>
        <v>0</v>
      </c>
      <c r="Q24" s="360">
        <f>SUBTOTAL(109,TimeSheet3426[4A1])</f>
        <v>0</v>
      </c>
      <c r="R24" s="361">
        <f>SUBTOTAL(109,TimeSheet3426[RT2])</f>
        <v>8</v>
      </c>
      <c r="S24" s="362">
        <f>SUBTOTAL(109,TimeSheet3426[OT2])</f>
        <v>0</v>
      </c>
      <c r="T24" s="362">
        <f>SUBTOTAL(109,TimeSheet3426[DT2])</f>
        <v>8</v>
      </c>
      <c r="U24" s="362">
        <f>SUBTOTAL(109,TimeSheet3426[PD2])</f>
        <v>3</v>
      </c>
      <c r="V24" s="362">
        <f>SUBTOTAL(109,TimeSheet3426[4D2])</f>
        <v>3</v>
      </c>
      <c r="W24" s="363">
        <f>SUBTOTAL(109,TimeSheet3426[4A2])</f>
        <v>1.5</v>
      </c>
      <c r="X24" s="358">
        <f>SUBTOTAL(109,TimeSheet3426[RT3])</f>
        <v>8</v>
      </c>
      <c r="Y24" s="359">
        <f>SUBTOTAL(109,TimeSheet3426[OT3])</f>
        <v>0</v>
      </c>
      <c r="Z24" s="359">
        <f>SUBTOTAL(109,TimeSheet3426[DT3])</f>
        <v>8</v>
      </c>
      <c r="AA24" s="359">
        <f>SUBTOTAL(109,TimeSheet3426[PD3])</f>
        <v>3</v>
      </c>
      <c r="AB24" s="359">
        <f>SUBTOTAL(109,TimeSheet3426[4D3])</f>
        <v>3</v>
      </c>
      <c r="AC24" s="360">
        <f>SUBTOTAL(109,TimeSheet3426[4A3])</f>
        <v>1.5</v>
      </c>
      <c r="AD24" s="361">
        <f>SUBTOTAL(109,TimeSheet3426[RT4])</f>
        <v>8</v>
      </c>
      <c r="AE24" s="362">
        <f>SUBTOTAL(109,TimeSheet3426[OT4])</f>
        <v>0</v>
      </c>
      <c r="AF24" s="362">
        <f>SUBTOTAL(109,TimeSheet3426[DT4])</f>
        <v>8</v>
      </c>
      <c r="AG24" s="362">
        <f>SUBTOTAL(109,TimeSheet3426[PD4])</f>
        <v>3</v>
      </c>
      <c r="AH24" s="362">
        <f>SUBTOTAL(109,TimeSheet3426[4D4])</f>
        <v>3</v>
      </c>
      <c r="AI24" s="363">
        <f>SUBTOTAL(109,TimeSheet3426[4A4])</f>
        <v>1.5</v>
      </c>
      <c r="AJ24" s="358">
        <f>SUBTOTAL(109,TimeSheet3426[RT5])</f>
        <v>8</v>
      </c>
      <c r="AK24" s="359">
        <f>SUBTOTAL(109,TimeSheet3426[OT5])</f>
        <v>0</v>
      </c>
      <c r="AL24" s="359">
        <f>SUBTOTAL(109,TimeSheet3426[DT5])</f>
        <v>7</v>
      </c>
      <c r="AM24" s="359">
        <f>SUBTOTAL(109,TimeSheet3426[PD5])</f>
        <v>3</v>
      </c>
      <c r="AN24" s="359">
        <f>SUBTOTAL(109,TimeSheet3426[4D5])</f>
        <v>3</v>
      </c>
      <c r="AO24" s="360">
        <f>SUBTOTAL(109,TimeSheet3426[4A5])</f>
        <v>1.5</v>
      </c>
      <c r="AP24" s="361">
        <f>SUBTOTAL(109,TimeSheet3426[RT6])</f>
        <v>0</v>
      </c>
      <c r="AQ24" s="362">
        <f>SUBTOTAL(109,TimeSheet3426[OT6])</f>
        <v>0</v>
      </c>
      <c r="AR24" s="362">
        <f>SUBTOTAL(109,TimeSheet3426[DT6])</f>
        <v>16</v>
      </c>
      <c r="AS24" s="362">
        <f>SUBTOTAL(109,TimeSheet3426[PD6])</f>
        <v>3</v>
      </c>
      <c r="AT24" s="362">
        <f>SUBTOTAL(109,TimeSheet3426[4D6])</f>
        <v>3</v>
      </c>
      <c r="AU24" s="363">
        <f>SUBTOTAL(109,TimeSheet3426[4A6])</f>
        <v>1.5</v>
      </c>
      <c r="AV24" s="358">
        <f>SUBTOTAL(109,TimeSheet3426[RT7])</f>
        <v>0</v>
      </c>
      <c r="AW24" s="359">
        <f>SUBTOTAL(109,TimeSheet3426[OT7])</f>
        <v>0</v>
      </c>
      <c r="AX24" s="359">
        <f>SUBTOTAL(109,TimeSheet3426[DT7])</f>
        <v>16</v>
      </c>
      <c r="AY24" s="359">
        <f>SUBTOTAL(109,TimeSheet3426[PD7])</f>
        <v>3</v>
      </c>
      <c r="AZ24" s="359">
        <f>SUBTOTAL(109,TimeSheet3426[4D7])</f>
        <v>3</v>
      </c>
      <c r="BA24" s="360">
        <f>SUBTOTAL(109,TimeSheet3426[4A7])</f>
        <v>1.5</v>
      </c>
      <c r="BB24" s="364">
        <f>SUBTOTAL(109,TimeSheet3426[1])</f>
        <v>32</v>
      </c>
      <c r="BC24" s="365">
        <f>SUBTOTAL(109,TimeSheet3426[3])</f>
        <v>0</v>
      </c>
      <c r="BD24" s="365">
        <f>SUBTOTAL(109,TimeSheet3426[2])</f>
        <v>63</v>
      </c>
      <c r="BE24" s="365">
        <f>SUBTOTAL(109,TimeSheet3426[4])</f>
        <v>18</v>
      </c>
      <c r="BF24" s="365">
        <f>SUBTOTAL(109,TimeSheet3426[4D])</f>
        <v>18</v>
      </c>
      <c r="BG24" s="340">
        <f>SUBTOTAL(109,TimeSheet3426[4A])</f>
        <v>9</v>
      </c>
      <c r="BH24" s="367">
        <f>SUBTOTAL(109,TimeSheet3426[Total])-SUM(TimeSheet3426[[#Totals],[RT1]:[4A7]])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">
      <c r="A25" s="173"/>
      <c r="B25" s="28" t="s">
        <v>356</v>
      </c>
      <c r="C25" s="28"/>
      <c r="D25" s="28"/>
      <c r="E25" s="28"/>
      <c r="L25" s="244"/>
      <c r="M25" s="228"/>
      <c r="N25" s="228"/>
      <c r="O25" s="228"/>
      <c r="P25" s="228"/>
      <c r="Q25" s="228"/>
      <c r="R25" s="244"/>
      <c r="S25" s="228"/>
      <c r="T25" s="228"/>
      <c r="U25" s="228"/>
      <c r="V25" s="228"/>
      <c r="W25" s="228"/>
      <c r="X25" s="244"/>
      <c r="Y25" s="204"/>
      <c r="Z25" s="204"/>
      <c r="AA25" s="204"/>
      <c r="AB25" s="204"/>
      <c r="AC25" s="204"/>
      <c r="AD25" s="244"/>
      <c r="AE25" s="204"/>
      <c r="AJ25" s="282"/>
      <c r="AK25" s="240"/>
      <c r="AP25" s="244"/>
      <c r="AQ25" s="204"/>
      <c r="AR25" s="204"/>
      <c r="AS25" s="248"/>
      <c r="AT25" s="204"/>
      <c r="AU25" s="204"/>
      <c r="AV25" s="244"/>
      <c r="AW25" s="204"/>
      <c r="AX25" s="204"/>
      <c r="AY25" s="204"/>
      <c r="AZ25" s="204"/>
      <c r="BA25" s="204"/>
      <c r="BB25" s="252"/>
      <c r="BC25" s="252"/>
      <c r="BD25" s="252"/>
      <c r="BE25" s="252"/>
      <c r="BF25" s="252"/>
      <c r="BG25" s="252"/>
      <c r="BH25" s="252"/>
    </row>
    <row r="26" spans="1:102" ht="39" customHeight="1" x14ac:dyDescent="0.4">
      <c r="A26" s="174" t="str">
        <f>IF(ISBLANK('[10]Job Details'!A5),"",'[10]Job Details'!A5)</f>
        <v xml:space="preserve">Hours </v>
      </c>
      <c r="B26" s="175"/>
      <c r="C26" s="176" t="str">
        <f>IF(ISBLANK('[10]Job Details'!B5),"",'[10]Job Details'!B5)</f>
        <v>8ST, then everything else DT</v>
      </c>
      <c r="D26" s="174" t="str">
        <f>IF(ISBLANK('[10]Job Details'!C5),"",'[10]Job Details'!C5)</f>
        <v/>
      </c>
      <c r="E26" s="177" t="str">
        <f>IF(ISBLANK('[10]Job Details'!D5),"",'[10]Job Details'!D5)</f>
        <v/>
      </c>
      <c r="F26" s="178" t="str">
        <f>IF(ISBLANK('[10]Job Details'!E5),"",'[10]Job Details'!E5)</f>
        <v/>
      </c>
      <c r="G26"/>
      <c r="H26"/>
      <c r="L26" s="230"/>
      <c r="M26" s="232"/>
      <c r="N26" s="232"/>
      <c r="O26" s="232"/>
      <c r="P26" s="232"/>
      <c r="Q26" s="232"/>
      <c r="R26" s="232"/>
      <c r="BB26" s="351"/>
      <c r="BC26" s="351"/>
      <c r="BD26" s="351"/>
      <c r="BE26" s="351"/>
      <c r="BF26" s="351"/>
      <c r="BG26" s="351"/>
      <c r="BH26" s="252"/>
    </row>
    <row r="27" spans="1:102" ht="39" customHeight="1" x14ac:dyDescent="0.7">
      <c r="A27" s="179" t="str">
        <f>IF(ISBLANK('[10]Job Details'!A6),"",'[10]Job Details'!A6)</f>
        <v>PD</v>
      </c>
      <c r="B27" s="180"/>
      <c r="C27" s="181" t="str">
        <f>IF(ISBLANK('[10]Job Details'!B6),"",'[10]Job Details'!B6)</f>
        <v>$50/day (must work 4 hours or until noon, whichever is later)</v>
      </c>
      <c r="D27" s="182" t="str">
        <f>IF(ISBLANK('[10]Job Details'!C6),"",'[10]Job Details'!C6)</f>
        <v/>
      </c>
      <c r="E27" s="181" t="str">
        <f>IF(ISBLANK('[10]Job Details'!D6),"",'[10]Job Details'!D6)</f>
        <v/>
      </c>
      <c r="F27" s="183" t="str">
        <f>IF(ISBLANK('[10]Job Details'!E6),"",'[10]Job Details'!E6)</f>
        <v/>
      </c>
      <c r="G27"/>
      <c r="H27"/>
      <c r="L27" s="205"/>
      <c r="M27" s="245"/>
      <c r="N27" s="205"/>
      <c r="O27" s="205"/>
      <c r="P27" s="205"/>
      <c r="Q27" s="205"/>
      <c r="R27" s="205"/>
      <c r="X27" s="204"/>
      <c r="Y27" s="204"/>
      <c r="Z27" s="204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IF(ISBLANK('[10]Job Details'!A7),"",'[10]Job Details'!A7)</f>
        <v>Meal</v>
      </c>
      <c r="B28" s="180"/>
      <c r="C28" s="181" t="str">
        <f>IF(ISBLANK('[10]Job Details'!B7),"",'[10]Job Details'!B7)</f>
        <v>$15 after 10.5 hours (then after every 4.5 hours)</v>
      </c>
      <c r="D28" s="179" t="str">
        <f>IF(ISBLANK('[10]Job Details'!C7),"",'[10]Job Details'!C7)</f>
        <v/>
      </c>
      <c r="E28" s="181" t="str">
        <f>IF(ISBLANK('[10]Job Details'!D7),"",'[10]Job Details'!D7)</f>
        <v/>
      </c>
      <c r="F28" s="183" t="str">
        <f>IF(ISBLANK('[10]Job Details'!E7),"",'[10]Job Details'!E7)</f>
        <v/>
      </c>
      <c r="G28"/>
      <c r="H28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IF(ISBLANK('[10]Job Details'!A8),"",'[10]Job Details'!A8)</f>
        <v>In Lieu</v>
      </c>
      <c r="B29" s="185"/>
      <c r="C29" s="186" t="str">
        <f>IF(ISBLANK('[10]Job Details'!B8),"",'[10]Job Details'!B8)</f>
        <v>0.5DT after 10.5 hours (then after every 4.5 hours)</v>
      </c>
      <c r="D29" s="179" t="str">
        <f>IF(ISBLANK('[10]Job Details'!C8),"",'[10]Job Details'!C8)</f>
        <v/>
      </c>
      <c r="E29" s="181" t="str">
        <f>IF(ISBLANK('[10]Job Details'!D8),"",'[10]Job Details'!D8)</f>
        <v/>
      </c>
      <c r="F29" s="187" t="str">
        <f>IF(ISBLANK('[10]Job Details'!E8),"",'[10]Job Details'!E8)</f>
        <v/>
      </c>
      <c r="G29"/>
      <c r="H29"/>
    </row>
    <row r="30" spans="1:102" ht="39" customHeight="1" x14ac:dyDescent="0.4">
      <c r="A30" s="188" t="str">
        <f>IF(ISBLANK('[10]Job Details'!A9),"",'[10]Job Details'!A9)</f>
        <v>Job Details</v>
      </c>
      <c r="B30" s="175"/>
      <c r="C30" s="189" t="str">
        <f>IF(ISBLANK('[10]Job Details'!B9),"",'[10]Job Details'!B9)</f>
        <v/>
      </c>
      <c r="D30" s="190" t="str">
        <f>IF(ISBLANK('[10]Job Details'!C9),"",'[10]Job Details'!C9)</f>
        <v/>
      </c>
      <c r="E30" s="176" t="str">
        <f>IF(ISBLANK('[10]Job Details'!D9),"",'[10]Job Details'!D9)</f>
        <v/>
      </c>
      <c r="F30" s="183" t="str">
        <f>IF(ISBLANK('[10]Job Details'!E9),"",'[10]Job Details'!E9)</f>
        <v/>
      </c>
      <c r="G30"/>
      <c r="H30"/>
    </row>
    <row r="31" spans="1:102" ht="39" customHeight="1" x14ac:dyDescent="0.4">
      <c r="A31" s="179" t="str">
        <f>IF(ISBLANK('[10]Job Details'!A10),"",'[10]Job Details'!A10)</f>
        <v>Extra</v>
      </c>
      <c r="B31" s="180"/>
      <c r="C31" s="181" t="str">
        <f>IF(ISBLANK('[10]Job Details'!B10),"",'[10]Job Details'!B10)</f>
        <v>Phase</v>
      </c>
      <c r="D31" s="191" t="str">
        <f>IF(ISBLANK('[10]Job Details'!C10),"",'[10]Job Details'!C10)</f>
        <v>Phase Description</v>
      </c>
      <c r="E31" s="181" t="str">
        <f>IF(ISBLANK('[10]Job Details'!D10),"",'[10]Job Details'!D10)</f>
        <v>Category</v>
      </c>
      <c r="F31" s="187" t="str">
        <f>IF(ISBLANK('[10]Job Details'!E10),"",'[10]Job Details'!E10)</f>
        <v>Description</v>
      </c>
      <c r="G31"/>
      <c r="H31"/>
    </row>
    <row r="32" spans="1:102" ht="39" customHeight="1" x14ac:dyDescent="0.4">
      <c r="A32" s="184" t="str">
        <f>IF(ISBLANK('[10]Job Details'!A11),"",'[10]Job Details'!A11)</f>
        <v/>
      </c>
      <c r="B32" s="185"/>
      <c r="C32" s="186" t="str">
        <f>IF(ISBLANK('[10]Job Details'!B11),"",'[10]Job Details'!B11)</f>
        <v>1-001</v>
      </c>
      <c r="D32" s="192" t="str">
        <f>IF(ISBLANK('[10]Job Details'!C11),"",'[10]Job Details'!C11)</f>
        <v>Project Superintendent (Hrs)</v>
      </c>
      <c r="E32" s="186" t="str">
        <f>IF(ISBLANK('[10]Job Details'!D11),"",'[10]Job Details'!D11)</f>
        <v>DT</v>
      </c>
      <c r="F32" s="193" t="str">
        <f>IF(ISBLANK('[10]Job Details'!E11),"",'[10]Job Details'!E11)</f>
        <v>Double Time - Jobs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3"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AV6:BA6"/>
    <mergeCell ref="L7:Q7"/>
    <mergeCell ref="AD7:AI7"/>
    <mergeCell ref="AJ7:AO7"/>
    <mergeCell ref="AP7:AU7"/>
    <mergeCell ref="AV7:BA7"/>
    <mergeCell ref="L6:Q6"/>
    <mergeCell ref="AD6:AI6"/>
    <mergeCell ref="AJ6:AO6"/>
    <mergeCell ref="AP6:AU6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BB1:BG1"/>
    <mergeCell ref="L3:Q3"/>
    <mergeCell ref="R3:W3"/>
    <mergeCell ref="X3:AC3"/>
    <mergeCell ref="AD3:AI3"/>
    <mergeCell ref="AJ3:AO3"/>
    <mergeCell ref="AP3:AU3"/>
    <mergeCell ref="AV3:BA3"/>
  </mergeCells>
  <conditionalFormatting sqref="D3 A13:A23">
    <cfRule type="expression" dxfId="2795" priority="357">
      <formula>ISBLANK(A3)</formula>
    </cfRule>
  </conditionalFormatting>
  <conditionalFormatting sqref="A1:K1">
    <cfRule type="expression" dxfId="2794" priority="355">
      <formula>$A$1="Input Employee Number"</formula>
    </cfRule>
  </conditionalFormatting>
  <conditionalFormatting sqref="BB1:BG1">
    <cfRule type="expression" dxfId="2793" priority="354">
      <formula>ISBLANK(BB1)</formula>
    </cfRule>
  </conditionalFormatting>
  <conditionalFormatting sqref="BH24">
    <cfRule type="expression" dxfId="2792" priority="352">
      <formula>$BH24&lt;&gt;0</formula>
    </cfRule>
    <cfRule type="expression" dxfId="2791" priority="353">
      <formula>$BH24=0</formula>
    </cfRule>
  </conditionalFormatting>
  <conditionalFormatting sqref="L11:BG11">
    <cfRule type="expression" dxfId="2790" priority="351">
      <formula>L11&lt;&gt;0</formula>
    </cfRule>
  </conditionalFormatting>
  <conditionalFormatting sqref="E24:H24 F18:H18 G23:H23">
    <cfRule type="expression" dxfId="2789" priority="350">
      <formula>AND($BH18&lt;&gt;0,ISBLANK(E18))</formula>
    </cfRule>
  </conditionalFormatting>
  <conditionalFormatting sqref="B2">
    <cfRule type="cellIs" dxfId="2788" priority="349" operator="equal">
      <formula>0</formula>
    </cfRule>
  </conditionalFormatting>
  <conditionalFormatting sqref="B3">
    <cfRule type="containsBlanks" dxfId="2787" priority="348">
      <formula>LEN(TRIM(B3))=0</formula>
    </cfRule>
  </conditionalFormatting>
  <conditionalFormatting sqref="D3 A13:A23">
    <cfRule type="cellIs" dxfId="2786" priority="356" operator="equal">
      <formula>"x"</formula>
    </cfRule>
  </conditionalFormatting>
  <conditionalFormatting sqref="B4">
    <cfRule type="containsBlanks" dxfId="2785" priority="347">
      <formula>LEN(TRIM(B4))=0</formula>
    </cfRule>
  </conditionalFormatting>
  <conditionalFormatting sqref="C24">
    <cfRule type="expression" dxfId="2784" priority="358">
      <formula>AND($C24=0,BH24&lt;&gt;0)</formula>
    </cfRule>
  </conditionalFormatting>
  <conditionalFormatting sqref="E23">
    <cfRule type="expression" dxfId="2783" priority="346">
      <formula>AND($BH23&lt;&gt;0,ISBLANK(E23))</formula>
    </cfRule>
  </conditionalFormatting>
  <conditionalFormatting sqref="E23">
    <cfRule type="expression" dxfId="2782" priority="345">
      <formula>AND($C23&gt;0,ISBLANK($E23))</formula>
    </cfRule>
  </conditionalFormatting>
  <conditionalFormatting sqref="C23">
    <cfRule type="expression" dxfId="2781" priority="344">
      <formula>AND($BH23&lt;&gt;0,ISBLANK(C23))</formula>
    </cfRule>
  </conditionalFormatting>
  <conditionalFormatting sqref="C23">
    <cfRule type="expression" dxfId="2780" priority="343">
      <formula>AND($C23&gt;0,ISBLANK($E23))</formula>
    </cfRule>
  </conditionalFormatting>
  <conditionalFormatting sqref="E16 E18">
    <cfRule type="expression" dxfId="2779" priority="342">
      <formula>AND($BH16&lt;&gt;0,ISBLANK(E16))</formula>
    </cfRule>
  </conditionalFormatting>
  <conditionalFormatting sqref="E16">
    <cfRule type="expression" dxfId="2778" priority="341">
      <formula>AND($BH16&lt;&gt;0,ISBLANK(E16))</formula>
    </cfRule>
  </conditionalFormatting>
  <conditionalFormatting sqref="E16 E18">
    <cfRule type="expression" dxfId="2777" priority="340">
      <formula>AND($C16&gt;0,ISBLANK($E16))</formula>
    </cfRule>
  </conditionalFormatting>
  <conditionalFormatting sqref="G20:H20">
    <cfRule type="expression" dxfId="2776" priority="329">
      <formula>AND($BH20&lt;&gt;0,ISBLANK(G20))</formula>
    </cfRule>
  </conditionalFormatting>
  <conditionalFormatting sqref="E20">
    <cfRule type="expression" dxfId="2775" priority="327">
      <formula>AND($BH20&lt;&gt;0,ISBLANK(E20))</formula>
    </cfRule>
  </conditionalFormatting>
  <conditionalFormatting sqref="E20">
    <cfRule type="expression" dxfId="2774" priority="326">
      <formula>AND($C20&gt;0,ISBLANK($E20))</formula>
    </cfRule>
  </conditionalFormatting>
  <conditionalFormatting sqref="E20">
    <cfRule type="expression" dxfId="2773" priority="328">
      <formula>AND($BH20&lt;&gt;0,ISBLANK(E20))</formula>
    </cfRule>
  </conditionalFormatting>
  <conditionalFormatting sqref="B20">
    <cfRule type="expression" dxfId="2772" priority="323">
      <formula>AND($BH20&lt;&gt;0,ISBLANK(B20))</formula>
    </cfRule>
  </conditionalFormatting>
  <conditionalFormatting sqref="B20">
    <cfRule type="expression" dxfId="2771" priority="322">
      <formula>AND($BH20&lt;&gt;0,ISBLANK(B20))</formula>
    </cfRule>
  </conditionalFormatting>
  <conditionalFormatting sqref="B20">
    <cfRule type="expression" dxfId="2770" priority="321">
      <formula>AND($C20&gt;0,ISBLANK($E20))</formula>
    </cfRule>
  </conditionalFormatting>
  <conditionalFormatting sqref="B20">
    <cfRule type="expression" dxfId="2769" priority="320">
      <formula>AND($BH20&lt;&gt;0,ISBLANK(B20))</formula>
    </cfRule>
  </conditionalFormatting>
  <conditionalFormatting sqref="B20">
    <cfRule type="expression" dxfId="2768" priority="325">
      <formula>AND($BH20&lt;&gt;0,ISBLANK(B20))</formula>
    </cfRule>
  </conditionalFormatting>
  <conditionalFormatting sqref="B20">
    <cfRule type="expression" dxfId="2767" priority="324">
      <formula>AND($C20&gt;0,ISBLANK($E20))</formula>
    </cfRule>
  </conditionalFormatting>
  <conditionalFormatting sqref="B20">
    <cfRule type="expression" dxfId="2766" priority="319">
      <formula>AND($C20&gt;0,ISBLANK($E20))</formula>
    </cfRule>
  </conditionalFormatting>
  <conditionalFormatting sqref="C20">
    <cfRule type="expression" dxfId="2765" priority="318">
      <formula>AND($BH20&lt;&gt;0,ISBLANK(C20))</formula>
    </cfRule>
  </conditionalFormatting>
  <conditionalFormatting sqref="C20">
    <cfRule type="expression" dxfId="2764" priority="317">
      <formula>AND($C20&gt;0,ISBLANK($E20))</formula>
    </cfRule>
  </conditionalFormatting>
  <conditionalFormatting sqref="C20">
    <cfRule type="expression" dxfId="2763" priority="313">
      <formula>AND($BH20&lt;&gt;0,ISBLANK(C20))</formula>
    </cfRule>
  </conditionalFormatting>
  <conditionalFormatting sqref="C20">
    <cfRule type="expression" dxfId="2762" priority="312">
      <formula>AND($C20&gt;0,ISBLANK($E20))</formula>
    </cfRule>
  </conditionalFormatting>
  <conditionalFormatting sqref="C20">
    <cfRule type="expression" dxfId="2761" priority="316">
      <formula>AND($BH20&lt;&gt;0,ISBLANK(C20))</formula>
    </cfRule>
  </conditionalFormatting>
  <conditionalFormatting sqref="C20">
    <cfRule type="expression" dxfId="2760" priority="315">
      <formula>AND($BH20&lt;&gt;0,ISBLANK(C20))</formula>
    </cfRule>
  </conditionalFormatting>
  <conditionalFormatting sqref="C20">
    <cfRule type="expression" dxfId="2759" priority="314">
      <formula>AND($C20&gt;0,ISBLANK($E20))</formula>
    </cfRule>
  </conditionalFormatting>
  <conditionalFormatting sqref="F14:H14">
    <cfRule type="expression" dxfId="2758" priority="301">
      <formula>AND($BH14&lt;&gt;0,ISBLANK(F14))</formula>
    </cfRule>
  </conditionalFormatting>
  <conditionalFormatting sqref="E14">
    <cfRule type="expression" dxfId="2757" priority="300">
      <formula>AND($BH14&lt;&gt;0,ISBLANK(E14))</formula>
    </cfRule>
  </conditionalFormatting>
  <conditionalFormatting sqref="E14">
    <cfRule type="expression" dxfId="2756" priority="299">
      <formula>AND($C14&gt;0,ISBLANK($E14))</formula>
    </cfRule>
  </conditionalFormatting>
  <conditionalFormatting sqref="F16:H17">
    <cfRule type="expression" dxfId="2755" priority="298">
      <formula>AND($BH16&lt;&gt;0,ISBLANK(F16))</formula>
    </cfRule>
  </conditionalFormatting>
  <conditionalFormatting sqref="G19:H19">
    <cfRule type="expression" dxfId="2754" priority="297">
      <formula>AND($BH19&lt;&gt;0,ISBLANK(G19))</formula>
    </cfRule>
  </conditionalFormatting>
  <conditionalFormatting sqref="C14">
    <cfRule type="expression" dxfId="2753" priority="296">
      <formula>AND($BH14&lt;&gt;0,ISBLANK(C14))</formula>
    </cfRule>
  </conditionalFormatting>
  <conditionalFormatting sqref="C14">
    <cfRule type="expression" dxfId="2752" priority="295">
      <formula>AND($C14&gt;0,ISBLANK($E14))</formula>
    </cfRule>
  </conditionalFormatting>
  <conditionalFormatting sqref="F13:H13">
    <cfRule type="expression" dxfId="2751" priority="292">
      <formula>AND($BH13&lt;&gt;0,ISBLANK(F13))</formula>
    </cfRule>
  </conditionalFormatting>
  <conditionalFormatting sqref="F15:H15">
    <cfRule type="expression" dxfId="2750" priority="291">
      <formula>AND($BH15&lt;&gt;0,ISBLANK(F15))</formula>
    </cfRule>
  </conditionalFormatting>
  <conditionalFormatting sqref="B15">
    <cfRule type="expression" dxfId="2749" priority="217">
      <formula>AND($BH15&lt;&gt;0,ISBLANK(B15))</formula>
    </cfRule>
  </conditionalFormatting>
  <conditionalFormatting sqref="B15">
    <cfRule type="expression" dxfId="2748" priority="216">
      <formula>AND($C15&gt;0,ISBLANK($E15))</formula>
    </cfRule>
  </conditionalFormatting>
  <conditionalFormatting sqref="C16">
    <cfRule type="expression" dxfId="2747" priority="209">
      <formula>AND($BH16&lt;&gt;0,ISBLANK(C16))</formula>
    </cfRule>
  </conditionalFormatting>
  <conditionalFormatting sqref="C16">
    <cfRule type="expression" dxfId="2746" priority="208">
      <formula>AND($C16&gt;0,ISBLANK($E16))</formula>
    </cfRule>
  </conditionalFormatting>
  <conditionalFormatting sqref="B19">
    <cfRule type="expression" dxfId="2745" priority="153">
      <formula>AND($BH19&lt;&gt;0,ISBLANK(B19))</formula>
    </cfRule>
  </conditionalFormatting>
  <conditionalFormatting sqref="B19">
    <cfRule type="expression" dxfId="2744" priority="152">
      <formula>AND($C19&gt;0,ISBLANK($E19))</formula>
    </cfRule>
  </conditionalFormatting>
  <conditionalFormatting sqref="G22:H22">
    <cfRule type="expression" dxfId="2743" priority="141">
      <formula>AND($BH22&lt;&gt;0,ISBLANK(G22))</formula>
    </cfRule>
  </conditionalFormatting>
  <conditionalFormatting sqref="B22">
    <cfRule type="expression" dxfId="2742" priority="139">
      <formula>AND($BH22&lt;&gt;0,ISBLANK(B22))</formula>
    </cfRule>
  </conditionalFormatting>
  <conditionalFormatting sqref="B22">
    <cfRule type="expression" dxfId="2741" priority="138">
      <formula>AND($C22&gt;0,ISBLANK($E22))</formula>
    </cfRule>
  </conditionalFormatting>
  <conditionalFormatting sqref="C22">
    <cfRule type="expression" dxfId="2740" priority="137">
      <formula>AND($BH22&lt;&gt;0,ISBLANK(C22))</formula>
    </cfRule>
  </conditionalFormatting>
  <conditionalFormatting sqref="C22">
    <cfRule type="expression" dxfId="2739" priority="136">
      <formula>AND($C22&gt;0,ISBLANK($E22))</formula>
    </cfRule>
  </conditionalFormatting>
  <conditionalFormatting sqref="E22">
    <cfRule type="expression" dxfId="2738" priority="135">
      <formula>AND($BH22&lt;&gt;0,ISBLANK(E22))</formula>
    </cfRule>
  </conditionalFormatting>
  <conditionalFormatting sqref="E22">
    <cfRule type="expression" dxfId="2737" priority="134">
      <formula>AND($C22&gt;0,ISBLANK($E22))</formula>
    </cfRule>
  </conditionalFormatting>
  <conditionalFormatting sqref="E21">
    <cfRule type="expression" dxfId="2736" priority="123">
      <formula>AND($BH21&lt;&gt;0,ISBLANK(E21))</formula>
    </cfRule>
  </conditionalFormatting>
  <conditionalFormatting sqref="E21">
    <cfRule type="expression" dxfId="2735" priority="122">
      <formula>AND($C21&gt;0,ISBLANK($E21))</formula>
    </cfRule>
  </conditionalFormatting>
  <conditionalFormatting sqref="F19:F23">
    <cfRule type="expression" dxfId="2734" priority="121">
      <formula>AND($BH19&lt;&gt;0,ISBLANK(F19))</formula>
    </cfRule>
  </conditionalFormatting>
  <conditionalFormatting sqref="E17">
    <cfRule type="expression" dxfId="2733" priority="106">
      <formula>AND($BH17&lt;&gt;0,ISBLANK(E17))</formula>
    </cfRule>
  </conditionalFormatting>
  <conditionalFormatting sqref="E17">
    <cfRule type="expression" dxfId="2732" priority="105">
      <formula>AND($C17&gt;0,ISBLANK($E17))</formula>
    </cfRule>
  </conditionalFormatting>
  <conditionalFormatting sqref="E19">
    <cfRule type="expression" dxfId="2731" priority="98">
      <formula>AND($BH19&lt;&gt;0,ISBLANK(E19))</formula>
    </cfRule>
  </conditionalFormatting>
  <conditionalFormatting sqref="E19">
    <cfRule type="expression" dxfId="2730" priority="97">
      <formula>AND($C19&gt;0,ISBLANK($E19))</formula>
    </cfRule>
  </conditionalFormatting>
  <conditionalFormatting sqref="C19">
    <cfRule type="expression" dxfId="2729" priority="71">
      <formula>AND($BH19&lt;&gt;0,ISBLANK(C19))</formula>
    </cfRule>
  </conditionalFormatting>
  <conditionalFormatting sqref="C19">
    <cfRule type="expression" dxfId="2728" priority="70">
      <formula>AND($C19&gt;0,ISBLANK($E19))</formula>
    </cfRule>
  </conditionalFormatting>
  <conditionalFormatting sqref="C21">
    <cfRule type="expression" dxfId="2727" priority="65">
      <formula>AND($BH21&lt;&gt;0,ISBLANK(C21))</formula>
    </cfRule>
  </conditionalFormatting>
  <conditionalFormatting sqref="C21">
    <cfRule type="expression" dxfId="2726" priority="64">
      <formula>AND($C21&gt;0,ISBLANK($E21))</formula>
    </cfRule>
  </conditionalFormatting>
  <conditionalFormatting sqref="B21">
    <cfRule type="expression" dxfId="2725" priority="63">
      <formula>AND($BH21&lt;&gt;0,ISBLANK(B21))</formula>
    </cfRule>
  </conditionalFormatting>
  <conditionalFormatting sqref="B21">
    <cfRule type="expression" dxfId="2724" priority="62">
      <formula>AND($C21&gt;0,ISBLANK($E21))</formula>
    </cfRule>
  </conditionalFormatting>
  <conditionalFormatting sqref="G21:H21">
    <cfRule type="expression" dxfId="2723" priority="61">
      <formula>AND($BH21&lt;&gt;0,ISBLANK(G21))</formula>
    </cfRule>
  </conditionalFormatting>
  <conditionalFormatting sqref="C17">
    <cfRule type="expression" dxfId="2722" priority="48">
      <formula>AND($BH17&lt;&gt;0,ISBLANK(C17))</formula>
    </cfRule>
  </conditionalFormatting>
  <conditionalFormatting sqref="C17">
    <cfRule type="expression" dxfId="2721" priority="47">
      <formula>AND($C17&gt;0,ISBLANK($E17))</formula>
    </cfRule>
  </conditionalFormatting>
  <conditionalFormatting sqref="C13">
    <cfRule type="expression" dxfId="2720" priority="37">
      <formula>AND($BH13&lt;&gt;0,ISBLANK(C13))</formula>
    </cfRule>
  </conditionalFormatting>
  <conditionalFormatting sqref="C13">
    <cfRule type="expression" dxfId="2719" priority="36">
      <formula>AND($C13&gt;0,ISBLANK($E13))</formula>
    </cfRule>
  </conditionalFormatting>
  <conditionalFormatting sqref="E13">
    <cfRule type="expression" dxfId="2718" priority="35">
      <formula>AND($BH13&lt;&gt;0,ISBLANK(E13))</formula>
    </cfRule>
  </conditionalFormatting>
  <conditionalFormatting sqref="E13">
    <cfRule type="expression" dxfId="2717" priority="34">
      <formula>AND($C13&gt;0,ISBLANK($E13))</formula>
    </cfRule>
  </conditionalFormatting>
  <conditionalFormatting sqref="Q12">
    <cfRule type="expression" dxfId="2716" priority="31">
      <formula>AND(L$9&gt;10.5,Q$24=0)</formula>
    </cfRule>
  </conditionalFormatting>
  <conditionalFormatting sqref="P12">
    <cfRule type="expression" dxfId="2715" priority="32">
      <formula>AND(L$9&gt;10.5,P$24=0)</formula>
    </cfRule>
  </conditionalFormatting>
  <conditionalFormatting sqref="O12">
    <cfRule type="expression" dxfId="2714" priority="33">
      <formula>AND(L$10&gt;0,O$24=0)</formula>
    </cfRule>
  </conditionalFormatting>
  <conditionalFormatting sqref="W12">
    <cfRule type="expression" dxfId="2713" priority="29">
      <formula>AND(R$9&gt;10.5,W$24=0)</formula>
    </cfRule>
  </conditionalFormatting>
  <conditionalFormatting sqref="V12">
    <cfRule type="expression" dxfId="2712" priority="30">
      <formula>AND(R$9&gt;10.5,V$24=0)</formula>
    </cfRule>
  </conditionalFormatting>
  <conditionalFormatting sqref="U12">
    <cfRule type="expression" dxfId="2711" priority="28">
      <formula>AND(R$10&gt;0,U$24=0)</formula>
    </cfRule>
  </conditionalFormatting>
  <conditionalFormatting sqref="AC12">
    <cfRule type="expression" dxfId="2710" priority="25">
      <formula>AND(X$9&gt;10.5,AC$24=0)</formula>
    </cfRule>
  </conditionalFormatting>
  <conditionalFormatting sqref="AB12">
    <cfRule type="expression" dxfId="2709" priority="26">
      <formula>AND(X$9&gt;10.5,AB$24=0)</formula>
    </cfRule>
  </conditionalFormatting>
  <conditionalFormatting sqref="AA12">
    <cfRule type="expression" dxfId="2708" priority="27">
      <formula>AND(X$10&gt;0,AA$24=0)</formula>
    </cfRule>
  </conditionalFormatting>
  <conditionalFormatting sqref="AI12">
    <cfRule type="expression" dxfId="2707" priority="23">
      <formula>AND(AD$9&gt;10.5,AI$24=0)</formula>
    </cfRule>
  </conditionalFormatting>
  <conditionalFormatting sqref="AH12">
    <cfRule type="expression" dxfId="2706" priority="24">
      <formula>AND(AD$9&gt;10.5,AH$24=0)</formula>
    </cfRule>
  </conditionalFormatting>
  <conditionalFormatting sqref="AG12">
    <cfRule type="expression" dxfId="2705" priority="22">
      <formula>AND(AD$10&gt;0,AG$24=0)</formula>
    </cfRule>
  </conditionalFormatting>
  <conditionalFormatting sqref="AO12">
    <cfRule type="expression" dxfId="2704" priority="19">
      <formula>AND(AJ$9&gt;10.5,AO$24=0)</formula>
    </cfRule>
  </conditionalFormatting>
  <conditionalFormatting sqref="AN12">
    <cfRule type="expression" dxfId="2703" priority="20">
      <formula>AND(AJ$9&gt;10.5,AN$24=0)</formula>
    </cfRule>
  </conditionalFormatting>
  <conditionalFormatting sqref="AM12">
    <cfRule type="expression" dxfId="2702" priority="21">
      <formula>AND(AJ$10&gt;0,AM$24=0)</formula>
    </cfRule>
  </conditionalFormatting>
  <conditionalFormatting sqref="AU12">
    <cfRule type="expression" dxfId="2701" priority="17">
      <formula>AND(AP$9&gt;10.5,AU$24=0)</formula>
    </cfRule>
  </conditionalFormatting>
  <conditionalFormatting sqref="AT12">
    <cfRule type="expression" dxfId="2700" priority="18">
      <formula>AND(AP$9&gt;10.5,AT$24=0)</formula>
    </cfRule>
  </conditionalFormatting>
  <conditionalFormatting sqref="AS12">
    <cfRule type="expression" dxfId="2699" priority="16">
      <formula>AND(AP$10&gt;0,AS$24=0)</formula>
    </cfRule>
  </conditionalFormatting>
  <conditionalFormatting sqref="BA12">
    <cfRule type="expression" dxfId="2698" priority="13">
      <formula>AND(AV$9&gt;10.5,BA$24=0)</formula>
    </cfRule>
  </conditionalFormatting>
  <conditionalFormatting sqref="AZ12">
    <cfRule type="expression" dxfId="2697" priority="14">
      <formula>AND(AV$9&gt;10.5,AZ$24=0)</formula>
    </cfRule>
  </conditionalFormatting>
  <conditionalFormatting sqref="AY12">
    <cfRule type="expression" dxfId="2696" priority="15">
      <formula>AND(AV$10&gt;0,AY$24=0)</formula>
    </cfRule>
  </conditionalFormatting>
  <conditionalFormatting sqref="E15">
    <cfRule type="expression" dxfId="2695" priority="12">
      <formula>AND($BH15&lt;&gt;0,ISBLANK(E15))</formula>
    </cfRule>
  </conditionalFormatting>
  <conditionalFormatting sqref="E15">
    <cfRule type="expression" dxfId="2694" priority="11">
      <formula>AND($C15&gt;0,ISBLANK($E15))</formula>
    </cfRule>
  </conditionalFormatting>
  <conditionalFormatting sqref="E15">
    <cfRule type="expression" dxfId="2693" priority="7">
      <formula>AND($BH15&lt;&gt;0,ISBLANK(E15))</formula>
    </cfRule>
  </conditionalFormatting>
  <conditionalFormatting sqref="E15">
    <cfRule type="expression" dxfId="2692" priority="6">
      <formula>AND($C15&gt;0,ISBLANK($E15))</formula>
    </cfRule>
  </conditionalFormatting>
  <conditionalFormatting sqref="E15">
    <cfRule type="expression" dxfId="2691" priority="10">
      <formula>AND($BH15&lt;&gt;0,ISBLANK(E15))</formula>
    </cfRule>
  </conditionalFormatting>
  <conditionalFormatting sqref="E15">
    <cfRule type="expression" dxfId="2690" priority="9">
      <formula>AND($BH15&lt;&gt;0,ISBLANK(E15))</formula>
    </cfRule>
  </conditionalFormatting>
  <conditionalFormatting sqref="E15">
    <cfRule type="expression" dxfId="2689" priority="8">
      <formula>AND($C15&gt;0,ISBLANK($E15))</formula>
    </cfRule>
  </conditionalFormatting>
  <conditionalFormatting sqref="E15">
    <cfRule type="expression" dxfId="2688" priority="5">
      <formula>AND($BH15&lt;&gt;0,ISBLANK(E15))</formula>
    </cfRule>
  </conditionalFormatting>
  <conditionalFormatting sqref="E15">
    <cfRule type="expression" dxfId="2687" priority="4">
      <formula>AND($C15&gt;0,ISBLANK($E15))</formula>
    </cfRule>
  </conditionalFormatting>
  <conditionalFormatting sqref="E15">
    <cfRule type="expression" dxfId="2686" priority="3">
      <formula>AND($BH15&lt;&gt;0,ISBLANK(E15))</formula>
    </cfRule>
  </conditionalFormatting>
  <conditionalFormatting sqref="C15">
    <cfRule type="expression" dxfId="2685" priority="2">
      <formula>AND($BH15&lt;&gt;0,ISBLANK(C15))</formula>
    </cfRule>
  </conditionalFormatting>
  <conditionalFormatting sqref="C15">
    <cfRule type="expression" dxfId="2684" priority="1">
      <formula>AND($C15&gt;0,ISBLANK($E15))</formula>
    </cfRule>
  </conditionalFormatting>
  <dataValidations count="2">
    <dataValidation allowBlank="1" showInputMessage="1" showErrorMessage="1" sqref="E13:H23" xr:uid="{00000000-0002-0000-0700-000000000000}"/>
    <dataValidation type="textLength" allowBlank="1" showInputMessage="1" showErrorMessage="1" errorTitle="Digits" error="The EE# must be between 4 ad 5 digits" sqref="B2" xr:uid="{00000000-0002-0000-0700-000001000000}">
      <formula1>4</formula1>
      <formula2>5</formula2>
    </dataValidation>
  </dataValidations>
  <pageMargins left="0.25" right="0.25" top="0.75" bottom="0.75" header="0.3" footer="0.3"/>
  <pageSetup paperSize="5" scale="3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700-000002000000}">
          <x14:formula1>
            <xm:f>'Job List'!$A:$A</xm:f>
          </x14:formula1>
          <xm:sqref>C22 C13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R19" sqref="R19"/>
    </sheetView>
  </sheetViews>
  <sheetFormatPr defaultColWidth="8.85546875" defaultRowHeight="39" customHeight="1" x14ac:dyDescent="0.3"/>
  <cols>
    <col min="1" max="1" width="16.5703125" style="270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17.85546875" style="1" customWidth="1"/>
    <col min="7" max="7" width="14.42578125" style="1" bestFit="1" customWidth="1"/>
    <col min="8" max="8" width="8.42578125" style="1" customWidth="1"/>
    <col min="9" max="9" width="11.28515625" style="270" customWidth="1"/>
    <col min="10" max="11" width="11.28515625" style="1" customWidth="1"/>
    <col min="12" max="12" width="6.5703125" style="1" bestFit="1" customWidth="1"/>
    <col min="13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43" width="6.7109375" style="1" customWidth="1"/>
    <col min="44" max="44" width="7.85546875" style="1" customWidth="1"/>
    <col min="45" max="49" width="6.7109375" style="1" customWidth="1"/>
    <col min="50" max="50" width="8.140625" style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IF(ISNA(VLOOKUP($B$2,[11]Employees!$B:$H,2,FALSE)),"Input Employee Number",VLOOKUP($B$2,[11]Employees!$B:$H,2,FALSE))</f>
        <v>Raper; Michael G.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47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8784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IF(ISNA(VLOOKUP($B$2,[11]Employees!$B:$H,4,FALSE)),"",VLOOKUP($B$2,[11]Employees!$B:$H,4,FALSE))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IF(ISNA(VLOOKUP($B$2,[11]Employees!$B:$H,5,FALSE)),"",VLOOKUP($B$2,[11]Employees!$B:$H,5,FALSE))</f>
        <v>1245</v>
      </c>
      <c r="D4" s="226"/>
      <c r="E4" s="226"/>
      <c r="F4" s="226"/>
      <c r="G4" s="226"/>
      <c r="H4" s="226"/>
      <c r="I4" s="226"/>
      <c r="J4" s="226"/>
      <c r="K4" s="30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0.25</v>
      </c>
      <c r="M5" s="416"/>
      <c r="N5" s="416"/>
      <c r="O5" s="416"/>
      <c r="P5" s="416"/>
      <c r="Q5" s="417"/>
      <c r="R5" s="415">
        <v>0.25</v>
      </c>
      <c r="S5" s="416"/>
      <c r="T5" s="416"/>
      <c r="U5" s="416"/>
      <c r="V5" s="416"/>
      <c r="W5" s="417"/>
      <c r="X5" s="415">
        <v>0.25</v>
      </c>
      <c r="Y5" s="416"/>
      <c r="Z5" s="416"/>
      <c r="AA5" s="416"/>
      <c r="AB5" s="416"/>
      <c r="AC5" s="417"/>
      <c r="AD5" s="415">
        <v>0.25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0.25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0.875</v>
      </c>
      <c r="M8" s="416"/>
      <c r="N8" s="416"/>
      <c r="O8" s="416"/>
      <c r="P8" s="416"/>
      <c r="Q8" s="417"/>
      <c r="R8" s="415">
        <v>0.875</v>
      </c>
      <c r="S8" s="416"/>
      <c r="T8" s="416"/>
      <c r="U8" s="416"/>
      <c r="V8" s="416"/>
      <c r="W8" s="417"/>
      <c r="X8" s="415">
        <v>0.91666666666666663</v>
      </c>
      <c r="Y8" s="416"/>
      <c r="Z8" s="416"/>
      <c r="AA8" s="416"/>
      <c r="AB8" s="416"/>
      <c r="AC8" s="417"/>
      <c r="AD8" s="415">
        <v>0.91666666666666663</v>
      </c>
      <c r="AE8" s="416"/>
      <c r="AF8" s="416"/>
      <c r="AG8" s="416"/>
      <c r="AH8" s="416"/>
      <c r="AI8" s="417"/>
      <c r="AJ8" s="415">
        <v>0.91666666666666663</v>
      </c>
      <c r="AK8" s="416"/>
      <c r="AL8" s="416"/>
      <c r="AM8" s="416"/>
      <c r="AN8" s="416"/>
      <c r="AO8" s="417"/>
      <c r="AP8" s="415">
        <v>0.91666666666666663</v>
      </c>
      <c r="AQ8" s="416"/>
      <c r="AR8" s="416"/>
      <c r="AS8" s="416"/>
      <c r="AT8" s="416"/>
      <c r="AU8" s="417"/>
      <c r="AV8" s="415">
        <v>0.91666666666666663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15</v>
      </c>
      <c r="M9" s="401"/>
      <c r="N9" s="401"/>
      <c r="O9" s="401"/>
      <c r="P9" s="401"/>
      <c r="Q9" s="402"/>
      <c r="R9" s="400">
        <f>IF(AND(R5&gt;=0,R8&gt;=0),(R6-R5+R8-R7)*24,0)</f>
        <v>15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16</v>
      </c>
      <c r="AE9" s="401"/>
      <c r="AF9" s="401"/>
      <c r="AG9" s="401"/>
      <c r="AH9" s="401"/>
      <c r="AI9" s="402"/>
      <c r="AJ9" s="400">
        <f>IF(AND(AJ5&gt;=0,AJ8&gt;=0),(AJ6-AJ5+AJ8-AJ7)*24,0)</f>
        <v>16</v>
      </c>
      <c r="AK9" s="401"/>
      <c r="AL9" s="401"/>
      <c r="AM9" s="401"/>
      <c r="AN9" s="401"/>
      <c r="AO9" s="402"/>
      <c r="AP9" s="400">
        <f>IF(AND(AP5&gt;=0,AP8&gt;=0),(AP6-AP5+AP8-AP7)*24,0)</f>
        <v>16</v>
      </c>
      <c r="AQ9" s="401"/>
      <c r="AR9" s="401"/>
      <c r="AS9" s="401"/>
      <c r="AT9" s="401"/>
      <c r="AU9" s="402"/>
      <c r="AV9" s="400">
        <f>IF(AND(AV5&gt;=0,AV8&gt;=0),(AV6-AV5+AV8-AV7)*24,0)</f>
        <v>16</v>
      </c>
      <c r="AW9" s="401"/>
      <c r="AX9" s="401"/>
      <c r="AY9" s="401"/>
      <c r="AZ9" s="401"/>
      <c r="BA9" s="402"/>
      <c r="BB9" s="400">
        <f>SUM(L9:BA9)</f>
        <v>110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15</v>
      </c>
      <c r="M10" s="407"/>
      <c r="N10" s="407"/>
      <c r="O10" s="407"/>
      <c r="P10" s="407"/>
      <c r="Q10" s="408"/>
      <c r="R10" s="406">
        <f>R24+T24</f>
        <v>15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AD24+AE24+AF24</f>
        <v>16</v>
      </c>
      <c r="AE10" s="407"/>
      <c r="AF10" s="407"/>
      <c r="AG10" s="407"/>
      <c r="AH10" s="407"/>
      <c r="AI10" s="408"/>
      <c r="AJ10" s="406">
        <f>AJ24+AK24+AL24</f>
        <v>16</v>
      </c>
      <c r="AK10" s="407"/>
      <c r="AL10" s="407"/>
      <c r="AM10" s="407"/>
      <c r="AN10" s="407"/>
      <c r="AO10" s="408"/>
      <c r="AP10" s="406">
        <f>AP24+AQ24+AR24</f>
        <v>16</v>
      </c>
      <c r="AQ10" s="407"/>
      <c r="AR10" s="407"/>
      <c r="AS10" s="407"/>
      <c r="AT10" s="407"/>
      <c r="AU10" s="408"/>
      <c r="AV10" s="409">
        <f>AV24+AW24+AX24</f>
        <v>16</v>
      </c>
      <c r="AW10" s="410"/>
      <c r="AX10" s="410"/>
      <c r="AY10" s="410"/>
      <c r="AZ10" s="410"/>
      <c r="BA10" s="411"/>
      <c r="BB10" s="412">
        <f>SUM(L10:BA10)</f>
        <v>110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 t="shared" ref="A13:A23" si="0">IF(ISBLANK(C13),"",IF(ISBLANK($D$3),"",$D$3))</f>
        <v>x</v>
      </c>
      <c r="B13" s="316" t="s">
        <v>101</v>
      </c>
      <c r="C13" s="334" t="s">
        <v>3866</v>
      </c>
      <c r="D13" s="344"/>
      <c r="E13" s="334" t="s">
        <v>731</v>
      </c>
      <c r="F13" s="316" t="str">
        <f t="shared" ref="F13:F23" si="1">IF(ISBLANK($B$4),"",$B$4)</f>
        <v>1245</v>
      </c>
      <c r="G13" s="316" t="s">
        <v>102</v>
      </c>
      <c r="H13" s="316" t="s">
        <v>102</v>
      </c>
      <c r="I13" s="139">
        <v>1</v>
      </c>
      <c r="J13" s="153" t="str">
        <f t="shared" ref="J13:J23" si="2"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B23" si="3">SUM(AV13,AP13,AJ13,AD13,X13,R13,L13)</f>
        <v>0</v>
      </c>
      <c r="BC13" s="120">
        <f t="shared" ref="BC13:BC23" si="4">SUM(AW13,AQ13,AK13,AE13,Y13,S13,M13)</f>
        <v>0</v>
      </c>
      <c r="BD13" s="120">
        <f t="shared" ref="BD13:BD23" si="5">SUM(AX13,AR13,AL13,AF13,Z13,T13,N13)</f>
        <v>0</v>
      </c>
      <c r="BE13" s="120">
        <f t="shared" ref="BE13:BE23" si="6">SUM(AY13,AS13,AM13,AG13,AA13,U13,O13)</f>
        <v>0</v>
      </c>
      <c r="BF13" s="120">
        <f t="shared" ref="BF13:BF23" si="7">SUM(AZ13,AT13,AN13,AH13,AB13,V13,P13)</f>
        <v>0</v>
      </c>
      <c r="BG13" s="154">
        <f t="shared" ref="BG13:BG23" si="8">SUM(BA13,AU13,AO13,AI13,AC13,W13,Q13)</f>
        <v>0</v>
      </c>
      <c r="BH13" s="123">
        <f>SUM(TimeSheet34753619244401821620262269123493124[[#This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 t="shared" si="0"/>
        <v/>
      </c>
      <c r="B14" s="316" t="s">
        <v>101</v>
      </c>
      <c r="C14" s="334"/>
      <c r="D14" s="344"/>
      <c r="E14" s="334"/>
      <c r="F14" s="316" t="str">
        <f t="shared" si="1"/>
        <v>1245</v>
      </c>
      <c r="G14" s="316" t="s">
        <v>102</v>
      </c>
      <c r="H14" s="316" t="s">
        <v>102</v>
      </c>
      <c r="I14" s="139">
        <v>1</v>
      </c>
      <c r="J14" s="153" t="str">
        <f t="shared" si="2"/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3"/>
        <v>0</v>
      </c>
      <c r="BC14" s="120">
        <f t="shared" si="4"/>
        <v>0</v>
      </c>
      <c r="BD14" s="120">
        <f t="shared" si="5"/>
        <v>0</v>
      </c>
      <c r="BE14" s="120">
        <f t="shared" si="6"/>
        <v>0</v>
      </c>
      <c r="BF14" s="120">
        <f t="shared" si="7"/>
        <v>0</v>
      </c>
      <c r="BG14" s="154">
        <f t="shared" si="8"/>
        <v>0</v>
      </c>
      <c r="BH14" s="123">
        <f>SUM(TimeSheet34753619244401821620262269123493124[[#This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0"/>
        <v>x</v>
      </c>
      <c r="B15" s="316" t="s">
        <v>101</v>
      </c>
      <c r="C15" s="353" t="s">
        <v>4358</v>
      </c>
      <c r="D15" s="277"/>
      <c r="E15" s="316" t="s">
        <v>731</v>
      </c>
      <c r="F15" s="316" t="str">
        <f t="shared" si="1"/>
        <v>1245</v>
      </c>
      <c r="G15" s="316" t="s">
        <v>102</v>
      </c>
      <c r="H15" s="316" t="s">
        <v>102</v>
      </c>
      <c r="I15" s="139">
        <v>1</v>
      </c>
      <c r="J15" s="153" t="str">
        <f t="shared" si="2"/>
        <v>01</v>
      </c>
      <c r="K15" s="150">
        <v>1</v>
      </c>
      <c r="L15" s="263"/>
      <c r="M15" s="258"/>
      <c r="N15" s="258"/>
      <c r="O15" s="258"/>
      <c r="P15" s="258"/>
      <c r="Q15" s="259"/>
      <c r="R15" s="262"/>
      <c r="S15" s="260"/>
      <c r="T15" s="260"/>
      <c r="U15" s="260"/>
      <c r="V15" s="260"/>
      <c r="W15" s="261"/>
      <c r="X15" s="263"/>
      <c r="Y15" s="258"/>
      <c r="Z15" s="258"/>
      <c r="AA15" s="258"/>
      <c r="AB15" s="258"/>
      <c r="AC15" s="259"/>
      <c r="AD15" s="346"/>
      <c r="AE15" s="345"/>
      <c r="AF15" s="345"/>
      <c r="AG15" s="345"/>
      <c r="AH15" s="260"/>
      <c r="AI15" s="261"/>
      <c r="AJ15" s="263"/>
      <c r="AK15" s="258"/>
      <c r="AL15" s="258"/>
      <c r="AM15" s="258"/>
      <c r="AN15" s="258"/>
      <c r="AO15" s="259"/>
      <c r="AP15" s="262"/>
      <c r="AQ15" s="260"/>
      <c r="AR15" s="260"/>
      <c r="AS15" s="260"/>
      <c r="AT15" s="260"/>
      <c r="AU15" s="261"/>
      <c r="AV15" s="263"/>
      <c r="AW15" s="258"/>
      <c r="AX15" s="258"/>
      <c r="AY15" s="258"/>
      <c r="AZ15" s="258"/>
      <c r="BA15" s="259"/>
      <c r="BB15" s="119">
        <f t="shared" si="3"/>
        <v>0</v>
      </c>
      <c r="BC15" s="120">
        <f t="shared" si="4"/>
        <v>0</v>
      </c>
      <c r="BD15" s="120">
        <f t="shared" si="5"/>
        <v>0</v>
      </c>
      <c r="BE15" s="120">
        <f t="shared" si="6"/>
        <v>0</v>
      </c>
      <c r="BF15" s="120">
        <f t="shared" si="7"/>
        <v>0</v>
      </c>
      <c r="BG15" s="154">
        <f t="shared" si="8"/>
        <v>0</v>
      </c>
      <c r="BH15" s="123">
        <f>SUM(TimeSheet34753619244401821620262269123493124[[#This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 t="shared" si="0"/>
        <v/>
      </c>
      <c r="B16" s="316" t="s">
        <v>101</v>
      </c>
      <c r="C16" s="334"/>
      <c r="D16" s="277"/>
      <c r="E16" s="316"/>
      <c r="F16" s="316" t="str">
        <f t="shared" si="1"/>
        <v>1245</v>
      </c>
      <c r="G16" s="316" t="s">
        <v>102</v>
      </c>
      <c r="H16" s="316" t="s">
        <v>102</v>
      </c>
      <c r="I16" s="139">
        <v>1</v>
      </c>
      <c r="J16" s="153" t="str">
        <f t="shared" si="2"/>
        <v>01</v>
      </c>
      <c r="K16" s="150">
        <v>1</v>
      </c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9"/>
      <c r="AD16" s="262"/>
      <c r="AE16" s="260"/>
      <c r="AF16" s="260"/>
      <c r="AG16" s="345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3"/>
        <v>0</v>
      </c>
      <c r="BC16" s="120">
        <f t="shared" si="4"/>
        <v>0</v>
      </c>
      <c r="BD16" s="120">
        <f t="shared" si="5"/>
        <v>0</v>
      </c>
      <c r="BE16" s="120">
        <f t="shared" si="6"/>
        <v>0</v>
      </c>
      <c r="BF16" s="120">
        <f t="shared" si="7"/>
        <v>0</v>
      </c>
      <c r="BG16" s="154">
        <f t="shared" si="8"/>
        <v>0</v>
      </c>
      <c r="BH16" s="123">
        <f>SUM(TimeSheet34753619244401821620262269123493124[[#This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 t="shared" si="0"/>
        <v>x</v>
      </c>
      <c r="B17" s="316" t="s">
        <v>101</v>
      </c>
      <c r="C17" s="316" t="s">
        <v>3846</v>
      </c>
      <c r="D17" s="241"/>
      <c r="E17" s="316" t="s">
        <v>731</v>
      </c>
      <c r="F17" s="316" t="str">
        <f t="shared" si="1"/>
        <v>1245</v>
      </c>
      <c r="G17" s="316" t="s">
        <v>102</v>
      </c>
      <c r="H17" s="316" t="s">
        <v>102</v>
      </c>
      <c r="I17" s="139">
        <v>1</v>
      </c>
      <c r="J17" s="153" t="str">
        <f t="shared" si="2"/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3"/>
        <v>0</v>
      </c>
      <c r="BC17" s="120">
        <f t="shared" si="4"/>
        <v>0</v>
      </c>
      <c r="BD17" s="120">
        <f t="shared" si="5"/>
        <v>0</v>
      </c>
      <c r="BE17" s="120">
        <f t="shared" si="6"/>
        <v>0</v>
      </c>
      <c r="BF17" s="120">
        <f t="shared" si="7"/>
        <v>0</v>
      </c>
      <c r="BG17" s="154">
        <f t="shared" si="8"/>
        <v>0</v>
      </c>
      <c r="BH17" s="123">
        <f>SUM(TimeSheet34753619244401821620262269123493124[[#This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0"/>
        <v/>
      </c>
      <c r="B18" s="316" t="s">
        <v>101</v>
      </c>
      <c r="C18" s="334"/>
      <c r="D18" s="344"/>
      <c r="E18" s="343"/>
      <c r="F18" s="316" t="str">
        <f t="shared" si="1"/>
        <v>1245</v>
      </c>
      <c r="G18" s="316" t="s">
        <v>102</v>
      </c>
      <c r="H18" s="316" t="s">
        <v>102</v>
      </c>
      <c r="I18" s="139">
        <v>1</v>
      </c>
      <c r="J18" s="153" t="str">
        <f t="shared" si="2"/>
        <v>01</v>
      </c>
      <c r="K18" s="150">
        <v>1</v>
      </c>
      <c r="L18" s="263"/>
      <c r="M18" s="258"/>
      <c r="N18" s="258"/>
      <c r="O18" s="258"/>
      <c r="P18" s="258"/>
      <c r="Q18" s="259"/>
      <c r="R18" s="262"/>
      <c r="S18" s="260"/>
      <c r="T18" s="260"/>
      <c r="U18" s="260"/>
      <c r="V18" s="260"/>
      <c r="W18" s="261"/>
      <c r="X18" s="263"/>
      <c r="Y18" s="258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62"/>
      <c r="AQ18" s="260"/>
      <c r="AR18" s="260"/>
      <c r="AS18" s="260"/>
      <c r="AT18" s="260"/>
      <c r="AU18" s="261"/>
      <c r="AV18" s="263"/>
      <c r="AW18" s="258"/>
      <c r="AX18" s="258"/>
      <c r="AY18" s="258"/>
      <c r="AZ18" s="258"/>
      <c r="BA18" s="259"/>
      <c r="BB18" s="119">
        <f t="shared" si="3"/>
        <v>0</v>
      </c>
      <c r="BC18" s="120">
        <f t="shared" si="4"/>
        <v>0</v>
      </c>
      <c r="BD18" s="120">
        <f t="shared" si="5"/>
        <v>0</v>
      </c>
      <c r="BE18" s="120">
        <f t="shared" si="6"/>
        <v>0</v>
      </c>
      <c r="BF18" s="120">
        <f t="shared" si="7"/>
        <v>0</v>
      </c>
      <c r="BG18" s="154">
        <f t="shared" si="8"/>
        <v>0</v>
      </c>
      <c r="BH18" s="123">
        <f>SUM(TimeSheet34753619244401821620262269123493124[[#This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0"/>
        <v>x</v>
      </c>
      <c r="B19" s="316" t="s">
        <v>101</v>
      </c>
      <c r="C19" s="353" t="s">
        <v>4081</v>
      </c>
      <c r="D19" s="371"/>
      <c r="E19" s="372" t="s">
        <v>731</v>
      </c>
      <c r="F19" s="316" t="str">
        <f t="shared" si="1"/>
        <v>1245</v>
      </c>
      <c r="G19" s="316" t="s">
        <v>102</v>
      </c>
      <c r="H19" s="316" t="s">
        <v>102</v>
      </c>
      <c r="I19" s="139">
        <v>1</v>
      </c>
      <c r="J19" s="153" t="str">
        <f t="shared" si="2"/>
        <v>01</v>
      </c>
      <c r="K19" s="150">
        <v>1</v>
      </c>
      <c r="L19" s="263">
        <v>8</v>
      </c>
      <c r="M19" s="258"/>
      <c r="N19" s="258">
        <v>7</v>
      </c>
      <c r="O19" s="258">
        <v>3</v>
      </c>
      <c r="P19" s="258">
        <v>3</v>
      </c>
      <c r="Q19" s="259">
        <v>1.5</v>
      </c>
      <c r="R19" s="262">
        <v>8</v>
      </c>
      <c r="S19" s="260"/>
      <c r="T19" s="260">
        <v>7</v>
      </c>
      <c r="U19" s="260">
        <v>3</v>
      </c>
      <c r="V19" s="260">
        <v>3</v>
      </c>
      <c r="W19" s="261">
        <v>1.5</v>
      </c>
      <c r="X19" s="263">
        <v>8</v>
      </c>
      <c r="Y19" s="258"/>
      <c r="Z19" s="258">
        <v>8</v>
      </c>
      <c r="AA19" s="258">
        <v>3</v>
      </c>
      <c r="AB19" s="258">
        <v>3</v>
      </c>
      <c r="AC19" s="259">
        <v>1.5</v>
      </c>
      <c r="AD19" s="262">
        <v>8</v>
      </c>
      <c r="AE19" s="260"/>
      <c r="AF19" s="260">
        <v>8</v>
      </c>
      <c r="AG19" s="260">
        <v>3</v>
      </c>
      <c r="AH19" s="260">
        <v>3</v>
      </c>
      <c r="AI19" s="261">
        <v>1.5</v>
      </c>
      <c r="AJ19" s="263">
        <v>8</v>
      </c>
      <c r="AK19" s="258"/>
      <c r="AL19" s="258">
        <v>8</v>
      </c>
      <c r="AM19" s="258">
        <v>3</v>
      </c>
      <c r="AN19" s="258">
        <v>3</v>
      </c>
      <c r="AO19" s="259">
        <v>1.5</v>
      </c>
      <c r="AP19" s="262"/>
      <c r="AQ19" s="260"/>
      <c r="AR19" s="260">
        <v>16</v>
      </c>
      <c r="AS19" s="260">
        <v>3</v>
      </c>
      <c r="AT19" s="260">
        <v>3</v>
      </c>
      <c r="AU19" s="261">
        <v>1.5</v>
      </c>
      <c r="AV19" s="263"/>
      <c r="AW19" s="258"/>
      <c r="AX19" s="258">
        <v>16</v>
      </c>
      <c r="AY19" s="258">
        <v>3</v>
      </c>
      <c r="AZ19" s="258">
        <v>3</v>
      </c>
      <c r="BA19" s="259">
        <v>1.5</v>
      </c>
      <c r="BB19" s="119">
        <f t="shared" si="3"/>
        <v>40</v>
      </c>
      <c r="BC19" s="120">
        <f t="shared" si="4"/>
        <v>0</v>
      </c>
      <c r="BD19" s="120">
        <f t="shared" si="5"/>
        <v>70</v>
      </c>
      <c r="BE19" s="120">
        <f t="shared" si="6"/>
        <v>21</v>
      </c>
      <c r="BF19" s="120">
        <f t="shared" si="7"/>
        <v>21</v>
      </c>
      <c r="BG19" s="154">
        <f t="shared" si="8"/>
        <v>10.5</v>
      </c>
      <c r="BH19" s="123">
        <f>SUM(TimeSheet34753619244401821620262269123493124[[#This Row],[1]:[4A]])</f>
        <v>162.5</v>
      </c>
      <c r="BI19" s="126" t="e">
        <f ca="1"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#NAME?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 t="e">
        <f ca="1"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#NAME?</v>
      </c>
      <c r="BL19" s="127" t="e">
        <f ca="1"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#NAME?</v>
      </c>
      <c r="BM19" s="127" t="e">
        <f ca="1"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#NAME?</v>
      </c>
      <c r="BN19" s="128" t="e">
        <f ca="1"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#NAME?</v>
      </c>
      <c r="BO19" s="126" t="e">
        <f ca="1"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#NAME?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 t="e">
        <f ca="1"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#NAME?</v>
      </c>
      <c r="BR19" s="127" t="e">
        <f ca="1"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#NAME?</v>
      </c>
      <c r="BS19" s="127" t="e">
        <f ca="1"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#NAME?</v>
      </c>
      <c r="BT19" s="128" t="e">
        <f ca="1"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#NAME?</v>
      </c>
      <c r="BU19" s="126" t="e">
        <f ca="1"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#NAME?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 t="e">
        <f ca="1"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#NAME?</v>
      </c>
      <c r="BX19" s="127" t="e">
        <f ca="1"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#NAME?</v>
      </c>
      <c r="BY19" s="127" t="e">
        <f ca="1"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#NAME?</v>
      </c>
      <c r="BZ19" s="128" t="e">
        <f ca="1"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#NAME?</v>
      </c>
      <c r="CA19" s="126" t="e">
        <f ca="1"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#NAME?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 t="e">
        <f ca="1"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#NAME?</v>
      </c>
      <c r="CD19" s="127" t="e">
        <f ca="1"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#NAME?</v>
      </c>
      <c r="CE19" s="127" t="e">
        <f ca="1"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#NAME?</v>
      </c>
      <c r="CF19" s="128" t="e">
        <f ca="1"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#NAME?</v>
      </c>
      <c r="CG19" s="126" t="e">
        <f ca="1"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#NAME?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 t="e">
        <f ca="1"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#NAME?</v>
      </c>
      <c r="CJ19" s="127" t="e">
        <f ca="1"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#NAME?</v>
      </c>
      <c r="CK19" s="127" t="e">
        <f ca="1"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#NAME?</v>
      </c>
      <c r="CL19" s="128" t="e">
        <f ca="1"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#NAME?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 t="e">
        <f ca="1"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#NAME?</v>
      </c>
      <c r="CP19" s="127" t="e">
        <f ca="1"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#NAME?</v>
      </c>
      <c r="CQ19" s="127" t="e">
        <f ca="1"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#NAME?</v>
      </c>
      <c r="CR19" s="128" t="e">
        <f ca="1"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#NAME?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 t="e">
        <f ca="1"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#NAME?</v>
      </c>
      <c r="CV19" s="127" t="e">
        <f ca="1"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#NAME?</v>
      </c>
      <c r="CW19" s="127" t="e">
        <f ca="1"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#NAME?</v>
      </c>
      <c r="CX19" s="128" t="e">
        <f ca="1"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#NAME?</v>
      </c>
    </row>
    <row r="20" spans="1:102" ht="39" customHeight="1" x14ac:dyDescent="0.3">
      <c r="A20" s="109" t="str">
        <f t="shared" si="0"/>
        <v/>
      </c>
      <c r="B20" s="316" t="s">
        <v>101</v>
      </c>
      <c r="C20" s="334"/>
      <c r="D20" s="277"/>
      <c r="E20" s="316"/>
      <c r="F20" s="316" t="str">
        <f t="shared" si="1"/>
        <v>1245</v>
      </c>
      <c r="G20" s="316" t="s">
        <v>102</v>
      </c>
      <c r="H20" s="316" t="s">
        <v>102</v>
      </c>
      <c r="I20" s="139">
        <v>1</v>
      </c>
      <c r="J20" s="153" t="str">
        <f t="shared" si="2"/>
        <v>01</v>
      </c>
      <c r="K20" s="150">
        <v>1</v>
      </c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3"/>
        <v>0</v>
      </c>
      <c r="BC20" s="120">
        <f t="shared" si="4"/>
        <v>0</v>
      </c>
      <c r="BD20" s="120">
        <f t="shared" si="5"/>
        <v>0</v>
      </c>
      <c r="BE20" s="120">
        <f t="shared" si="6"/>
        <v>0</v>
      </c>
      <c r="BF20" s="120">
        <f t="shared" si="7"/>
        <v>0</v>
      </c>
      <c r="BG20" s="154">
        <f t="shared" si="8"/>
        <v>0</v>
      </c>
      <c r="BH20" s="123">
        <f>SUM(TimeSheet34753619244401821620262269123493124[[#This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0"/>
        <v/>
      </c>
      <c r="B21" s="316" t="s">
        <v>101</v>
      </c>
      <c r="C21" s="334"/>
      <c r="D21" s="277"/>
      <c r="E21" s="316"/>
      <c r="F21" s="316" t="str">
        <f t="shared" si="1"/>
        <v>1245</v>
      </c>
      <c r="G21" s="316" t="s">
        <v>102</v>
      </c>
      <c r="H21" s="316" t="s">
        <v>102</v>
      </c>
      <c r="I21" s="139">
        <v>1</v>
      </c>
      <c r="J21" s="153" t="str">
        <f t="shared" si="2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60"/>
      <c r="AG21" s="202"/>
      <c r="AH21" s="202"/>
      <c r="AI21" s="203"/>
      <c r="AJ21" s="200"/>
      <c r="AK21" s="201"/>
      <c r="AL21" s="258"/>
      <c r="AM21" s="201"/>
      <c r="AN21" s="201"/>
      <c r="AO21" s="237"/>
      <c r="AP21" s="238"/>
      <c r="AQ21" s="202"/>
      <c r="AR21" s="202"/>
      <c r="AS21" s="202"/>
      <c r="AT21" s="202"/>
      <c r="AU21" s="203"/>
      <c r="AV21" s="200"/>
      <c r="AW21" s="201"/>
      <c r="AX21" s="201"/>
      <c r="AY21" s="201"/>
      <c r="AZ21" s="258"/>
      <c r="BA21" s="259"/>
      <c r="BB21" s="119">
        <f t="shared" si="3"/>
        <v>0</v>
      </c>
      <c r="BC21" s="120">
        <f t="shared" si="4"/>
        <v>0</v>
      </c>
      <c r="BD21" s="120">
        <f t="shared" si="5"/>
        <v>0</v>
      </c>
      <c r="BE21" s="120">
        <f t="shared" si="6"/>
        <v>0</v>
      </c>
      <c r="BF21" s="120">
        <f t="shared" si="7"/>
        <v>0</v>
      </c>
      <c r="BG21" s="154">
        <f t="shared" si="8"/>
        <v>0</v>
      </c>
      <c r="BH21" s="123">
        <f>SUM(TimeSheet34753619244401821620262269123493124[[#This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0"/>
        <v/>
      </c>
      <c r="B22" s="316" t="s">
        <v>101</v>
      </c>
      <c r="C22" s="111"/>
      <c r="D22" s="277"/>
      <c r="E22" s="316"/>
      <c r="F22" s="316" t="str">
        <f t="shared" si="1"/>
        <v>1245</v>
      </c>
      <c r="G22" s="316" t="s">
        <v>102</v>
      </c>
      <c r="H22" s="316" t="s">
        <v>102</v>
      </c>
      <c r="I22" s="139">
        <v>1</v>
      </c>
      <c r="J22" s="153" t="str">
        <f t="shared" si="2"/>
        <v>01</v>
      </c>
      <c r="K22" s="150">
        <v>1</v>
      </c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59"/>
      <c r="AP22" s="262"/>
      <c r="AQ22" s="260"/>
      <c r="AR22" s="260"/>
      <c r="AS22" s="260"/>
      <c r="AT22" s="260"/>
      <c r="AU22" s="261"/>
      <c r="AV22" s="263"/>
      <c r="AW22" s="258"/>
      <c r="AX22" s="258"/>
      <c r="AY22" s="258"/>
      <c r="AZ22" s="258"/>
      <c r="BA22" s="259"/>
      <c r="BB22" s="119">
        <f t="shared" si="3"/>
        <v>0</v>
      </c>
      <c r="BC22" s="120">
        <f t="shared" si="4"/>
        <v>0</v>
      </c>
      <c r="BD22" s="120">
        <f t="shared" si="5"/>
        <v>0</v>
      </c>
      <c r="BE22" s="120">
        <f t="shared" si="6"/>
        <v>0</v>
      </c>
      <c r="BF22" s="120">
        <f t="shared" si="7"/>
        <v>0</v>
      </c>
      <c r="BG22" s="154">
        <f t="shared" si="8"/>
        <v>0</v>
      </c>
      <c r="BH22" s="123">
        <f>SUM(TimeSheet34753619244401821620262269123493124[[#This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0"/>
        <v/>
      </c>
      <c r="B23" s="316" t="s">
        <v>101</v>
      </c>
      <c r="C23" s="111"/>
      <c r="D23" s="277"/>
      <c r="E23" s="316"/>
      <c r="F23" s="316" t="str">
        <f t="shared" si="1"/>
        <v>1245</v>
      </c>
      <c r="G23" s="316" t="s">
        <v>102</v>
      </c>
      <c r="H23" s="316" t="s">
        <v>102</v>
      </c>
      <c r="I23" s="139">
        <v>1</v>
      </c>
      <c r="J23" s="153" t="str">
        <f t="shared" si="2"/>
        <v>01</v>
      </c>
      <c r="K23" s="150">
        <v>1</v>
      </c>
      <c r="L23" s="263"/>
      <c r="M23" s="258"/>
      <c r="N23" s="258"/>
      <c r="O23" s="258"/>
      <c r="P23" s="258"/>
      <c r="Q23" s="259"/>
      <c r="R23" s="262"/>
      <c r="S23" s="260"/>
      <c r="T23" s="260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3"/>
        <v>0</v>
      </c>
      <c r="BC23" s="120">
        <f t="shared" si="4"/>
        <v>0</v>
      </c>
      <c r="BD23" s="120">
        <f t="shared" si="5"/>
        <v>0</v>
      </c>
      <c r="BE23" s="120">
        <f t="shared" si="6"/>
        <v>0</v>
      </c>
      <c r="BF23" s="120">
        <f t="shared" si="7"/>
        <v>0</v>
      </c>
      <c r="BG23" s="154">
        <f t="shared" si="8"/>
        <v>0</v>
      </c>
      <c r="BH23" s="123">
        <f>SUM(TimeSheet34753619244401821620262269123493124[[#This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SUBTOTAL(109,TimeSheet34753619244401821620262269123493124[RT1])</f>
        <v>8</v>
      </c>
      <c r="M24" s="359">
        <f>SUBTOTAL(109,TimeSheet34753619244401821620262269123493124[OT1])</f>
        <v>0</v>
      </c>
      <c r="N24" s="359">
        <f>SUBTOTAL(109,TimeSheet34753619244401821620262269123493124[DT1])</f>
        <v>7</v>
      </c>
      <c r="O24" s="359">
        <f>SUBTOTAL(109,TimeSheet34753619244401821620262269123493124[PD1])</f>
        <v>3</v>
      </c>
      <c r="P24" s="359">
        <f>SUBTOTAL(109,TimeSheet34753619244401821620262269123493124[4D1])</f>
        <v>3</v>
      </c>
      <c r="Q24" s="360">
        <f>SUBTOTAL(109,TimeSheet34753619244401821620262269123493124[4A1])</f>
        <v>1.5</v>
      </c>
      <c r="R24" s="361">
        <f>SUBTOTAL(109,TimeSheet34753619244401821620262269123493124[RT2])</f>
        <v>8</v>
      </c>
      <c r="S24" s="362">
        <f>SUBTOTAL(109,TimeSheet34753619244401821620262269123493124[OT2])</f>
        <v>0</v>
      </c>
      <c r="T24" s="362">
        <f>SUBTOTAL(109,TimeSheet34753619244401821620262269123493124[DT2])</f>
        <v>7</v>
      </c>
      <c r="U24" s="362">
        <f>SUBTOTAL(109,TimeSheet34753619244401821620262269123493124[PD2])</f>
        <v>3</v>
      </c>
      <c r="V24" s="362">
        <f>SUBTOTAL(109,TimeSheet34753619244401821620262269123493124[4D2])</f>
        <v>3</v>
      </c>
      <c r="W24" s="363">
        <f>SUBTOTAL(109,TimeSheet34753619244401821620262269123493124[4A2])</f>
        <v>1.5</v>
      </c>
      <c r="X24" s="358">
        <f>SUBTOTAL(109,TimeSheet34753619244401821620262269123493124[RT3])</f>
        <v>8</v>
      </c>
      <c r="Y24" s="359">
        <f>SUBTOTAL(109,TimeSheet34753619244401821620262269123493124[OT3])</f>
        <v>0</v>
      </c>
      <c r="Z24" s="359">
        <f>SUBTOTAL(109,TimeSheet34753619244401821620262269123493124[DT3])</f>
        <v>8</v>
      </c>
      <c r="AA24" s="359">
        <f>SUBTOTAL(109,TimeSheet34753619244401821620262269123493124[PD3])</f>
        <v>3</v>
      </c>
      <c r="AB24" s="359">
        <f>SUBTOTAL(109,TimeSheet34753619244401821620262269123493124[4D3])</f>
        <v>3</v>
      </c>
      <c r="AC24" s="360">
        <f>SUBTOTAL(109,TimeSheet34753619244401821620262269123493124[4A3])</f>
        <v>1.5</v>
      </c>
      <c r="AD24" s="361">
        <f>SUBTOTAL(109,TimeSheet34753619244401821620262269123493124[RT4])</f>
        <v>8</v>
      </c>
      <c r="AE24" s="362">
        <f>SUBTOTAL(109,TimeSheet34753619244401821620262269123493124[OT4])</f>
        <v>0</v>
      </c>
      <c r="AF24" s="362">
        <f>SUBTOTAL(109,TimeSheet34753619244401821620262269123493124[DT4])</f>
        <v>8</v>
      </c>
      <c r="AG24" s="362">
        <f>SUBTOTAL(109,TimeSheet34753619244401821620262269123493124[PD4])</f>
        <v>3</v>
      </c>
      <c r="AH24" s="362">
        <f>SUBTOTAL(109,TimeSheet34753619244401821620262269123493124[4D4])</f>
        <v>3</v>
      </c>
      <c r="AI24" s="363">
        <f>SUBTOTAL(109,TimeSheet34753619244401821620262269123493124[4A4])</f>
        <v>1.5</v>
      </c>
      <c r="AJ24" s="358">
        <f>SUBTOTAL(109,TimeSheet34753619244401821620262269123493124[RT5])</f>
        <v>8</v>
      </c>
      <c r="AK24" s="359">
        <f>SUBTOTAL(109,TimeSheet34753619244401821620262269123493124[OT5])</f>
        <v>0</v>
      </c>
      <c r="AL24" s="359">
        <f>SUBTOTAL(109,TimeSheet34753619244401821620262269123493124[DT5])</f>
        <v>8</v>
      </c>
      <c r="AM24" s="359">
        <f>SUBTOTAL(109,TimeSheet34753619244401821620262269123493124[PD5])</f>
        <v>3</v>
      </c>
      <c r="AN24" s="359">
        <f>SUBTOTAL(109,TimeSheet34753619244401821620262269123493124[4D5])</f>
        <v>3</v>
      </c>
      <c r="AO24" s="360">
        <f>SUBTOTAL(109,TimeSheet34753619244401821620262269123493124[4A5])</f>
        <v>1.5</v>
      </c>
      <c r="AP24" s="361">
        <f>SUBTOTAL(109,TimeSheet34753619244401821620262269123493124[RT6])</f>
        <v>0</v>
      </c>
      <c r="AQ24" s="362">
        <f>SUBTOTAL(109,TimeSheet34753619244401821620262269123493124[OT6])</f>
        <v>0</v>
      </c>
      <c r="AR24" s="362">
        <f>SUBTOTAL(109,TimeSheet34753619244401821620262269123493124[DT6])</f>
        <v>16</v>
      </c>
      <c r="AS24" s="362">
        <f>SUBTOTAL(109,TimeSheet34753619244401821620262269123493124[PD6])</f>
        <v>3</v>
      </c>
      <c r="AT24" s="362">
        <f>SUBTOTAL(109,TimeSheet34753619244401821620262269123493124[4D6])</f>
        <v>3</v>
      </c>
      <c r="AU24" s="363">
        <f>SUBTOTAL(109,TimeSheet34753619244401821620262269123493124[4A6])</f>
        <v>1.5</v>
      </c>
      <c r="AV24" s="358">
        <f>SUBTOTAL(109,TimeSheet34753619244401821620262269123493124[RT7])</f>
        <v>0</v>
      </c>
      <c r="AW24" s="359">
        <f>SUBTOTAL(109,TimeSheet34753619244401821620262269123493124[OT7])</f>
        <v>0</v>
      </c>
      <c r="AX24" s="359">
        <f>SUBTOTAL(109,TimeSheet34753619244401821620262269123493124[DT7])</f>
        <v>16</v>
      </c>
      <c r="AY24" s="359">
        <f>SUBTOTAL(109,TimeSheet34753619244401821620262269123493124[PD7])</f>
        <v>3</v>
      </c>
      <c r="AZ24" s="359">
        <f>SUBTOTAL(109,TimeSheet34753619244401821620262269123493124[4D7])</f>
        <v>3</v>
      </c>
      <c r="BA24" s="360">
        <f>SUBTOTAL(109,TimeSheet34753619244401821620262269123493124[4A7])</f>
        <v>1.5</v>
      </c>
      <c r="BB24" s="364">
        <f>SUBTOTAL(109,TimeSheet34753619244401821620262269123493124[1])</f>
        <v>40</v>
      </c>
      <c r="BC24" s="365">
        <f>SUBTOTAL(109,TimeSheet34753619244401821620262269123493124[3])</f>
        <v>0</v>
      </c>
      <c r="BD24" s="365">
        <f>SUBTOTAL(109,TimeSheet34753619244401821620262269123493124[2])</f>
        <v>70</v>
      </c>
      <c r="BE24" s="365">
        <f>SUBTOTAL(109,TimeSheet34753619244401821620262269123493124[4])</f>
        <v>21</v>
      </c>
      <c r="BF24" s="365">
        <f>SUBTOTAL(109,TimeSheet34753619244401821620262269123493124[4D])</f>
        <v>21</v>
      </c>
      <c r="BG24" s="366">
        <f>SUBTOTAL(109,TimeSheet34753619244401821620262269123493124[4A])</f>
        <v>10.5</v>
      </c>
      <c r="BH24" s="367">
        <f>SUBTOTAL(109,TimeSheet34753619244401821620262269123493124[Total])-SUM(TimeSheet34753619244401821620262269123493124[[#Totals],[RT1]:[4A7]])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5">
      <c r="A25" s="173"/>
      <c r="B25" s="28" t="s">
        <v>356</v>
      </c>
      <c r="C25" s="28"/>
      <c r="D25" s="28"/>
      <c r="E25" s="28"/>
      <c r="L25" s="197"/>
      <c r="M25" s="335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D25" s="222"/>
      <c r="AJ25" s="222"/>
      <c r="AK25" s="342"/>
      <c r="AL25" s="342"/>
      <c r="AM25" s="342"/>
      <c r="AN25" s="342"/>
      <c r="AO25" s="342"/>
      <c r="AP25" s="342"/>
      <c r="AQ25" s="222"/>
      <c r="AR25" s="341"/>
      <c r="AS25" s="205"/>
      <c r="AT25" s="205"/>
      <c r="AU25" s="205"/>
      <c r="AV25" s="205"/>
      <c r="AW25" s="205"/>
      <c r="AX25" s="205"/>
      <c r="AY25" s="205"/>
      <c r="AZ25" s="205"/>
      <c r="BA25" s="204"/>
      <c r="BB25" s="252"/>
      <c r="BC25" s="252"/>
      <c r="BD25" s="252"/>
      <c r="BE25" s="252"/>
      <c r="BF25" s="252"/>
      <c r="BG25" s="252"/>
    </row>
    <row r="26" spans="1:102" ht="39" customHeight="1" x14ac:dyDescent="0.7">
      <c r="A26" s="174" t="str">
        <f>IF(ISBLANK('[11]Job Details'!A5),"",'[11]Job Details'!A5)</f>
        <v>5/8's Crew</v>
      </c>
      <c r="B26" s="175"/>
      <c r="C26" s="176" t="str">
        <f>IF(ISBLANK('[11]Job Details'!B5),"",'[11]Job Details'!B5)</f>
        <v/>
      </c>
      <c r="D26" s="174" t="str">
        <f>IF(ISBLANK('[11]Job Details'!C5),"",'[11]Job Details'!C5)</f>
        <v>4/10's Crew</v>
      </c>
      <c r="E26" s="177" t="str">
        <f>IF(ISBLANK('[11]Job Details'!D5),"",'[11]Job Details'!D5)</f>
        <v/>
      </c>
      <c r="F26" s="178" t="str">
        <f>IF(ISBLANK('[11]Job Details'!E5),"",'[11]Job Details'!E5)</f>
        <v>Distribution Crews</v>
      </c>
      <c r="G26" s="270"/>
      <c r="H26" s="224"/>
      <c r="I26" s="223"/>
      <c r="J26" s="222"/>
      <c r="K26" s="222"/>
      <c r="L26" s="204"/>
      <c r="M26" s="221"/>
      <c r="N26" s="204"/>
      <c r="O26" s="204"/>
      <c r="P26" s="204"/>
      <c r="Q26" s="204"/>
      <c r="R26" s="204"/>
      <c r="S26" s="204"/>
      <c r="T26" s="204"/>
      <c r="U26" s="204"/>
      <c r="Z26" s="274"/>
      <c r="AA26" s="274"/>
      <c r="AB26" s="274"/>
      <c r="AC26" s="274"/>
      <c r="AD26" s="274"/>
      <c r="AK26" s="342"/>
      <c r="AL26" s="342"/>
      <c r="AM26" s="342"/>
      <c r="AN26" s="342"/>
      <c r="AO26" s="342"/>
      <c r="AP26" s="342"/>
      <c r="AQ26" s="341"/>
      <c r="AR26" s="341"/>
      <c r="AS26" s="205"/>
      <c r="AT26" s="205"/>
      <c r="AU26" s="205"/>
      <c r="AV26" s="205"/>
      <c r="AW26" s="205"/>
      <c r="AX26" s="205"/>
      <c r="AY26" s="205"/>
      <c r="AZ26" s="205"/>
      <c r="BA26" s="204"/>
      <c r="BB26" s="252"/>
      <c r="BC26" s="252"/>
      <c r="BD26" s="252"/>
      <c r="BE26" s="252"/>
      <c r="BF26" s="252"/>
      <c r="BG26" s="252"/>
    </row>
    <row r="27" spans="1:102" ht="39" customHeight="1" x14ac:dyDescent="0.5">
      <c r="A27" s="179" t="str">
        <f>IF(ISBLANK('[11]Job Details'!A6),"",'[11]Job Details'!A6)</f>
        <v>8 ST</v>
      </c>
      <c r="B27" s="180"/>
      <c r="C27" s="181" t="str">
        <f>IF(ISBLANK('[11]Job Details'!B6),"",'[11]Job Details'!B6)</f>
        <v>10 ST</v>
      </c>
      <c r="D27" s="182" t="str">
        <f>IF(ISBLANK('[11]Job Details'!C6),"",'[11]Job Details'!C6)</f>
        <v>5/8's Crew</v>
      </c>
      <c r="E27" s="181" t="str">
        <f>IF(ISBLANK('[11]Job Details'!D6),"",'[11]Job Details'!D6)</f>
        <v/>
      </c>
      <c r="F27" s="183" t="str">
        <f>IF(ISBLANK('[11]Job Details'!E6),"",'[11]Job Details'!E6)</f>
        <v>4/10's Crew</v>
      </c>
      <c r="G27" s="270"/>
      <c r="H27" s="224"/>
      <c r="I27" s="223"/>
      <c r="J27" s="222"/>
      <c r="K27" s="222"/>
      <c r="L27" s="222"/>
      <c r="M27" s="222"/>
      <c r="N27" s="222"/>
      <c r="O27" s="222"/>
      <c r="P27" s="222"/>
      <c r="Q27" s="222"/>
      <c r="R27" s="222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IF(ISBLANK('[11]Job Details'!A7),"",'[11]Job Details'!A7)</f>
        <v>2 OT</v>
      </c>
      <c r="B28" s="180"/>
      <c r="C28" s="181" t="str">
        <f>IF(ISBLANK('[11]Job Details'!B7),"",'[11]Job Details'!B7)</f>
        <v>10+ DT</v>
      </c>
      <c r="D28" s="179" t="str">
        <f>IF(ISBLANK('[11]Job Details'!C7),"",'[11]Job Details'!C7)</f>
        <v>8 ST</v>
      </c>
      <c r="E28" s="181" t="str">
        <f>IF(ISBLANK('[11]Job Details'!D7),"",'[11]Job Details'!D7)</f>
        <v>10 ST</v>
      </c>
      <c r="F28" s="183" t="str">
        <f>IF(ISBLANK('[11]Job Details'!E7),"",'[11]Job Details'!E7)</f>
        <v>Saturday</v>
      </c>
      <c r="G28" s="270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X28" s="271"/>
      <c r="Y28" s="271"/>
      <c r="Z28" s="271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IF(ISBLANK('[11]Job Details'!A8),"",'[11]Job Details'!A8)</f>
        <v>10+ DT</v>
      </c>
      <c r="B29" s="185"/>
      <c r="C29" s="186" t="str">
        <f>IF(ISBLANK('[11]Job Details'!B8),"",'[11]Job Details'!B8)</f>
        <v/>
      </c>
      <c r="D29" s="179" t="str">
        <f>IF(ISBLANK('[11]Job Details'!C8),"",'[11]Job Details'!C8)</f>
        <v>8+ DT</v>
      </c>
      <c r="E29" s="181" t="str">
        <f>IF(ISBLANK('[11]Job Details'!D8),"",'[11]Job Details'!D8)</f>
        <v>10+ DT</v>
      </c>
      <c r="F29" s="187" t="str">
        <f>IF(ISBLANK('[11]Job Details'!E8),"",'[11]Job Details'!E8)</f>
        <v>All DT</v>
      </c>
      <c r="G29" s="270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</row>
    <row r="30" spans="1:102" ht="39" customHeight="1" x14ac:dyDescent="0.4">
      <c r="A30" s="188" t="str">
        <f>IF(ISBLANK('[11]Job Details'!A9),"",'[11]Job Details'!A9)</f>
        <v>Saturday</v>
      </c>
      <c r="B30" s="175"/>
      <c r="C30" s="189" t="str">
        <f>IF(ISBLANK('[11]Job Details'!B9),"",'[11]Job Details'!B9)</f>
        <v/>
      </c>
      <c r="D30" s="190" t="str">
        <f>IF(ISBLANK('[11]Job Details'!C9),"",'[11]Job Details'!C9)</f>
        <v>Sunday</v>
      </c>
      <c r="E30" s="176" t="str">
        <f>IF(ISBLANK('[11]Job Details'!D9),"",'[11]Job Details'!D9)</f>
        <v/>
      </c>
      <c r="F30" s="183" t="str">
        <f>IF(ISBLANK('[11]Job Details'!E9),"",'[11]Job Details'!E9)</f>
        <v>Sunday</v>
      </c>
      <c r="G30" s="27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IF(ISBLANK('[11]Job Details'!A10),"",'[11]Job Details'!A10)</f>
        <v>8 OT</v>
      </c>
      <c r="B31" s="180"/>
      <c r="C31" s="181" t="str">
        <f>IF(ISBLANK('[11]Job Details'!B10),"",'[11]Job Details'!B10)</f>
        <v/>
      </c>
      <c r="D31" s="191" t="str">
        <f>IF(ISBLANK('[11]Job Details'!C10),"",'[11]Job Details'!C10)</f>
        <v>All DT</v>
      </c>
      <c r="E31" s="181" t="str">
        <f>IF(ISBLANK('[11]Job Details'!D10),"",'[11]Job Details'!D10)</f>
        <v/>
      </c>
      <c r="F31" s="187" t="str">
        <f>IF(ISBLANK('[11]Job Details'!E10),"",'[11]Job Details'!E10)</f>
        <v>All DT</v>
      </c>
      <c r="G31" s="270"/>
      <c r="H31" s="270"/>
    </row>
    <row r="32" spans="1:102" ht="39" customHeight="1" x14ac:dyDescent="0.4">
      <c r="A32" s="184" t="str">
        <f>IF(ISBLANK('[11]Job Details'!A11),"",'[11]Job Details'!A11)</f>
        <v>8+DT</v>
      </c>
      <c r="B32" s="185"/>
      <c r="C32" s="186" t="str">
        <f>IF(ISBLANK('[11]Job Details'!B11),"",'[11]Job Details'!B11)</f>
        <v/>
      </c>
      <c r="D32" s="192" t="str">
        <f>IF(ISBLANK('[11]Job Details'!C11),"",'[11]Job Details'!C11)</f>
        <v/>
      </c>
      <c r="E32" s="186" t="str">
        <f>IF(ISBLANK('[11]Job Details'!D11),"",'[11]Job Details'!D11)</f>
        <v/>
      </c>
      <c r="F32" s="193" t="str">
        <f>IF(ISBLANK('[11]Job Details'!E11),"",'[11]Job Details'!E11)</f>
        <v/>
      </c>
      <c r="G32" s="270"/>
      <c r="H32" s="270"/>
    </row>
    <row r="33" spans="7:8" ht="39" customHeight="1" x14ac:dyDescent="0.3">
      <c r="G33" s="270"/>
      <c r="H33" s="270"/>
    </row>
  </sheetData>
  <sheetProtection formatCells="0" formatColumns="0" formatRows="0" insertColumns="0" insertRows="0" deleteColumns="0" deleteRows="0" selectLockedCells="1"/>
  <mergeCells count="77">
    <mergeCell ref="CG11:CL11"/>
    <mergeCell ref="CM11:CR11"/>
    <mergeCell ref="AV11:BA11"/>
    <mergeCell ref="BB11:BG11"/>
    <mergeCell ref="BI11:BN11"/>
    <mergeCell ref="BO11:BT11"/>
    <mergeCell ref="BU11:BZ11"/>
    <mergeCell ref="CA11:CF11"/>
    <mergeCell ref="AV10:BA10"/>
    <mergeCell ref="BB10:BG10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L10:Q10"/>
    <mergeCell ref="R10:W10"/>
    <mergeCell ref="X10:AC10"/>
    <mergeCell ref="AD10:AI10"/>
    <mergeCell ref="AJ10:AO10"/>
    <mergeCell ref="AP10:AU10"/>
    <mergeCell ref="BI9:CX9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BB9:BG9"/>
    <mergeCell ref="AV7:BA7"/>
    <mergeCell ref="L6:Q6"/>
    <mergeCell ref="R6:W6"/>
    <mergeCell ref="X6:AC6"/>
    <mergeCell ref="AD6:AI6"/>
    <mergeCell ref="AJ6:AO6"/>
    <mergeCell ref="AP6:AU6"/>
    <mergeCell ref="L7:Q7"/>
    <mergeCell ref="R7:W7"/>
    <mergeCell ref="X7:AC7"/>
    <mergeCell ref="AD7:AI7"/>
    <mergeCell ref="AJ7:AO7"/>
    <mergeCell ref="AP7:AU7"/>
    <mergeCell ref="AV6:BA6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BB1:BG1"/>
    <mergeCell ref="L3:Q3"/>
    <mergeCell ref="R3:W3"/>
    <mergeCell ref="X3:AC3"/>
    <mergeCell ref="AD3:AI3"/>
    <mergeCell ref="AJ3:AO3"/>
    <mergeCell ref="AP3:AU3"/>
    <mergeCell ref="AV3:BA3"/>
  </mergeCells>
  <conditionalFormatting sqref="D3 A14:A15 A17:A23">
    <cfRule type="expression" dxfId="2473" priority="306">
      <formula>ISBLANK(A3)</formula>
    </cfRule>
  </conditionalFormatting>
  <conditionalFormatting sqref="A1:K1">
    <cfRule type="expression" dxfId="2472" priority="304">
      <formula>$A$1="Input Employee Number"</formula>
    </cfRule>
  </conditionalFormatting>
  <conditionalFormatting sqref="BB1:BG1">
    <cfRule type="expression" dxfId="2471" priority="303">
      <formula>ISBLANK(BB1)</formula>
    </cfRule>
  </conditionalFormatting>
  <conditionalFormatting sqref="BH24">
    <cfRule type="expression" dxfId="2470" priority="301">
      <formula>$BH24&lt;&gt;0</formula>
    </cfRule>
    <cfRule type="expression" dxfId="2469" priority="302">
      <formula>$BH24=0</formula>
    </cfRule>
  </conditionalFormatting>
  <conditionalFormatting sqref="L11:BG11">
    <cfRule type="expression" dxfId="2468" priority="300">
      <formula>L11&lt;&gt;0</formula>
    </cfRule>
  </conditionalFormatting>
  <conditionalFormatting sqref="E24:H24 F13:H15 F22:H23 E20:H20 G16:H16 F17:H19">
    <cfRule type="expression" dxfId="2467" priority="299">
      <formula>AND($BH13&lt;&gt;0,ISBLANK(E13))</formula>
    </cfRule>
  </conditionalFormatting>
  <conditionalFormatting sqref="B2">
    <cfRule type="cellIs" dxfId="2466" priority="298" operator="equal">
      <formula>0</formula>
    </cfRule>
  </conditionalFormatting>
  <conditionalFormatting sqref="B3">
    <cfRule type="containsBlanks" dxfId="2465" priority="297">
      <formula>LEN(TRIM(B3))=0</formula>
    </cfRule>
  </conditionalFormatting>
  <conditionalFormatting sqref="D3 A14:A15 A17:A23">
    <cfRule type="cellIs" dxfId="2464" priority="305" operator="equal">
      <formula>"x"</formula>
    </cfRule>
  </conditionalFormatting>
  <conditionalFormatting sqref="B4">
    <cfRule type="containsBlanks" dxfId="2463" priority="296">
      <formula>LEN(TRIM(B4))=0</formula>
    </cfRule>
  </conditionalFormatting>
  <conditionalFormatting sqref="E22:E23 E20">
    <cfRule type="expression" dxfId="2462" priority="295">
      <formula>AND($C20&gt;0,ISBLANK($E20))</formula>
    </cfRule>
  </conditionalFormatting>
  <conditionalFormatting sqref="C22:C24">
    <cfRule type="expression" dxfId="2461" priority="307">
      <formula>AND($C22=0,BH22&lt;&gt;0)</formula>
    </cfRule>
  </conditionalFormatting>
  <conditionalFormatting sqref="A13">
    <cfRule type="expression" dxfId="2460" priority="273">
      <formula>ISBLANK(A13)</formula>
    </cfRule>
  </conditionalFormatting>
  <conditionalFormatting sqref="A13">
    <cfRule type="cellIs" dxfId="2459" priority="272" operator="equal">
      <formula>"x"</formula>
    </cfRule>
  </conditionalFormatting>
  <conditionalFormatting sqref="F21:H21">
    <cfRule type="expression" dxfId="2458" priority="271">
      <formula>AND($BH21&lt;&gt;0,ISBLANK(F21))</formula>
    </cfRule>
  </conditionalFormatting>
  <conditionalFormatting sqref="E21">
    <cfRule type="expression" dxfId="2457" priority="270">
      <formula>AND($BH21&lt;&gt;0,ISBLANK(E21))</formula>
    </cfRule>
  </conditionalFormatting>
  <conditionalFormatting sqref="E21">
    <cfRule type="expression" dxfId="2456" priority="269">
      <formula>AND($C21&gt;0,ISBLANK($E21))</formula>
    </cfRule>
  </conditionalFormatting>
  <conditionalFormatting sqref="A16">
    <cfRule type="expression" dxfId="2455" priority="268">
      <formula>ISBLANK(A16)</formula>
    </cfRule>
  </conditionalFormatting>
  <conditionalFormatting sqref="F16">
    <cfRule type="expression" dxfId="2454" priority="266">
      <formula>AND($BH16&lt;&gt;0,ISBLANK(F16))</formula>
    </cfRule>
  </conditionalFormatting>
  <conditionalFormatting sqref="A16">
    <cfRule type="cellIs" dxfId="2453" priority="267" operator="equal">
      <formula>"x"</formula>
    </cfRule>
  </conditionalFormatting>
  <conditionalFormatting sqref="B14">
    <cfRule type="expression" dxfId="2452" priority="263">
      <formula>AND($BH14&lt;&gt;0,ISBLANK(B14))</formula>
    </cfRule>
  </conditionalFormatting>
  <conditionalFormatting sqref="B14">
    <cfRule type="expression" dxfId="2451" priority="262">
      <formula>AND($BH14&lt;&gt;0,ISBLANK(B14))</formula>
    </cfRule>
  </conditionalFormatting>
  <conditionalFormatting sqref="B14">
    <cfRule type="expression" dxfId="2450" priority="261">
      <formula>AND($C14&gt;0,ISBLANK($E14))</formula>
    </cfRule>
  </conditionalFormatting>
  <conditionalFormatting sqref="B14">
    <cfRule type="expression" dxfId="2449" priority="260">
      <formula>AND($BH14&lt;&gt;0,ISBLANK(B14))</formula>
    </cfRule>
  </conditionalFormatting>
  <conditionalFormatting sqref="B14">
    <cfRule type="expression" dxfId="2448" priority="265">
      <formula>AND($BH14&lt;&gt;0,ISBLANK(B14))</formula>
    </cfRule>
  </conditionalFormatting>
  <conditionalFormatting sqref="B14">
    <cfRule type="expression" dxfId="2447" priority="264">
      <formula>AND($C14&gt;0,ISBLANK($E14))</formula>
    </cfRule>
  </conditionalFormatting>
  <conditionalFormatting sqref="B14">
    <cfRule type="expression" dxfId="2446" priority="259">
      <formula>AND($C14&gt;0,ISBLANK($E14))</formula>
    </cfRule>
  </conditionalFormatting>
  <conditionalFormatting sqref="B14">
    <cfRule type="expression" dxfId="2445" priority="258">
      <formula>AND($BH14&lt;&gt;0,ISBLANK(B14))</formula>
    </cfRule>
  </conditionalFormatting>
  <conditionalFormatting sqref="B14">
    <cfRule type="expression" dxfId="2444" priority="257">
      <formula>AND($C14&gt;0,ISBLANK($E14))</formula>
    </cfRule>
  </conditionalFormatting>
  <conditionalFormatting sqref="B14">
    <cfRule type="expression" dxfId="2443" priority="256">
      <formula>AND($BH14&lt;&gt;0,ISBLANK(B14))</formula>
    </cfRule>
  </conditionalFormatting>
  <conditionalFormatting sqref="B14">
    <cfRule type="expression" dxfId="2442" priority="255">
      <formula>AND($C14&gt;0,ISBLANK($E14))</formula>
    </cfRule>
  </conditionalFormatting>
  <conditionalFormatting sqref="B13">
    <cfRule type="expression" dxfId="2441" priority="254">
      <formula>AND($BH13&lt;&gt;0,ISBLANK(B13))</formula>
    </cfRule>
  </conditionalFormatting>
  <conditionalFormatting sqref="B13">
    <cfRule type="expression" dxfId="2440" priority="253">
      <formula>AND($C13&gt;0,ISBLANK($E13))</formula>
    </cfRule>
  </conditionalFormatting>
  <conditionalFormatting sqref="B13">
    <cfRule type="expression" dxfId="2439" priority="249">
      <formula>AND($BH13&lt;&gt;0,ISBLANK(B13))</formula>
    </cfRule>
  </conditionalFormatting>
  <conditionalFormatting sqref="B13">
    <cfRule type="expression" dxfId="2438" priority="248">
      <formula>AND($C13&gt;0,ISBLANK($E13))</formula>
    </cfRule>
  </conditionalFormatting>
  <conditionalFormatting sqref="B13">
    <cfRule type="expression" dxfId="2437" priority="252">
      <formula>AND($BH13&lt;&gt;0,ISBLANK(B13))</formula>
    </cfRule>
  </conditionalFormatting>
  <conditionalFormatting sqref="B13">
    <cfRule type="expression" dxfId="2436" priority="251">
      <formula>AND($BH13&lt;&gt;0,ISBLANK(B13))</formula>
    </cfRule>
  </conditionalFormatting>
  <conditionalFormatting sqref="B13">
    <cfRule type="expression" dxfId="2435" priority="250">
      <formula>AND($C13&gt;0,ISBLANK($E13))</formula>
    </cfRule>
  </conditionalFormatting>
  <conditionalFormatting sqref="B16">
    <cfRule type="expression" dxfId="2434" priority="245">
      <formula>AND($BH16&lt;&gt;0,ISBLANK(B16))</formula>
    </cfRule>
  </conditionalFormatting>
  <conditionalFormatting sqref="B16">
    <cfRule type="expression" dxfId="2433" priority="244">
      <formula>AND($BH16&lt;&gt;0,ISBLANK(B16))</formula>
    </cfRule>
  </conditionalFormatting>
  <conditionalFormatting sqref="B16">
    <cfRule type="expression" dxfId="2432" priority="243">
      <formula>AND($C16&gt;0,ISBLANK($E16))</formula>
    </cfRule>
  </conditionalFormatting>
  <conditionalFormatting sqref="B16">
    <cfRule type="expression" dxfId="2431" priority="242">
      <formula>AND($BH16&lt;&gt;0,ISBLANK(B16))</formula>
    </cfRule>
  </conditionalFormatting>
  <conditionalFormatting sqref="B16">
    <cfRule type="expression" dxfId="2430" priority="247">
      <formula>AND($BH16&lt;&gt;0,ISBLANK(B16))</formula>
    </cfRule>
  </conditionalFormatting>
  <conditionalFormatting sqref="B16">
    <cfRule type="expression" dxfId="2429" priority="246">
      <formula>AND($C16&gt;0,ISBLANK($E16))</formula>
    </cfRule>
  </conditionalFormatting>
  <conditionalFormatting sqref="B16">
    <cfRule type="expression" dxfId="2428" priority="241">
      <formula>AND($C16&gt;0,ISBLANK($E16))</formula>
    </cfRule>
  </conditionalFormatting>
  <conditionalFormatting sqref="B16">
    <cfRule type="expression" dxfId="2427" priority="240">
      <formula>AND($BH16&lt;&gt;0,ISBLANK(B16))</formula>
    </cfRule>
  </conditionalFormatting>
  <conditionalFormatting sqref="B16">
    <cfRule type="expression" dxfId="2426" priority="239">
      <formula>AND($C16&gt;0,ISBLANK($E16))</formula>
    </cfRule>
  </conditionalFormatting>
  <conditionalFormatting sqref="B16">
    <cfRule type="expression" dxfId="2425" priority="238">
      <formula>AND($BH16&lt;&gt;0,ISBLANK(B16))</formula>
    </cfRule>
  </conditionalFormatting>
  <conditionalFormatting sqref="B16">
    <cfRule type="expression" dxfId="2424" priority="237">
      <formula>AND($C16&gt;0,ISBLANK($E16))</formula>
    </cfRule>
  </conditionalFormatting>
  <conditionalFormatting sqref="B18">
    <cfRule type="expression" dxfId="2423" priority="234">
      <formula>AND($BH18&lt;&gt;0,ISBLANK(B18))</formula>
    </cfRule>
  </conditionalFormatting>
  <conditionalFormatting sqref="B18">
    <cfRule type="expression" dxfId="2422" priority="233">
      <formula>AND($BH18&lt;&gt;0,ISBLANK(B18))</formula>
    </cfRule>
  </conditionalFormatting>
  <conditionalFormatting sqref="B18">
    <cfRule type="expression" dxfId="2421" priority="232">
      <formula>AND($C18&gt;0,ISBLANK($E18))</formula>
    </cfRule>
  </conditionalFormatting>
  <conditionalFormatting sqref="B18">
    <cfRule type="expression" dxfId="2420" priority="231">
      <formula>AND($BH18&lt;&gt;0,ISBLANK(B18))</formula>
    </cfRule>
  </conditionalFormatting>
  <conditionalFormatting sqref="B18">
    <cfRule type="expression" dxfId="2419" priority="236">
      <formula>AND($BH18&lt;&gt;0,ISBLANK(B18))</formula>
    </cfRule>
  </conditionalFormatting>
  <conditionalFormatting sqref="B18">
    <cfRule type="expression" dxfId="2418" priority="235">
      <formula>AND($C18&gt;0,ISBLANK($E18))</formula>
    </cfRule>
  </conditionalFormatting>
  <conditionalFormatting sqref="B18">
    <cfRule type="expression" dxfId="2417" priority="230">
      <formula>AND($C18&gt;0,ISBLANK($E18))</formula>
    </cfRule>
  </conditionalFormatting>
  <conditionalFormatting sqref="B18">
    <cfRule type="expression" dxfId="2416" priority="229">
      <formula>AND($BH18&lt;&gt;0,ISBLANK(B18))</formula>
    </cfRule>
  </conditionalFormatting>
  <conditionalFormatting sqref="B18">
    <cfRule type="expression" dxfId="2415" priority="228">
      <formula>AND($C18&gt;0,ISBLANK($E18))</formula>
    </cfRule>
  </conditionalFormatting>
  <conditionalFormatting sqref="B18">
    <cfRule type="expression" dxfId="2414" priority="227">
      <formula>AND($BH18&lt;&gt;0,ISBLANK(B18))</formula>
    </cfRule>
  </conditionalFormatting>
  <conditionalFormatting sqref="B18">
    <cfRule type="expression" dxfId="2413" priority="226">
      <formula>AND($C18&gt;0,ISBLANK($E18))</formula>
    </cfRule>
  </conditionalFormatting>
  <conditionalFormatting sqref="B15">
    <cfRule type="expression" dxfId="2412" priority="223">
      <formula>AND($BH15&lt;&gt;0,ISBLANK(B15))</formula>
    </cfRule>
  </conditionalFormatting>
  <conditionalFormatting sqref="B15">
    <cfRule type="expression" dxfId="2411" priority="222">
      <formula>AND($BH15&lt;&gt;0,ISBLANK(B15))</formula>
    </cfRule>
  </conditionalFormatting>
  <conditionalFormatting sqref="B15">
    <cfRule type="expression" dxfId="2410" priority="221">
      <formula>AND($C15&gt;0,ISBLANK($E15))</formula>
    </cfRule>
  </conditionalFormatting>
  <conditionalFormatting sqref="B15">
    <cfRule type="expression" dxfId="2409" priority="220">
      <formula>AND($BH15&lt;&gt;0,ISBLANK(B15))</formula>
    </cfRule>
  </conditionalFormatting>
  <conditionalFormatting sqref="B15">
    <cfRule type="expression" dxfId="2408" priority="225">
      <formula>AND($BH15&lt;&gt;0,ISBLANK(B15))</formula>
    </cfRule>
  </conditionalFormatting>
  <conditionalFormatting sqref="B15">
    <cfRule type="expression" dxfId="2407" priority="224">
      <formula>AND($C15&gt;0,ISBLANK($E15))</formula>
    </cfRule>
  </conditionalFormatting>
  <conditionalFormatting sqref="B15">
    <cfRule type="expression" dxfId="2406" priority="219">
      <formula>AND($C15&gt;0,ISBLANK($E15))</formula>
    </cfRule>
  </conditionalFormatting>
  <conditionalFormatting sqref="B15">
    <cfRule type="expression" dxfId="2405" priority="218">
      <formula>AND($BH15&lt;&gt;0,ISBLANK(B15))</formula>
    </cfRule>
  </conditionalFormatting>
  <conditionalFormatting sqref="B15">
    <cfRule type="expression" dxfId="2404" priority="217">
      <formula>AND($C15&gt;0,ISBLANK($E15))</formula>
    </cfRule>
  </conditionalFormatting>
  <conditionalFormatting sqref="B15">
    <cfRule type="expression" dxfId="2403" priority="216">
      <formula>AND($BH15&lt;&gt;0,ISBLANK(B15))</formula>
    </cfRule>
  </conditionalFormatting>
  <conditionalFormatting sqref="B15">
    <cfRule type="expression" dxfId="2402" priority="215">
      <formula>AND($C15&gt;0,ISBLANK($E15))</formula>
    </cfRule>
  </conditionalFormatting>
  <conditionalFormatting sqref="C20">
    <cfRule type="expression" dxfId="2401" priority="214">
      <formula>AND($BH20&lt;&gt;0,ISBLANK(C20))</formula>
    </cfRule>
  </conditionalFormatting>
  <conditionalFormatting sqref="C20">
    <cfRule type="expression" dxfId="2400" priority="213">
      <formula>AND($C20&gt;0,ISBLANK($E20))</formula>
    </cfRule>
  </conditionalFormatting>
  <conditionalFormatting sqref="C20">
    <cfRule type="expression" dxfId="2399" priority="209">
      <formula>AND($BH20&lt;&gt;0,ISBLANK(C20))</formula>
    </cfRule>
  </conditionalFormatting>
  <conditionalFormatting sqref="C20">
    <cfRule type="expression" dxfId="2398" priority="208">
      <formula>AND($C20&gt;0,ISBLANK($E20))</formula>
    </cfRule>
  </conditionalFormatting>
  <conditionalFormatting sqref="C20">
    <cfRule type="expression" dxfId="2397" priority="212">
      <formula>AND($BH20&lt;&gt;0,ISBLANK(C20))</formula>
    </cfRule>
  </conditionalFormatting>
  <conditionalFormatting sqref="C20">
    <cfRule type="expression" dxfId="2396" priority="211">
      <formula>AND($BH20&lt;&gt;0,ISBLANK(C20))</formula>
    </cfRule>
  </conditionalFormatting>
  <conditionalFormatting sqref="C20">
    <cfRule type="expression" dxfId="2395" priority="210">
      <formula>AND($C20&gt;0,ISBLANK($E20))</formula>
    </cfRule>
  </conditionalFormatting>
  <conditionalFormatting sqref="C20">
    <cfRule type="expression" dxfId="2394" priority="207">
      <formula>AND($BH20&lt;&gt;0,ISBLANK(C20))</formula>
    </cfRule>
  </conditionalFormatting>
  <conditionalFormatting sqref="C20">
    <cfRule type="expression" dxfId="2393" priority="206">
      <formula>AND($C20&gt;0,ISBLANK($E20))</formula>
    </cfRule>
  </conditionalFormatting>
  <conditionalFormatting sqref="C20">
    <cfRule type="expression" dxfId="2392" priority="205">
      <formula>AND($BH20&lt;&gt;0,ISBLANK(C20))</formula>
    </cfRule>
  </conditionalFormatting>
  <conditionalFormatting sqref="C21">
    <cfRule type="expression" dxfId="2391" priority="204">
      <formula>AND($BH21&lt;&gt;0,ISBLANK(C21))</formula>
    </cfRule>
  </conditionalFormatting>
  <conditionalFormatting sqref="C21">
    <cfRule type="expression" dxfId="2390" priority="203">
      <formula>AND($C21&gt;0,ISBLANK($E21))</formula>
    </cfRule>
  </conditionalFormatting>
  <conditionalFormatting sqref="C21">
    <cfRule type="expression" dxfId="2389" priority="199">
      <formula>AND($BH21&lt;&gt;0,ISBLANK(C21))</formula>
    </cfRule>
  </conditionalFormatting>
  <conditionalFormatting sqref="C21">
    <cfRule type="expression" dxfId="2388" priority="198">
      <formula>AND($C21&gt;0,ISBLANK($E21))</formula>
    </cfRule>
  </conditionalFormatting>
  <conditionalFormatting sqref="C21">
    <cfRule type="expression" dxfId="2387" priority="202">
      <formula>AND($BH21&lt;&gt;0,ISBLANK(C21))</formula>
    </cfRule>
  </conditionalFormatting>
  <conditionalFormatting sqref="C21">
    <cfRule type="expression" dxfId="2386" priority="201">
      <formula>AND($BH21&lt;&gt;0,ISBLANK(C21))</formula>
    </cfRule>
  </conditionalFormatting>
  <conditionalFormatting sqref="C21">
    <cfRule type="expression" dxfId="2385" priority="200">
      <formula>AND($C21&gt;0,ISBLANK($E21))</formula>
    </cfRule>
  </conditionalFormatting>
  <conditionalFormatting sqref="C21">
    <cfRule type="expression" dxfId="2384" priority="197">
      <formula>AND($BH21&lt;&gt;0,ISBLANK(C21))</formula>
    </cfRule>
  </conditionalFormatting>
  <conditionalFormatting sqref="C21">
    <cfRule type="expression" dxfId="2383" priority="196">
      <formula>AND($C21&gt;0,ISBLANK($E21))</formula>
    </cfRule>
  </conditionalFormatting>
  <conditionalFormatting sqref="C21">
    <cfRule type="expression" dxfId="2382" priority="195">
      <formula>AND($BH21&lt;&gt;0,ISBLANK(C21))</formula>
    </cfRule>
  </conditionalFormatting>
  <conditionalFormatting sqref="E16">
    <cfRule type="expression" dxfId="2381" priority="194">
      <formula>AND($BH16&lt;&gt;0,ISBLANK(E16))</formula>
    </cfRule>
  </conditionalFormatting>
  <conditionalFormatting sqref="E16">
    <cfRule type="expression" dxfId="2380" priority="193">
      <formula>AND($C16&gt;0,ISBLANK($E16))</formula>
    </cfRule>
  </conditionalFormatting>
  <conditionalFormatting sqref="E16">
    <cfRule type="expression" dxfId="2379" priority="192">
      <formula>AND($BH16&lt;&gt;0,ISBLANK(E16))</formula>
    </cfRule>
  </conditionalFormatting>
  <conditionalFormatting sqref="E16">
    <cfRule type="expression" dxfId="2378" priority="191">
      <formula>AND($C16&gt;0,ISBLANK($E16))</formula>
    </cfRule>
  </conditionalFormatting>
  <conditionalFormatting sqref="E18">
    <cfRule type="expression" dxfId="2377" priority="180">
      <formula>AND($BH18&lt;&gt;0,ISBLANK(E18))</formula>
    </cfRule>
  </conditionalFormatting>
  <conditionalFormatting sqref="C18">
    <cfRule type="expression" dxfId="2376" priority="179">
      <formula>AND($BH18&lt;&gt;0,ISBLANK(C18))</formula>
    </cfRule>
  </conditionalFormatting>
  <conditionalFormatting sqref="C18">
    <cfRule type="expression" dxfId="2375" priority="178">
      <formula>AND($C18&gt;0,ISBLANK($E18))</formula>
    </cfRule>
  </conditionalFormatting>
  <conditionalFormatting sqref="C18">
    <cfRule type="expression" dxfId="2374" priority="174">
      <formula>AND($BH18&lt;&gt;0,ISBLANK(C18))</formula>
    </cfRule>
  </conditionalFormatting>
  <conditionalFormatting sqref="C18">
    <cfRule type="expression" dxfId="2373" priority="173">
      <formula>AND($C18&gt;0,ISBLANK($E18))</formula>
    </cfRule>
  </conditionalFormatting>
  <conditionalFormatting sqref="C18">
    <cfRule type="expression" dxfId="2372" priority="177">
      <formula>AND($BH18&lt;&gt;0,ISBLANK(C18))</formula>
    </cfRule>
  </conditionalFormatting>
  <conditionalFormatting sqref="C18">
    <cfRule type="expression" dxfId="2371" priority="176">
      <formula>AND($BH18&lt;&gt;0,ISBLANK(C18))</formula>
    </cfRule>
  </conditionalFormatting>
  <conditionalFormatting sqref="C18">
    <cfRule type="expression" dxfId="2370" priority="175">
      <formula>AND($C18&gt;0,ISBLANK($E18))</formula>
    </cfRule>
  </conditionalFormatting>
  <conditionalFormatting sqref="C18">
    <cfRule type="expression" dxfId="2369" priority="172">
      <formula>AND($BH18&lt;&gt;0,ISBLANK(C18))</formula>
    </cfRule>
  </conditionalFormatting>
  <conditionalFormatting sqref="C18">
    <cfRule type="expression" dxfId="2368" priority="171">
      <formula>AND($C18&gt;0,ISBLANK($E18))</formula>
    </cfRule>
  </conditionalFormatting>
  <conditionalFormatting sqref="C18">
    <cfRule type="expression" dxfId="2367" priority="170">
      <formula>AND($BH18&lt;&gt;0,ISBLANK(C18))</formula>
    </cfRule>
  </conditionalFormatting>
  <conditionalFormatting sqref="C13:C14">
    <cfRule type="expression" dxfId="2366" priority="167">
      <formula>AND($BH13&lt;&gt;0,ISBLANK(C13))</formula>
    </cfRule>
  </conditionalFormatting>
  <conditionalFormatting sqref="C13:C14">
    <cfRule type="expression" dxfId="2365" priority="160">
      <formula>AND($BH13&lt;&gt;0,ISBLANK(C13))</formula>
    </cfRule>
  </conditionalFormatting>
  <conditionalFormatting sqref="E13:E14">
    <cfRule type="expression" dxfId="2364" priority="159">
      <formula>AND($BH13&lt;&gt;0,ISBLANK(E13))</formula>
    </cfRule>
  </conditionalFormatting>
  <conditionalFormatting sqref="E13:E14">
    <cfRule type="expression" dxfId="2363" priority="158">
      <formula>AND($C13&gt;0,ISBLANK($E13))</formula>
    </cfRule>
  </conditionalFormatting>
  <conditionalFormatting sqref="E13:E14">
    <cfRule type="expression" dxfId="2362" priority="154">
      <formula>AND($BH13&lt;&gt;0,ISBLANK(E13))</formula>
    </cfRule>
  </conditionalFormatting>
  <conditionalFormatting sqref="E13:E14">
    <cfRule type="expression" dxfId="2361" priority="153">
      <formula>AND($C13&gt;0,ISBLANK($E13))</formula>
    </cfRule>
  </conditionalFormatting>
  <conditionalFormatting sqref="E13:E14">
    <cfRule type="expression" dxfId="2360" priority="157">
      <formula>AND($BH13&lt;&gt;0,ISBLANK(E13))</formula>
    </cfRule>
  </conditionalFormatting>
  <conditionalFormatting sqref="E13:E14">
    <cfRule type="expression" dxfId="2359" priority="156">
      <formula>AND($BH13&lt;&gt;0,ISBLANK(E13))</formula>
    </cfRule>
  </conditionalFormatting>
  <conditionalFormatting sqref="E13:E14">
    <cfRule type="expression" dxfId="2358" priority="155">
      <formula>AND($C13&gt;0,ISBLANK($E13))</formula>
    </cfRule>
  </conditionalFormatting>
  <conditionalFormatting sqref="E13:E14">
    <cfRule type="expression" dxfId="2357" priority="152">
      <formula>AND($BH13&lt;&gt;0,ISBLANK(E13))</formula>
    </cfRule>
  </conditionalFormatting>
  <conditionalFormatting sqref="E13:E14">
    <cfRule type="expression" dxfId="2356" priority="151">
      <formula>AND($C13&gt;0,ISBLANK($E13))</formula>
    </cfRule>
  </conditionalFormatting>
  <conditionalFormatting sqref="E13:E14">
    <cfRule type="expression" dxfId="2355" priority="150">
      <formula>AND($BH13&lt;&gt;0,ISBLANK(E13))</formula>
    </cfRule>
  </conditionalFormatting>
  <conditionalFormatting sqref="C13:C14">
    <cfRule type="expression" dxfId="2354" priority="169">
      <formula>AND($BH13&lt;&gt;0,ISBLANK(C13))</formula>
    </cfRule>
  </conditionalFormatting>
  <conditionalFormatting sqref="C13:C14">
    <cfRule type="expression" dxfId="2353" priority="168">
      <formula>AND($C13&gt;0,ISBLANK($E13))</formula>
    </cfRule>
  </conditionalFormatting>
  <conditionalFormatting sqref="C13:C14">
    <cfRule type="expression" dxfId="2352" priority="164">
      <formula>AND($BH13&lt;&gt;0,ISBLANK(C13))</formula>
    </cfRule>
  </conditionalFormatting>
  <conditionalFormatting sqref="C13:C14">
    <cfRule type="expression" dxfId="2351" priority="163">
      <formula>AND($C13&gt;0,ISBLANK($E13))</formula>
    </cfRule>
  </conditionalFormatting>
  <conditionalFormatting sqref="C13:C14">
    <cfRule type="expression" dxfId="2350" priority="166">
      <formula>AND($BH13&lt;&gt;0,ISBLANK(C13))</formula>
    </cfRule>
  </conditionalFormatting>
  <conditionalFormatting sqref="C13:C14">
    <cfRule type="expression" dxfId="2349" priority="165">
      <formula>AND($C13&gt;0,ISBLANK($E13))</formula>
    </cfRule>
  </conditionalFormatting>
  <conditionalFormatting sqref="C13:C14">
    <cfRule type="expression" dxfId="2348" priority="162">
      <formula>AND($BH13&lt;&gt;0,ISBLANK(C13))</formula>
    </cfRule>
  </conditionalFormatting>
  <conditionalFormatting sqref="C13:C14">
    <cfRule type="expression" dxfId="2347" priority="161">
      <formula>AND($C13&gt;0,ISBLANK($E13))</formula>
    </cfRule>
  </conditionalFormatting>
  <conditionalFormatting sqref="C16">
    <cfRule type="expression" dxfId="2346" priority="147">
      <formula>AND($BH16&lt;&gt;0,ISBLANK(C16))</formula>
    </cfRule>
  </conditionalFormatting>
  <conditionalFormatting sqref="C16">
    <cfRule type="expression" dxfId="2345" priority="140">
      <formula>AND($BH16&lt;&gt;0,ISBLANK(C16))</formula>
    </cfRule>
  </conditionalFormatting>
  <conditionalFormatting sqref="C16">
    <cfRule type="expression" dxfId="2344" priority="149">
      <formula>AND($BH16&lt;&gt;0,ISBLANK(C16))</formula>
    </cfRule>
  </conditionalFormatting>
  <conditionalFormatting sqref="C16">
    <cfRule type="expression" dxfId="2343" priority="148">
      <formula>AND($C16&gt;0,ISBLANK($E16))</formula>
    </cfRule>
  </conditionalFormatting>
  <conditionalFormatting sqref="C16">
    <cfRule type="expression" dxfId="2342" priority="144">
      <formula>AND($BH16&lt;&gt;0,ISBLANK(C16))</formula>
    </cfRule>
  </conditionalFormatting>
  <conditionalFormatting sqref="C16">
    <cfRule type="expression" dxfId="2341" priority="143">
      <formula>AND($C16&gt;0,ISBLANK($E16))</formula>
    </cfRule>
  </conditionalFormatting>
  <conditionalFormatting sqref="C16">
    <cfRule type="expression" dxfId="2340" priority="146">
      <formula>AND($BH16&lt;&gt;0,ISBLANK(C16))</formula>
    </cfRule>
  </conditionalFormatting>
  <conditionalFormatting sqref="C16">
    <cfRule type="expression" dxfId="2339" priority="145">
      <formula>AND($C16&gt;0,ISBLANK($E16))</formula>
    </cfRule>
  </conditionalFormatting>
  <conditionalFormatting sqref="C16">
    <cfRule type="expression" dxfId="2338" priority="142">
      <formula>AND($BH16&lt;&gt;0,ISBLANK(C16))</formula>
    </cfRule>
  </conditionalFormatting>
  <conditionalFormatting sqref="C16">
    <cfRule type="expression" dxfId="2337" priority="141">
      <formula>AND($C16&gt;0,ISBLANK($E16))</formula>
    </cfRule>
  </conditionalFormatting>
  <conditionalFormatting sqref="B19">
    <cfRule type="expression" dxfId="2336" priority="129">
      <formula>AND($BH19&lt;&gt;0,ISBLANK(B19))</formula>
    </cfRule>
  </conditionalFormatting>
  <conditionalFormatting sqref="B19">
    <cfRule type="expression" dxfId="2335" priority="128">
      <formula>AND($C19&gt;0,ISBLANK($E19))</formula>
    </cfRule>
  </conditionalFormatting>
  <conditionalFormatting sqref="B19">
    <cfRule type="expression" dxfId="2334" priority="124">
      <formula>AND($BH19&lt;&gt;0,ISBLANK(B19))</formula>
    </cfRule>
  </conditionalFormatting>
  <conditionalFormatting sqref="B19">
    <cfRule type="expression" dxfId="2333" priority="123">
      <formula>AND($C19&gt;0,ISBLANK($E19))</formula>
    </cfRule>
  </conditionalFormatting>
  <conditionalFormatting sqref="B19">
    <cfRule type="expression" dxfId="2332" priority="127">
      <formula>AND($BH19&lt;&gt;0,ISBLANK(B19))</formula>
    </cfRule>
  </conditionalFormatting>
  <conditionalFormatting sqref="B19">
    <cfRule type="expression" dxfId="2331" priority="126">
      <formula>AND($BH19&lt;&gt;0,ISBLANK(B19))</formula>
    </cfRule>
  </conditionalFormatting>
  <conditionalFormatting sqref="B19">
    <cfRule type="expression" dxfId="2330" priority="125">
      <formula>AND($C19&gt;0,ISBLANK($E19))</formula>
    </cfRule>
  </conditionalFormatting>
  <conditionalFormatting sqref="B17">
    <cfRule type="expression" dxfId="2329" priority="99">
      <formula>AND($BH17&lt;&gt;0,ISBLANK(B17))</formula>
    </cfRule>
  </conditionalFormatting>
  <conditionalFormatting sqref="B17">
    <cfRule type="expression" dxfId="2328" priority="98">
      <formula>AND($C17&gt;0,ISBLANK($E17))</formula>
    </cfRule>
  </conditionalFormatting>
  <conditionalFormatting sqref="C17">
    <cfRule type="expression" dxfId="2327" priority="97">
      <formula>AND($BH17&lt;&gt;0,ISBLANK(C17))</formula>
    </cfRule>
  </conditionalFormatting>
  <conditionalFormatting sqref="C17">
    <cfRule type="expression" dxfId="2326" priority="96">
      <formula>AND($C17&gt;0,ISBLANK($E17))</formula>
    </cfRule>
  </conditionalFormatting>
  <conditionalFormatting sqref="E17">
    <cfRule type="expression" dxfId="2325" priority="95">
      <formula>AND($BH17&lt;&gt;0,ISBLANK(E17))</formula>
    </cfRule>
  </conditionalFormatting>
  <conditionalFormatting sqref="E17">
    <cfRule type="expression" dxfId="2324" priority="94">
      <formula>AND($C17&gt;0,ISBLANK($E17))</formula>
    </cfRule>
  </conditionalFormatting>
  <conditionalFormatting sqref="E15">
    <cfRule type="expression" dxfId="2323" priority="93">
      <formula>AND($BH15&lt;&gt;0,ISBLANK(E15))</formula>
    </cfRule>
  </conditionalFormatting>
  <conditionalFormatting sqref="E15">
    <cfRule type="expression" dxfId="2322" priority="92">
      <formula>AND($C15&gt;0,ISBLANK($E15))</formula>
    </cfRule>
  </conditionalFormatting>
  <conditionalFormatting sqref="E15">
    <cfRule type="expression" dxfId="2321" priority="91">
      <formula>AND($BH15&lt;&gt;0,ISBLANK(E15))</formula>
    </cfRule>
  </conditionalFormatting>
  <conditionalFormatting sqref="E15">
    <cfRule type="expression" dxfId="2320" priority="90">
      <formula>AND($C15&gt;0,ISBLANK($E15))</formula>
    </cfRule>
  </conditionalFormatting>
  <conditionalFormatting sqref="E15">
    <cfRule type="expression" dxfId="2319" priority="89">
      <formula>AND($BH15&lt;&gt;0,ISBLANK(E15))</formula>
    </cfRule>
  </conditionalFormatting>
  <conditionalFormatting sqref="E15">
    <cfRule type="expression" dxfId="2318" priority="88">
      <formula>AND($C15&gt;0,ISBLANK($E15))</formula>
    </cfRule>
  </conditionalFormatting>
  <conditionalFormatting sqref="E15">
    <cfRule type="expression" dxfId="2317" priority="87">
      <formula>AND($BH15&lt;&gt;0,ISBLANK(E15))</formula>
    </cfRule>
  </conditionalFormatting>
  <conditionalFormatting sqref="E15">
    <cfRule type="expression" dxfId="2316" priority="86">
      <formula>AND($C15&gt;0,ISBLANK($E15))</formula>
    </cfRule>
  </conditionalFormatting>
  <conditionalFormatting sqref="E15">
    <cfRule type="expression" dxfId="2315" priority="85">
      <formula>AND($BH15&lt;&gt;0,ISBLANK(E15))</formula>
    </cfRule>
  </conditionalFormatting>
  <conditionalFormatting sqref="E15">
    <cfRule type="expression" dxfId="2314" priority="84">
      <formula>AND($C15&gt;0,ISBLANK($E15))</formula>
    </cfRule>
  </conditionalFormatting>
  <conditionalFormatting sqref="E19">
    <cfRule type="expression" dxfId="2313" priority="73">
      <formula>AND($BH19&lt;&gt;0,ISBLANK(E19))</formula>
    </cfRule>
  </conditionalFormatting>
  <conditionalFormatting sqref="E19">
    <cfRule type="expression" dxfId="2312" priority="72">
      <formula>AND($C19&gt;0,ISBLANK($E19))</formula>
    </cfRule>
  </conditionalFormatting>
  <conditionalFormatting sqref="E19">
    <cfRule type="expression" dxfId="2311" priority="68">
      <formula>AND($BH19&lt;&gt;0,ISBLANK(E19))</formula>
    </cfRule>
  </conditionalFormatting>
  <conditionalFormatting sqref="E19">
    <cfRule type="expression" dxfId="2310" priority="67">
      <formula>AND($C19&gt;0,ISBLANK($E19))</formula>
    </cfRule>
  </conditionalFormatting>
  <conditionalFormatting sqref="E19">
    <cfRule type="expression" dxfId="2309" priority="71">
      <formula>AND($BH19&lt;&gt;0,ISBLANK(E19))</formula>
    </cfRule>
  </conditionalFormatting>
  <conditionalFormatting sqref="E19">
    <cfRule type="expression" dxfId="2308" priority="70">
      <formula>AND($BH19&lt;&gt;0,ISBLANK(E19))</formula>
    </cfRule>
  </conditionalFormatting>
  <conditionalFormatting sqref="E19">
    <cfRule type="expression" dxfId="2307" priority="69">
      <formula>AND($C19&gt;0,ISBLANK($E19))</formula>
    </cfRule>
  </conditionalFormatting>
  <conditionalFormatting sqref="E19">
    <cfRule type="expression" dxfId="2306" priority="66">
      <formula>AND($BH19&lt;&gt;0,ISBLANK(E19))</formula>
    </cfRule>
  </conditionalFormatting>
  <conditionalFormatting sqref="E19">
    <cfRule type="expression" dxfId="2305" priority="65">
      <formula>AND($C19&gt;0,ISBLANK($E19))</formula>
    </cfRule>
  </conditionalFormatting>
  <conditionalFormatting sqref="E19">
    <cfRule type="expression" dxfId="2304" priority="64">
      <formula>AND($BH19&lt;&gt;0,ISBLANK(E19))</formula>
    </cfRule>
  </conditionalFormatting>
  <conditionalFormatting sqref="C19">
    <cfRule type="expression" dxfId="2303" priority="63">
      <formula>AND($BH19&lt;&gt;0,ISBLANK(C19))</formula>
    </cfRule>
  </conditionalFormatting>
  <conditionalFormatting sqref="C19">
    <cfRule type="expression" dxfId="2302" priority="62">
      <formula>AND($C19&gt;0,ISBLANK($E19))</formula>
    </cfRule>
  </conditionalFormatting>
  <conditionalFormatting sqref="C15">
    <cfRule type="expression" dxfId="2301" priority="61">
      <formula>AND($BH15&lt;&gt;0,ISBLANK(C15))</formula>
    </cfRule>
  </conditionalFormatting>
  <conditionalFormatting sqref="C15">
    <cfRule type="expression" dxfId="2300" priority="60">
      <formula>AND($C15&gt;0,ISBLANK($E15))</formula>
    </cfRule>
  </conditionalFormatting>
  <conditionalFormatting sqref="C15">
    <cfRule type="expression" dxfId="2299" priority="59">
      <formula>AND($BH15&lt;&gt;0,ISBLANK(C15))</formula>
    </cfRule>
  </conditionalFormatting>
  <conditionalFormatting sqref="C15">
    <cfRule type="expression" dxfId="2298" priority="58">
      <formula>AND($C15&gt;0,ISBLANK($E15))</formula>
    </cfRule>
  </conditionalFormatting>
  <conditionalFormatting sqref="C15">
    <cfRule type="expression" dxfId="2297" priority="57">
      <formula>AND($BH15&lt;&gt;0,ISBLANK(C15))</formula>
    </cfRule>
  </conditionalFormatting>
  <conditionalFormatting sqref="C15">
    <cfRule type="expression" dxfId="2296" priority="56">
      <formula>AND($C15&gt;0,ISBLANK($E15))</formula>
    </cfRule>
  </conditionalFormatting>
  <conditionalFormatting sqref="C15">
    <cfRule type="expression" dxfId="2295" priority="55">
      <formula>AND($BH15&lt;&gt;0,ISBLANK(C15))</formula>
    </cfRule>
  </conditionalFormatting>
  <conditionalFormatting sqref="C15">
    <cfRule type="expression" dxfId="2294" priority="54">
      <formula>AND($C15&gt;0,ISBLANK($E15))</formula>
    </cfRule>
  </conditionalFormatting>
  <conditionalFormatting sqref="C15">
    <cfRule type="expression" dxfId="2293" priority="53">
      <formula>AND($BH15&lt;&gt;0,ISBLANK(C15))</formula>
    </cfRule>
  </conditionalFormatting>
  <conditionalFormatting sqref="C15">
    <cfRule type="expression" dxfId="2292" priority="52">
      <formula>AND($C15&gt;0,ISBLANK($E15))</formula>
    </cfRule>
  </conditionalFormatting>
  <conditionalFormatting sqref="Q12">
    <cfRule type="expression" dxfId="2291" priority="19">
      <formula>AND(L$9&gt;10.5,Q$24=0)</formula>
    </cfRule>
  </conditionalFormatting>
  <conditionalFormatting sqref="P12">
    <cfRule type="expression" dxfId="2290" priority="20">
      <formula>AND(L$9&gt;10.5,P$24=0)</formula>
    </cfRule>
  </conditionalFormatting>
  <conditionalFormatting sqref="O12">
    <cfRule type="expression" dxfId="2289" priority="21">
      <formula>AND(L$10&gt;0,O$24=0)</formula>
    </cfRule>
  </conditionalFormatting>
  <conditionalFormatting sqref="W12">
    <cfRule type="expression" dxfId="2288" priority="17">
      <formula>AND(R$9&gt;10.5,W$24=0)</formula>
    </cfRule>
  </conditionalFormatting>
  <conditionalFormatting sqref="V12">
    <cfRule type="expression" dxfId="2287" priority="18">
      <formula>AND(R$9&gt;10.5,V$24=0)</formula>
    </cfRule>
  </conditionalFormatting>
  <conditionalFormatting sqref="U12">
    <cfRule type="expression" dxfId="2286" priority="16">
      <formula>AND(R$10&gt;0,U$24=0)</formula>
    </cfRule>
  </conditionalFormatting>
  <conditionalFormatting sqref="AC12">
    <cfRule type="expression" dxfId="2285" priority="13">
      <formula>AND(X$9&gt;10.5,AC$24=0)</formula>
    </cfRule>
  </conditionalFormatting>
  <conditionalFormatting sqref="AB12">
    <cfRule type="expression" dxfId="2284" priority="14">
      <formula>AND(X$9&gt;10.5,AB$24=0)</formula>
    </cfRule>
  </conditionalFormatting>
  <conditionalFormatting sqref="AA12">
    <cfRule type="expression" dxfId="2283" priority="15">
      <formula>AND(X$10&gt;0,AA$24=0)</formula>
    </cfRule>
  </conditionalFormatting>
  <conditionalFormatting sqref="AI12">
    <cfRule type="expression" dxfId="2282" priority="11">
      <formula>AND(AD$9&gt;10.5,AI$24=0)</formula>
    </cfRule>
  </conditionalFormatting>
  <conditionalFormatting sqref="AH12">
    <cfRule type="expression" dxfId="2281" priority="12">
      <formula>AND(AD$9&gt;10.5,AH$24=0)</formula>
    </cfRule>
  </conditionalFormatting>
  <conditionalFormatting sqref="AG12">
    <cfRule type="expression" dxfId="2280" priority="10">
      <formula>AND(AD$10&gt;0,AG$24=0)</formula>
    </cfRule>
  </conditionalFormatting>
  <conditionalFormatting sqref="AO12">
    <cfRule type="expression" dxfId="2279" priority="7">
      <formula>AND(AJ$9&gt;10.5,AO$24=0)</formula>
    </cfRule>
  </conditionalFormatting>
  <conditionalFormatting sqref="AN12">
    <cfRule type="expression" dxfId="2278" priority="8">
      <formula>AND(AJ$9&gt;10.5,AN$24=0)</formula>
    </cfRule>
  </conditionalFormatting>
  <conditionalFormatting sqref="AM12">
    <cfRule type="expression" dxfId="2277" priority="9">
      <formula>AND(AJ$10&gt;0,AM$24=0)</formula>
    </cfRule>
  </conditionalFormatting>
  <conditionalFormatting sqref="AU12">
    <cfRule type="expression" dxfId="2276" priority="5">
      <formula>AND(AP$9&gt;10.5,AU$24=0)</formula>
    </cfRule>
  </conditionalFormatting>
  <conditionalFormatting sqref="AT12">
    <cfRule type="expression" dxfId="2275" priority="6">
      <formula>AND(AP$9&gt;10.5,AT$24=0)</formula>
    </cfRule>
  </conditionalFormatting>
  <conditionalFormatting sqref="AS12">
    <cfRule type="expression" dxfId="2274" priority="4">
      <formula>AND(AP$10&gt;0,AS$24=0)</formula>
    </cfRule>
  </conditionalFormatting>
  <conditionalFormatting sqref="BA12">
    <cfRule type="expression" dxfId="2273" priority="1">
      <formula>AND(AV$9&gt;10.5,BA$24=0)</formula>
    </cfRule>
  </conditionalFormatting>
  <conditionalFormatting sqref="AZ12">
    <cfRule type="expression" dxfId="2272" priority="2">
      <formula>AND(AV$9&gt;10.5,AZ$24=0)</formula>
    </cfRule>
  </conditionalFormatting>
  <conditionalFormatting sqref="AY12">
    <cfRule type="expression" dxfId="2271" priority="3">
      <formula>AND(AV$10&gt;0,AY$24=0)</formula>
    </cfRule>
  </conditionalFormatting>
  <dataValidations count="2">
    <dataValidation allowBlank="1" showInputMessage="1" showErrorMessage="1" sqref="E13:H23" xr:uid="{00000000-0002-0000-0800-000000000000}"/>
    <dataValidation type="textLength" allowBlank="1" showInputMessage="1" showErrorMessage="1" errorTitle="Digits" error="The EE# must be between 4 ad 5 digits" sqref="B2" xr:uid="{00000000-0002-0000-0800-000001000000}">
      <formula1>4</formula1>
      <formula2>5</formula2>
    </dataValidation>
  </dataValidations>
  <pageMargins left="0.25" right="0.25" top="0.75" bottom="0.75" header="0.3" footer="0.3"/>
  <pageSetup paperSize="5" scale="3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800-000002000000}">
          <x14:formula1>
            <xm:f>'Job List'!$A:$A</xm:f>
          </x14:formula1>
          <xm:sqref>C17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BB13" sqref="BB13"/>
    </sheetView>
  </sheetViews>
  <sheetFormatPr defaultColWidth="8.85546875" defaultRowHeight="39" customHeight="1" x14ac:dyDescent="0.3"/>
  <cols>
    <col min="1" max="1" width="16.5703125" style="270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17.85546875" style="1" customWidth="1"/>
    <col min="7" max="7" width="14.42578125" style="1" bestFit="1" customWidth="1"/>
    <col min="8" max="8" width="8.42578125" style="1" customWidth="1"/>
    <col min="9" max="9" width="11.28515625" style="270" customWidth="1"/>
    <col min="10" max="11" width="11.28515625" style="1" customWidth="1"/>
    <col min="12" max="12" width="6.5703125" style="1" bestFit="1" customWidth="1"/>
    <col min="13" max="13" width="6.7109375" style="1" customWidth="1"/>
    <col min="14" max="14" width="8.28515625" style="1" bestFit="1" customWidth="1"/>
    <col min="15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43" width="6.7109375" style="1" customWidth="1"/>
    <col min="44" max="44" width="7.85546875" style="1" customWidth="1"/>
    <col min="45" max="49" width="6.7109375" style="1" customWidth="1"/>
    <col min="50" max="50" width="8.140625" style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IF(ISNA(VLOOKUP($B$2,Employees!$B:$H,2,FALSE)),"Input Employee Number",VLOOKUP($B$2,Employees!$B:$H,2,FALSE))</f>
        <v>Cutler; Jeremy D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47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3114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IF(ISNA(VLOOKUP($B$2,Employees!$B:$H,4,FALSE)),"",VLOOKUP($B$2,Employees!$B:$H,4,FALSE))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>1245</v>
      </c>
      <c r="D4" s="226"/>
      <c r="E4" s="226"/>
      <c r="F4" s="226"/>
      <c r="G4" s="226"/>
      <c r="H4" s="226"/>
      <c r="I4" s="226"/>
      <c r="J4" s="226"/>
      <c r="K4" s="30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0.25</v>
      </c>
      <c r="M5" s="416"/>
      <c r="N5" s="416"/>
      <c r="O5" s="416"/>
      <c r="P5" s="416"/>
      <c r="Q5" s="417"/>
      <c r="R5" s="415">
        <v>0.25</v>
      </c>
      <c r="S5" s="416"/>
      <c r="T5" s="416"/>
      <c r="U5" s="416"/>
      <c r="V5" s="416"/>
      <c r="W5" s="417"/>
      <c r="X5" s="415">
        <v>0.25</v>
      </c>
      <c r="Y5" s="416"/>
      <c r="Z5" s="416"/>
      <c r="AA5" s="416"/>
      <c r="AB5" s="416"/>
      <c r="AC5" s="417"/>
      <c r="AD5" s="415">
        <v>0.25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0.25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4">
      <c r="A6" s="80"/>
      <c r="B6" s="81"/>
      <c r="C6" s="81"/>
      <c r="D6" s="378"/>
      <c r="E6" s="378"/>
      <c r="F6" s="379"/>
      <c r="G6" s="379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0.91666666666666663</v>
      </c>
      <c r="M8" s="416"/>
      <c r="N8" s="416"/>
      <c r="O8" s="416"/>
      <c r="P8" s="416"/>
      <c r="Q8" s="417"/>
      <c r="R8" s="415">
        <v>0.91666666666666663</v>
      </c>
      <c r="S8" s="416"/>
      <c r="T8" s="416"/>
      <c r="U8" s="416"/>
      <c r="V8" s="416"/>
      <c r="W8" s="417"/>
      <c r="X8" s="415">
        <v>0.91666666666666663</v>
      </c>
      <c r="Y8" s="416"/>
      <c r="Z8" s="416"/>
      <c r="AA8" s="416"/>
      <c r="AB8" s="416"/>
      <c r="AC8" s="417"/>
      <c r="AD8" s="415">
        <v>0.91666666666666663</v>
      </c>
      <c r="AE8" s="416"/>
      <c r="AF8" s="416"/>
      <c r="AG8" s="416"/>
      <c r="AH8" s="416"/>
      <c r="AI8" s="417"/>
      <c r="AJ8" s="415">
        <v>0.91666666666666663</v>
      </c>
      <c r="AK8" s="416"/>
      <c r="AL8" s="416"/>
      <c r="AM8" s="416"/>
      <c r="AN8" s="416"/>
      <c r="AO8" s="417"/>
      <c r="AP8" s="415">
        <v>0.91666666666666663</v>
      </c>
      <c r="AQ8" s="416"/>
      <c r="AR8" s="416"/>
      <c r="AS8" s="416"/>
      <c r="AT8" s="416"/>
      <c r="AU8" s="417"/>
      <c r="AV8" s="415">
        <v>0.91666666666666663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16</v>
      </c>
      <c r="M9" s="401"/>
      <c r="N9" s="401"/>
      <c r="O9" s="401"/>
      <c r="P9" s="401"/>
      <c r="Q9" s="402"/>
      <c r="R9" s="400">
        <f>IF(AND(R5&gt;=0,R8&gt;=0),(R6-R5+R8-R7)*24,0)</f>
        <v>16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16</v>
      </c>
      <c r="AE9" s="401"/>
      <c r="AF9" s="401"/>
      <c r="AG9" s="401"/>
      <c r="AH9" s="401"/>
      <c r="AI9" s="402"/>
      <c r="AJ9" s="400">
        <f>IF(AND(AJ5&gt;=0,AJ8&gt;=0),(AJ6-AJ5+AJ8-AJ7)*24,0)</f>
        <v>16</v>
      </c>
      <c r="AK9" s="401"/>
      <c r="AL9" s="401"/>
      <c r="AM9" s="401"/>
      <c r="AN9" s="401"/>
      <c r="AO9" s="402"/>
      <c r="AP9" s="400">
        <f>IF(AND(AP5&gt;=0,AP8&gt;=0),(AP6-AP5+AP8-AP7)*24,0)</f>
        <v>16</v>
      </c>
      <c r="AQ9" s="401"/>
      <c r="AR9" s="401"/>
      <c r="AS9" s="401"/>
      <c r="AT9" s="401"/>
      <c r="AU9" s="402"/>
      <c r="AV9" s="400">
        <f>IF(AND(AV5&gt;=0,AV8&gt;=0),(AV6-AV5+AV8-AV7)*24,0)</f>
        <v>16</v>
      </c>
      <c r="AW9" s="401"/>
      <c r="AX9" s="401"/>
      <c r="AY9" s="401"/>
      <c r="AZ9" s="401"/>
      <c r="BA9" s="402"/>
      <c r="BB9" s="400">
        <f>SUM(L9:BA9)</f>
        <v>112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16</v>
      </c>
      <c r="M10" s="407"/>
      <c r="N10" s="407"/>
      <c r="O10" s="407"/>
      <c r="P10" s="407"/>
      <c r="Q10" s="408"/>
      <c r="R10" s="406">
        <f>R24+T24</f>
        <v>16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AD24+AE24+AF24</f>
        <v>16</v>
      </c>
      <c r="AE10" s="407"/>
      <c r="AF10" s="407"/>
      <c r="AG10" s="407"/>
      <c r="AH10" s="407"/>
      <c r="AI10" s="408"/>
      <c r="AJ10" s="406">
        <f>AJ24+AK24+AL24</f>
        <v>16</v>
      </c>
      <c r="AK10" s="407"/>
      <c r="AL10" s="407"/>
      <c r="AM10" s="407"/>
      <c r="AN10" s="407"/>
      <c r="AO10" s="408"/>
      <c r="AP10" s="406">
        <f>AP24+AQ24+AR24</f>
        <v>16</v>
      </c>
      <c r="AQ10" s="407"/>
      <c r="AR10" s="407"/>
      <c r="AS10" s="407"/>
      <c r="AT10" s="407"/>
      <c r="AU10" s="408"/>
      <c r="AV10" s="409">
        <f>AV24+AW24+AX24</f>
        <v>16</v>
      </c>
      <c r="AW10" s="410"/>
      <c r="AX10" s="410"/>
      <c r="AY10" s="410"/>
      <c r="AZ10" s="410"/>
      <c r="BA10" s="411"/>
      <c r="BB10" s="412">
        <f>SUM(L10:BA10)</f>
        <v>112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 t="shared" ref="A13:A23" si="0">IF(ISBLANK(C13),"",IF(ISBLANK($D$3),"",$D$3))</f>
        <v>x</v>
      </c>
      <c r="B13" s="316" t="s">
        <v>101</v>
      </c>
      <c r="C13" s="353" t="s">
        <v>4081</v>
      </c>
      <c r="D13" s="371"/>
      <c r="E13" s="372" t="s">
        <v>731</v>
      </c>
      <c r="F13" s="316" t="str">
        <f t="shared" ref="F13:F23" si="1">IF(ISBLANK($B$4),"",$B$4)</f>
        <v>1245</v>
      </c>
      <c r="G13" s="316" t="s">
        <v>102</v>
      </c>
      <c r="H13" s="316" t="s">
        <v>102</v>
      </c>
      <c r="I13" s="139">
        <v>1</v>
      </c>
      <c r="J13" s="153" t="str">
        <f t="shared" ref="J13:J23" si="2">IF($K13=0,"",IF($K13&lt;10,"0"&amp;$K13,$K13))</f>
        <v>01</v>
      </c>
      <c r="K13" s="150">
        <v>1</v>
      </c>
      <c r="L13" s="263">
        <v>8</v>
      </c>
      <c r="M13" s="258"/>
      <c r="N13" s="258">
        <v>8</v>
      </c>
      <c r="O13" s="258">
        <v>3</v>
      </c>
      <c r="P13" s="258">
        <v>3</v>
      </c>
      <c r="Q13" s="259">
        <v>1.5</v>
      </c>
      <c r="R13" s="262">
        <v>8</v>
      </c>
      <c r="S13" s="260"/>
      <c r="T13" s="260">
        <v>8</v>
      </c>
      <c r="U13" s="260">
        <v>3</v>
      </c>
      <c r="V13" s="260">
        <v>3</v>
      </c>
      <c r="W13" s="261">
        <v>1.5</v>
      </c>
      <c r="X13" s="263">
        <v>8</v>
      </c>
      <c r="Y13" s="258"/>
      <c r="Z13" s="258">
        <v>8</v>
      </c>
      <c r="AA13" s="258">
        <v>3</v>
      </c>
      <c r="AB13" s="258">
        <v>3</v>
      </c>
      <c r="AC13" s="259">
        <v>1.5</v>
      </c>
      <c r="AD13" s="346">
        <v>8</v>
      </c>
      <c r="AE13" s="345"/>
      <c r="AF13" s="345">
        <v>8</v>
      </c>
      <c r="AG13" s="345">
        <v>3</v>
      </c>
      <c r="AH13" s="260">
        <v>3</v>
      </c>
      <c r="AI13" s="261">
        <v>1.5</v>
      </c>
      <c r="AJ13" s="263">
        <v>8</v>
      </c>
      <c r="AK13" s="258"/>
      <c r="AL13" s="258">
        <v>8</v>
      </c>
      <c r="AM13" s="258">
        <v>3</v>
      </c>
      <c r="AN13" s="258">
        <v>3</v>
      </c>
      <c r="AO13" s="259">
        <v>1.5</v>
      </c>
      <c r="AP13" s="262"/>
      <c r="AQ13" s="260"/>
      <c r="AR13" s="260">
        <v>16</v>
      </c>
      <c r="AS13" s="260">
        <v>3</v>
      </c>
      <c r="AT13" s="260">
        <v>3</v>
      </c>
      <c r="AU13" s="261">
        <v>1.5</v>
      </c>
      <c r="AV13" s="263"/>
      <c r="AW13" s="258"/>
      <c r="AX13" s="258">
        <v>16</v>
      </c>
      <c r="AY13" s="258">
        <v>3</v>
      </c>
      <c r="AZ13" s="258">
        <v>3</v>
      </c>
      <c r="BA13" s="259">
        <v>1.5</v>
      </c>
      <c r="BB13" s="119">
        <f t="shared" ref="BB13:BG23" si="3">SUM(AV13,AP13,AJ13,AD13,X13,R13,L13)</f>
        <v>40</v>
      </c>
      <c r="BC13" s="120">
        <f t="shared" si="3"/>
        <v>0</v>
      </c>
      <c r="BD13" s="120">
        <f t="shared" si="3"/>
        <v>72</v>
      </c>
      <c r="BE13" s="120">
        <f t="shared" si="3"/>
        <v>21</v>
      </c>
      <c r="BF13" s="120">
        <f t="shared" si="3"/>
        <v>21</v>
      </c>
      <c r="BG13" s="154">
        <f t="shared" si="3"/>
        <v>10.5</v>
      </c>
      <c r="BH13" s="123">
        <f>SUM(TimeSheet347536192444018216202622691234931249[[#This Row],[1]:[4A]])</f>
        <v>164.5</v>
      </c>
      <c r="BI13" s="126" t="e">
        <f ca="1"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#NAME?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 t="e">
        <f ca="1"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#NAME?</v>
      </c>
      <c r="BL13" s="127" t="e">
        <f ca="1"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#NAME?</v>
      </c>
      <c r="BM13" s="127" t="e">
        <f ca="1"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#NAME?</v>
      </c>
      <c r="BN13" s="128" t="e">
        <f ca="1"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#NAME?</v>
      </c>
      <c r="BO13" s="126" t="e">
        <f ca="1"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#NAME?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 t="e">
        <f ca="1"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#NAME?</v>
      </c>
      <c r="BR13" s="127" t="e">
        <f ca="1"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#NAME?</v>
      </c>
      <c r="BS13" s="127" t="e">
        <f ca="1"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#NAME?</v>
      </c>
      <c r="BT13" s="128" t="e">
        <f ca="1"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#NAME?</v>
      </c>
      <c r="BU13" s="126" t="e">
        <f ca="1"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#NAME?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 t="e">
        <f ca="1"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#NAME?</v>
      </c>
      <c r="BX13" s="127" t="e">
        <f ca="1"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#NAME?</v>
      </c>
      <c r="BY13" s="127" t="e">
        <f ca="1"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#NAME?</v>
      </c>
      <c r="BZ13" s="128" t="e">
        <f ca="1"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#NAME?</v>
      </c>
      <c r="CA13" s="126" t="e">
        <f ca="1"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#NAME?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 t="e">
        <f ca="1"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#NAME?</v>
      </c>
      <c r="CD13" s="127" t="e">
        <f ca="1"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#NAME?</v>
      </c>
      <c r="CE13" s="127" t="e">
        <f ca="1"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#NAME?</v>
      </c>
      <c r="CF13" s="128" t="e">
        <f ca="1"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#NAME?</v>
      </c>
      <c r="CG13" s="126" t="e">
        <f ca="1"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#NAME?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 t="e">
        <f ca="1"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#NAME?</v>
      </c>
      <c r="CJ13" s="127" t="e">
        <f ca="1"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#NAME?</v>
      </c>
      <c r="CK13" s="127" t="e">
        <f ca="1"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#NAME?</v>
      </c>
      <c r="CL13" s="128" t="e">
        <f ca="1"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#NAME?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 t="e">
        <f ca="1"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#NAME?</v>
      </c>
      <c r="CP13" s="127" t="e">
        <f ca="1"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#NAME?</v>
      </c>
      <c r="CQ13" s="127" t="e">
        <f ca="1"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#NAME?</v>
      </c>
      <c r="CR13" s="128" t="e">
        <f ca="1"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#NAME?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 t="e">
        <f ca="1"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#NAME?</v>
      </c>
      <c r="CV13" s="127" t="e">
        <f ca="1"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#NAME?</v>
      </c>
      <c r="CW13" s="127" t="e">
        <f ca="1"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#NAME?</v>
      </c>
      <c r="CX13" s="128" t="e">
        <f ca="1"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#NAME?</v>
      </c>
    </row>
    <row r="14" spans="1:102" ht="39" customHeight="1" x14ac:dyDescent="0.3">
      <c r="A14" s="109" t="str">
        <f t="shared" si="0"/>
        <v/>
      </c>
      <c r="B14" s="316" t="s">
        <v>101</v>
      </c>
      <c r="C14" s="334"/>
      <c r="D14" s="344"/>
      <c r="E14" s="334"/>
      <c r="F14" s="316" t="str">
        <f t="shared" si="1"/>
        <v>1245</v>
      </c>
      <c r="G14" s="316" t="s">
        <v>102</v>
      </c>
      <c r="H14" s="316" t="s">
        <v>102</v>
      </c>
      <c r="I14" s="139">
        <v>1</v>
      </c>
      <c r="J14" s="153" t="str">
        <f t="shared" si="2"/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3"/>
        <v>0</v>
      </c>
      <c r="BC14" s="120">
        <f t="shared" si="3"/>
        <v>0</v>
      </c>
      <c r="BD14" s="120">
        <f t="shared" si="3"/>
        <v>0</v>
      </c>
      <c r="BE14" s="120">
        <f t="shared" si="3"/>
        <v>0</v>
      </c>
      <c r="BF14" s="120">
        <f t="shared" si="3"/>
        <v>0</v>
      </c>
      <c r="BG14" s="154">
        <f t="shared" si="3"/>
        <v>0</v>
      </c>
      <c r="BH14" s="123">
        <f>SUM(TimeSheet347536192444018216202622691234931249[[#This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0"/>
        <v>x</v>
      </c>
      <c r="B15" s="316" t="s">
        <v>101</v>
      </c>
      <c r="C15" s="372" t="s">
        <v>3866</v>
      </c>
      <c r="D15" s="371"/>
      <c r="E15" s="372" t="s">
        <v>731</v>
      </c>
      <c r="F15" s="316" t="str">
        <f t="shared" si="1"/>
        <v>1245</v>
      </c>
      <c r="G15" s="316" t="s">
        <v>102</v>
      </c>
      <c r="H15" s="316" t="s">
        <v>102</v>
      </c>
      <c r="I15" s="139">
        <v>1</v>
      </c>
      <c r="J15" s="153" t="str">
        <f t="shared" si="2"/>
        <v>01</v>
      </c>
      <c r="K15" s="150">
        <v>1</v>
      </c>
      <c r="L15" s="263"/>
      <c r="M15" s="258"/>
      <c r="N15" s="258"/>
      <c r="O15" s="258"/>
      <c r="P15" s="258"/>
      <c r="Q15" s="259"/>
      <c r="R15" s="262"/>
      <c r="S15" s="260"/>
      <c r="T15" s="260"/>
      <c r="U15" s="260"/>
      <c r="V15" s="260"/>
      <c r="W15" s="261"/>
      <c r="X15" s="263"/>
      <c r="Y15" s="258"/>
      <c r="Z15" s="258"/>
      <c r="AA15" s="258"/>
      <c r="AB15" s="258"/>
      <c r="AC15" s="259"/>
      <c r="AD15" s="346"/>
      <c r="AE15" s="345"/>
      <c r="AF15" s="345"/>
      <c r="AG15" s="345"/>
      <c r="AH15" s="260"/>
      <c r="AI15" s="261"/>
      <c r="AJ15" s="263"/>
      <c r="AK15" s="258"/>
      <c r="AL15" s="258"/>
      <c r="AM15" s="258"/>
      <c r="AN15" s="258"/>
      <c r="AO15" s="259"/>
      <c r="AP15" s="262"/>
      <c r="AQ15" s="260"/>
      <c r="AR15" s="260"/>
      <c r="AS15" s="260"/>
      <c r="AT15" s="260"/>
      <c r="AU15" s="261"/>
      <c r="AV15" s="263"/>
      <c r="AW15" s="258"/>
      <c r="AX15" s="258"/>
      <c r="AY15" s="258"/>
      <c r="AZ15" s="258"/>
      <c r="BA15" s="259"/>
      <c r="BB15" s="119">
        <f t="shared" si="3"/>
        <v>0</v>
      </c>
      <c r="BC15" s="120">
        <f t="shared" si="3"/>
        <v>0</v>
      </c>
      <c r="BD15" s="120">
        <f t="shared" si="3"/>
        <v>0</v>
      </c>
      <c r="BE15" s="120">
        <f t="shared" si="3"/>
        <v>0</v>
      </c>
      <c r="BF15" s="120">
        <f t="shared" si="3"/>
        <v>0</v>
      </c>
      <c r="BG15" s="154">
        <f t="shared" si="3"/>
        <v>0</v>
      </c>
      <c r="BH15" s="123">
        <f>SUM(TimeSheet347536192444018216202622691234931249[[#This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 t="shared" si="0"/>
        <v/>
      </c>
      <c r="B16" s="316" t="s">
        <v>101</v>
      </c>
      <c r="C16" s="334"/>
      <c r="D16" s="277"/>
      <c r="E16" s="316"/>
      <c r="F16" s="316" t="str">
        <f t="shared" si="1"/>
        <v>1245</v>
      </c>
      <c r="G16" s="316" t="s">
        <v>102</v>
      </c>
      <c r="H16" s="316" t="s">
        <v>102</v>
      </c>
      <c r="I16" s="139">
        <v>1</v>
      </c>
      <c r="J16" s="153" t="str">
        <f t="shared" si="2"/>
        <v>01</v>
      </c>
      <c r="K16" s="150">
        <v>1</v>
      </c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9"/>
      <c r="AD16" s="262"/>
      <c r="AE16" s="260"/>
      <c r="AF16" s="260"/>
      <c r="AG16" s="345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3"/>
        <v>0</v>
      </c>
      <c r="BC16" s="120">
        <f t="shared" si="3"/>
        <v>0</v>
      </c>
      <c r="BD16" s="120">
        <f t="shared" si="3"/>
        <v>0</v>
      </c>
      <c r="BE16" s="120">
        <f t="shared" si="3"/>
        <v>0</v>
      </c>
      <c r="BF16" s="120">
        <f t="shared" si="3"/>
        <v>0</v>
      </c>
      <c r="BG16" s="154">
        <f t="shared" si="3"/>
        <v>0</v>
      </c>
      <c r="BH16" s="123">
        <f>SUM(TimeSheet347536192444018216202622691234931249[[#This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 t="shared" si="0"/>
        <v>x</v>
      </c>
      <c r="B17" s="316" t="s">
        <v>101</v>
      </c>
      <c r="C17" s="353" t="s">
        <v>3846</v>
      </c>
      <c r="D17" s="241"/>
      <c r="E17" s="316" t="s">
        <v>731</v>
      </c>
      <c r="F17" s="316" t="str">
        <f t="shared" si="1"/>
        <v>1245</v>
      </c>
      <c r="G17" s="316" t="s">
        <v>102</v>
      </c>
      <c r="H17" s="316" t="s">
        <v>102</v>
      </c>
      <c r="I17" s="139">
        <v>1</v>
      </c>
      <c r="J17" s="153" t="str">
        <f t="shared" si="2"/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3"/>
        <v>0</v>
      </c>
      <c r="BC17" s="120">
        <f t="shared" si="3"/>
        <v>0</v>
      </c>
      <c r="BD17" s="120">
        <f t="shared" si="3"/>
        <v>0</v>
      </c>
      <c r="BE17" s="120">
        <f t="shared" si="3"/>
        <v>0</v>
      </c>
      <c r="BF17" s="120">
        <f t="shared" si="3"/>
        <v>0</v>
      </c>
      <c r="BG17" s="154">
        <f t="shared" si="3"/>
        <v>0</v>
      </c>
      <c r="BH17" s="123">
        <f>SUM(TimeSheet347536192444018216202622691234931249[[#This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0"/>
        <v/>
      </c>
      <c r="B18" s="316" t="s">
        <v>101</v>
      </c>
      <c r="C18" s="334"/>
      <c r="D18" s="344"/>
      <c r="E18" s="343"/>
      <c r="F18" s="316" t="str">
        <f t="shared" si="1"/>
        <v>1245</v>
      </c>
      <c r="G18" s="316" t="s">
        <v>102</v>
      </c>
      <c r="H18" s="316" t="s">
        <v>102</v>
      </c>
      <c r="I18" s="139">
        <v>1</v>
      </c>
      <c r="J18" s="153" t="str">
        <f t="shared" si="2"/>
        <v>01</v>
      </c>
      <c r="K18" s="150">
        <v>1</v>
      </c>
      <c r="L18" s="263"/>
      <c r="M18" s="258"/>
      <c r="N18" s="258"/>
      <c r="O18" s="258"/>
      <c r="P18" s="258"/>
      <c r="Q18" s="259"/>
      <c r="R18" s="262"/>
      <c r="S18" s="260"/>
      <c r="T18" s="260"/>
      <c r="U18" s="260"/>
      <c r="V18" s="260"/>
      <c r="W18" s="261"/>
      <c r="X18" s="263"/>
      <c r="Y18" s="258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62"/>
      <c r="AQ18" s="260"/>
      <c r="AR18" s="260"/>
      <c r="AS18" s="260"/>
      <c r="AT18" s="260"/>
      <c r="AU18" s="261"/>
      <c r="AV18" s="263"/>
      <c r="AW18" s="258"/>
      <c r="AX18" s="258"/>
      <c r="AY18" s="258"/>
      <c r="AZ18" s="258"/>
      <c r="BA18" s="259"/>
      <c r="BB18" s="119">
        <f t="shared" si="3"/>
        <v>0</v>
      </c>
      <c r="BC18" s="120">
        <f t="shared" si="3"/>
        <v>0</v>
      </c>
      <c r="BD18" s="120">
        <f t="shared" si="3"/>
        <v>0</v>
      </c>
      <c r="BE18" s="120">
        <f t="shared" si="3"/>
        <v>0</v>
      </c>
      <c r="BF18" s="120">
        <f t="shared" si="3"/>
        <v>0</v>
      </c>
      <c r="BG18" s="154">
        <f t="shared" si="3"/>
        <v>0</v>
      </c>
      <c r="BH18" s="123">
        <f>SUM(TimeSheet347536192444018216202622691234931249[[#This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0"/>
        <v/>
      </c>
      <c r="B19" s="316" t="s">
        <v>101</v>
      </c>
      <c r="C19" s="334"/>
      <c r="D19" s="344"/>
      <c r="E19" s="316"/>
      <c r="F19" s="316" t="str">
        <f t="shared" si="1"/>
        <v>1245</v>
      </c>
      <c r="G19" s="316" t="s">
        <v>102</v>
      </c>
      <c r="H19" s="316" t="s">
        <v>102</v>
      </c>
      <c r="I19" s="139">
        <v>1</v>
      </c>
      <c r="J19" s="153" t="str">
        <f t="shared" si="2"/>
        <v>01</v>
      </c>
      <c r="K19" s="150">
        <v>1</v>
      </c>
      <c r="L19" s="263"/>
      <c r="M19" s="258"/>
      <c r="N19" s="258"/>
      <c r="O19" s="258"/>
      <c r="P19" s="258"/>
      <c r="Q19" s="259"/>
      <c r="R19" s="262"/>
      <c r="S19" s="260"/>
      <c r="T19" s="260"/>
      <c r="U19" s="260"/>
      <c r="V19" s="260"/>
      <c r="W19" s="261"/>
      <c r="X19" s="263"/>
      <c r="Y19" s="258"/>
      <c r="Z19" s="258"/>
      <c r="AA19" s="258"/>
      <c r="AB19" s="258"/>
      <c r="AC19" s="259"/>
      <c r="AD19" s="262"/>
      <c r="AE19" s="260"/>
      <c r="AF19" s="260"/>
      <c r="AG19" s="260"/>
      <c r="AH19" s="260"/>
      <c r="AI19" s="261"/>
      <c r="AJ19" s="263"/>
      <c r="AK19" s="258"/>
      <c r="AL19" s="258"/>
      <c r="AM19" s="258"/>
      <c r="AN19" s="258"/>
      <c r="AO19" s="259"/>
      <c r="AP19" s="262"/>
      <c r="AQ19" s="260"/>
      <c r="AR19" s="260"/>
      <c r="AS19" s="260"/>
      <c r="AT19" s="260"/>
      <c r="AU19" s="261"/>
      <c r="AV19" s="263"/>
      <c r="AW19" s="258"/>
      <c r="AX19" s="258"/>
      <c r="AY19" s="258"/>
      <c r="AZ19" s="258"/>
      <c r="BA19" s="259"/>
      <c r="BB19" s="119">
        <f t="shared" si="3"/>
        <v>0</v>
      </c>
      <c r="BC19" s="120">
        <f t="shared" si="3"/>
        <v>0</v>
      </c>
      <c r="BD19" s="120">
        <f t="shared" si="3"/>
        <v>0</v>
      </c>
      <c r="BE19" s="120">
        <f t="shared" si="3"/>
        <v>0</v>
      </c>
      <c r="BF19" s="120">
        <f t="shared" si="3"/>
        <v>0</v>
      </c>
      <c r="BG19" s="154">
        <f t="shared" si="3"/>
        <v>0</v>
      </c>
      <c r="BH19" s="123">
        <f>SUM(TimeSheet347536192444018216202622691234931249[[#This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0"/>
        <v/>
      </c>
      <c r="B20" s="316" t="s">
        <v>101</v>
      </c>
      <c r="C20" s="343"/>
      <c r="D20" s="277"/>
      <c r="E20" s="316"/>
      <c r="F20" s="316" t="str">
        <f t="shared" si="1"/>
        <v>1245</v>
      </c>
      <c r="G20" s="316" t="s">
        <v>102</v>
      </c>
      <c r="H20" s="316" t="s">
        <v>102</v>
      </c>
      <c r="I20" s="139">
        <v>1</v>
      </c>
      <c r="J20" s="153" t="str">
        <f t="shared" si="2"/>
        <v>01</v>
      </c>
      <c r="K20" s="150">
        <v>1</v>
      </c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3"/>
        <v>0</v>
      </c>
      <c r="BC20" s="120">
        <f t="shared" si="3"/>
        <v>0</v>
      </c>
      <c r="BD20" s="120">
        <f t="shared" si="3"/>
        <v>0</v>
      </c>
      <c r="BE20" s="120">
        <f t="shared" si="3"/>
        <v>0</v>
      </c>
      <c r="BF20" s="120">
        <f t="shared" si="3"/>
        <v>0</v>
      </c>
      <c r="BG20" s="154">
        <f t="shared" si="3"/>
        <v>0</v>
      </c>
      <c r="BH20" s="123">
        <f>SUM(TimeSheet347536192444018216202622691234931249[[#This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0"/>
        <v/>
      </c>
      <c r="B21" s="316" t="s">
        <v>101</v>
      </c>
      <c r="C21" s="334"/>
      <c r="D21" s="277"/>
      <c r="E21" s="316"/>
      <c r="F21" s="316" t="str">
        <f t="shared" si="1"/>
        <v>1245</v>
      </c>
      <c r="G21" s="316" t="s">
        <v>102</v>
      </c>
      <c r="H21" s="316" t="s">
        <v>102</v>
      </c>
      <c r="I21" s="139">
        <v>1</v>
      </c>
      <c r="J21" s="153" t="str">
        <f t="shared" si="2"/>
        <v>01</v>
      </c>
      <c r="K21" s="150">
        <v>1</v>
      </c>
      <c r="L21" s="263"/>
      <c r="M21" s="258"/>
      <c r="N21" s="258"/>
      <c r="O21" s="258"/>
      <c r="P21" s="258"/>
      <c r="Q21" s="259"/>
      <c r="R21" s="262"/>
      <c r="S21" s="260"/>
      <c r="T21" s="260"/>
      <c r="U21" s="260"/>
      <c r="V21" s="260"/>
      <c r="W21" s="261"/>
      <c r="X21" s="200"/>
      <c r="Y21" s="201"/>
      <c r="Z21" s="201"/>
      <c r="AA21" s="201"/>
      <c r="AB21" s="201"/>
      <c r="AC21" s="237"/>
      <c r="AD21" s="238"/>
      <c r="AE21" s="202"/>
      <c r="AF21" s="260"/>
      <c r="AG21" s="202"/>
      <c r="AH21" s="202"/>
      <c r="AI21" s="203"/>
      <c r="AJ21" s="200"/>
      <c r="AK21" s="201"/>
      <c r="AL21" s="258"/>
      <c r="AM21" s="201"/>
      <c r="AN21" s="201"/>
      <c r="AO21" s="237"/>
      <c r="AP21" s="238"/>
      <c r="AQ21" s="202"/>
      <c r="AR21" s="202"/>
      <c r="AS21" s="202"/>
      <c r="AT21" s="202"/>
      <c r="AU21" s="203"/>
      <c r="AV21" s="200"/>
      <c r="AW21" s="201"/>
      <c r="AX21" s="201"/>
      <c r="AY21" s="201"/>
      <c r="AZ21" s="258"/>
      <c r="BA21" s="259"/>
      <c r="BB21" s="119">
        <f t="shared" si="3"/>
        <v>0</v>
      </c>
      <c r="BC21" s="120">
        <f t="shared" si="3"/>
        <v>0</v>
      </c>
      <c r="BD21" s="120">
        <f t="shared" si="3"/>
        <v>0</v>
      </c>
      <c r="BE21" s="120">
        <f t="shared" si="3"/>
        <v>0</v>
      </c>
      <c r="BF21" s="120">
        <f t="shared" si="3"/>
        <v>0</v>
      </c>
      <c r="BG21" s="154">
        <f t="shared" si="3"/>
        <v>0</v>
      </c>
      <c r="BH21" s="123">
        <f>SUM(TimeSheet347536192444018216202622691234931249[[#This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0"/>
        <v/>
      </c>
      <c r="B22" s="316" t="s">
        <v>101</v>
      </c>
      <c r="C22" s="111"/>
      <c r="D22" s="277"/>
      <c r="E22" s="316"/>
      <c r="F22" s="316" t="str">
        <f t="shared" si="1"/>
        <v>1245</v>
      </c>
      <c r="G22" s="316" t="s">
        <v>102</v>
      </c>
      <c r="H22" s="316" t="s">
        <v>102</v>
      </c>
      <c r="I22" s="139">
        <v>1</v>
      </c>
      <c r="J22" s="153" t="str">
        <f t="shared" si="2"/>
        <v>01</v>
      </c>
      <c r="K22" s="150">
        <v>1</v>
      </c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59"/>
      <c r="AP22" s="262"/>
      <c r="AQ22" s="260"/>
      <c r="AR22" s="260"/>
      <c r="AS22" s="260"/>
      <c r="AT22" s="260"/>
      <c r="AU22" s="261"/>
      <c r="AV22" s="263"/>
      <c r="AW22" s="258"/>
      <c r="AX22" s="258"/>
      <c r="AY22" s="258"/>
      <c r="AZ22" s="258"/>
      <c r="BA22" s="259"/>
      <c r="BB22" s="119">
        <f t="shared" si="3"/>
        <v>0</v>
      </c>
      <c r="BC22" s="120">
        <f t="shared" si="3"/>
        <v>0</v>
      </c>
      <c r="BD22" s="120">
        <f t="shared" si="3"/>
        <v>0</v>
      </c>
      <c r="BE22" s="120">
        <f t="shared" si="3"/>
        <v>0</v>
      </c>
      <c r="BF22" s="120">
        <f t="shared" si="3"/>
        <v>0</v>
      </c>
      <c r="BG22" s="154">
        <f t="shared" si="3"/>
        <v>0</v>
      </c>
      <c r="BH22" s="123">
        <f>SUM(TimeSheet347536192444018216202622691234931249[[#This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0"/>
        <v/>
      </c>
      <c r="B23" s="316" t="s">
        <v>101</v>
      </c>
      <c r="C23" s="111"/>
      <c r="D23" s="277"/>
      <c r="E23" s="316"/>
      <c r="F23" s="316" t="str">
        <f t="shared" si="1"/>
        <v>1245</v>
      </c>
      <c r="G23" s="316" t="s">
        <v>102</v>
      </c>
      <c r="H23" s="316" t="s">
        <v>102</v>
      </c>
      <c r="I23" s="139">
        <v>1</v>
      </c>
      <c r="J23" s="153" t="str">
        <f t="shared" si="2"/>
        <v>01</v>
      </c>
      <c r="K23" s="150">
        <v>1</v>
      </c>
      <c r="L23" s="263"/>
      <c r="M23" s="258"/>
      <c r="N23" s="258"/>
      <c r="O23" s="258"/>
      <c r="P23" s="258"/>
      <c r="Q23" s="259"/>
      <c r="R23" s="262"/>
      <c r="S23" s="260"/>
      <c r="T23" s="260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3"/>
        <v>0</v>
      </c>
      <c r="BC23" s="120">
        <f t="shared" si="3"/>
        <v>0</v>
      </c>
      <c r="BD23" s="120">
        <f t="shared" si="3"/>
        <v>0</v>
      </c>
      <c r="BE23" s="120">
        <f t="shared" si="3"/>
        <v>0</v>
      </c>
      <c r="BF23" s="120">
        <f t="shared" si="3"/>
        <v>0</v>
      </c>
      <c r="BG23" s="154">
        <f t="shared" si="3"/>
        <v>0</v>
      </c>
      <c r="BH23" s="123">
        <f>SUM(TimeSheet347536192444018216202622691234931249[[#This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SUBTOTAL(109,TimeSheet347536192444018216202622691234931249[RT1])</f>
        <v>8</v>
      </c>
      <c r="M24" s="359">
        <f>SUBTOTAL(109,TimeSheet347536192444018216202622691234931249[OT1])</f>
        <v>0</v>
      </c>
      <c r="N24" s="359">
        <f>SUBTOTAL(109,TimeSheet347536192444018216202622691234931249[DT1])</f>
        <v>8</v>
      </c>
      <c r="O24" s="359">
        <f>SUBTOTAL(109,TimeSheet347536192444018216202622691234931249[PD1])</f>
        <v>3</v>
      </c>
      <c r="P24" s="359">
        <f>SUBTOTAL(109,TimeSheet347536192444018216202622691234931249[4D1])</f>
        <v>3</v>
      </c>
      <c r="Q24" s="360">
        <f>SUBTOTAL(109,TimeSheet347536192444018216202622691234931249[4A1])</f>
        <v>1.5</v>
      </c>
      <c r="R24" s="361">
        <f>SUBTOTAL(109,TimeSheet347536192444018216202622691234931249[RT2])</f>
        <v>8</v>
      </c>
      <c r="S24" s="362">
        <f>SUBTOTAL(109,TimeSheet347536192444018216202622691234931249[OT2])</f>
        <v>0</v>
      </c>
      <c r="T24" s="362">
        <f>SUBTOTAL(109,TimeSheet347536192444018216202622691234931249[DT2])</f>
        <v>8</v>
      </c>
      <c r="U24" s="362">
        <f>SUBTOTAL(109,TimeSheet347536192444018216202622691234931249[PD2])</f>
        <v>3</v>
      </c>
      <c r="V24" s="362">
        <f>SUBTOTAL(109,TimeSheet347536192444018216202622691234931249[4D2])</f>
        <v>3</v>
      </c>
      <c r="W24" s="363">
        <f>SUBTOTAL(109,TimeSheet347536192444018216202622691234931249[4A2])</f>
        <v>1.5</v>
      </c>
      <c r="X24" s="358">
        <f>SUBTOTAL(109,TimeSheet347536192444018216202622691234931249[RT3])</f>
        <v>8</v>
      </c>
      <c r="Y24" s="359">
        <f>SUBTOTAL(109,TimeSheet347536192444018216202622691234931249[OT3])</f>
        <v>0</v>
      </c>
      <c r="Z24" s="359">
        <f>SUBTOTAL(109,TimeSheet347536192444018216202622691234931249[DT3])</f>
        <v>8</v>
      </c>
      <c r="AA24" s="359">
        <f>SUBTOTAL(109,TimeSheet347536192444018216202622691234931249[PD3])</f>
        <v>3</v>
      </c>
      <c r="AB24" s="359">
        <f>SUBTOTAL(109,TimeSheet347536192444018216202622691234931249[4D3])</f>
        <v>3</v>
      </c>
      <c r="AC24" s="360">
        <f>SUBTOTAL(109,TimeSheet347536192444018216202622691234931249[4A3])</f>
        <v>1.5</v>
      </c>
      <c r="AD24" s="361">
        <f>SUBTOTAL(109,TimeSheet347536192444018216202622691234931249[RT4])</f>
        <v>8</v>
      </c>
      <c r="AE24" s="362">
        <f>SUBTOTAL(109,TimeSheet347536192444018216202622691234931249[OT4])</f>
        <v>0</v>
      </c>
      <c r="AF24" s="362">
        <f>SUBTOTAL(109,TimeSheet347536192444018216202622691234931249[DT4])</f>
        <v>8</v>
      </c>
      <c r="AG24" s="362">
        <f>SUBTOTAL(109,TimeSheet347536192444018216202622691234931249[PD4])</f>
        <v>3</v>
      </c>
      <c r="AH24" s="362">
        <f>SUBTOTAL(109,TimeSheet347536192444018216202622691234931249[4D4])</f>
        <v>3</v>
      </c>
      <c r="AI24" s="363">
        <f>SUBTOTAL(109,TimeSheet347536192444018216202622691234931249[4A4])</f>
        <v>1.5</v>
      </c>
      <c r="AJ24" s="358">
        <f>SUBTOTAL(109,TimeSheet347536192444018216202622691234931249[RT5])</f>
        <v>8</v>
      </c>
      <c r="AK24" s="359">
        <f>SUBTOTAL(109,TimeSheet347536192444018216202622691234931249[OT5])</f>
        <v>0</v>
      </c>
      <c r="AL24" s="359">
        <f>SUBTOTAL(109,TimeSheet347536192444018216202622691234931249[DT5])</f>
        <v>8</v>
      </c>
      <c r="AM24" s="359">
        <f>SUBTOTAL(109,TimeSheet347536192444018216202622691234931249[PD5])</f>
        <v>3</v>
      </c>
      <c r="AN24" s="359">
        <f>SUBTOTAL(109,TimeSheet347536192444018216202622691234931249[4D5])</f>
        <v>3</v>
      </c>
      <c r="AO24" s="360">
        <f>SUBTOTAL(109,TimeSheet347536192444018216202622691234931249[4A5])</f>
        <v>1.5</v>
      </c>
      <c r="AP24" s="361">
        <f>SUBTOTAL(109,TimeSheet347536192444018216202622691234931249[RT6])</f>
        <v>0</v>
      </c>
      <c r="AQ24" s="362">
        <f>SUBTOTAL(109,TimeSheet347536192444018216202622691234931249[OT6])</f>
        <v>0</v>
      </c>
      <c r="AR24" s="362">
        <f>SUBTOTAL(109,TimeSheet347536192444018216202622691234931249[DT6])</f>
        <v>16</v>
      </c>
      <c r="AS24" s="362">
        <f>SUBTOTAL(109,TimeSheet347536192444018216202622691234931249[PD6])</f>
        <v>3</v>
      </c>
      <c r="AT24" s="362">
        <f>SUBTOTAL(109,TimeSheet347536192444018216202622691234931249[4D6])</f>
        <v>3</v>
      </c>
      <c r="AU24" s="363">
        <f>SUBTOTAL(109,TimeSheet347536192444018216202622691234931249[4A6])</f>
        <v>1.5</v>
      </c>
      <c r="AV24" s="358">
        <f>SUBTOTAL(109,TimeSheet347536192444018216202622691234931249[RT7])</f>
        <v>0</v>
      </c>
      <c r="AW24" s="359">
        <f>SUBTOTAL(109,TimeSheet347536192444018216202622691234931249[OT7])</f>
        <v>0</v>
      </c>
      <c r="AX24" s="359">
        <f>SUBTOTAL(109,TimeSheet347536192444018216202622691234931249[DT7])</f>
        <v>16</v>
      </c>
      <c r="AY24" s="359">
        <f>SUBTOTAL(109,TimeSheet347536192444018216202622691234931249[PD7])</f>
        <v>3</v>
      </c>
      <c r="AZ24" s="359">
        <f>SUBTOTAL(109,TimeSheet347536192444018216202622691234931249[4D7])</f>
        <v>3</v>
      </c>
      <c r="BA24" s="360">
        <f>SUBTOTAL(109,TimeSheet347536192444018216202622691234931249[4A7])</f>
        <v>1.5</v>
      </c>
      <c r="BB24" s="364">
        <f>SUBTOTAL(109,TimeSheet347536192444018216202622691234931249[1])</f>
        <v>40</v>
      </c>
      <c r="BC24" s="365">
        <f>SUBTOTAL(109,TimeSheet347536192444018216202622691234931249[3])</f>
        <v>0</v>
      </c>
      <c r="BD24" s="365">
        <f>SUBTOTAL(109,TimeSheet347536192444018216202622691234931249[2])</f>
        <v>72</v>
      </c>
      <c r="BE24" s="365">
        <f>SUBTOTAL(109,TimeSheet347536192444018216202622691234931249[4])</f>
        <v>21</v>
      </c>
      <c r="BF24" s="365">
        <f>SUBTOTAL(109,TimeSheet347536192444018216202622691234931249[4D])</f>
        <v>21</v>
      </c>
      <c r="BG24" s="366">
        <f>SUBTOTAL(109,TimeSheet347536192444018216202622691234931249[4A])</f>
        <v>10.5</v>
      </c>
      <c r="BH24" s="367">
        <f>SUBTOTAL(109,TimeSheet347536192444018216202622691234931249[Total])-SUM(TimeSheet347536192444018216202622691234931249[[#Totals],[RT1]:[4A7]])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5">
      <c r="A25" s="173"/>
      <c r="B25" s="28" t="s">
        <v>356</v>
      </c>
      <c r="C25" s="28"/>
      <c r="D25" s="28"/>
      <c r="E25" s="28"/>
      <c r="L25" s="197"/>
      <c r="M25" s="222"/>
      <c r="N25" s="222"/>
      <c r="O25" s="222"/>
      <c r="Q25" s="222"/>
      <c r="R25" s="376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D25" s="377"/>
      <c r="AJ25" s="222"/>
      <c r="AK25" s="342"/>
      <c r="AL25" s="342"/>
      <c r="AM25" s="342"/>
      <c r="AN25" s="342"/>
      <c r="AO25" s="342"/>
      <c r="AP25" s="342"/>
      <c r="AQ25" s="222"/>
      <c r="AR25" s="341"/>
      <c r="AS25" s="205"/>
      <c r="AT25" s="205"/>
      <c r="AU25" s="205"/>
      <c r="AV25" s="352"/>
      <c r="AW25" s="205"/>
      <c r="AX25" s="205"/>
      <c r="AY25" s="205"/>
      <c r="AZ25" s="205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</row>
    <row r="26" spans="1:102" ht="39" customHeight="1" x14ac:dyDescent="0.7">
      <c r="A26" s="174" t="str">
        <f>IF(ISBLANK('[11]Job Details'!A5),"",'[11]Job Details'!A5)</f>
        <v>5/8's Crew</v>
      </c>
      <c r="B26" s="175"/>
      <c r="C26" s="176" t="str">
        <f>IF(ISBLANK('[11]Job Details'!B5),"",'[11]Job Details'!B5)</f>
        <v/>
      </c>
      <c r="D26" s="174" t="str">
        <f>IF(ISBLANK('[11]Job Details'!C5),"",'[11]Job Details'!C5)</f>
        <v>4/10's Crew</v>
      </c>
      <c r="E26" s="177" t="str">
        <f>IF(ISBLANK('[11]Job Details'!D5),"",'[11]Job Details'!D5)</f>
        <v/>
      </c>
      <c r="F26" s="178" t="str">
        <f>IF(ISBLANK('[11]Job Details'!E5),"",'[11]Job Details'!E5)</f>
        <v>Distribution Crews</v>
      </c>
      <c r="G26" s="270"/>
      <c r="H26" s="224"/>
      <c r="I26" s="223"/>
      <c r="J26" s="222"/>
      <c r="K26" s="222"/>
      <c r="L26" s="204"/>
      <c r="M26" s="221"/>
      <c r="N26" s="204"/>
      <c r="O26" s="204"/>
      <c r="P26" s="204"/>
      <c r="Q26" s="204"/>
      <c r="R26" s="204"/>
      <c r="S26" s="204"/>
      <c r="T26" s="204"/>
      <c r="U26" s="204"/>
      <c r="Z26" s="274"/>
      <c r="AA26" s="274"/>
      <c r="AB26" s="274"/>
      <c r="AC26" s="274"/>
      <c r="AD26" s="274"/>
      <c r="AK26" s="342"/>
      <c r="AL26" s="342"/>
      <c r="AM26" s="342"/>
      <c r="AN26" s="342"/>
      <c r="AO26" s="342"/>
      <c r="AP26" s="342"/>
      <c r="AQ26" s="341"/>
      <c r="AR26" s="341"/>
      <c r="AS26" s="205"/>
      <c r="AT26" s="205"/>
      <c r="AU26" s="205"/>
      <c r="AV26" s="205"/>
      <c r="AW26" s="205"/>
      <c r="AX26" s="205"/>
      <c r="AY26" s="205"/>
      <c r="AZ26" s="205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</row>
    <row r="27" spans="1:102" ht="39" customHeight="1" x14ac:dyDescent="0.5">
      <c r="A27" s="179" t="str">
        <f>IF(ISBLANK('[11]Job Details'!A6),"",'[11]Job Details'!A6)</f>
        <v>8 ST</v>
      </c>
      <c r="B27" s="180"/>
      <c r="C27" s="181" t="str">
        <f>IF(ISBLANK('[11]Job Details'!B6),"",'[11]Job Details'!B6)</f>
        <v>10 ST</v>
      </c>
      <c r="D27" s="182" t="str">
        <f>IF(ISBLANK('[11]Job Details'!C6),"",'[11]Job Details'!C6)</f>
        <v>5/8's Crew</v>
      </c>
      <c r="E27" s="181" t="str">
        <f>IF(ISBLANK('[11]Job Details'!D6),"",'[11]Job Details'!D6)</f>
        <v/>
      </c>
      <c r="F27" s="183" t="str">
        <f>IF(ISBLANK('[11]Job Details'!E6),"",'[11]Job Details'!E6)</f>
        <v>4/10's Crew</v>
      </c>
      <c r="G27" s="270"/>
      <c r="H27" s="224"/>
      <c r="I27" s="223"/>
      <c r="J27" s="222"/>
      <c r="K27" s="222"/>
      <c r="L27" s="222"/>
      <c r="M27" s="222"/>
      <c r="N27" s="222"/>
      <c r="O27" s="222"/>
      <c r="P27" s="222"/>
      <c r="Q27" s="222"/>
      <c r="R27" s="222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IF(ISBLANK('[11]Job Details'!A7),"",'[11]Job Details'!A7)</f>
        <v>2 OT</v>
      </c>
      <c r="B28" s="180"/>
      <c r="C28" s="181" t="str">
        <f>IF(ISBLANK('[11]Job Details'!B7),"",'[11]Job Details'!B7)</f>
        <v>10+ DT</v>
      </c>
      <c r="D28" s="179" t="str">
        <f>IF(ISBLANK('[11]Job Details'!C7),"",'[11]Job Details'!C7)</f>
        <v>8 ST</v>
      </c>
      <c r="E28" s="181" t="str">
        <f>IF(ISBLANK('[11]Job Details'!D7),"",'[11]Job Details'!D7)</f>
        <v>10 ST</v>
      </c>
      <c r="F28" s="183" t="str">
        <f>IF(ISBLANK('[11]Job Details'!E7),"",'[11]Job Details'!E7)</f>
        <v>Saturday</v>
      </c>
      <c r="G28" s="270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X28" s="271"/>
      <c r="Y28" s="271"/>
      <c r="Z28" s="271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IF(ISBLANK('[11]Job Details'!A8),"",'[11]Job Details'!A8)</f>
        <v>10+ DT</v>
      </c>
      <c r="B29" s="185"/>
      <c r="C29" s="186" t="str">
        <f>IF(ISBLANK('[11]Job Details'!B8),"",'[11]Job Details'!B8)</f>
        <v/>
      </c>
      <c r="D29" s="179" t="str">
        <f>IF(ISBLANK('[11]Job Details'!C8),"",'[11]Job Details'!C8)</f>
        <v>8+ DT</v>
      </c>
      <c r="E29" s="181" t="str">
        <f>IF(ISBLANK('[11]Job Details'!D8),"",'[11]Job Details'!D8)</f>
        <v>10+ DT</v>
      </c>
      <c r="F29" s="187" t="str">
        <f>IF(ISBLANK('[11]Job Details'!E8),"",'[11]Job Details'!E8)</f>
        <v>All DT</v>
      </c>
      <c r="G29" s="270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</row>
    <row r="30" spans="1:102" ht="39" customHeight="1" x14ac:dyDescent="0.4">
      <c r="A30" s="188" t="str">
        <f>IF(ISBLANK('[11]Job Details'!A9),"",'[11]Job Details'!A9)</f>
        <v>Saturday</v>
      </c>
      <c r="B30" s="175"/>
      <c r="C30" s="189" t="str">
        <f>IF(ISBLANK('[11]Job Details'!B9),"",'[11]Job Details'!B9)</f>
        <v/>
      </c>
      <c r="D30" s="190" t="str">
        <f>IF(ISBLANK('[11]Job Details'!C9),"",'[11]Job Details'!C9)</f>
        <v>Sunday</v>
      </c>
      <c r="E30" s="176" t="str">
        <f>IF(ISBLANK('[11]Job Details'!D9),"",'[11]Job Details'!D9)</f>
        <v/>
      </c>
      <c r="F30" s="183" t="str">
        <f>IF(ISBLANK('[11]Job Details'!E9),"",'[11]Job Details'!E9)</f>
        <v>Sunday</v>
      </c>
      <c r="G30" s="27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IF(ISBLANK('[11]Job Details'!A10),"",'[11]Job Details'!A10)</f>
        <v>8 OT</v>
      </c>
      <c r="B31" s="180"/>
      <c r="C31" s="181" t="str">
        <f>IF(ISBLANK('[11]Job Details'!B10),"",'[11]Job Details'!B10)</f>
        <v/>
      </c>
      <c r="D31" s="191" t="str">
        <f>IF(ISBLANK('[11]Job Details'!C10),"",'[11]Job Details'!C10)</f>
        <v>All DT</v>
      </c>
      <c r="E31" s="181" t="str">
        <f>IF(ISBLANK('[11]Job Details'!D10),"",'[11]Job Details'!D10)</f>
        <v/>
      </c>
      <c r="F31" s="187" t="str">
        <f>IF(ISBLANK('[11]Job Details'!E10),"",'[11]Job Details'!E10)</f>
        <v>All DT</v>
      </c>
      <c r="G31" s="270"/>
      <c r="H31" s="270"/>
    </row>
    <row r="32" spans="1:102" ht="39" customHeight="1" x14ac:dyDescent="0.4">
      <c r="A32" s="184" t="str">
        <f>IF(ISBLANK('[11]Job Details'!A11),"",'[11]Job Details'!A11)</f>
        <v>8+DT</v>
      </c>
      <c r="B32" s="185"/>
      <c r="C32" s="186" t="str">
        <f>IF(ISBLANK('[11]Job Details'!B11),"",'[11]Job Details'!B11)</f>
        <v/>
      </c>
      <c r="D32" s="192" t="str">
        <f>IF(ISBLANK('[11]Job Details'!C11),"",'[11]Job Details'!C11)</f>
        <v/>
      </c>
      <c r="E32" s="186" t="str">
        <f>IF(ISBLANK('[11]Job Details'!D11),"",'[11]Job Details'!D11)</f>
        <v/>
      </c>
      <c r="F32" s="193" t="str">
        <f>IF(ISBLANK('[11]Job Details'!E11),"",'[11]Job Details'!E11)</f>
        <v/>
      </c>
      <c r="G32" s="270"/>
      <c r="H32" s="270"/>
    </row>
    <row r="33" spans="7:8" ht="39" customHeight="1" x14ac:dyDescent="0.3">
      <c r="G33" s="270"/>
      <c r="H33" s="270"/>
    </row>
  </sheetData>
  <sheetProtection formatCells="0" formatColumns="0" formatRows="0" insertColumns="0" insertRows="0" deleteColumns="0" deleteRows="0" selectLockedCells="1"/>
  <mergeCells count="77">
    <mergeCell ref="BB1:BG1"/>
    <mergeCell ref="L3:Q3"/>
    <mergeCell ref="R3:W3"/>
    <mergeCell ref="X3:AC3"/>
    <mergeCell ref="AD3:AI3"/>
    <mergeCell ref="AJ3:AO3"/>
    <mergeCell ref="AP3:AU3"/>
    <mergeCell ref="AV3:BA3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</mergeCells>
  <conditionalFormatting sqref="D3 A14:A15 A17:A23">
    <cfRule type="expression" dxfId="2060" priority="383">
      <formula>ISBLANK(A3)</formula>
    </cfRule>
  </conditionalFormatting>
  <conditionalFormatting sqref="B1:K1">
    <cfRule type="expression" dxfId="2059" priority="381">
      <formula>$A$1="Input Employee Number"</formula>
    </cfRule>
  </conditionalFormatting>
  <conditionalFormatting sqref="BB1:BG1">
    <cfRule type="expression" dxfId="2058" priority="380">
      <formula>ISBLANK(BB1)</formula>
    </cfRule>
  </conditionalFormatting>
  <conditionalFormatting sqref="BH24">
    <cfRule type="expression" dxfId="2057" priority="378">
      <formula>$BH24&lt;&gt;0</formula>
    </cfRule>
    <cfRule type="expression" dxfId="2056" priority="379">
      <formula>$BH24=0</formula>
    </cfRule>
  </conditionalFormatting>
  <conditionalFormatting sqref="L11:BG11">
    <cfRule type="expression" dxfId="2055" priority="377">
      <formula>L11&lt;&gt;0</formula>
    </cfRule>
  </conditionalFormatting>
  <conditionalFormatting sqref="E24:H24 F13:H15 F22:H23 E20:H20 G16:H16 F17:H19">
    <cfRule type="expression" dxfId="2054" priority="376">
      <formula>AND($BH13&lt;&gt;0,ISBLANK(E13))</formula>
    </cfRule>
  </conditionalFormatting>
  <conditionalFormatting sqref="B2">
    <cfRule type="cellIs" dxfId="2053" priority="375" operator="equal">
      <formula>0</formula>
    </cfRule>
  </conditionalFormatting>
  <conditionalFormatting sqref="D3 A14:A15 A17:A23">
    <cfRule type="cellIs" dxfId="2052" priority="382" operator="equal">
      <formula>"x"</formula>
    </cfRule>
  </conditionalFormatting>
  <conditionalFormatting sqref="E22:E23 E20">
    <cfRule type="expression" dxfId="2051" priority="372">
      <formula>AND($C20&gt;0,ISBLANK($E20))</formula>
    </cfRule>
  </conditionalFormatting>
  <conditionalFormatting sqref="C22:C24">
    <cfRule type="expression" dxfId="2050" priority="384">
      <formula>AND($C22=0,BH22&lt;&gt;0)</formula>
    </cfRule>
  </conditionalFormatting>
  <conditionalFormatting sqref="A13">
    <cfRule type="expression" dxfId="2049" priority="350">
      <formula>ISBLANK(A13)</formula>
    </cfRule>
  </conditionalFormatting>
  <conditionalFormatting sqref="A13">
    <cfRule type="cellIs" dxfId="2048" priority="349" operator="equal">
      <formula>"x"</formula>
    </cfRule>
  </conditionalFormatting>
  <conditionalFormatting sqref="F21:H21">
    <cfRule type="expression" dxfId="2047" priority="348">
      <formula>AND($BH21&lt;&gt;0,ISBLANK(F21))</formula>
    </cfRule>
  </conditionalFormatting>
  <conditionalFormatting sqref="A16">
    <cfRule type="expression" dxfId="2046" priority="345">
      <formula>ISBLANK(A16)</formula>
    </cfRule>
  </conditionalFormatting>
  <conditionalFormatting sqref="F16">
    <cfRule type="expression" dxfId="2045" priority="343">
      <formula>AND($BH16&lt;&gt;0,ISBLANK(F16))</formula>
    </cfRule>
  </conditionalFormatting>
  <conditionalFormatting sqref="A16">
    <cfRule type="cellIs" dxfId="2044" priority="344" operator="equal">
      <formula>"x"</formula>
    </cfRule>
  </conditionalFormatting>
  <conditionalFormatting sqref="B14">
    <cfRule type="expression" dxfId="2043" priority="340">
      <formula>AND($BH14&lt;&gt;0,ISBLANK(B14))</formula>
    </cfRule>
  </conditionalFormatting>
  <conditionalFormatting sqref="B14">
    <cfRule type="expression" dxfId="2042" priority="339">
      <formula>AND($BH14&lt;&gt;0,ISBLANK(B14))</formula>
    </cfRule>
  </conditionalFormatting>
  <conditionalFormatting sqref="B14">
    <cfRule type="expression" dxfId="2041" priority="338">
      <formula>AND($C14&gt;0,ISBLANK($E14))</formula>
    </cfRule>
  </conditionalFormatting>
  <conditionalFormatting sqref="B14">
    <cfRule type="expression" dxfId="2040" priority="337">
      <formula>AND($BH14&lt;&gt;0,ISBLANK(B14))</formula>
    </cfRule>
  </conditionalFormatting>
  <conditionalFormatting sqref="B14">
    <cfRule type="expression" dxfId="2039" priority="342">
      <formula>AND($BH14&lt;&gt;0,ISBLANK(B14))</formula>
    </cfRule>
  </conditionalFormatting>
  <conditionalFormatting sqref="B14">
    <cfRule type="expression" dxfId="2038" priority="341">
      <formula>AND($C14&gt;0,ISBLANK($E14))</formula>
    </cfRule>
  </conditionalFormatting>
  <conditionalFormatting sqref="B14">
    <cfRule type="expression" dxfId="2037" priority="336">
      <formula>AND($C14&gt;0,ISBLANK($E14))</formula>
    </cfRule>
  </conditionalFormatting>
  <conditionalFormatting sqref="B14">
    <cfRule type="expression" dxfId="2036" priority="335">
      <formula>AND($BH14&lt;&gt;0,ISBLANK(B14))</formula>
    </cfRule>
  </conditionalFormatting>
  <conditionalFormatting sqref="B14">
    <cfRule type="expression" dxfId="2035" priority="334">
      <formula>AND($C14&gt;0,ISBLANK($E14))</formula>
    </cfRule>
  </conditionalFormatting>
  <conditionalFormatting sqref="B14">
    <cfRule type="expression" dxfId="2034" priority="333">
      <formula>AND($BH14&lt;&gt;0,ISBLANK(B14))</formula>
    </cfRule>
  </conditionalFormatting>
  <conditionalFormatting sqref="B14">
    <cfRule type="expression" dxfId="2033" priority="332">
      <formula>AND($C14&gt;0,ISBLANK($E14))</formula>
    </cfRule>
  </conditionalFormatting>
  <conditionalFormatting sqref="B13">
    <cfRule type="expression" dxfId="2032" priority="331">
      <formula>AND($BH13&lt;&gt;0,ISBLANK(B13))</formula>
    </cfRule>
  </conditionalFormatting>
  <conditionalFormatting sqref="B13">
    <cfRule type="expression" dxfId="2031" priority="330">
      <formula>AND($C13&gt;0,ISBLANK($E13))</formula>
    </cfRule>
  </conditionalFormatting>
  <conditionalFormatting sqref="B13">
    <cfRule type="expression" dxfId="2030" priority="326">
      <formula>AND($BH13&lt;&gt;0,ISBLANK(B13))</formula>
    </cfRule>
  </conditionalFormatting>
  <conditionalFormatting sqref="B13">
    <cfRule type="expression" dxfId="2029" priority="325">
      <formula>AND($C13&gt;0,ISBLANK($E13))</formula>
    </cfRule>
  </conditionalFormatting>
  <conditionalFormatting sqref="B13">
    <cfRule type="expression" dxfId="2028" priority="329">
      <formula>AND($BH13&lt;&gt;0,ISBLANK(B13))</formula>
    </cfRule>
  </conditionalFormatting>
  <conditionalFormatting sqref="B13">
    <cfRule type="expression" dxfId="2027" priority="328">
      <formula>AND($BH13&lt;&gt;0,ISBLANK(B13))</formula>
    </cfRule>
  </conditionalFormatting>
  <conditionalFormatting sqref="B13">
    <cfRule type="expression" dxfId="2026" priority="327">
      <formula>AND($C13&gt;0,ISBLANK($E13))</formula>
    </cfRule>
  </conditionalFormatting>
  <conditionalFormatting sqref="B16">
    <cfRule type="expression" dxfId="2025" priority="322">
      <formula>AND($BH16&lt;&gt;0,ISBLANK(B16))</formula>
    </cfRule>
  </conditionalFormatting>
  <conditionalFormatting sqref="B16">
    <cfRule type="expression" dxfId="2024" priority="321">
      <formula>AND($BH16&lt;&gt;0,ISBLANK(B16))</formula>
    </cfRule>
  </conditionalFormatting>
  <conditionalFormatting sqref="B16">
    <cfRule type="expression" dxfId="2023" priority="320">
      <formula>AND($C16&gt;0,ISBLANK($E16))</formula>
    </cfRule>
  </conditionalFormatting>
  <conditionalFormatting sqref="B16">
    <cfRule type="expression" dxfId="2022" priority="319">
      <formula>AND($BH16&lt;&gt;0,ISBLANK(B16))</formula>
    </cfRule>
  </conditionalFormatting>
  <conditionalFormatting sqref="B16">
    <cfRule type="expression" dxfId="2021" priority="324">
      <formula>AND($BH16&lt;&gt;0,ISBLANK(B16))</formula>
    </cfRule>
  </conditionalFormatting>
  <conditionalFormatting sqref="B16">
    <cfRule type="expression" dxfId="2020" priority="323">
      <formula>AND($C16&gt;0,ISBLANK($E16))</formula>
    </cfRule>
  </conditionalFormatting>
  <conditionalFormatting sqref="B16">
    <cfRule type="expression" dxfId="2019" priority="318">
      <formula>AND($C16&gt;0,ISBLANK($E16))</formula>
    </cfRule>
  </conditionalFormatting>
  <conditionalFormatting sqref="B16">
    <cfRule type="expression" dxfId="2018" priority="317">
      <formula>AND($BH16&lt;&gt;0,ISBLANK(B16))</formula>
    </cfRule>
  </conditionalFormatting>
  <conditionalFormatting sqref="B16">
    <cfRule type="expression" dxfId="2017" priority="316">
      <formula>AND($C16&gt;0,ISBLANK($E16))</formula>
    </cfRule>
  </conditionalFormatting>
  <conditionalFormatting sqref="B16">
    <cfRule type="expression" dxfId="2016" priority="315">
      <formula>AND($BH16&lt;&gt;0,ISBLANK(B16))</formula>
    </cfRule>
  </conditionalFormatting>
  <conditionalFormatting sqref="B16">
    <cfRule type="expression" dxfId="2015" priority="314">
      <formula>AND($C16&gt;0,ISBLANK($E16))</formula>
    </cfRule>
  </conditionalFormatting>
  <conditionalFormatting sqref="B18">
    <cfRule type="expression" dxfId="2014" priority="311">
      <formula>AND($BH18&lt;&gt;0,ISBLANK(B18))</formula>
    </cfRule>
  </conditionalFormatting>
  <conditionalFormatting sqref="B18">
    <cfRule type="expression" dxfId="2013" priority="310">
      <formula>AND($BH18&lt;&gt;0,ISBLANK(B18))</formula>
    </cfRule>
  </conditionalFormatting>
  <conditionalFormatting sqref="B18">
    <cfRule type="expression" dxfId="2012" priority="309">
      <formula>AND($C18&gt;0,ISBLANK($E18))</formula>
    </cfRule>
  </conditionalFormatting>
  <conditionalFormatting sqref="B18">
    <cfRule type="expression" dxfId="2011" priority="308">
      <formula>AND($BH18&lt;&gt;0,ISBLANK(B18))</formula>
    </cfRule>
  </conditionalFormatting>
  <conditionalFormatting sqref="B18">
    <cfRule type="expression" dxfId="2010" priority="313">
      <formula>AND($BH18&lt;&gt;0,ISBLANK(B18))</formula>
    </cfRule>
  </conditionalFormatting>
  <conditionalFormatting sqref="B18">
    <cfRule type="expression" dxfId="2009" priority="312">
      <formula>AND($C18&gt;0,ISBLANK($E18))</formula>
    </cfRule>
  </conditionalFormatting>
  <conditionalFormatting sqref="B18">
    <cfRule type="expression" dxfId="2008" priority="307">
      <formula>AND($C18&gt;0,ISBLANK($E18))</formula>
    </cfRule>
  </conditionalFormatting>
  <conditionalFormatting sqref="B18">
    <cfRule type="expression" dxfId="2007" priority="306">
      <formula>AND($BH18&lt;&gt;0,ISBLANK(B18))</formula>
    </cfRule>
  </conditionalFormatting>
  <conditionalFormatting sqref="B18">
    <cfRule type="expression" dxfId="2006" priority="305">
      <formula>AND($C18&gt;0,ISBLANK($E18))</formula>
    </cfRule>
  </conditionalFormatting>
  <conditionalFormatting sqref="B18">
    <cfRule type="expression" dxfId="2005" priority="304">
      <formula>AND($BH18&lt;&gt;0,ISBLANK(B18))</formula>
    </cfRule>
  </conditionalFormatting>
  <conditionalFormatting sqref="B18">
    <cfRule type="expression" dxfId="2004" priority="303">
      <formula>AND($C18&gt;0,ISBLANK($E18))</formula>
    </cfRule>
  </conditionalFormatting>
  <conditionalFormatting sqref="B15">
    <cfRule type="expression" dxfId="2003" priority="300">
      <formula>AND($BH15&lt;&gt;0,ISBLANK(B15))</formula>
    </cfRule>
  </conditionalFormatting>
  <conditionalFormatting sqref="B15">
    <cfRule type="expression" dxfId="2002" priority="299">
      <formula>AND($BH15&lt;&gt;0,ISBLANK(B15))</formula>
    </cfRule>
  </conditionalFormatting>
  <conditionalFormatting sqref="B15">
    <cfRule type="expression" dxfId="2001" priority="298">
      <formula>AND($C15&gt;0,ISBLANK($E15))</formula>
    </cfRule>
  </conditionalFormatting>
  <conditionalFormatting sqref="B15">
    <cfRule type="expression" dxfId="2000" priority="297">
      <formula>AND($BH15&lt;&gt;0,ISBLANK(B15))</formula>
    </cfRule>
  </conditionalFormatting>
  <conditionalFormatting sqref="B15">
    <cfRule type="expression" dxfId="1999" priority="302">
      <formula>AND($BH15&lt;&gt;0,ISBLANK(B15))</formula>
    </cfRule>
  </conditionalFormatting>
  <conditionalFormatting sqref="B15">
    <cfRule type="expression" dxfId="1998" priority="301">
      <formula>AND($C15&gt;0,ISBLANK($E15))</formula>
    </cfRule>
  </conditionalFormatting>
  <conditionalFormatting sqref="B15">
    <cfRule type="expression" dxfId="1997" priority="296">
      <formula>AND($C15&gt;0,ISBLANK($E15))</formula>
    </cfRule>
  </conditionalFormatting>
  <conditionalFormatting sqref="B15">
    <cfRule type="expression" dxfId="1996" priority="295">
      <formula>AND($BH15&lt;&gt;0,ISBLANK(B15))</formula>
    </cfRule>
  </conditionalFormatting>
  <conditionalFormatting sqref="B15">
    <cfRule type="expression" dxfId="1995" priority="294">
      <formula>AND($C15&gt;0,ISBLANK($E15))</formula>
    </cfRule>
  </conditionalFormatting>
  <conditionalFormatting sqref="B15">
    <cfRule type="expression" dxfId="1994" priority="293">
      <formula>AND($BH15&lt;&gt;0,ISBLANK(B15))</formula>
    </cfRule>
  </conditionalFormatting>
  <conditionalFormatting sqref="B15">
    <cfRule type="expression" dxfId="1993" priority="292">
      <formula>AND($C15&gt;0,ISBLANK($E15))</formula>
    </cfRule>
  </conditionalFormatting>
  <conditionalFormatting sqref="E16">
    <cfRule type="expression" dxfId="1992" priority="271">
      <formula>AND($BH16&lt;&gt;0,ISBLANK(E16))</formula>
    </cfRule>
  </conditionalFormatting>
  <conditionalFormatting sqref="E16">
    <cfRule type="expression" dxfId="1991" priority="270">
      <formula>AND($C16&gt;0,ISBLANK($E16))</formula>
    </cfRule>
  </conditionalFormatting>
  <conditionalFormatting sqref="E16">
    <cfRule type="expression" dxfId="1990" priority="269">
      <formula>AND($BH16&lt;&gt;0,ISBLANK(E16))</formula>
    </cfRule>
  </conditionalFormatting>
  <conditionalFormatting sqref="E16">
    <cfRule type="expression" dxfId="1989" priority="268">
      <formula>AND($C16&gt;0,ISBLANK($E16))</formula>
    </cfRule>
  </conditionalFormatting>
  <conditionalFormatting sqref="E18">
    <cfRule type="expression" dxfId="1988" priority="267">
      <formula>AND($BH18&lt;&gt;0,ISBLANK(E18))</formula>
    </cfRule>
  </conditionalFormatting>
  <conditionalFormatting sqref="C18">
    <cfRule type="expression" dxfId="1987" priority="266">
      <formula>AND($BH18&lt;&gt;0,ISBLANK(C18))</formula>
    </cfRule>
  </conditionalFormatting>
  <conditionalFormatting sqref="C18">
    <cfRule type="expression" dxfId="1986" priority="265">
      <formula>AND($C18&gt;0,ISBLANK($E18))</formula>
    </cfRule>
  </conditionalFormatting>
  <conditionalFormatting sqref="C18">
    <cfRule type="expression" dxfId="1985" priority="261">
      <formula>AND($BH18&lt;&gt;0,ISBLANK(C18))</formula>
    </cfRule>
  </conditionalFormatting>
  <conditionalFormatting sqref="C18">
    <cfRule type="expression" dxfId="1984" priority="260">
      <formula>AND($C18&gt;0,ISBLANK($E18))</formula>
    </cfRule>
  </conditionalFormatting>
  <conditionalFormatting sqref="C18">
    <cfRule type="expression" dxfId="1983" priority="264">
      <formula>AND($BH18&lt;&gt;0,ISBLANK(C18))</formula>
    </cfRule>
  </conditionalFormatting>
  <conditionalFormatting sqref="C18">
    <cfRule type="expression" dxfId="1982" priority="263">
      <formula>AND($BH18&lt;&gt;0,ISBLANK(C18))</formula>
    </cfRule>
  </conditionalFormatting>
  <conditionalFormatting sqref="C18">
    <cfRule type="expression" dxfId="1981" priority="262">
      <formula>AND($C18&gt;0,ISBLANK($E18))</formula>
    </cfRule>
  </conditionalFormatting>
  <conditionalFormatting sqref="C18">
    <cfRule type="expression" dxfId="1980" priority="259">
      <formula>AND($BH18&lt;&gt;0,ISBLANK(C18))</formula>
    </cfRule>
  </conditionalFormatting>
  <conditionalFormatting sqref="C18">
    <cfRule type="expression" dxfId="1979" priority="258">
      <formula>AND($C18&gt;0,ISBLANK($E18))</formula>
    </cfRule>
  </conditionalFormatting>
  <conditionalFormatting sqref="C18">
    <cfRule type="expression" dxfId="1978" priority="257">
      <formula>AND($BH18&lt;&gt;0,ISBLANK(C18))</formula>
    </cfRule>
  </conditionalFormatting>
  <conditionalFormatting sqref="C14">
    <cfRule type="expression" dxfId="1977" priority="254">
      <formula>AND($BH14&lt;&gt;0,ISBLANK(C14))</formula>
    </cfRule>
  </conditionalFormatting>
  <conditionalFormatting sqref="C14">
    <cfRule type="expression" dxfId="1976" priority="247">
      <formula>AND($BH14&lt;&gt;0,ISBLANK(C14))</formula>
    </cfRule>
  </conditionalFormatting>
  <conditionalFormatting sqref="E14">
    <cfRule type="expression" dxfId="1975" priority="246">
      <formula>AND($BH14&lt;&gt;0,ISBLANK(E14))</formula>
    </cfRule>
  </conditionalFormatting>
  <conditionalFormatting sqref="E14">
    <cfRule type="expression" dxfId="1974" priority="245">
      <formula>AND($C14&gt;0,ISBLANK($E14))</formula>
    </cfRule>
  </conditionalFormatting>
  <conditionalFormatting sqref="E14">
    <cfRule type="expression" dxfId="1973" priority="241">
      <formula>AND($BH14&lt;&gt;0,ISBLANK(E14))</formula>
    </cfRule>
  </conditionalFormatting>
  <conditionalFormatting sqref="E14">
    <cfRule type="expression" dxfId="1972" priority="240">
      <formula>AND($C14&gt;0,ISBLANK($E14))</formula>
    </cfRule>
  </conditionalFormatting>
  <conditionalFormatting sqref="E14">
    <cfRule type="expression" dxfId="1971" priority="244">
      <formula>AND($BH14&lt;&gt;0,ISBLANK(E14))</formula>
    </cfRule>
  </conditionalFormatting>
  <conditionalFormatting sqref="E14">
    <cfRule type="expression" dxfId="1970" priority="243">
      <formula>AND($BH14&lt;&gt;0,ISBLANK(E14))</formula>
    </cfRule>
  </conditionalFormatting>
  <conditionalFormatting sqref="E14">
    <cfRule type="expression" dxfId="1969" priority="242">
      <formula>AND($C14&gt;0,ISBLANK($E14))</formula>
    </cfRule>
  </conditionalFormatting>
  <conditionalFormatting sqref="E14">
    <cfRule type="expression" dxfId="1968" priority="239">
      <formula>AND($BH14&lt;&gt;0,ISBLANK(E14))</formula>
    </cfRule>
  </conditionalFormatting>
  <conditionalFormatting sqref="E14">
    <cfRule type="expression" dxfId="1967" priority="238">
      <formula>AND($C14&gt;0,ISBLANK($E14))</formula>
    </cfRule>
  </conditionalFormatting>
  <conditionalFormatting sqref="E14">
    <cfRule type="expression" dxfId="1966" priority="237">
      <formula>AND($BH14&lt;&gt;0,ISBLANK(E14))</formula>
    </cfRule>
  </conditionalFormatting>
  <conditionalFormatting sqref="C14">
    <cfRule type="expression" dxfId="1965" priority="256">
      <formula>AND($BH14&lt;&gt;0,ISBLANK(C14))</formula>
    </cfRule>
  </conditionalFormatting>
  <conditionalFormatting sqref="C14">
    <cfRule type="expression" dxfId="1964" priority="255">
      <formula>AND($C14&gt;0,ISBLANK($E14))</formula>
    </cfRule>
  </conditionalFormatting>
  <conditionalFormatting sqref="C14">
    <cfRule type="expression" dxfId="1963" priority="251">
      <formula>AND($BH14&lt;&gt;0,ISBLANK(C14))</formula>
    </cfRule>
  </conditionalFormatting>
  <conditionalFormatting sqref="C14">
    <cfRule type="expression" dxfId="1962" priority="250">
      <formula>AND($C14&gt;0,ISBLANK($E14))</formula>
    </cfRule>
  </conditionalFormatting>
  <conditionalFormatting sqref="C14">
    <cfRule type="expression" dxfId="1961" priority="253">
      <formula>AND($BH14&lt;&gt;0,ISBLANK(C14))</formula>
    </cfRule>
  </conditionalFormatting>
  <conditionalFormatting sqref="C14">
    <cfRule type="expression" dxfId="1960" priority="252">
      <formula>AND($C14&gt;0,ISBLANK($E14))</formula>
    </cfRule>
  </conditionalFormatting>
  <conditionalFormatting sqref="C14">
    <cfRule type="expression" dxfId="1959" priority="249">
      <formula>AND($BH14&lt;&gt;0,ISBLANK(C14))</formula>
    </cfRule>
  </conditionalFormatting>
  <conditionalFormatting sqref="C14">
    <cfRule type="expression" dxfId="1958" priority="248">
      <formula>AND($C14&gt;0,ISBLANK($E14))</formula>
    </cfRule>
  </conditionalFormatting>
  <conditionalFormatting sqref="C16">
    <cfRule type="expression" dxfId="1957" priority="234">
      <formula>AND($BH16&lt;&gt;0,ISBLANK(C16))</formula>
    </cfRule>
  </conditionalFormatting>
  <conditionalFormatting sqref="C16">
    <cfRule type="expression" dxfId="1956" priority="227">
      <formula>AND($BH16&lt;&gt;0,ISBLANK(C16))</formula>
    </cfRule>
  </conditionalFormatting>
  <conditionalFormatting sqref="C16">
    <cfRule type="expression" dxfId="1955" priority="236">
      <formula>AND($BH16&lt;&gt;0,ISBLANK(C16))</formula>
    </cfRule>
  </conditionalFormatting>
  <conditionalFormatting sqref="C16">
    <cfRule type="expression" dxfId="1954" priority="235">
      <formula>AND($C16&gt;0,ISBLANK($E16))</formula>
    </cfRule>
  </conditionalFormatting>
  <conditionalFormatting sqref="C16">
    <cfRule type="expression" dxfId="1953" priority="231">
      <formula>AND($BH16&lt;&gt;0,ISBLANK(C16))</formula>
    </cfRule>
  </conditionalFormatting>
  <conditionalFormatting sqref="C16">
    <cfRule type="expression" dxfId="1952" priority="230">
      <formula>AND($C16&gt;0,ISBLANK($E16))</formula>
    </cfRule>
  </conditionalFormatting>
  <conditionalFormatting sqref="C16">
    <cfRule type="expression" dxfId="1951" priority="233">
      <formula>AND($BH16&lt;&gt;0,ISBLANK(C16))</formula>
    </cfRule>
  </conditionalFormatting>
  <conditionalFormatting sqref="C16">
    <cfRule type="expression" dxfId="1950" priority="232">
      <formula>AND($C16&gt;0,ISBLANK($E16))</formula>
    </cfRule>
  </conditionalFormatting>
  <conditionalFormatting sqref="C16">
    <cfRule type="expression" dxfId="1949" priority="229">
      <formula>AND($BH16&lt;&gt;0,ISBLANK(C16))</formula>
    </cfRule>
  </conditionalFormatting>
  <conditionalFormatting sqref="C16">
    <cfRule type="expression" dxfId="1948" priority="228">
      <formula>AND($C16&gt;0,ISBLANK($E16))</formula>
    </cfRule>
  </conditionalFormatting>
  <conditionalFormatting sqref="B19">
    <cfRule type="expression" dxfId="1947" priority="226">
      <formula>AND($BH19&lt;&gt;0,ISBLANK(B19))</formula>
    </cfRule>
  </conditionalFormatting>
  <conditionalFormatting sqref="B19">
    <cfRule type="expression" dxfId="1946" priority="225">
      <formula>AND($C19&gt;0,ISBLANK($E19))</formula>
    </cfRule>
  </conditionalFormatting>
  <conditionalFormatting sqref="B19">
    <cfRule type="expression" dxfId="1945" priority="221">
      <formula>AND($BH19&lt;&gt;0,ISBLANK(B19))</formula>
    </cfRule>
  </conditionalFormatting>
  <conditionalFormatting sqref="B19">
    <cfRule type="expression" dxfId="1944" priority="220">
      <formula>AND($C19&gt;0,ISBLANK($E19))</formula>
    </cfRule>
  </conditionalFormatting>
  <conditionalFormatting sqref="B19">
    <cfRule type="expression" dxfId="1943" priority="224">
      <formula>AND($BH19&lt;&gt;0,ISBLANK(B19))</formula>
    </cfRule>
  </conditionalFormatting>
  <conditionalFormatting sqref="B19">
    <cfRule type="expression" dxfId="1942" priority="223">
      <formula>AND($BH19&lt;&gt;0,ISBLANK(B19))</formula>
    </cfRule>
  </conditionalFormatting>
  <conditionalFormatting sqref="B19">
    <cfRule type="expression" dxfId="1941" priority="222">
      <formula>AND($C19&gt;0,ISBLANK($E19))</formula>
    </cfRule>
  </conditionalFormatting>
  <conditionalFormatting sqref="B17">
    <cfRule type="expression" dxfId="1940" priority="196">
      <formula>AND($BH17&lt;&gt;0,ISBLANK(B17))</formula>
    </cfRule>
  </conditionalFormatting>
  <conditionalFormatting sqref="B17">
    <cfRule type="expression" dxfId="1939" priority="195">
      <formula>AND($C17&gt;0,ISBLANK($E17))</formula>
    </cfRule>
  </conditionalFormatting>
  <conditionalFormatting sqref="E17">
    <cfRule type="expression" dxfId="1938" priority="192">
      <formula>AND($BH17&lt;&gt;0,ISBLANK(E17))</formula>
    </cfRule>
  </conditionalFormatting>
  <conditionalFormatting sqref="E17">
    <cfRule type="expression" dxfId="1937" priority="191">
      <formula>AND($C17&gt;0,ISBLANK($E17))</formula>
    </cfRule>
  </conditionalFormatting>
  <conditionalFormatting sqref="A1">
    <cfRule type="expression" dxfId="1936" priority="190">
      <formula>$A$1="Input Employee Number"</formula>
    </cfRule>
  </conditionalFormatting>
  <conditionalFormatting sqref="B3">
    <cfRule type="containsBlanks" dxfId="1935" priority="189">
      <formula>LEN(TRIM(B3))=0</formula>
    </cfRule>
  </conditionalFormatting>
  <conditionalFormatting sqref="B4">
    <cfRule type="containsBlanks" dxfId="1934" priority="188">
      <formula>LEN(TRIM(B4))=0</formula>
    </cfRule>
  </conditionalFormatting>
  <conditionalFormatting sqref="C20">
    <cfRule type="expression" dxfId="1933" priority="185">
      <formula>AND($BH20&lt;&gt;0,ISBLANK(C20))</formula>
    </cfRule>
  </conditionalFormatting>
  <conditionalFormatting sqref="C20">
    <cfRule type="expression" dxfId="1932" priority="184">
      <formula>AND($BH20&lt;&gt;0,ISBLANK(C20))</formula>
    </cfRule>
  </conditionalFormatting>
  <conditionalFormatting sqref="C20">
    <cfRule type="expression" dxfId="1931" priority="183">
      <formula>AND($C20&gt;0,ISBLANK($E20))</formula>
    </cfRule>
  </conditionalFormatting>
  <conditionalFormatting sqref="C19">
    <cfRule type="expression" dxfId="1930" priority="182">
      <formula>AND($BH19&lt;&gt;0,ISBLANK(C19))</formula>
    </cfRule>
  </conditionalFormatting>
  <conditionalFormatting sqref="C19">
    <cfRule type="expression" dxfId="1929" priority="181">
      <formula>AND($C19&gt;0,ISBLANK($E19))</formula>
    </cfRule>
  </conditionalFormatting>
  <conditionalFormatting sqref="C19">
    <cfRule type="expression" dxfId="1928" priority="177">
      <formula>AND($BH19&lt;&gt;0,ISBLANK(C19))</formula>
    </cfRule>
  </conditionalFormatting>
  <conditionalFormatting sqref="C19">
    <cfRule type="expression" dxfId="1927" priority="176">
      <formula>AND($C19&gt;0,ISBLANK($E19))</formula>
    </cfRule>
  </conditionalFormatting>
  <conditionalFormatting sqref="C19">
    <cfRule type="expression" dxfId="1926" priority="180">
      <formula>AND($BH19&lt;&gt;0,ISBLANK(C19))</formula>
    </cfRule>
  </conditionalFormatting>
  <conditionalFormatting sqref="C19">
    <cfRule type="expression" dxfId="1925" priority="179">
      <formula>AND($BH19&lt;&gt;0,ISBLANK(C19))</formula>
    </cfRule>
  </conditionalFormatting>
  <conditionalFormatting sqref="C19">
    <cfRule type="expression" dxfId="1924" priority="178">
      <formula>AND($C19&gt;0,ISBLANK($E19))</formula>
    </cfRule>
  </conditionalFormatting>
  <conditionalFormatting sqref="C19">
    <cfRule type="expression" dxfId="1923" priority="175">
      <formula>AND($BH19&lt;&gt;0,ISBLANK(C19))</formula>
    </cfRule>
  </conditionalFormatting>
  <conditionalFormatting sqref="C19">
    <cfRule type="expression" dxfId="1922" priority="174">
      <formula>AND($C19&gt;0,ISBLANK($E19))</formula>
    </cfRule>
  </conditionalFormatting>
  <conditionalFormatting sqref="C19">
    <cfRule type="expression" dxfId="1921" priority="173">
      <formula>AND($BH19&lt;&gt;0,ISBLANK(C19))</formula>
    </cfRule>
  </conditionalFormatting>
  <conditionalFormatting sqref="C21">
    <cfRule type="expression" dxfId="1920" priority="172">
      <formula>AND($BH21&lt;&gt;0,ISBLANK(C21))</formula>
    </cfRule>
  </conditionalFormatting>
  <conditionalFormatting sqref="C21">
    <cfRule type="expression" dxfId="1919" priority="171">
      <formula>AND($C21&gt;0,ISBLANK($E21))</formula>
    </cfRule>
  </conditionalFormatting>
  <conditionalFormatting sqref="C21">
    <cfRule type="expression" dxfId="1918" priority="167">
      <formula>AND($BH21&lt;&gt;0,ISBLANK(C21))</formula>
    </cfRule>
  </conditionalFormatting>
  <conditionalFormatting sqref="C21">
    <cfRule type="expression" dxfId="1917" priority="166">
      <formula>AND($C21&gt;0,ISBLANK($E21))</formula>
    </cfRule>
  </conditionalFormatting>
  <conditionalFormatting sqref="C21">
    <cfRule type="expression" dxfId="1916" priority="170">
      <formula>AND($BH21&lt;&gt;0,ISBLANK(C21))</formula>
    </cfRule>
  </conditionalFormatting>
  <conditionalFormatting sqref="C21">
    <cfRule type="expression" dxfId="1915" priority="169">
      <formula>AND($BH21&lt;&gt;0,ISBLANK(C21))</formula>
    </cfRule>
  </conditionalFormatting>
  <conditionalFormatting sqref="C21">
    <cfRule type="expression" dxfId="1914" priority="168">
      <formula>AND($C21&gt;0,ISBLANK($E21))</formula>
    </cfRule>
  </conditionalFormatting>
  <conditionalFormatting sqref="C21">
    <cfRule type="expression" dxfId="1913" priority="165">
      <formula>AND($BH21&lt;&gt;0,ISBLANK(C21))</formula>
    </cfRule>
  </conditionalFormatting>
  <conditionalFormatting sqref="C21">
    <cfRule type="expression" dxfId="1912" priority="164">
      <formula>AND($C21&gt;0,ISBLANK($E21))</formula>
    </cfRule>
  </conditionalFormatting>
  <conditionalFormatting sqref="C21">
    <cfRule type="expression" dxfId="1911" priority="163">
      <formula>AND($BH21&lt;&gt;0,ISBLANK(C21))</formula>
    </cfRule>
  </conditionalFormatting>
  <conditionalFormatting sqref="E19">
    <cfRule type="expression" dxfId="1910" priority="162">
      <formula>AND($BH19&lt;&gt;0,ISBLANK(E19))</formula>
    </cfRule>
  </conditionalFormatting>
  <conditionalFormatting sqref="E19">
    <cfRule type="expression" dxfId="1909" priority="161">
      <formula>AND($C19&gt;0,ISBLANK($E19))</formula>
    </cfRule>
  </conditionalFormatting>
  <conditionalFormatting sqref="E21">
    <cfRule type="expression" dxfId="1908" priority="160">
      <formula>AND($BH21&lt;&gt;0,ISBLANK(E21))</formula>
    </cfRule>
  </conditionalFormatting>
  <conditionalFormatting sqref="E21">
    <cfRule type="expression" dxfId="1907" priority="159">
      <formula>AND($C21&gt;0,ISBLANK($E21))</formula>
    </cfRule>
  </conditionalFormatting>
  <conditionalFormatting sqref="E13">
    <cfRule type="expression" dxfId="1906" priority="113">
      <formula>AND($BH13&lt;&gt;0,ISBLANK(E13))</formula>
    </cfRule>
  </conditionalFormatting>
  <conditionalFormatting sqref="E13">
    <cfRule type="expression" dxfId="1905" priority="112">
      <formula>AND($C13&gt;0,ISBLANK($E13))</formula>
    </cfRule>
  </conditionalFormatting>
  <conditionalFormatting sqref="E13">
    <cfRule type="expression" dxfId="1904" priority="108">
      <formula>AND($BH13&lt;&gt;0,ISBLANK(E13))</formula>
    </cfRule>
  </conditionalFormatting>
  <conditionalFormatting sqref="E13">
    <cfRule type="expression" dxfId="1903" priority="107">
      <formula>AND($C13&gt;0,ISBLANK($E13))</formula>
    </cfRule>
  </conditionalFormatting>
  <conditionalFormatting sqref="E13">
    <cfRule type="expression" dxfId="1902" priority="111">
      <formula>AND($BH13&lt;&gt;0,ISBLANK(E13))</formula>
    </cfRule>
  </conditionalFormatting>
  <conditionalFormatting sqref="E13">
    <cfRule type="expression" dxfId="1901" priority="110">
      <formula>AND($BH13&lt;&gt;0,ISBLANK(E13))</formula>
    </cfRule>
  </conditionalFormatting>
  <conditionalFormatting sqref="E13">
    <cfRule type="expression" dxfId="1900" priority="109">
      <formula>AND($C13&gt;0,ISBLANK($E13))</formula>
    </cfRule>
  </conditionalFormatting>
  <conditionalFormatting sqref="E13">
    <cfRule type="expression" dxfId="1899" priority="106">
      <formula>AND($BH13&lt;&gt;0,ISBLANK(E13))</formula>
    </cfRule>
  </conditionalFormatting>
  <conditionalFormatting sqref="E13">
    <cfRule type="expression" dxfId="1898" priority="105">
      <formula>AND($C13&gt;0,ISBLANK($E13))</formula>
    </cfRule>
  </conditionalFormatting>
  <conditionalFormatting sqref="E13">
    <cfRule type="expression" dxfId="1897" priority="104">
      <formula>AND($BH13&lt;&gt;0,ISBLANK(E13))</formula>
    </cfRule>
  </conditionalFormatting>
  <conditionalFormatting sqref="C13">
    <cfRule type="expression" dxfId="1896" priority="103">
      <formula>AND($BH13&lt;&gt;0,ISBLANK(C13))</formula>
    </cfRule>
  </conditionalFormatting>
  <conditionalFormatting sqref="C13">
    <cfRule type="expression" dxfId="1895" priority="102">
      <formula>AND($C13&gt;0,ISBLANK($E13))</formula>
    </cfRule>
  </conditionalFormatting>
  <conditionalFormatting sqref="E15">
    <cfRule type="expression" dxfId="1894" priority="81">
      <formula>AND($BH15&lt;&gt;0,ISBLANK(E15))</formula>
    </cfRule>
  </conditionalFormatting>
  <conditionalFormatting sqref="E15">
    <cfRule type="expression" dxfId="1893" priority="101">
      <formula>AND($BH15&lt;&gt;0,ISBLANK(E15))</formula>
    </cfRule>
  </conditionalFormatting>
  <conditionalFormatting sqref="E15">
    <cfRule type="expression" dxfId="1892" priority="100">
      <formula>AND($C15&gt;0,ISBLANK($E15))</formula>
    </cfRule>
  </conditionalFormatting>
  <conditionalFormatting sqref="E15">
    <cfRule type="expression" dxfId="1891" priority="96">
      <formula>AND($BH15&lt;&gt;0,ISBLANK(E15))</formula>
    </cfRule>
  </conditionalFormatting>
  <conditionalFormatting sqref="E15">
    <cfRule type="expression" dxfId="1890" priority="95">
      <formula>AND($C15&gt;0,ISBLANK($E15))</formula>
    </cfRule>
  </conditionalFormatting>
  <conditionalFormatting sqref="E15">
    <cfRule type="expression" dxfId="1889" priority="99">
      <formula>AND($BH15&lt;&gt;0,ISBLANK(E15))</formula>
    </cfRule>
  </conditionalFormatting>
  <conditionalFormatting sqref="E15">
    <cfRule type="expression" dxfId="1888" priority="98">
      <formula>AND($BH15&lt;&gt;0,ISBLANK(E15))</formula>
    </cfRule>
  </conditionalFormatting>
  <conditionalFormatting sqref="E15">
    <cfRule type="expression" dxfId="1887" priority="97">
      <formula>AND($C15&gt;0,ISBLANK($E15))</formula>
    </cfRule>
  </conditionalFormatting>
  <conditionalFormatting sqref="E15">
    <cfRule type="expression" dxfId="1886" priority="94">
      <formula>AND($BH15&lt;&gt;0,ISBLANK(E15))</formula>
    </cfRule>
  </conditionalFormatting>
  <conditionalFormatting sqref="E15">
    <cfRule type="expression" dxfId="1885" priority="93">
      <formula>AND($C15&gt;0,ISBLANK($E15))</formula>
    </cfRule>
  </conditionalFormatting>
  <conditionalFormatting sqref="E15">
    <cfRule type="expression" dxfId="1884" priority="92">
      <formula>AND($BH15&lt;&gt;0,ISBLANK(E15))</formula>
    </cfRule>
  </conditionalFormatting>
  <conditionalFormatting sqref="E15">
    <cfRule type="expression" dxfId="1883" priority="91">
      <formula>AND($C15&gt;0,ISBLANK($E15))</formula>
    </cfRule>
  </conditionalFormatting>
  <conditionalFormatting sqref="E15">
    <cfRule type="expression" dxfId="1882" priority="88">
      <formula>AND($BH14&lt;&gt;0,ISBLANK(E15))</formula>
    </cfRule>
  </conditionalFormatting>
  <conditionalFormatting sqref="E15">
    <cfRule type="expression" dxfId="1881" priority="90">
      <formula>AND($BH14&lt;&gt;0,ISBLANK(E15))</formula>
    </cfRule>
  </conditionalFormatting>
  <conditionalFormatting sqref="E15">
    <cfRule type="expression" dxfId="1880" priority="87">
      <formula>AND($BH14&lt;&gt;0,ISBLANK(E15))</formula>
    </cfRule>
  </conditionalFormatting>
  <conditionalFormatting sqref="E15">
    <cfRule type="expression" dxfId="1879" priority="86">
      <formula>AND($BH14&lt;&gt;0,ISBLANK(E15))</formula>
    </cfRule>
  </conditionalFormatting>
  <conditionalFormatting sqref="E15">
    <cfRule type="expression" dxfId="1878" priority="89">
      <formula>AND($BH14&lt;&gt;0,ISBLANK(E15))</formula>
    </cfRule>
  </conditionalFormatting>
  <conditionalFormatting sqref="E15">
    <cfRule type="expression" dxfId="1877" priority="85">
      <formula>AND($BH14&lt;&gt;0,ISBLANK(E15))</formula>
    </cfRule>
  </conditionalFormatting>
  <conditionalFormatting sqref="E15">
    <cfRule type="expression" dxfId="1876" priority="74">
      <formula>AND($C15&gt;0,ISBLANK($E15))</formula>
    </cfRule>
  </conditionalFormatting>
  <conditionalFormatting sqref="E15">
    <cfRule type="expression" dxfId="1875" priority="68">
      <formula>AND($BH14&lt;&gt;0,ISBLANK(E15))</formula>
    </cfRule>
  </conditionalFormatting>
  <conditionalFormatting sqref="E15">
    <cfRule type="expression" dxfId="1874" priority="84">
      <formula>AND($BH15&lt;&gt;0,ISBLANK(E15))</formula>
    </cfRule>
  </conditionalFormatting>
  <conditionalFormatting sqref="E15">
    <cfRule type="expression" dxfId="1873" priority="83">
      <formula>AND($C15&gt;0,ISBLANK($E15))</formula>
    </cfRule>
  </conditionalFormatting>
  <conditionalFormatting sqref="E15">
    <cfRule type="expression" dxfId="1872" priority="79">
      <formula>AND($BH15&lt;&gt;0,ISBLANK(E15))</formula>
    </cfRule>
  </conditionalFormatting>
  <conditionalFormatting sqref="E15">
    <cfRule type="expression" dxfId="1871" priority="78">
      <formula>AND($C15&gt;0,ISBLANK($E15))</formula>
    </cfRule>
  </conditionalFormatting>
  <conditionalFormatting sqref="E15">
    <cfRule type="expression" dxfId="1870" priority="82">
      <formula>AND($BH15&lt;&gt;0,ISBLANK(E15))</formula>
    </cfRule>
  </conditionalFormatting>
  <conditionalFormatting sqref="E15">
    <cfRule type="expression" dxfId="1869" priority="80">
      <formula>AND($C15&gt;0,ISBLANK($E15))</formula>
    </cfRule>
  </conditionalFormatting>
  <conditionalFormatting sqref="E15">
    <cfRule type="expression" dxfId="1868" priority="77">
      <formula>AND($BH15&lt;&gt;0,ISBLANK(E15))</formula>
    </cfRule>
  </conditionalFormatting>
  <conditionalFormatting sqref="E15">
    <cfRule type="expression" dxfId="1867" priority="76">
      <formula>AND($C15&gt;0,ISBLANK($E15))</formula>
    </cfRule>
  </conditionalFormatting>
  <conditionalFormatting sqref="E15">
    <cfRule type="expression" dxfId="1866" priority="75">
      <formula>AND($BH15&lt;&gt;0,ISBLANK(E15))</formula>
    </cfRule>
  </conditionalFormatting>
  <conditionalFormatting sqref="E15">
    <cfRule type="expression" dxfId="1865" priority="71">
      <formula>AND($BH14&lt;&gt;0,ISBLANK(E15))</formula>
    </cfRule>
  </conditionalFormatting>
  <conditionalFormatting sqref="E15">
    <cfRule type="expression" dxfId="1864" priority="73">
      <formula>AND($BH14&lt;&gt;0,ISBLANK(E15))</formula>
    </cfRule>
  </conditionalFormatting>
  <conditionalFormatting sqref="E15">
    <cfRule type="expression" dxfId="1863" priority="70">
      <formula>AND($BH14&lt;&gt;0,ISBLANK(E15))</formula>
    </cfRule>
  </conditionalFormatting>
  <conditionalFormatting sqref="E15">
    <cfRule type="expression" dxfId="1862" priority="69">
      <formula>AND($BH14&lt;&gt;0,ISBLANK(E15))</formula>
    </cfRule>
  </conditionalFormatting>
  <conditionalFormatting sqref="E15">
    <cfRule type="expression" dxfId="1861" priority="72">
      <formula>AND($BH14&lt;&gt;0,ISBLANK(E15))</formula>
    </cfRule>
  </conditionalFormatting>
  <conditionalFormatting sqref="C15">
    <cfRule type="expression" dxfId="1860" priority="31">
      <formula>AND($BH15&lt;&gt;0,ISBLANK(C15))</formula>
    </cfRule>
  </conditionalFormatting>
  <conditionalFormatting sqref="C15">
    <cfRule type="expression" dxfId="1859" priority="24">
      <formula>AND($BH15&lt;&gt;0,ISBLANK(C15))</formula>
    </cfRule>
  </conditionalFormatting>
  <conditionalFormatting sqref="C15">
    <cfRule type="expression" dxfId="1858" priority="33">
      <formula>AND($BH15&lt;&gt;0,ISBLANK(C15))</formula>
    </cfRule>
  </conditionalFormatting>
  <conditionalFormatting sqref="C15">
    <cfRule type="expression" dxfId="1857" priority="32">
      <formula>AND($C15&gt;0,ISBLANK($E15))</formula>
    </cfRule>
  </conditionalFormatting>
  <conditionalFormatting sqref="C15">
    <cfRule type="expression" dxfId="1856" priority="28">
      <formula>AND($BH15&lt;&gt;0,ISBLANK(C15))</formula>
    </cfRule>
  </conditionalFormatting>
  <conditionalFormatting sqref="C15">
    <cfRule type="expression" dxfId="1855" priority="27">
      <formula>AND($C15&gt;0,ISBLANK($E15))</formula>
    </cfRule>
  </conditionalFormatting>
  <conditionalFormatting sqref="C15">
    <cfRule type="expression" dxfId="1854" priority="30">
      <formula>AND($BH15&lt;&gt;0,ISBLANK(C15))</formula>
    </cfRule>
  </conditionalFormatting>
  <conditionalFormatting sqref="C15">
    <cfRule type="expression" dxfId="1853" priority="29">
      <formula>AND($C15&gt;0,ISBLANK($E15))</formula>
    </cfRule>
  </conditionalFormatting>
  <conditionalFormatting sqref="C15">
    <cfRule type="expression" dxfId="1852" priority="26">
      <formula>AND($BH15&lt;&gt;0,ISBLANK(C15))</formula>
    </cfRule>
  </conditionalFormatting>
  <conditionalFormatting sqref="C15">
    <cfRule type="expression" dxfId="1851" priority="25">
      <formula>AND($C15&gt;0,ISBLANK($E15))</formula>
    </cfRule>
  </conditionalFormatting>
  <conditionalFormatting sqref="C17">
    <cfRule type="expression" dxfId="1850" priority="23">
      <formula>AND($BH17&lt;&gt;0,ISBLANK(C17))</formula>
    </cfRule>
  </conditionalFormatting>
  <conditionalFormatting sqref="C17">
    <cfRule type="expression" dxfId="1849" priority="22">
      <formula>AND($C17&gt;0,ISBLANK($E17))</formula>
    </cfRule>
  </conditionalFormatting>
  <conditionalFormatting sqref="Q12">
    <cfRule type="expression" dxfId="1848" priority="19">
      <formula>AND(L$9&gt;10.5,Q$24=0)</formula>
    </cfRule>
  </conditionalFormatting>
  <conditionalFormatting sqref="P12">
    <cfRule type="expression" dxfId="1847" priority="20">
      <formula>AND(L$9&gt;10.5,P$24=0)</formula>
    </cfRule>
  </conditionalFormatting>
  <conditionalFormatting sqref="O12">
    <cfRule type="expression" dxfId="1846" priority="21">
      <formula>AND(L$10&gt;0,O$24=0)</formula>
    </cfRule>
  </conditionalFormatting>
  <conditionalFormatting sqref="W12">
    <cfRule type="expression" dxfId="1845" priority="17">
      <formula>AND(R$9&gt;10.5,W$24=0)</formula>
    </cfRule>
  </conditionalFormatting>
  <conditionalFormatting sqref="V12">
    <cfRule type="expression" dxfId="1844" priority="18">
      <formula>AND(R$9&gt;10.5,V$24=0)</formula>
    </cfRule>
  </conditionalFormatting>
  <conditionalFormatting sqref="U12">
    <cfRule type="expression" dxfId="1843" priority="16">
      <formula>AND(R$10&gt;0,U$24=0)</formula>
    </cfRule>
  </conditionalFormatting>
  <conditionalFormatting sqref="AC12">
    <cfRule type="expression" dxfId="1842" priority="13">
      <formula>AND(X$9&gt;10.5,AC$24=0)</formula>
    </cfRule>
  </conditionalFormatting>
  <conditionalFormatting sqref="AB12">
    <cfRule type="expression" dxfId="1841" priority="14">
      <formula>AND(X$9&gt;10.5,AB$24=0)</formula>
    </cfRule>
  </conditionalFormatting>
  <conditionalFormatting sqref="AA12">
    <cfRule type="expression" dxfId="1840" priority="15">
      <formula>AND(X$10&gt;0,AA$24=0)</formula>
    </cfRule>
  </conditionalFormatting>
  <conditionalFormatting sqref="AI12">
    <cfRule type="expression" dxfId="1839" priority="11">
      <formula>AND(AD$9&gt;10.5,AI$24=0)</formula>
    </cfRule>
  </conditionalFormatting>
  <conditionalFormatting sqref="AH12">
    <cfRule type="expression" dxfId="1838" priority="12">
      <formula>AND(AD$9&gt;10.5,AH$24=0)</formula>
    </cfRule>
  </conditionalFormatting>
  <conditionalFormatting sqref="AG12">
    <cfRule type="expression" dxfId="1837" priority="10">
      <formula>AND(AD$10&gt;0,AG$24=0)</formula>
    </cfRule>
  </conditionalFormatting>
  <conditionalFormatting sqref="AO12">
    <cfRule type="expression" dxfId="1836" priority="7">
      <formula>AND(AJ$9&gt;10.5,AO$24=0)</formula>
    </cfRule>
  </conditionalFormatting>
  <conditionalFormatting sqref="AN12">
    <cfRule type="expression" dxfId="1835" priority="8">
      <formula>AND(AJ$9&gt;10.5,AN$24=0)</formula>
    </cfRule>
  </conditionalFormatting>
  <conditionalFormatting sqref="AM12">
    <cfRule type="expression" dxfId="1834" priority="9">
      <formula>AND(AJ$10&gt;0,AM$24=0)</formula>
    </cfRule>
  </conditionalFormatting>
  <conditionalFormatting sqref="AU12">
    <cfRule type="expression" dxfId="1833" priority="5">
      <formula>AND(AP$9&gt;10.5,AU$24=0)</formula>
    </cfRule>
  </conditionalFormatting>
  <conditionalFormatting sqref="AT12">
    <cfRule type="expression" dxfId="1832" priority="6">
      <formula>AND(AP$9&gt;10.5,AT$24=0)</formula>
    </cfRule>
  </conditionalFormatting>
  <conditionalFormatting sqref="AS12">
    <cfRule type="expression" dxfId="1831" priority="4">
      <formula>AND(AP$10&gt;0,AS$24=0)</formula>
    </cfRule>
  </conditionalFormatting>
  <conditionalFormatting sqref="BA12">
    <cfRule type="expression" dxfId="1830" priority="1">
      <formula>AND(AV$9&gt;10.5,BA$24=0)</formula>
    </cfRule>
  </conditionalFormatting>
  <conditionalFormatting sqref="AZ12">
    <cfRule type="expression" dxfId="1829" priority="2">
      <formula>AND(AV$9&gt;10.5,AZ$24=0)</formula>
    </cfRule>
  </conditionalFormatting>
  <conditionalFormatting sqref="AY12">
    <cfRule type="expression" dxfId="1828" priority="3">
      <formula>AND(AV$10&gt;0,AY$24=0)</formula>
    </cfRule>
  </conditionalFormatting>
  <dataValidations count="2">
    <dataValidation type="textLength" allowBlank="1" showInputMessage="1" showErrorMessage="1" errorTitle="Digits" error="The EE# must be between 4 ad 5 digits" sqref="B2" xr:uid="{00000000-0002-0000-0900-000000000000}">
      <formula1>4</formula1>
      <formula2>5</formula2>
    </dataValidation>
    <dataValidation allowBlank="1" showInputMessage="1" showErrorMessage="1" sqref="E13:H23" xr:uid="{00000000-0002-0000-0900-000001000000}"/>
  </dataValidations>
  <pageMargins left="0.25" right="0.25" top="0.75" bottom="0.75" header="0.3" footer="0.3"/>
  <pageSetup paperSize="5" scale="3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900-000002000000}">
          <x14:formula1>
            <xm:f>'Job List'!$A:$A</xm:f>
          </x14:formula1>
          <xm:sqref>C17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AC16" sqref="AC16"/>
    </sheetView>
  </sheetViews>
  <sheetFormatPr defaultColWidth="8.85546875" defaultRowHeight="39" customHeight="1" x14ac:dyDescent="0.3"/>
  <cols>
    <col min="1" max="1" width="16.5703125" style="270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17.85546875" style="1" customWidth="1"/>
    <col min="7" max="7" width="14.42578125" style="1" bestFit="1" customWidth="1"/>
    <col min="8" max="8" width="8.42578125" style="1" customWidth="1"/>
    <col min="9" max="9" width="11.28515625" style="270" customWidth="1"/>
    <col min="10" max="11" width="11.28515625" style="1" customWidth="1"/>
    <col min="12" max="12" width="10.140625" style="1" customWidth="1"/>
    <col min="13" max="13" width="6.7109375" style="1" customWidth="1"/>
    <col min="14" max="14" width="7.85546875" style="1" bestFit="1" customWidth="1"/>
    <col min="15" max="24" width="6.7109375" style="1" customWidth="1"/>
    <col min="25" max="25" width="7" style="1" bestFit="1" customWidth="1"/>
    <col min="26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37" width="6.7109375" style="1" customWidth="1"/>
    <col min="38" max="38" width="8.140625" style="1" bestFit="1" customWidth="1"/>
    <col min="39" max="43" width="6.7109375" style="1" customWidth="1"/>
    <col min="44" max="44" width="7.85546875" style="1" customWidth="1"/>
    <col min="45" max="49" width="6.7109375" style="1" customWidth="1"/>
    <col min="50" max="50" width="8.140625" style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IF(ISNA(VLOOKUP($B$2,[12]Employees!$B:$H,2,FALSE)),"Input Employee Number",VLOOKUP($B$2,[12]Employees!$B:$H,2,FALSE))</f>
        <v>Peake; Ryan A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47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8346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IF(ISNA(VLOOKUP($B$2,[12]Employees!$B:$H,4,FALSE)),"",VLOOKUP($B$2,[12]Employees!$B:$H,4,FALSE))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IF(ISNA(VLOOKUP($B$2,[12]Employees!$B:$H,5,FALSE)),"",VLOOKUP($B$2,[12]Employees!$B:$H,5,FALSE))</f>
        <v>1245</v>
      </c>
      <c r="D4" s="226"/>
      <c r="E4" s="226"/>
      <c r="F4" s="226"/>
      <c r="G4" s="226"/>
      <c r="H4" s="226"/>
      <c r="I4" s="226"/>
      <c r="J4" s="226"/>
      <c r="K4" s="30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0.25</v>
      </c>
      <c r="M5" s="416"/>
      <c r="N5" s="416"/>
      <c r="O5" s="416"/>
      <c r="P5" s="416"/>
      <c r="Q5" s="417"/>
      <c r="R5" s="415">
        <v>0.25</v>
      </c>
      <c r="S5" s="416"/>
      <c r="T5" s="416"/>
      <c r="U5" s="416"/>
      <c r="V5" s="416"/>
      <c r="W5" s="417"/>
      <c r="X5" s="415">
        <v>0.25</v>
      </c>
      <c r="Y5" s="416"/>
      <c r="Z5" s="416"/>
      <c r="AA5" s="416"/>
      <c r="AB5" s="416"/>
      <c r="AC5" s="417"/>
      <c r="AD5" s="415">
        <v>0.25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0.29166666666666669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0.91666666666666663</v>
      </c>
      <c r="M8" s="416"/>
      <c r="N8" s="416"/>
      <c r="O8" s="416"/>
      <c r="P8" s="416"/>
      <c r="Q8" s="417"/>
      <c r="R8" s="415">
        <v>0.91666666666666663</v>
      </c>
      <c r="S8" s="416"/>
      <c r="T8" s="416"/>
      <c r="U8" s="416"/>
      <c r="V8" s="416"/>
      <c r="W8" s="417"/>
      <c r="X8" s="415">
        <v>0.91666666666666663</v>
      </c>
      <c r="Y8" s="416"/>
      <c r="Z8" s="416"/>
      <c r="AA8" s="416"/>
      <c r="AB8" s="416"/>
      <c r="AC8" s="417"/>
      <c r="AD8" s="415">
        <v>0.85416666666666663</v>
      </c>
      <c r="AE8" s="416"/>
      <c r="AF8" s="416"/>
      <c r="AG8" s="416"/>
      <c r="AH8" s="416"/>
      <c r="AI8" s="417"/>
      <c r="AJ8" s="415">
        <v>1</v>
      </c>
      <c r="AK8" s="416"/>
      <c r="AL8" s="416"/>
      <c r="AM8" s="416"/>
      <c r="AN8" s="416"/>
      <c r="AO8" s="417"/>
      <c r="AP8" s="415">
        <v>0.91666666666666663</v>
      </c>
      <c r="AQ8" s="416"/>
      <c r="AR8" s="416"/>
      <c r="AS8" s="416"/>
      <c r="AT8" s="416"/>
      <c r="AU8" s="417"/>
      <c r="AV8" s="415">
        <v>0.91666666666666663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16</v>
      </c>
      <c r="M9" s="401"/>
      <c r="N9" s="401"/>
      <c r="O9" s="401"/>
      <c r="P9" s="401"/>
      <c r="Q9" s="402"/>
      <c r="R9" s="400">
        <f>IF(AND(R5&gt;=0,R8&gt;=0),(R6-R5+R8-R7)*24,0)</f>
        <v>16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14.5</v>
      </c>
      <c r="AE9" s="401"/>
      <c r="AF9" s="401"/>
      <c r="AG9" s="401"/>
      <c r="AH9" s="401"/>
      <c r="AI9" s="402"/>
      <c r="AJ9" s="400">
        <f>IF(AND(AJ5&gt;=0,AJ8&gt;=0),(AJ6-AJ5+AJ8-AJ7)*24,0)</f>
        <v>18</v>
      </c>
      <c r="AK9" s="401"/>
      <c r="AL9" s="401"/>
      <c r="AM9" s="401"/>
      <c r="AN9" s="401"/>
      <c r="AO9" s="402"/>
      <c r="AP9" s="400">
        <f>IF(AND(AP5&gt;=0,AP8&gt;=0),(AP6-AP5+AP8-AP7)*24,0)</f>
        <v>15</v>
      </c>
      <c r="AQ9" s="401"/>
      <c r="AR9" s="401"/>
      <c r="AS9" s="401"/>
      <c r="AT9" s="401"/>
      <c r="AU9" s="402"/>
      <c r="AV9" s="400">
        <f>IF(AND(AV5&gt;=0,AV8&gt;=0),(AV6-AV5+AV8-AV7)*24,0)</f>
        <v>16</v>
      </c>
      <c r="AW9" s="401"/>
      <c r="AX9" s="401"/>
      <c r="AY9" s="401"/>
      <c r="AZ9" s="401"/>
      <c r="BA9" s="402"/>
      <c r="BB9" s="400">
        <f>SUM(L9:BA9)</f>
        <v>111.5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16</v>
      </c>
      <c r="M10" s="407"/>
      <c r="N10" s="407"/>
      <c r="O10" s="407"/>
      <c r="P10" s="407"/>
      <c r="Q10" s="408"/>
      <c r="R10" s="406">
        <f>R24+S24+T24</f>
        <v>16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AD24+AE24+AF24</f>
        <v>14.5</v>
      </c>
      <c r="AE10" s="407"/>
      <c r="AF10" s="407"/>
      <c r="AG10" s="407"/>
      <c r="AH10" s="407"/>
      <c r="AI10" s="408"/>
      <c r="AJ10" s="406">
        <f>AJ24+AK24+AL24</f>
        <v>18</v>
      </c>
      <c r="AK10" s="407"/>
      <c r="AL10" s="407"/>
      <c r="AM10" s="407"/>
      <c r="AN10" s="407"/>
      <c r="AO10" s="408"/>
      <c r="AP10" s="406">
        <f>AP24+AQ24+AR24</f>
        <v>15</v>
      </c>
      <c r="AQ10" s="407"/>
      <c r="AR10" s="407"/>
      <c r="AS10" s="407"/>
      <c r="AT10" s="407"/>
      <c r="AU10" s="408"/>
      <c r="AV10" s="409">
        <f>AV24+AW24+AX24</f>
        <v>16</v>
      </c>
      <c r="AW10" s="410"/>
      <c r="AX10" s="410"/>
      <c r="AY10" s="410"/>
      <c r="AZ10" s="410"/>
      <c r="BA10" s="411"/>
      <c r="BB10" s="412">
        <f>SUM(L10:BA10)</f>
        <v>111.5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>x</v>
      </c>
      <c r="B13" s="353" t="s">
        <v>101</v>
      </c>
      <c r="C13" s="372" t="s">
        <v>3866</v>
      </c>
      <c r="D13" s="371"/>
      <c r="E13" s="372" t="s">
        <v>731</v>
      </c>
      <c r="F13" s="353" t="str">
        <f t="shared" ref="F13:F23" si="0">IF(ISBLANK($B$4),"",$B$4)</f>
        <v>1245</v>
      </c>
      <c r="G13" s="353" t="s">
        <v>102</v>
      </c>
      <c r="H13" s="353" t="s">
        <v>102</v>
      </c>
      <c r="I13" s="139">
        <v>1</v>
      </c>
      <c r="J13" s="153" t="str">
        <f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B23" si="1">SUM(AV13,AP13,AJ13,AD13,X13,R13,L13)</f>
        <v>0</v>
      </c>
      <c r="BC13" s="120">
        <f t="shared" ref="BC13:BC23" si="2">SUM(AW13,AQ13,AK13,AE13,Y13,S13,M13)</f>
        <v>0</v>
      </c>
      <c r="BD13" s="120">
        <f t="shared" ref="BD13:BD23" si="3">SUM(AX13,AR13,AL13,AF13,Z13,T13,N13)</f>
        <v>0</v>
      </c>
      <c r="BE13" s="120">
        <f t="shared" ref="BE13:BE23" si="4">SUM(AY13,AS13,AM13,AG13,AA13,U13,O13)</f>
        <v>0</v>
      </c>
      <c r="BF13" s="120">
        <f t="shared" ref="BF13:BF23" si="5">SUM(AZ13,AT13,AN13,AH13,AB13,V13,P13)</f>
        <v>0</v>
      </c>
      <c r="BG13" s="154">
        <f t="shared" ref="BG13:BG23" si="6">SUM(BA13,AU13,AO13,AI13,AC13,W13,Q13)</f>
        <v>0</v>
      </c>
      <c r="BH13" s="123">
        <f>SUM(TimeSheet3475361924440182162026226912349310988781177252[[#This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 t="shared" ref="A14:A23" si="7">IF(ISBLANK(C14),"",IF(ISBLANK($D$3),"",$D$3))</f>
        <v/>
      </c>
      <c r="B14" s="353" t="s">
        <v>101</v>
      </c>
      <c r="C14" s="111"/>
      <c r="D14" s="277"/>
      <c r="E14" s="374"/>
      <c r="F14" s="353" t="str">
        <f t="shared" si="0"/>
        <v>1245</v>
      </c>
      <c r="G14" s="353" t="s">
        <v>102</v>
      </c>
      <c r="H14" s="353" t="s">
        <v>102</v>
      </c>
      <c r="I14" s="139">
        <v>1</v>
      </c>
      <c r="J14" s="153" t="str">
        <f t="shared" ref="J14:J23" si="8">IF($K14=0,"",IF($K14&lt;10,"0"&amp;$K14,$K14))</f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1"/>
        <v>0</v>
      </c>
      <c r="BC14" s="120">
        <f t="shared" si="2"/>
        <v>0</v>
      </c>
      <c r="BD14" s="120">
        <f t="shared" si="3"/>
        <v>0</v>
      </c>
      <c r="BE14" s="120">
        <f t="shared" si="4"/>
        <v>0</v>
      </c>
      <c r="BF14" s="120">
        <f t="shared" si="5"/>
        <v>0</v>
      </c>
      <c r="BG14" s="154">
        <f t="shared" si="6"/>
        <v>0</v>
      </c>
      <c r="BH14" s="123">
        <f>SUM(TimeSheet3475361924440182162026226912349310988781177252[[#This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7"/>
        <v>x</v>
      </c>
      <c r="B15" s="353" t="s">
        <v>101</v>
      </c>
      <c r="C15" s="353" t="s">
        <v>4081</v>
      </c>
      <c r="D15" s="371"/>
      <c r="E15" s="372" t="s">
        <v>731</v>
      </c>
      <c r="F15" s="353" t="str">
        <f t="shared" si="0"/>
        <v>1245</v>
      </c>
      <c r="G15" s="353" t="s">
        <v>102</v>
      </c>
      <c r="H15" s="353" t="s">
        <v>102</v>
      </c>
      <c r="I15" s="139">
        <v>1</v>
      </c>
      <c r="J15" s="153" t="str">
        <f t="shared" si="8"/>
        <v>01</v>
      </c>
      <c r="K15" s="150">
        <v>1</v>
      </c>
      <c r="L15" s="263">
        <v>8</v>
      </c>
      <c r="M15" s="258"/>
      <c r="N15" s="258">
        <v>8</v>
      </c>
      <c r="O15" s="258">
        <v>3</v>
      </c>
      <c r="P15" s="258">
        <v>3</v>
      </c>
      <c r="Q15" s="259">
        <v>1.5</v>
      </c>
      <c r="R15" s="262">
        <v>8</v>
      </c>
      <c r="S15" s="260"/>
      <c r="T15" s="260">
        <v>8</v>
      </c>
      <c r="U15" s="260">
        <v>3</v>
      </c>
      <c r="V15" s="260">
        <v>3</v>
      </c>
      <c r="W15" s="261">
        <v>1.5</v>
      </c>
      <c r="X15" s="263">
        <v>8</v>
      </c>
      <c r="Y15" s="258"/>
      <c r="Z15" s="258">
        <v>8</v>
      </c>
      <c r="AA15" s="258">
        <v>3</v>
      </c>
      <c r="AB15" s="258">
        <v>3</v>
      </c>
      <c r="AC15" s="259">
        <v>1.5</v>
      </c>
      <c r="AD15" s="262">
        <v>8</v>
      </c>
      <c r="AE15" s="260"/>
      <c r="AF15" s="260">
        <v>6.5</v>
      </c>
      <c r="AG15" s="260">
        <v>3</v>
      </c>
      <c r="AH15" s="260">
        <v>3</v>
      </c>
      <c r="AI15" s="261">
        <v>1.5</v>
      </c>
      <c r="AJ15" s="263">
        <v>8</v>
      </c>
      <c r="AK15" s="258"/>
      <c r="AL15" s="258">
        <v>10</v>
      </c>
      <c r="AM15" s="258">
        <v>3</v>
      </c>
      <c r="AN15" s="258">
        <v>4</v>
      </c>
      <c r="AO15" s="259">
        <v>2</v>
      </c>
      <c r="AP15" s="262"/>
      <c r="AQ15" s="260"/>
      <c r="AR15" s="260">
        <v>15</v>
      </c>
      <c r="AS15" s="260">
        <v>3</v>
      </c>
      <c r="AT15" s="260">
        <v>3</v>
      </c>
      <c r="AU15" s="261">
        <v>1.5</v>
      </c>
      <c r="AV15" s="263"/>
      <c r="AW15" s="258"/>
      <c r="AX15" s="258">
        <v>16</v>
      </c>
      <c r="AY15" s="258">
        <v>3</v>
      </c>
      <c r="AZ15" s="258">
        <v>3</v>
      </c>
      <c r="BA15" s="259">
        <v>1.5</v>
      </c>
      <c r="BB15" s="119">
        <f t="shared" si="1"/>
        <v>40</v>
      </c>
      <c r="BC15" s="120">
        <f t="shared" si="2"/>
        <v>0</v>
      </c>
      <c r="BD15" s="120">
        <f t="shared" si="3"/>
        <v>71.5</v>
      </c>
      <c r="BE15" s="120">
        <f t="shared" si="4"/>
        <v>21</v>
      </c>
      <c r="BF15" s="120">
        <f t="shared" si="5"/>
        <v>22</v>
      </c>
      <c r="BG15" s="154">
        <f t="shared" si="6"/>
        <v>11</v>
      </c>
      <c r="BH15" s="123">
        <f>SUM(TimeSheet3475361924440182162026226912349310988781177252[[#This Row],[1]:[4A]])</f>
        <v>165.5</v>
      </c>
      <c r="BI15" s="126" t="e">
        <f ca="1"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#NAME?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 t="e">
        <f ca="1"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#NAME?</v>
      </c>
      <c r="BL15" s="127" t="e">
        <f ca="1"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#NAME?</v>
      </c>
      <c r="BM15" s="127" t="e">
        <f ca="1"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#NAME?</v>
      </c>
      <c r="BN15" s="128" t="e">
        <f ca="1"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#NAME?</v>
      </c>
      <c r="BO15" s="126" t="e">
        <f ca="1"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#NAME?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 t="e">
        <f ca="1"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#NAME?</v>
      </c>
      <c r="BR15" s="127" t="e">
        <f ca="1"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#NAME?</v>
      </c>
      <c r="BS15" s="127" t="e">
        <f ca="1"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#NAME?</v>
      </c>
      <c r="BT15" s="128" t="e">
        <f ca="1"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#NAME?</v>
      </c>
      <c r="BU15" s="126" t="e">
        <f ca="1"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#NAME?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 t="e">
        <f ca="1"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#NAME?</v>
      </c>
      <c r="BX15" s="127" t="e">
        <f ca="1"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#NAME?</v>
      </c>
      <c r="BY15" s="127" t="e">
        <f ca="1"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#NAME?</v>
      </c>
      <c r="BZ15" s="128" t="e">
        <f ca="1"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#NAME?</v>
      </c>
      <c r="CA15" s="126" t="e">
        <f ca="1"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#NAME?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 t="e">
        <f ca="1"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#NAME?</v>
      </c>
      <c r="CD15" s="127" t="e">
        <f ca="1"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#NAME?</v>
      </c>
      <c r="CE15" s="127" t="e">
        <f ca="1"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#NAME?</v>
      </c>
      <c r="CF15" s="128" t="e">
        <f ca="1"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#NAME?</v>
      </c>
      <c r="CG15" s="126" t="e">
        <f ca="1"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#NAME?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 t="e">
        <f ca="1"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#NAME?</v>
      </c>
      <c r="CJ15" s="127" t="e">
        <f ca="1"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#NAME?</v>
      </c>
      <c r="CK15" s="127" t="e">
        <f ca="1"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#NAME?</v>
      </c>
      <c r="CL15" s="128" t="e">
        <f ca="1"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#NAME?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 t="e">
        <f ca="1"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#NAME?</v>
      </c>
      <c r="CP15" s="127" t="e">
        <f ca="1"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#NAME?</v>
      </c>
      <c r="CQ15" s="127" t="e">
        <f ca="1"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#NAME?</v>
      </c>
      <c r="CR15" s="128" t="e">
        <f ca="1"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#NAME?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 t="e">
        <f ca="1"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#NAME?</v>
      </c>
      <c r="CV15" s="127" t="e">
        <f ca="1"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#NAME?</v>
      </c>
      <c r="CW15" s="127" t="e">
        <f ca="1"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#NAME?</v>
      </c>
      <c r="CX15" s="128" t="e">
        <f ca="1"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#NAME?</v>
      </c>
    </row>
    <row r="16" spans="1:102" ht="39" customHeight="1" x14ac:dyDescent="0.3">
      <c r="A16" s="109" t="str">
        <f t="shared" si="7"/>
        <v/>
      </c>
      <c r="B16" s="353" t="s">
        <v>101</v>
      </c>
      <c r="C16" s="353"/>
      <c r="D16" s="371"/>
      <c r="E16" s="343"/>
      <c r="F16" s="353" t="str">
        <f t="shared" si="0"/>
        <v>1245</v>
      </c>
      <c r="G16" s="353" t="s">
        <v>102</v>
      </c>
      <c r="H16" s="353" t="s">
        <v>102</v>
      </c>
      <c r="I16" s="139">
        <v>1</v>
      </c>
      <c r="J16" s="153" t="str">
        <f t="shared" si="8"/>
        <v>01</v>
      </c>
      <c r="K16" s="150">
        <v>1</v>
      </c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9"/>
      <c r="AD16" s="262"/>
      <c r="AE16" s="260"/>
      <c r="AF16" s="260"/>
      <c r="AG16" s="260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1"/>
        <v>0</v>
      </c>
      <c r="BC16" s="120">
        <f t="shared" si="2"/>
        <v>0</v>
      </c>
      <c r="BD16" s="120">
        <f t="shared" si="3"/>
        <v>0</v>
      </c>
      <c r="BE16" s="120">
        <f t="shared" si="4"/>
        <v>0</v>
      </c>
      <c r="BF16" s="120">
        <f t="shared" si="5"/>
        <v>0</v>
      </c>
      <c r="BG16" s="154">
        <f t="shared" si="6"/>
        <v>0</v>
      </c>
      <c r="BH16" s="123">
        <f>SUM(TimeSheet3475361924440182162026226912349310988781177252[[#This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 t="shared" si="7"/>
        <v>x</v>
      </c>
      <c r="B17" s="353" t="s">
        <v>101</v>
      </c>
      <c r="C17" s="353" t="s">
        <v>3846</v>
      </c>
      <c r="D17" s="241"/>
      <c r="E17" s="353" t="s">
        <v>731</v>
      </c>
      <c r="F17" s="353" t="str">
        <f t="shared" si="0"/>
        <v>1245</v>
      </c>
      <c r="G17" s="353" t="s">
        <v>102</v>
      </c>
      <c r="H17" s="353" t="s">
        <v>102</v>
      </c>
      <c r="I17" s="139">
        <v>1</v>
      </c>
      <c r="J17" s="153" t="str">
        <f t="shared" si="8"/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1"/>
        <v>0</v>
      </c>
      <c r="BC17" s="120">
        <f t="shared" si="2"/>
        <v>0</v>
      </c>
      <c r="BD17" s="120">
        <f t="shared" si="3"/>
        <v>0</v>
      </c>
      <c r="BE17" s="120">
        <f t="shared" si="4"/>
        <v>0</v>
      </c>
      <c r="BF17" s="120">
        <f t="shared" si="5"/>
        <v>0</v>
      </c>
      <c r="BG17" s="154">
        <f t="shared" si="6"/>
        <v>0</v>
      </c>
      <c r="BH17" s="123">
        <f>SUM(TimeSheet3475361924440182162026226912349310988781177252[[#This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7"/>
        <v/>
      </c>
      <c r="B18" s="353" t="s">
        <v>101</v>
      </c>
      <c r="C18" s="353"/>
      <c r="D18" s="277"/>
      <c r="E18" s="353"/>
      <c r="F18" s="353" t="str">
        <f t="shared" si="0"/>
        <v>1245</v>
      </c>
      <c r="G18" s="353" t="s">
        <v>102</v>
      </c>
      <c r="H18" s="353" t="s">
        <v>102</v>
      </c>
      <c r="I18" s="139">
        <v>1</v>
      </c>
      <c r="J18" s="153" t="str">
        <f t="shared" si="8"/>
        <v>01</v>
      </c>
      <c r="K18" s="150">
        <v>1</v>
      </c>
      <c r="L18" s="200"/>
      <c r="M18" s="201"/>
      <c r="N18" s="201"/>
      <c r="O18" s="201"/>
      <c r="P18" s="201"/>
      <c r="Q18" s="237"/>
      <c r="R18" s="238"/>
      <c r="S18" s="202"/>
      <c r="T18" s="202"/>
      <c r="U18" s="202"/>
      <c r="V18" s="202"/>
      <c r="W18" s="203"/>
      <c r="X18" s="263"/>
      <c r="Y18" s="201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62"/>
      <c r="AQ18" s="260"/>
      <c r="AR18" s="345"/>
      <c r="AS18" s="345"/>
      <c r="AT18" s="260"/>
      <c r="AU18" s="261"/>
      <c r="AV18" s="263"/>
      <c r="AW18" s="258"/>
      <c r="AX18" s="258"/>
      <c r="AY18" s="258"/>
      <c r="AZ18" s="258"/>
      <c r="BA18" s="259"/>
      <c r="BB18" s="119">
        <f t="shared" si="1"/>
        <v>0</v>
      </c>
      <c r="BC18" s="120">
        <f t="shared" si="2"/>
        <v>0</v>
      </c>
      <c r="BD18" s="120">
        <f t="shared" si="3"/>
        <v>0</v>
      </c>
      <c r="BE18" s="120">
        <f t="shared" si="4"/>
        <v>0</v>
      </c>
      <c r="BF18" s="120">
        <f t="shared" si="5"/>
        <v>0</v>
      </c>
      <c r="BG18" s="154">
        <f t="shared" si="6"/>
        <v>0</v>
      </c>
      <c r="BH18" s="123">
        <f>SUM(TimeSheet3475361924440182162026226912349310988781177252[[#This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7"/>
        <v/>
      </c>
      <c r="B19" s="353" t="s">
        <v>101</v>
      </c>
      <c r="C19" s="353"/>
      <c r="D19" s="371"/>
      <c r="E19" s="372"/>
      <c r="F19" s="353" t="str">
        <f t="shared" si="0"/>
        <v>1245</v>
      </c>
      <c r="G19" s="353" t="s">
        <v>102</v>
      </c>
      <c r="H19" s="353" t="s">
        <v>102</v>
      </c>
      <c r="I19" s="139">
        <v>1</v>
      </c>
      <c r="J19" s="153" t="str">
        <f t="shared" si="8"/>
        <v>01</v>
      </c>
      <c r="K19" s="150">
        <v>1</v>
      </c>
      <c r="L19" s="263"/>
      <c r="M19" s="258"/>
      <c r="N19" s="258"/>
      <c r="O19" s="258"/>
      <c r="P19" s="258"/>
      <c r="Q19" s="259"/>
      <c r="R19" s="262"/>
      <c r="S19" s="260"/>
      <c r="T19" s="260"/>
      <c r="U19" s="260"/>
      <c r="V19" s="260"/>
      <c r="W19" s="261"/>
      <c r="X19" s="263"/>
      <c r="Y19" s="258"/>
      <c r="Z19" s="258"/>
      <c r="AA19" s="258"/>
      <c r="AB19" s="258"/>
      <c r="AC19" s="259"/>
      <c r="AD19" s="262"/>
      <c r="AE19" s="260"/>
      <c r="AF19" s="260"/>
      <c r="AG19" s="260"/>
      <c r="AH19" s="260"/>
      <c r="AI19" s="261"/>
      <c r="AJ19" s="263"/>
      <c r="AK19" s="258"/>
      <c r="AL19" s="258"/>
      <c r="AM19" s="258"/>
      <c r="AN19" s="258"/>
      <c r="AO19" s="259"/>
      <c r="AP19" s="262"/>
      <c r="AQ19" s="260"/>
      <c r="AR19" s="260"/>
      <c r="AS19" s="260"/>
      <c r="AT19" s="260"/>
      <c r="AU19" s="261"/>
      <c r="AV19" s="263"/>
      <c r="AW19" s="258"/>
      <c r="AX19" s="258"/>
      <c r="AY19" s="258"/>
      <c r="AZ19" s="258"/>
      <c r="BA19" s="259"/>
      <c r="BB19" s="119">
        <f t="shared" si="1"/>
        <v>0</v>
      </c>
      <c r="BC19" s="120">
        <f t="shared" si="2"/>
        <v>0</v>
      </c>
      <c r="BD19" s="120">
        <f t="shared" si="3"/>
        <v>0</v>
      </c>
      <c r="BE19" s="120">
        <f t="shared" si="4"/>
        <v>0</v>
      </c>
      <c r="BF19" s="120">
        <f t="shared" si="5"/>
        <v>0</v>
      </c>
      <c r="BG19" s="154">
        <f t="shared" si="6"/>
        <v>0</v>
      </c>
      <c r="BH19" s="123">
        <f>SUM(TimeSheet3475361924440182162026226912349310988781177252[[#This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7"/>
        <v/>
      </c>
      <c r="B20" s="353" t="s">
        <v>101</v>
      </c>
      <c r="C20" s="353"/>
      <c r="D20" s="371"/>
      <c r="E20" s="343"/>
      <c r="F20" s="353" t="str">
        <f t="shared" si="0"/>
        <v>1245</v>
      </c>
      <c r="G20" s="353" t="s">
        <v>102</v>
      </c>
      <c r="H20" s="353" t="s">
        <v>102</v>
      </c>
      <c r="I20" s="139">
        <v>1</v>
      </c>
      <c r="J20" s="153" t="str">
        <f t="shared" si="8"/>
        <v>01</v>
      </c>
      <c r="K20" s="150">
        <v>1</v>
      </c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1"/>
        <v>0</v>
      </c>
      <c r="BC20" s="120">
        <f t="shared" si="2"/>
        <v>0</v>
      </c>
      <c r="BD20" s="120">
        <f t="shared" si="3"/>
        <v>0</v>
      </c>
      <c r="BE20" s="120">
        <f t="shared" si="4"/>
        <v>0</v>
      </c>
      <c r="BF20" s="120">
        <f t="shared" si="5"/>
        <v>0</v>
      </c>
      <c r="BG20" s="154">
        <f t="shared" si="6"/>
        <v>0</v>
      </c>
      <c r="BH20" s="123">
        <f>SUM(TimeSheet3475361924440182162026226912349310988781177252[[#This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7"/>
        <v/>
      </c>
      <c r="B21" s="353" t="s">
        <v>101</v>
      </c>
      <c r="C21" s="353"/>
      <c r="D21" s="277"/>
      <c r="E21" s="353"/>
      <c r="F21" s="353" t="str">
        <f t="shared" si="0"/>
        <v>1245</v>
      </c>
      <c r="G21" s="353" t="s">
        <v>102</v>
      </c>
      <c r="H21" s="353" t="s">
        <v>102</v>
      </c>
      <c r="I21" s="139">
        <v>1</v>
      </c>
      <c r="J21" s="153" t="str">
        <f t="shared" si="8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02"/>
      <c r="AG21" s="202"/>
      <c r="AH21" s="202"/>
      <c r="AI21" s="203"/>
      <c r="AJ21" s="200"/>
      <c r="AK21" s="201"/>
      <c r="AL21" s="201"/>
      <c r="AM21" s="201"/>
      <c r="AN21" s="201"/>
      <c r="AO21" s="237"/>
      <c r="AP21" s="238"/>
      <c r="AQ21" s="202"/>
      <c r="AR21" s="202"/>
      <c r="AS21" s="202"/>
      <c r="AT21" s="202"/>
      <c r="AU21" s="203"/>
      <c r="AV21" s="200"/>
      <c r="AW21" s="201"/>
      <c r="AX21" s="201"/>
      <c r="AY21" s="201"/>
      <c r="AZ21" s="258"/>
      <c r="BA21" s="259"/>
      <c r="BB21" s="119">
        <f t="shared" si="1"/>
        <v>0</v>
      </c>
      <c r="BC21" s="120">
        <f t="shared" si="2"/>
        <v>0</v>
      </c>
      <c r="BD21" s="120">
        <f t="shared" si="3"/>
        <v>0</v>
      </c>
      <c r="BE21" s="120">
        <f t="shared" si="4"/>
        <v>0</v>
      </c>
      <c r="BF21" s="120">
        <f t="shared" si="5"/>
        <v>0</v>
      </c>
      <c r="BG21" s="154">
        <f t="shared" si="6"/>
        <v>0</v>
      </c>
      <c r="BH21" s="123">
        <f>SUM(TimeSheet3475361924440182162026226912349310988781177252[[#This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7"/>
        <v/>
      </c>
      <c r="B22" s="353" t="s">
        <v>101</v>
      </c>
      <c r="C22" s="111"/>
      <c r="D22" s="277"/>
      <c r="E22" s="353"/>
      <c r="F22" s="353" t="str">
        <f t="shared" si="0"/>
        <v>1245</v>
      </c>
      <c r="G22" s="353" t="s">
        <v>102</v>
      </c>
      <c r="H22" s="353" t="s">
        <v>102</v>
      </c>
      <c r="I22" s="139">
        <v>1</v>
      </c>
      <c r="J22" s="153" t="str">
        <f t="shared" si="8"/>
        <v>01</v>
      </c>
      <c r="K22" s="150">
        <v>1</v>
      </c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59"/>
      <c r="AP22" s="262"/>
      <c r="AQ22" s="260"/>
      <c r="AR22" s="260"/>
      <c r="AS22" s="260"/>
      <c r="AT22" s="260"/>
      <c r="AU22" s="261"/>
      <c r="AV22" s="263"/>
      <c r="AW22" s="258"/>
      <c r="AX22" s="258"/>
      <c r="AY22" s="258"/>
      <c r="AZ22" s="258"/>
      <c r="BA22" s="259"/>
      <c r="BB22" s="119">
        <f t="shared" si="1"/>
        <v>0</v>
      </c>
      <c r="BC22" s="120">
        <f t="shared" si="2"/>
        <v>0</v>
      </c>
      <c r="BD22" s="120">
        <f t="shared" si="3"/>
        <v>0</v>
      </c>
      <c r="BE22" s="120">
        <f t="shared" si="4"/>
        <v>0</v>
      </c>
      <c r="BF22" s="120">
        <f t="shared" si="5"/>
        <v>0</v>
      </c>
      <c r="BG22" s="154">
        <f t="shared" si="6"/>
        <v>0</v>
      </c>
      <c r="BH22" s="123">
        <f>SUM(TimeSheet3475361924440182162026226912349310988781177252[[#This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7"/>
        <v/>
      </c>
      <c r="B23" s="353" t="s">
        <v>101</v>
      </c>
      <c r="C23" s="111"/>
      <c r="D23" s="277"/>
      <c r="E23" s="353"/>
      <c r="F23" s="353" t="str">
        <f t="shared" si="0"/>
        <v>1245</v>
      </c>
      <c r="G23" s="353" t="s">
        <v>102</v>
      </c>
      <c r="H23" s="353" t="s">
        <v>102</v>
      </c>
      <c r="I23" s="139">
        <v>1</v>
      </c>
      <c r="J23" s="153" t="str">
        <f t="shared" si="8"/>
        <v>01</v>
      </c>
      <c r="K23" s="150">
        <v>1</v>
      </c>
      <c r="L23" s="263"/>
      <c r="M23" s="258"/>
      <c r="N23" s="258"/>
      <c r="O23" s="258"/>
      <c r="P23" s="258"/>
      <c r="Q23" s="259"/>
      <c r="R23" s="262"/>
      <c r="S23" s="260"/>
      <c r="T23" s="260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1"/>
        <v>0</v>
      </c>
      <c r="BC23" s="120">
        <f t="shared" si="2"/>
        <v>0</v>
      </c>
      <c r="BD23" s="120">
        <f t="shared" si="3"/>
        <v>0</v>
      </c>
      <c r="BE23" s="120">
        <f t="shared" si="4"/>
        <v>0</v>
      </c>
      <c r="BF23" s="120">
        <f t="shared" si="5"/>
        <v>0</v>
      </c>
      <c r="BG23" s="154">
        <f t="shared" si="6"/>
        <v>0</v>
      </c>
      <c r="BH23" s="123">
        <f>SUM(TimeSheet3475361924440182162026226912349310988781177252[[#This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SUBTOTAL(109,TimeSheet3475361924440182162026226912349310988781177252[RT1])</f>
        <v>8</v>
      </c>
      <c r="M24" s="359">
        <f>SUBTOTAL(109,TimeSheet3475361924440182162026226912349310988781177252[OT1])</f>
        <v>0</v>
      </c>
      <c r="N24" s="359">
        <f>SUBTOTAL(109,TimeSheet3475361924440182162026226912349310988781177252[DT1])</f>
        <v>8</v>
      </c>
      <c r="O24" s="359">
        <f>SUBTOTAL(109,TimeSheet3475361924440182162026226912349310988781177252[PD1])</f>
        <v>3</v>
      </c>
      <c r="P24" s="359">
        <f>SUBTOTAL(109,TimeSheet3475361924440182162026226912349310988781177252[4D1])</f>
        <v>3</v>
      </c>
      <c r="Q24" s="360">
        <f>SUBTOTAL(109,TimeSheet3475361924440182162026226912349310988781177252[4A1])</f>
        <v>1.5</v>
      </c>
      <c r="R24" s="361">
        <f>SUBTOTAL(109,TimeSheet3475361924440182162026226912349310988781177252[RT2])</f>
        <v>8</v>
      </c>
      <c r="S24" s="362">
        <f>SUBTOTAL(109,TimeSheet3475361924440182162026226912349310988781177252[OT2])</f>
        <v>0</v>
      </c>
      <c r="T24" s="362">
        <f>SUBTOTAL(109,TimeSheet3475361924440182162026226912349310988781177252[DT2])</f>
        <v>8</v>
      </c>
      <c r="U24" s="362">
        <f>SUBTOTAL(109,TimeSheet3475361924440182162026226912349310988781177252[PD2])</f>
        <v>3</v>
      </c>
      <c r="V24" s="362">
        <f>SUBTOTAL(109,TimeSheet3475361924440182162026226912349310988781177252[4D2])</f>
        <v>3</v>
      </c>
      <c r="W24" s="363">
        <f>SUBTOTAL(109,TimeSheet3475361924440182162026226912349310988781177252[4A2])</f>
        <v>1.5</v>
      </c>
      <c r="X24" s="358">
        <f>SUBTOTAL(109,TimeSheet3475361924440182162026226912349310988781177252[RT3])</f>
        <v>8</v>
      </c>
      <c r="Y24" s="359">
        <f>SUBTOTAL(109,TimeSheet3475361924440182162026226912349310988781177252[OT3])</f>
        <v>0</v>
      </c>
      <c r="Z24" s="359">
        <f>SUBTOTAL(109,TimeSheet3475361924440182162026226912349310988781177252[DT3])</f>
        <v>8</v>
      </c>
      <c r="AA24" s="359">
        <f>SUBTOTAL(109,TimeSheet3475361924440182162026226912349310988781177252[PD3])</f>
        <v>3</v>
      </c>
      <c r="AB24" s="359">
        <f>SUBTOTAL(109,TimeSheet3475361924440182162026226912349310988781177252[4D3])</f>
        <v>3</v>
      </c>
      <c r="AC24" s="360">
        <f>SUBTOTAL(109,TimeSheet3475361924440182162026226912349310988781177252[4A3])</f>
        <v>1.5</v>
      </c>
      <c r="AD24" s="361">
        <f>SUBTOTAL(109,TimeSheet3475361924440182162026226912349310988781177252[RT4])</f>
        <v>8</v>
      </c>
      <c r="AE24" s="362">
        <f>SUBTOTAL(109,TimeSheet3475361924440182162026226912349310988781177252[OT4])</f>
        <v>0</v>
      </c>
      <c r="AF24" s="362">
        <f>SUBTOTAL(109,TimeSheet3475361924440182162026226912349310988781177252[DT4])</f>
        <v>6.5</v>
      </c>
      <c r="AG24" s="362">
        <f>SUBTOTAL(109,TimeSheet3475361924440182162026226912349310988781177252[PD4])</f>
        <v>3</v>
      </c>
      <c r="AH24" s="362">
        <f>SUBTOTAL(109,TimeSheet3475361924440182162026226912349310988781177252[4D4])</f>
        <v>3</v>
      </c>
      <c r="AI24" s="363">
        <f>SUBTOTAL(109,TimeSheet3475361924440182162026226912349310988781177252[4A4])</f>
        <v>1.5</v>
      </c>
      <c r="AJ24" s="358">
        <f>SUBTOTAL(109,TimeSheet3475361924440182162026226912349310988781177252[RT5])</f>
        <v>8</v>
      </c>
      <c r="AK24" s="359">
        <f>SUBTOTAL(109,TimeSheet3475361924440182162026226912349310988781177252[OT5])</f>
        <v>0</v>
      </c>
      <c r="AL24" s="359">
        <f>SUBTOTAL(109,TimeSheet3475361924440182162026226912349310988781177252[DT5])</f>
        <v>10</v>
      </c>
      <c r="AM24" s="359">
        <f>SUBTOTAL(109,TimeSheet3475361924440182162026226912349310988781177252[PD5])</f>
        <v>3</v>
      </c>
      <c r="AN24" s="359">
        <f>SUBTOTAL(109,TimeSheet3475361924440182162026226912349310988781177252[4D5])</f>
        <v>4</v>
      </c>
      <c r="AO24" s="360">
        <f>SUBTOTAL(109,TimeSheet3475361924440182162026226912349310988781177252[4A5])</f>
        <v>2</v>
      </c>
      <c r="AP24" s="361">
        <f>SUBTOTAL(109,TimeSheet3475361924440182162026226912349310988781177252[RT6])</f>
        <v>0</v>
      </c>
      <c r="AQ24" s="362">
        <f>SUBTOTAL(109,TimeSheet3475361924440182162026226912349310988781177252[OT6])</f>
        <v>0</v>
      </c>
      <c r="AR24" s="362">
        <f>SUBTOTAL(109,TimeSheet3475361924440182162026226912349310988781177252[DT6])</f>
        <v>15</v>
      </c>
      <c r="AS24" s="362">
        <f>SUBTOTAL(109,TimeSheet3475361924440182162026226912349310988781177252[PD6])</f>
        <v>3</v>
      </c>
      <c r="AT24" s="362">
        <f>SUBTOTAL(109,TimeSheet3475361924440182162026226912349310988781177252[4D6])</f>
        <v>3</v>
      </c>
      <c r="AU24" s="363">
        <f>SUBTOTAL(109,TimeSheet3475361924440182162026226912349310988781177252[4A6])</f>
        <v>1.5</v>
      </c>
      <c r="AV24" s="358">
        <f>SUBTOTAL(109,TimeSheet3475361924440182162026226912349310988781177252[RT7])</f>
        <v>0</v>
      </c>
      <c r="AW24" s="359">
        <f>SUBTOTAL(109,TimeSheet3475361924440182162026226912349310988781177252[OT7])</f>
        <v>0</v>
      </c>
      <c r="AX24" s="359">
        <f>SUBTOTAL(109,TimeSheet3475361924440182162026226912349310988781177252[DT7])</f>
        <v>16</v>
      </c>
      <c r="AY24" s="359">
        <f>SUBTOTAL(109,TimeSheet3475361924440182162026226912349310988781177252[PD7])</f>
        <v>3</v>
      </c>
      <c r="AZ24" s="359">
        <f>SUBTOTAL(109,TimeSheet3475361924440182162026226912349310988781177252[4D7])</f>
        <v>3</v>
      </c>
      <c r="BA24" s="360">
        <f>SUBTOTAL(109,TimeSheet3475361924440182162026226912349310988781177252[4A7])</f>
        <v>1.5</v>
      </c>
      <c r="BB24" s="364">
        <f>SUBTOTAL(109,TimeSheet3475361924440182162026226912349310988781177252[1])</f>
        <v>40</v>
      </c>
      <c r="BC24" s="365">
        <f>SUBTOTAL(109,TimeSheet3475361924440182162026226912349310988781177252[3])</f>
        <v>0</v>
      </c>
      <c r="BD24" s="365">
        <f>SUBTOTAL(109,TimeSheet3475361924440182162026226912349310988781177252[2])</f>
        <v>71.5</v>
      </c>
      <c r="BE24" s="365">
        <f>SUBTOTAL(109,TimeSheet3475361924440182162026226912349310988781177252[4])</f>
        <v>21</v>
      </c>
      <c r="BF24" s="365">
        <f>SUBTOTAL(109,TimeSheet3475361924440182162026226912349310988781177252[4D])</f>
        <v>22</v>
      </c>
      <c r="BG24" s="366">
        <f>SUBTOTAL(109,TimeSheet3475361924440182162026226912349310988781177252[4A])</f>
        <v>11</v>
      </c>
      <c r="BH24" s="367">
        <f>SUBTOTAL(109,TimeSheet3475361924440182162026226912349310988781177252[Total])-SUM(TimeSheet3475361924440182162026226912349310988781177252[[#Totals],[RT1]:[4A7]])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">
      <c r="A25" s="173"/>
      <c r="B25" s="28" t="s">
        <v>356</v>
      </c>
      <c r="C25" s="28"/>
      <c r="D25" s="28"/>
      <c r="E25" s="28"/>
      <c r="L25" s="197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D25" s="222"/>
      <c r="AJ25" s="352"/>
      <c r="AK25" s="342"/>
      <c r="AL25" s="342"/>
      <c r="AM25" s="342"/>
      <c r="AN25" s="342"/>
      <c r="AO25" s="342"/>
      <c r="AP25" s="342"/>
      <c r="AQ25" s="222"/>
      <c r="AR25" s="341"/>
      <c r="AS25" s="205"/>
      <c r="AT25" s="205"/>
      <c r="AU25" s="205"/>
      <c r="AV25" s="205"/>
      <c r="AW25" s="205"/>
      <c r="AX25" s="205"/>
      <c r="AY25" s="205"/>
      <c r="AZ25" s="205"/>
      <c r="BB25" s="252"/>
      <c r="BC25" s="252"/>
      <c r="BD25" s="252"/>
      <c r="BE25" s="252"/>
      <c r="BF25" s="252"/>
      <c r="BG25" s="252"/>
    </row>
    <row r="26" spans="1:102" ht="39" customHeight="1" x14ac:dyDescent="0.7">
      <c r="A26" s="174" t="str">
        <f>IF(ISBLANK('[12]Job Details'!A5),"",'[12]Job Details'!A5)</f>
        <v>5/8's Crew</v>
      </c>
      <c r="B26" s="175"/>
      <c r="C26" s="176" t="str">
        <f>IF(ISBLANK('[12]Job Details'!B5),"",'[12]Job Details'!B5)</f>
        <v/>
      </c>
      <c r="D26" s="174" t="str">
        <f>IF(ISBLANK('[12]Job Details'!C5),"",'[12]Job Details'!C5)</f>
        <v>4/10's Crew</v>
      </c>
      <c r="E26" s="177" t="str">
        <f>IF(ISBLANK('[12]Job Details'!D5),"",'[12]Job Details'!D5)</f>
        <v/>
      </c>
      <c r="F26" s="178" t="str">
        <f>IF(ISBLANK('[12]Job Details'!E5),"",'[12]Job Details'!E5)</f>
        <v>Distribution Crews</v>
      </c>
      <c r="G26" s="270"/>
      <c r="H26" s="224"/>
      <c r="I26" s="223"/>
      <c r="J26" s="222"/>
      <c r="K26" s="222"/>
      <c r="L26" s="204"/>
      <c r="M26" s="221"/>
      <c r="N26" s="204"/>
      <c r="O26" s="204"/>
      <c r="P26" s="204"/>
      <c r="Q26" s="204"/>
      <c r="R26" s="204"/>
      <c r="S26" s="204"/>
      <c r="T26" s="204"/>
      <c r="U26" s="204"/>
      <c r="Z26" s="274"/>
      <c r="AA26" s="274"/>
      <c r="AB26" s="274"/>
      <c r="AC26" s="274"/>
      <c r="AD26" s="274"/>
      <c r="AK26" s="342"/>
      <c r="AL26" s="342"/>
      <c r="AM26" s="342"/>
      <c r="AN26" s="342"/>
      <c r="AO26" s="342"/>
      <c r="AP26" s="342"/>
      <c r="AQ26" s="341"/>
      <c r="AR26" s="341"/>
      <c r="AS26" s="205"/>
      <c r="AT26" s="205"/>
      <c r="AU26" s="205"/>
      <c r="AV26" s="205"/>
      <c r="AW26" s="205"/>
      <c r="AX26" s="205"/>
      <c r="AY26" s="205"/>
      <c r="AZ26" s="205"/>
      <c r="BB26" s="252"/>
      <c r="BC26" s="252"/>
      <c r="BD26" s="252"/>
      <c r="BE26" s="252"/>
      <c r="BF26" s="252"/>
      <c r="BG26" s="252"/>
    </row>
    <row r="27" spans="1:102" ht="39" customHeight="1" x14ac:dyDescent="0.5">
      <c r="A27" s="179" t="str">
        <f>IF(ISBLANK('[12]Job Details'!A6),"",'[12]Job Details'!A6)</f>
        <v>8 ST</v>
      </c>
      <c r="B27" s="180"/>
      <c r="C27" s="181" t="str">
        <f>IF(ISBLANK('[12]Job Details'!B6),"",'[12]Job Details'!B6)</f>
        <v>10 ST</v>
      </c>
      <c r="D27" s="182" t="str">
        <f>IF(ISBLANK('[12]Job Details'!C6),"",'[12]Job Details'!C6)</f>
        <v>5/8's Crew</v>
      </c>
      <c r="E27" s="181" t="str">
        <f>IF(ISBLANK('[12]Job Details'!D6),"",'[12]Job Details'!D6)</f>
        <v/>
      </c>
      <c r="F27" s="183" t="str">
        <f>IF(ISBLANK('[12]Job Details'!E6),"",'[12]Job Details'!E6)</f>
        <v>4/10's Crew</v>
      </c>
      <c r="G27" s="270"/>
      <c r="H27" s="224"/>
      <c r="I27" s="223"/>
      <c r="J27" s="222"/>
      <c r="K27" s="222"/>
      <c r="L27" s="222"/>
      <c r="M27" s="222"/>
      <c r="N27" s="222"/>
      <c r="O27" s="222"/>
      <c r="P27" s="222"/>
      <c r="Q27" s="222"/>
      <c r="R27" s="222"/>
      <c r="V27" s="1" t="s">
        <v>4429</v>
      </c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IF(ISBLANK('[12]Job Details'!A7),"",'[12]Job Details'!A7)</f>
        <v>2 OT</v>
      </c>
      <c r="B28" s="180"/>
      <c r="C28" s="181" t="str">
        <f>IF(ISBLANK('[12]Job Details'!B7),"",'[12]Job Details'!B7)</f>
        <v>10+ DT</v>
      </c>
      <c r="D28" s="179" t="str">
        <f>IF(ISBLANK('[12]Job Details'!C7),"",'[12]Job Details'!C7)</f>
        <v>8 ST</v>
      </c>
      <c r="E28" s="181" t="str">
        <f>IF(ISBLANK('[12]Job Details'!D7),"",'[12]Job Details'!D7)</f>
        <v>10 ST</v>
      </c>
      <c r="F28" s="183" t="str">
        <f>IF(ISBLANK('[12]Job Details'!E7),"",'[12]Job Details'!E7)</f>
        <v>Saturday</v>
      </c>
      <c r="G28" s="270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X28" s="271"/>
      <c r="Y28" s="271"/>
      <c r="Z28" s="271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IF(ISBLANK('[12]Job Details'!A8),"",'[12]Job Details'!A8)</f>
        <v>10+ DT</v>
      </c>
      <c r="B29" s="185"/>
      <c r="C29" s="186" t="str">
        <f>IF(ISBLANK('[12]Job Details'!B8),"",'[12]Job Details'!B8)</f>
        <v/>
      </c>
      <c r="D29" s="179" t="str">
        <f>IF(ISBLANK('[12]Job Details'!C8),"",'[12]Job Details'!C8)</f>
        <v>8+ DT</v>
      </c>
      <c r="E29" s="181" t="str">
        <f>IF(ISBLANK('[12]Job Details'!D8),"",'[12]Job Details'!D8)</f>
        <v>10+ DT</v>
      </c>
      <c r="F29" s="187" t="str">
        <f>IF(ISBLANK('[12]Job Details'!E8),"",'[12]Job Details'!E8)</f>
        <v>All DT</v>
      </c>
      <c r="G29" s="270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</row>
    <row r="30" spans="1:102" ht="39" customHeight="1" x14ac:dyDescent="0.4">
      <c r="A30" s="188" t="str">
        <f>IF(ISBLANK('[12]Job Details'!A9),"",'[12]Job Details'!A9)</f>
        <v>Saturday</v>
      </c>
      <c r="B30" s="175"/>
      <c r="C30" s="189" t="str">
        <f>IF(ISBLANK('[12]Job Details'!B9),"",'[12]Job Details'!B9)</f>
        <v/>
      </c>
      <c r="D30" s="190" t="str">
        <f>IF(ISBLANK('[12]Job Details'!C9),"",'[12]Job Details'!C9)</f>
        <v>Sunday</v>
      </c>
      <c r="E30" s="176" t="str">
        <f>IF(ISBLANK('[12]Job Details'!D9),"",'[12]Job Details'!D9)</f>
        <v/>
      </c>
      <c r="F30" s="183" t="str">
        <f>IF(ISBLANK('[12]Job Details'!E9),"",'[12]Job Details'!E9)</f>
        <v>Sunday</v>
      </c>
      <c r="G30" s="27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IF(ISBLANK('[12]Job Details'!A10),"",'[12]Job Details'!A10)</f>
        <v>8 OT</v>
      </c>
      <c r="B31" s="180"/>
      <c r="C31" s="181" t="str">
        <f>IF(ISBLANK('[12]Job Details'!B10),"",'[12]Job Details'!B10)</f>
        <v/>
      </c>
      <c r="D31" s="191" t="str">
        <f>IF(ISBLANK('[12]Job Details'!C10),"",'[12]Job Details'!C10)</f>
        <v>All DT</v>
      </c>
      <c r="E31" s="181" t="str">
        <f>IF(ISBLANK('[12]Job Details'!D10),"",'[12]Job Details'!D10)</f>
        <v/>
      </c>
      <c r="F31" s="187" t="str">
        <f>IF(ISBLANK('[12]Job Details'!E10),"",'[12]Job Details'!E10)</f>
        <v>All DT</v>
      </c>
      <c r="G31" s="270"/>
      <c r="H31" s="270"/>
    </row>
    <row r="32" spans="1:102" ht="39" customHeight="1" x14ac:dyDescent="0.4">
      <c r="A32" s="184" t="str">
        <f>IF(ISBLANK('[12]Job Details'!A11),"",'[12]Job Details'!A11)</f>
        <v>8+DT</v>
      </c>
      <c r="B32" s="185"/>
      <c r="C32" s="186" t="str">
        <f>IF(ISBLANK('[12]Job Details'!B11),"",'[12]Job Details'!B11)</f>
        <v/>
      </c>
      <c r="D32" s="192" t="str">
        <f>IF(ISBLANK('[12]Job Details'!C11),"",'[12]Job Details'!C11)</f>
        <v/>
      </c>
      <c r="E32" s="186" t="str">
        <f>IF(ISBLANK('[12]Job Details'!D11),"",'[12]Job Details'!D11)</f>
        <v/>
      </c>
      <c r="F32" s="193" t="str">
        <f>IF(ISBLANK('[12]Job Details'!E11),"",'[12]Job Details'!E11)</f>
        <v/>
      </c>
      <c r="G32" s="270"/>
      <c r="H32" s="270"/>
    </row>
    <row r="33" spans="7:8" ht="39" customHeight="1" x14ac:dyDescent="0.3">
      <c r="G33" s="270"/>
      <c r="H33" s="270"/>
    </row>
  </sheetData>
  <sheetProtection formatCells="0" formatColumns="0" formatRows="0" insertColumns="0" insertRows="0" deleteColumns="0" deleteRows="0" selectLockedCells="1"/>
  <mergeCells count="77">
    <mergeCell ref="BB1:BG1"/>
    <mergeCell ref="L3:Q3"/>
    <mergeCell ref="R3:W3"/>
    <mergeCell ref="X3:AC3"/>
    <mergeCell ref="AD3:AI3"/>
    <mergeCell ref="AJ3:AO3"/>
    <mergeCell ref="AP3:AU3"/>
    <mergeCell ref="AV3:BA3"/>
    <mergeCell ref="AV7:BA7"/>
    <mergeCell ref="AV6:BA6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AP7:AU7"/>
    <mergeCell ref="L6:Q6"/>
    <mergeCell ref="R6:W6"/>
    <mergeCell ref="X6:AC6"/>
    <mergeCell ref="AD6:AI6"/>
    <mergeCell ref="AJ6:AO6"/>
    <mergeCell ref="AP6:AU6"/>
    <mergeCell ref="L7:Q7"/>
    <mergeCell ref="R7:W7"/>
    <mergeCell ref="X7:AC7"/>
    <mergeCell ref="AD7:AI7"/>
    <mergeCell ref="AJ7:AO7"/>
    <mergeCell ref="BB9:BG9"/>
    <mergeCell ref="BI9:CX9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L11:Q11"/>
    <mergeCell ref="R11:W11"/>
    <mergeCell ref="X11:AC11"/>
    <mergeCell ref="AD11:AI11"/>
    <mergeCell ref="AJ11:AO11"/>
    <mergeCell ref="AP10:AU10"/>
    <mergeCell ref="AV10:BA10"/>
    <mergeCell ref="BB10:BG10"/>
    <mergeCell ref="CS11:CX11"/>
    <mergeCell ref="BI10:CX10"/>
    <mergeCell ref="AP11:AU11"/>
    <mergeCell ref="CG11:CL11"/>
    <mergeCell ref="CM11:CR11"/>
    <mergeCell ref="AV11:BA11"/>
    <mergeCell ref="BB11:BG11"/>
    <mergeCell ref="BI11:BN11"/>
    <mergeCell ref="BO11:BT11"/>
    <mergeCell ref="BU11:BZ11"/>
    <mergeCell ref="CA11:CF11"/>
    <mergeCell ref="L10:Q10"/>
    <mergeCell ref="R10:W10"/>
    <mergeCell ref="X10:AC10"/>
    <mergeCell ref="AD10:AI10"/>
    <mergeCell ref="AJ10:AO10"/>
  </mergeCells>
  <conditionalFormatting sqref="D3">
    <cfRule type="expression" dxfId="1617" priority="243">
      <formula>ISBLANK(D3)</formula>
    </cfRule>
  </conditionalFormatting>
  <conditionalFormatting sqref="A1:E1 G1:K1">
    <cfRule type="expression" dxfId="1616" priority="241">
      <formula>$A$1="Input Employee Number"</formula>
    </cfRule>
  </conditionalFormatting>
  <conditionalFormatting sqref="BB1:BG1">
    <cfRule type="expression" dxfId="1615" priority="240">
      <formula>ISBLANK(BB1)</formula>
    </cfRule>
  </conditionalFormatting>
  <conditionalFormatting sqref="BH24">
    <cfRule type="expression" dxfId="1614" priority="238">
      <formula>$BH24&lt;&gt;0</formula>
    </cfRule>
    <cfRule type="expression" dxfId="1613" priority="239">
      <formula>$BH24=0</formula>
    </cfRule>
  </conditionalFormatting>
  <conditionalFormatting sqref="L11:BG11">
    <cfRule type="expression" dxfId="1612" priority="237">
      <formula>L11&lt;&gt;0</formula>
    </cfRule>
  </conditionalFormatting>
  <conditionalFormatting sqref="E24:H24 F13:H20 F22:H23">
    <cfRule type="expression" dxfId="1611" priority="236">
      <formula>AND($BH13&lt;&gt;0,ISBLANK(E13))</formula>
    </cfRule>
  </conditionalFormatting>
  <conditionalFormatting sqref="B2">
    <cfRule type="cellIs" dxfId="1610" priority="235" operator="equal">
      <formula>0</formula>
    </cfRule>
  </conditionalFormatting>
  <conditionalFormatting sqref="B3">
    <cfRule type="containsBlanks" dxfId="1609" priority="234">
      <formula>LEN(TRIM(B3))=0</formula>
    </cfRule>
  </conditionalFormatting>
  <conditionalFormatting sqref="D3">
    <cfRule type="cellIs" dxfId="1608" priority="242" operator="equal">
      <formula>"x"</formula>
    </cfRule>
  </conditionalFormatting>
  <conditionalFormatting sqref="B4">
    <cfRule type="containsBlanks" dxfId="1607" priority="233">
      <formula>LEN(TRIM(B4))=0</formula>
    </cfRule>
  </conditionalFormatting>
  <conditionalFormatting sqref="E22:E23 B13">
    <cfRule type="expression" dxfId="1606" priority="232">
      <formula>AND($C13&gt;0,ISBLANK($E13))</formula>
    </cfRule>
  </conditionalFormatting>
  <conditionalFormatting sqref="C22:C24">
    <cfRule type="expression" dxfId="1605" priority="244">
      <formula>AND($C22=0,BH22&lt;&gt;0)</formula>
    </cfRule>
  </conditionalFormatting>
  <conditionalFormatting sqref="A13:A23">
    <cfRule type="expression" dxfId="1604" priority="216">
      <formula>ISBLANK(A13)</formula>
    </cfRule>
  </conditionalFormatting>
  <conditionalFormatting sqref="A13:A23">
    <cfRule type="cellIs" dxfId="1603" priority="215" operator="equal">
      <formula>"x"</formula>
    </cfRule>
  </conditionalFormatting>
  <conditionalFormatting sqref="F21:H21">
    <cfRule type="expression" dxfId="1602" priority="214">
      <formula>AND($BH21&lt;&gt;0,ISBLANK(F21))</formula>
    </cfRule>
  </conditionalFormatting>
  <conditionalFormatting sqref="B18">
    <cfRule type="expression" dxfId="1601" priority="197">
      <formula>AND($BH18&lt;&gt;0,ISBLANK(B18))</formula>
    </cfRule>
  </conditionalFormatting>
  <conditionalFormatting sqref="B15">
    <cfRule type="expression" dxfId="1600" priority="213">
      <formula>AND($BH15&lt;&gt;0,ISBLANK(B15))</formula>
    </cfRule>
  </conditionalFormatting>
  <conditionalFormatting sqref="B15">
    <cfRule type="expression" dxfId="1599" priority="210">
      <formula>AND($BH15&lt;&gt;0,ISBLANK(B15))</formula>
    </cfRule>
  </conditionalFormatting>
  <conditionalFormatting sqref="B15">
    <cfRule type="expression" dxfId="1598" priority="212">
      <formula>AND($BH15&lt;&gt;0,ISBLANK(B15))</formula>
    </cfRule>
  </conditionalFormatting>
  <conditionalFormatting sqref="B15">
    <cfRule type="expression" dxfId="1597" priority="211">
      <formula>AND($BH15&lt;&gt;0,ISBLANK(B15))</formula>
    </cfRule>
  </conditionalFormatting>
  <conditionalFormatting sqref="B16 B20">
    <cfRule type="expression" dxfId="1596" priority="209">
      <formula>AND($BH16&lt;&gt;0,ISBLANK(B16))</formula>
    </cfRule>
  </conditionalFormatting>
  <conditionalFormatting sqref="B16 B20">
    <cfRule type="expression" dxfId="1595" priority="208">
      <formula>AND($C16&gt;0,ISBLANK($E16))</formula>
    </cfRule>
  </conditionalFormatting>
  <conditionalFormatting sqref="B16 B20">
    <cfRule type="expression" dxfId="1594" priority="204">
      <formula>AND($BH16&lt;&gt;0,ISBLANK(B16))</formula>
    </cfRule>
  </conditionalFormatting>
  <conditionalFormatting sqref="B16 B20">
    <cfRule type="expression" dxfId="1593" priority="203">
      <formula>AND($C16&gt;0,ISBLANK($E16))</formula>
    </cfRule>
  </conditionalFormatting>
  <conditionalFormatting sqref="B16 B20">
    <cfRule type="expression" dxfId="1592" priority="207">
      <formula>AND($BH16&lt;&gt;0,ISBLANK(B16))</formula>
    </cfRule>
  </conditionalFormatting>
  <conditionalFormatting sqref="B16 B20">
    <cfRule type="expression" dxfId="1591" priority="206">
      <formula>AND($BH16&lt;&gt;0,ISBLANK(B16))</formula>
    </cfRule>
  </conditionalFormatting>
  <conditionalFormatting sqref="B16 B20">
    <cfRule type="expression" dxfId="1590" priority="205">
      <formula>AND($C16&gt;0,ISBLANK($E16))</formula>
    </cfRule>
  </conditionalFormatting>
  <conditionalFormatting sqref="B13:B14">
    <cfRule type="expression" dxfId="1589" priority="202">
      <formula>AND($BH13&lt;&gt;0,ISBLANK(B13))</formula>
    </cfRule>
  </conditionalFormatting>
  <conditionalFormatting sqref="B13:B14">
    <cfRule type="expression" dxfId="1588" priority="199">
      <formula>AND($BH13&lt;&gt;0,ISBLANK(B13))</formula>
    </cfRule>
  </conditionalFormatting>
  <conditionalFormatting sqref="B13:B14">
    <cfRule type="expression" dxfId="1587" priority="201">
      <formula>AND($BH13&lt;&gt;0,ISBLANK(B13))</formula>
    </cfRule>
  </conditionalFormatting>
  <conditionalFormatting sqref="B13:B14">
    <cfRule type="expression" dxfId="1586" priority="200">
      <formula>AND($BH13&lt;&gt;0,ISBLANK(B13))</formula>
    </cfRule>
  </conditionalFormatting>
  <conditionalFormatting sqref="B18">
    <cfRule type="expression" dxfId="1585" priority="198">
      <formula>AND($BH18&lt;&gt;0,ISBLANK(B18))</formula>
    </cfRule>
  </conditionalFormatting>
  <conditionalFormatting sqref="B18">
    <cfRule type="expression" dxfId="1584" priority="195">
      <formula>AND($BH18&lt;&gt;0,ISBLANK(B18))</formula>
    </cfRule>
  </conditionalFormatting>
  <conditionalFormatting sqref="B18">
    <cfRule type="expression" dxfId="1583" priority="196">
      <formula>AND($BH18&lt;&gt;0,ISBLANK(B18))</formula>
    </cfRule>
  </conditionalFormatting>
  <conditionalFormatting sqref="B17">
    <cfRule type="expression" dxfId="1582" priority="194">
      <formula>AND($BH17&lt;&gt;0,ISBLANK(B17))</formula>
    </cfRule>
  </conditionalFormatting>
  <conditionalFormatting sqref="B17">
    <cfRule type="expression" dxfId="1581" priority="193">
      <formula>AND($C17&gt;0,ISBLANK($E17))</formula>
    </cfRule>
  </conditionalFormatting>
  <conditionalFormatting sqref="B17">
    <cfRule type="expression" dxfId="1580" priority="189">
      <formula>AND($BH17&lt;&gt;0,ISBLANK(B17))</formula>
    </cfRule>
  </conditionalFormatting>
  <conditionalFormatting sqref="B17">
    <cfRule type="expression" dxfId="1579" priority="188">
      <formula>AND($C17&gt;0,ISBLANK($E17))</formula>
    </cfRule>
  </conditionalFormatting>
  <conditionalFormatting sqref="B17">
    <cfRule type="expression" dxfId="1578" priority="192">
      <formula>AND($BH17&lt;&gt;0,ISBLANK(B17))</formula>
    </cfRule>
  </conditionalFormatting>
  <conditionalFormatting sqref="B17">
    <cfRule type="expression" dxfId="1577" priority="191">
      <formula>AND($BH17&lt;&gt;0,ISBLANK(B17))</formula>
    </cfRule>
  </conditionalFormatting>
  <conditionalFormatting sqref="B17">
    <cfRule type="expression" dxfId="1576" priority="190">
      <formula>AND($C17&gt;0,ISBLANK($E17))</formula>
    </cfRule>
  </conditionalFormatting>
  <conditionalFormatting sqref="B19">
    <cfRule type="expression" dxfId="1575" priority="187">
      <formula>AND($BH19&lt;&gt;0,ISBLANK(B19))</formula>
    </cfRule>
  </conditionalFormatting>
  <conditionalFormatting sqref="B19">
    <cfRule type="expression" dxfId="1574" priority="184">
      <formula>AND($BH19&lt;&gt;0,ISBLANK(B19))</formula>
    </cfRule>
  </conditionalFormatting>
  <conditionalFormatting sqref="B19">
    <cfRule type="expression" dxfId="1573" priority="186">
      <formula>AND($BH19&lt;&gt;0,ISBLANK(B19))</formula>
    </cfRule>
  </conditionalFormatting>
  <conditionalFormatting sqref="B19">
    <cfRule type="expression" dxfId="1572" priority="185">
      <formula>AND($BH19&lt;&gt;0,ISBLANK(B19))</formula>
    </cfRule>
  </conditionalFormatting>
  <conditionalFormatting sqref="B14:B15">
    <cfRule type="expression" dxfId="1571" priority="245">
      <formula>AND($C18&gt;0,ISBLANK($E18))</formula>
    </cfRule>
  </conditionalFormatting>
  <conditionalFormatting sqref="B18:B19">
    <cfRule type="expression" dxfId="1570" priority="246">
      <formula>AND(#REF!&gt;0,ISBLANK(#REF!))</formula>
    </cfRule>
  </conditionalFormatting>
  <conditionalFormatting sqref="E21">
    <cfRule type="expression" dxfId="1569" priority="177">
      <formula>AND($BH21&lt;&gt;0,ISBLANK(E21))</formula>
    </cfRule>
  </conditionalFormatting>
  <conditionalFormatting sqref="E21">
    <cfRule type="expression" dxfId="1568" priority="176">
      <formula>AND($C21&gt;0,ISBLANK($E21))</formula>
    </cfRule>
  </conditionalFormatting>
  <conditionalFormatting sqref="C21">
    <cfRule type="expression" dxfId="1567" priority="175">
      <formula>AND($BH21&lt;&gt;0,ISBLANK(C21))</formula>
    </cfRule>
  </conditionalFormatting>
  <conditionalFormatting sqref="C21">
    <cfRule type="expression" dxfId="1566" priority="174">
      <formula>AND($BH21&lt;&gt;0,ISBLANK(C21))</formula>
    </cfRule>
  </conditionalFormatting>
  <conditionalFormatting sqref="C21">
    <cfRule type="expression" dxfId="1565" priority="173">
      <formula>AND($C21&gt;0,ISBLANK($E21))</formula>
    </cfRule>
  </conditionalFormatting>
  <conditionalFormatting sqref="E18">
    <cfRule type="expression" dxfId="1564" priority="171">
      <formula>AND($BH18&lt;&gt;0,ISBLANK(E18))</formula>
    </cfRule>
  </conditionalFormatting>
  <conditionalFormatting sqref="E18">
    <cfRule type="expression" dxfId="1563" priority="170">
      <formula>AND($C18&gt;0,ISBLANK($E18))</formula>
    </cfRule>
  </conditionalFormatting>
  <conditionalFormatting sqref="E18">
    <cfRule type="expression" dxfId="1562" priority="172">
      <formula>AND($BH18&lt;&gt;0,ISBLANK(E18))</formula>
    </cfRule>
  </conditionalFormatting>
  <conditionalFormatting sqref="E20">
    <cfRule type="expression" dxfId="1561" priority="169">
      <formula>AND($BH20&lt;&gt;0,ISBLANK(E20))</formula>
    </cfRule>
  </conditionalFormatting>
  <conditionalFormatting sqref="E19">
    <cfRule type="expression" dxfId="1560" priority="164">
      <formula>AND($C19&gt;0,ISBLANK($E19))</formula>
    </cfRule>
  </conditionalFormatting>
  <conditionalFormatting sqref="E19">
    <cfRule type="expression" dxfId="1559" priority="159">
      <formula>AND($BH19&lt;&gt;0,ISBLANK(E19))</formula>
    </cfRule>
  </conditionalFormatting>
  <conditionalFormatting sqref="E19">
    <cfRule type="expression" dxfId="1558" priority="165">
      <formula>AND($BH19&lt;&gt;0,ISBLANK(E19))</formula>
    </cfRule>
  </conditionalFormatting>
  <conditionalFormatting sqref="E19">
    <cfRule type="expression" dxfId="1557" priority="162">
      <formula>AND($C19&gt;0,ISBLANK($E19))</formula>
    </cfRule>
  </conditionalFormatting>
  <conditionalFormatting sqref="E19">
    <cfRule type="expression" dxfId="1556" priority="161">
      <formula>AND($BH19&lt;&gt;0,ISBLANK(E19))</formula>
    </cfRule>
  </conditionalFormatting>
  <conditionalFormatting sqref="E19">
    <cfRule type="expression" dxfId="1555" priority="160">
      <formula>AND($C19&gt;0,ISBLANK($E19))</formula>
    </cfRule>
  </conditionalFormatting>
  <conditionalFormatting sqref="E19">
    <cfRule type="expression" dxfId="1554" priority="166">
      <formula>AND($BH19&lt;&gt;0,ISBLANK(E19))</formula>
    </cfRule>
  </conditionalFormatting>
  <conditionalFormatting sqref="E19">
    <cfRule type="expression" dxfId="1553" priority="163">
      <formula>AND($BH19&lt;&gt;0,ISBLANK(E19))</formula>
    </cfRule>
  </conditionalFormatting>
  <conditionalFormatting sqref="E19">
    <cfRule type="expression" dxfId="1552" priority="168">
      <formula>AND($BH19&lt;&gt;0,ISBLANK(E19))</formula>
    </cfRule>
  </conditionalFormatting>
  <conditionalFormatting sqref="E19">
    <cfRule type="expression" dxfId="1551" priority="167">
      <formula>AND($C19&gt;0,ISBLANK($E19))</formula>
    </cfRule>
  </conditionalFormatting>
  <conditionalFormatting sqref="E16">
    <cfRule type="expression" dxfId="1550" priority="158">
      <formula>AND($BH16&lt;&gt;0,ISBLANK(E16))</formula>
    </cfRule>
  </conditionalFormatting>
  <conditionalFormatting sqref="C16">
    <cfRule type="expression" dxfId="1549" priority="157">
      <formula>AND($BH16&lt;&gt;0,ISBLANK(C16))</formula>
    </cfRule>
  </conditionalFormatting>
  <conditionalFormatting sqref="C16">
    <cfRule type="expression" dxfId="1548" priority="156">
      <formula>AND($C16&gt;0,ISBLANK($E16))</formula>
    </cfRule>
  </conditionalFormatting>
  <conditionalFormatting sqref="C19">
    <cfRule type="expression" dxfId="1547" priority="155">
      <formula>AND($C19&gt;0,ISBLANK($E19))</formula>
    </cfRule>
  </conditionalFormatting>
  <conditionalFormatting sqref="C19">
    <cfRule type="expression" dxfId="1546" priority="153">
      <formula>AND($BH14&lt;&gt;0,ISBLANK(C19))</formula>
    </cfRule>
  </conditionalFormatting>
  <conditionalFormatting sqref="C19">
    <cfRule type="expression" dxfId="1545" priority="152">
      <formula>AND($BH14&lt;&gt;0,ISBLANK(C19))</formula>
    </cfRule>
  </conditionalFormatting>
  <conditionalFormatting sqref="C19">
    <cfRule type="expression" dxfId="1544" priority="151">
      <formula>AND($BH14&lt;&gt;0,ISBLANK(C19))</formula>
    </cfRule>
  </conditionalFormatting>
  <conditionalFormatting sqref="C19">
    <cfRule type="expression" dxfId="1543" priority="154">
      <formula>AND($BH14&lt;&gt;0,ISBLANK(C19))</formula>
    </cfRule>
  </conditionalFormatting>
  <conditionalFormatting sqref="C19">
    <cfRule type="expression" dxfId="1542" priority="150">
      <formula>AND($BH14&lt;&gt;0,ISBLANK(C19))</formula>
    </cfRule>
  </conditionalFormatting>
  <conditionalFormatting sqref="C19">
    <cfRule type="expression" dxfId="1541" priority="149">
      <formula>AND($BH14&lt;&gt;0,ISBLANK(C19))</formula>
    </cfRule>
  </conditionalFormatting>
  <conditionalFormatting sqref="C18">
    <cfRule type="expression" dxfId="1540" priority="148">
      <formula>AND($BH18&lt;&gt;0,ISBLANK(C18))</formula>
    </cfRule>
  </conditionalFormatting>
  <conditionalFormatting sqref="C18">
    <cfRule type="expression" dxfId="1539" priority="147">
      <formula>AND($C18&gt;0,ISBLANK($E18))</formula>
    </cfRule>
  </conditionalFormatting>
  <conditionalFormatting sqref="C20">
    <cfRule type="expression" dxfId="1538" priority="126">
      <formula>AND($BH20&lt;&gt;0,ISBLANK(C20))</formula>
    </cfRule>
  </conditionalFormatting>
  <conditionalFormatting sqref="C20">
    <cfRule type="expression" dxfId="1537" priority="125">
      <formula>AND($C20&gt;0,ISBLANK($E20))</formula>
    </cfRule>
  </conditionalFormatting>
  <conditionalFormatting sqref="F1">
    <cfRule type="expression" dxfId="1536" priority="94">
      <formula>$A$1="Input Employee Number"</formula>
    </cfRule>
  </conditionalFormatting>
  <conditionalFormatting sqref="C13">
    <cfRule type="expression" dxfId="1535" priority="64">
      <formula>AND($BH13&lt;&gt;0,ISBLANK(C13))</formula>
    </cfRule>
  </conditionalFormatting>
  <conditionalFormatting sqref="C13">
    <cfRule type="expression" dxfId="1534" priority="57">
      <formula>AND($BH13&lt;&gt;0,ISBLANK(C13))</formula>
    </cfRule>
  </conditionalFormatting>
  <conditionalFormatting sqref="E13">
    <cfRule type="expression" dxfId="1533" priority="56">
      <formula>AND($BH13&lt;&gt;0,ISBLANK(E13))</formula>
    </cfRule>
  </conditionalFormatting>
  <conditionalFormatting sqref="E13">
    <cfRule type="expression" dxfId="1532" priority="55">
      <formula>AND($C13&gt;0,ISBLANK($E13))</formula>
    </cfRule>
  </conditionalFormatting>
  <conditionalFormatting sqref="E13">
    <cfRule type="expression" dxfId="1531" priority="51">
      <formula>AND($BH13&lt;&gt;0,ISBLANK(E13))</formula>
    </cfRule>
  </conditionalFormatting>
  <conditionalFormatting sqref="E13">
    <cfRule type="expression" dxfId="1530" priority="50">
      <formula>AND($C13&gt;0,ISBLANK($E13))</formula>
    </cfRule>
  </conditionalFormatting>
  <conditionalFormatting sqref="E13">
    <cfRule type="expression" dxfId="1529" priority="54">
      <formula>AND($BH13&lt;&gt;0,ISBLANK(E13))</formula>
    </cfRule>
  </conditionalFormatting>
  <conditionalFormatting sqref="E13">
    <cfRule type="expression" dxfId="1528" priority="53">
      <formula>AND($BH13&lt;&gt;0,ISBLANK(E13))</formula>
    </cfRule>
  </conditionalFormatting>
  <conditionalFormatting sqref="E13">
    <cfRule type="expression" dxfId="1527" priority="52">
      <formula>AND($C13&gt;0,ISBLANK($E13))</formula>
    </cfRule>
  </conditionalFormatting>
  <conditionalFormatting sqref="E13">
    <cfRule type="expression" dxfId="1526" priority="49">
      <formula>AND($BH13&lt;&gt;0,ISBLANK(E13))</formula>
    </cfRule>
  </conditionalFormatting>
  <conditionalFormatting sqref="E13">
    <cfRule type="expression" dxfId="1525" priority="48">
      <formula>AND($C13&gt;0,ISBLANK($E13))</formula>
    </cfRule>
  </conditionalFormatting>
  <conditionalFormatting sqref="E13">
    <cfRule type="expression" dxfId="1524" priority="47">
      <formula>AND($BH13&lt;&gt;0,ISBLANK(E13))</formula>
    </cfRule>
  </conditionalFormatting>
  <conditionalFormatting sqref="C13">
    <cfRule type="expression" dxfId="1523" priority="66">
      <formula>AND($BH13&lt;&gt;0,ISBLANK(C13))</formula>
    </cfRule>
  </conditionalFormatting>
  <conditionalFormatting sqref="C13">
    <cfRule type="expression" dxfId="1522" priority="65">
      <formula>AND($C13&gt;0,ISBLANK($E13))</formula>
    </cfRule>
  </conditionalFormatting>
  <conditionalFormatting sqref="C13">
    <cfRule type="expression" dxfId="1521" priority="61">
      <formula>AND($BH13&lt;&gt;0,ISBLANK(C13))</formula>
    </cfRule>
  </conditionalFormatting>
  <conditionalFormatting sqref="C13">
    <cfRule type="expression" dxfId="1520" priority="60">
      <formula>AND($C13&gt;0,ISBLANK($E13))</formula>
    </cfRule>
  </conditionalFormatting>
  <conditionalFormatting sqref="C13">
    <cfRule type="expression" dxfId="1519" priority="63">
      <formula>AND($BH13&lt;&gt;0,ISBLANK(C13))</formula>
    </cfRule>
  </conditionalFormatting>
  <conditionalFormatting sqref="C13">
    <cfRule type="expression" dxfId="1518" priority="62">
      <formula>AND($C13&gt;0,ISBLANK($E13))</formula>
    </cfRule>
  </conditionalFormatting>
  <conditionalFormatting sqref="C13">
    <cfRule type="expression" dxfId="1517" priority="59">
      <formula>AND($BH13&lt;&gt;0,ISBLANK(C13))</formula>
    </cfRule>
  </conditionalFormatting>
  <conditionalFormatting sqref="C13">
    <cfRule type="expression" dxfId="1516" priority="58">
      <formula>AND($C13&gt;0,ISBLANK($E13))</formula>
    </cfRule>
  </conditionalFormatting>
  <conditionalFormatting sqref="E15">
    <cfRule type="expression" dxfId="1515" priority="46">
      <formula>AND($BH15&lt;&gt;0,ISBLANK(E15))</formula>
    </cfRule>
  </conditionalFormatting>
  <conditionalFormatting sqref="E15">
    <cfRule type="expression" dxfId="1514" priority="45">
      <formula>AND($C15&gt;0,ISBLANK($E15))</formula>
    </cfRule>
  </conditionalFormatting>
  <conditionalFormatting sqref="E15">
    <cfRule type="expression" dxfId="1513" priority="41">
      <formula>AND($BH15&lt;&gt;0,ISBLANK(E15))</formula>
    </cfRule>
  </conditionalFormatting>
  <conditionalFormatting sqref="E15">
    <cfRule type="expression" dxfId="1512" priority="40">
      <formula>AND($C15&gt;0,ISBLANK($E15))</formula>
    </cfRule>
  </conditionalFormatting>
  <conditionalFormatting sqref="E15">
    <cfRule type="expression" dxfId="1511" priority="44">
      <formula>AND($BH15&lt;&gt;0,ISBLANK(E15))</formula>
    </cfRule>
  </conditionalFormatting>
  <conditionalFormatting sqref="E15">
    <cfRule type="expression" dxfId="1510" priority="43">
      <formula>AND($BH15&lt;&gt;0,ISBLANK(E15))</formula>
    </cfRule>
  </conditionalFormatting>
  <conditionalFormatting sqref="E15">
    <cfRule type="expression" dxfId="1509" priority="42">
      <formula>AND($C15&gt;0,ISBLANK($E15))</formula>
    </cfRule>
  </conditionalFormatting>
  <conditionalFormatting sqref="E15">
    <cfRule type="expression" dxfId="1508" priority="39">
      <formula>AND($BH15&lt;&gt;0,ISBLANK(E15))</formula>
    </cfRule>
  </conditionalFormatting>
  <conditionalFormatting sqref="E15">
    <cfRule type="expression" dxfId="1507" priority="38">
      <formula>AND($C15&gt;0,ISBLANK($E15))</formula>
    </cfRule>
  </conditionalFormatting>
  <conditionalFormatting sqref="E15">
    <cfRule type="expression" dxfId="1506" priority="37">
      <formula>AND($BH15&lt;&gt;0,ISBLANK(E15))</formula>
    </cfRule>
  </conditionalFormatting>
  <conditionalFormatting sqref="C15">
    <cfRule type="expression" dxfId="1505" priority="36">
      <formula>AND($BH15&lt;&gt;0,ISBLANK(C15))</formula>
    </cfRule>
  </conditionalFormatting>
  <conditionalFormatting sqref="C15">
    <cfRule type="expression" dxfId="1504" priority="35">
      <formula>AND($C15&gt;0,ISBLANK($E15))</formula>
    </cfRule>
  </conditionalFormatting>
  <conditionalFormatting sqref="E17">
    <cfRule type="expression" dxfId="1503" priority="25">
      <formula>AND($BH17&lt;&gt;0,ISBLANK(E17))</formula>
    </cfRule>
  </conditionalFormatting>
  <conditionalFormatting sqref="E17">
    <cfRule type="expression" dxfId="1502" priority="24">
      <formula>AND($C17&gt;0,ISBLANK($E17))</formula>
    </cfRule>
  </conditionalFormatting>
  <conditionalFormatting sqref="C17">
    <cfRule type="expression" dxfId="1501" priority="23">
      <formula>AND($BH17&lt;&gt;0,ISBLANK(C17))</formula>
    </cfRule>
  </conditionalFormatting>
  <conditionalFormatting sqref="C17">
    <cfRule type="expression" dxfId="1500" priority="22">
      <formula>AND($C17&gt;0,ISBLANK($E17))</formula>
    </cfRule>
  </conditionalFormatting>
  <conditionalFormatting sqref="Q12">
    <cfRule type="expression" dxfId="1499" priority="19">
      <formula>AND(L$9&gt;10.5,Q$24=0)</formula>
    </cfRule>
  </conditionalFormatting>
  <conditionalFormatting sqref="P12">
    <cfRule type="expression" dxfId="1498" priority="20">
      <formula>AND(L$9&gt;10.5,P$24=0)</formula>
    </cfRule>
  </conditionalFormatting>
  <conditionalFormatting sqref="O12">
    <cfRule type="expression" dxfId="1497" priority="21">
      <formula>AND(L$10&gt;0,O$24=0)</formula>
    </cfRule>
  </conditionalFormatting>
  <conditionalFormatting sqref="W12">
    <cfRule type="expression" dxfId="1496" priority="17">
      <formula>AND(R$9&gt;10.5,W$24=0)</formula>
    </cfRule>
  </conditionalFormatting>
  <conditionalFormatting sqref="V12">
    <cfRule type="expression" dxfId="1495" priority="18">
      <formula>AND(R$9&gt;10.5,V$24=0)</formula>
    </cfRule>
  </conditionalFormatting>
  <conditionalFormatting sqref="U12">
    <cfRule type="expression" dxfId="1494" priority="16">
      <formula>AND(R$10&gt;0,U$24=0)</formula>
    </cfRule>
  </conditionalFormatting>
  <conditionalFormatting sqref="AC12">
    <cfRule type="expression" dxfId="1493" priority="13">
      <formula>AND(X$9&gt;10.5,AC$24=0)</formula>
    </cfRule>
  </conditionalFormatting>
  <conditionalFormatting sqref="AB12">
    <cfRule type="expression" dxfId="1492" priority="14">
      <formula>AND(X$9&gt;10.5,AB$24=0)</formula>
    </cfRule>
  </conditionalFormatting>
  <conditionalFormatting sqref="AA12">
    <cfRule type="expression" dxfId="1491" priority="15">
      <formula>AND(X$10&gt;0,AA$24=0)</formula>
    </cfRule>
  </conditionalFormatting>
  <conditionalFormatting sqref="AI12">
    <cfRule type="expression" dxfId="1490" priority="11">
      <formula>AND(AD$9&gt;10.5,AI$24=0)</formula>
    </cfRule>
  </conditionalFormatting>
  <conditionalFormatting sqref="AH12">
    <cfRule type="expression" dxfId="1489" priority="12">
      <formula>AND(AD$9&gt;10.5,AH$24=0)</formula>
    </cfRule>
  </conditionalFormatting>
  <conditionalFormatting sqref="AG12">
    <cfRule type="expression" dxfId="1488" priority="10">
      <formula>AND(AD$10&gt;0,AG$24=0)</formula>
    </cfRule>
  </conditionalFormatting>
  <conditionalFormatting sqref="AO12">
    <cfRule type="expression" dxfId="1487" priority="7">
      <formula>AND(AJ$9&gt;10.5,AO$24=0)</formula>
    </cfRule>
  </conditionalFormatting>
  <conditionalFormatting sqref="AN12">
    <cfRule type="expression" dxfId="1486" priority="8">
      <formula>AND(AJ$9&gt;10.5,AN$24=0)</formula>
    </cfRule>
  </conditionalFormatting>
  <conditionalFormatting sqref="AM12">
    <cfRule type="expression" dxfId="1485" priority="9">
      <formula>AND(AJ$10&gt;0,AM$24=0)</formula>
    </cfRule>
  </conditionalFormatting>
  <conditionalFormatting sqref="AU12">
    <cfRule type="expression" dxfId="1484" priority="5">
      <formula>AND(AP$9&gt;10.5,AU$24=0)</formula>
    </cfRule>
  </conditionalFormatting>
  <conditionalFormatting sqref="AT12">
    <cfRule type="expression" dxfId="1483" priority="6">
      <formula>AND(AP$9&gt;10.5,AT$24=0)</formula>
    </cfRule>
  </conditionalFormatting>
  <conditionalFormatting sqref="AS12">
    <cfRule type="expression" dxfId="1482" priority="4">
      <formula>AND(AP$10&gt;0,AS$24=0)</formula>
    </cfRule>
  </conditionalFormatting>
  <conditionalFormatting sqref="BA12">
    <cfRule type="expression" dxfId="1481" priority="1">
      <formula>AND(AV$9&gt;10.5,BA$24=0)</formula>
    </cfRule>
  </conditionalFormatting>
  <conditionalFormatting sqref="AZ12">
    <cfRule type="expression" dxfId="1480" priority="2">
      <formula>AND(AV$9&gt;10.5,AZ$24=0)</formula>
    </cfRule>
  </conditionalFormatting>
  <conditionalFormatting sqref="AY12">
    <cfRule type="expression" dxfId="1479" priority="3">
      <formula>AND(AV$10&gt;0,AY$24=0)</formula>
    </cfRule>
  </conditionalFormatting>
  <dataValidations count="2">
    <dataValidation allowBlank="1" showInputMessage="1" showErrorMessage="1" sqref="E13:H13 F14:H23 E15:E23" xr:uid="{00000000-0002-0000-0A00-000000000000}"/>
    <dataValidation type="textLength" allowBlank="1" showInputMessage="1" showErrorMessage="1" errorTitle="Digits" error="The EE# must be between 4 ad 5 digits" sqref="B2" xr:uid="{00000000-0002-0000-0A00-000001000000}">
      <formula1>4</formula1>
      <formula2>5</formula2>
    </dataValidation>
  </dataValidations>
  <pageMargins left="0.25" right="0.25" top="0.75" bottom="0.75" header="0.3" footer="0.3"/>
  <pageSetup paperSize="5" scale="3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A00-000002000000}">
          <x14:formula1>
            <xm:f>'Job List'!$A:$A</xm:f>
          </x14:formula1>
          <xm:sqref>C17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3CCFF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BB15" sqref="BB15"/>
    </sheetView>
  </sheetViews>
  <sheetFormatPr defaultColWidth="8.85546875" defaultRowHeight="39" customHeight="1" x14ac:dyDescent="0.3"/>
  <cols>
    <col min="1" max="1" width="16.5703125" style="270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17.85546875" style="1" customWidth="1"/>
    <col min="7" max="7" width="14.42578125" style="1" bestFit="1" customWidth="1"/>
    <col min="8" max="8" width="8.42578125" style="1" customWidth="1"/>
    <col min="9" max="9" width="11.28515625" style="270" customWidth="1"/>
    <col min="10" max="11" width="11.28515625" style="1" customWidth="1"/>
    <col min="12" max="12" width="10.140625" style="1" customWidth="1"/>
    <col min="13" max="13" width="6.7109375" style="1" customWidth="1"/>
    <col min="14" max="14" width="7.85546875" style="1" bestFit="1" customWidth="1"/>
    <col min="15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43" width="6.7109375" style="1" customWidth="1"/>
    <col min="44" max="44" width="7.85546875" style="1" customWidth="1"/>
    <col min="45" max="49" width="6.7109375" style="1" customWidth="1"/>
    <col min="50" max="50" width="8.140625" style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IF(ISNA(VLOOKUP($B$2,[12]Employees!$B:$H,2,FALSE)),"Input Employee Number",VLOOKUP($B$2,[12]Employees!$B:$H,2,FALSE))</f>
        <v>Raunig; Fred Michael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47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8798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IF(ISNA(VLOOKUP($B$2,[12]Employees!$B:$H,4,FALSE)),"",VLOOKUP($B$2,[12]Employees!$B:$H,4,FALSE))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>1245</v>
      </c>
      <c r="D4" s="226"/>
      <c r="E4" s="226"/>
      <c r="F4" s="226"/>
      <c r="G4" s="226"/>
      <c r="H4" s="226"/>
      <c r="I4" s="226"/>
      <c r="J4" s="226"/>
      <c r="K4" s="30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0.27083333333333331</v>
      </c>
      <c r="M5" s="416"/>
      <c r="N5" s="416"/>
      <c r="O5" s="416"/>
      <c r="P5" s="416"/>
      <c r="Q5" s="417"/>
      <c r="R5" s="415">
        <v>0.27083333333333331</v>
      </c>
      <c r="S5" s="416"/>
      <c r="T5" s="416"/>
      <c r="U5" s="416"/>
      <c r="V5" s="416"/>
      <c r="W5" s="417"/>
      <c r="X5" s="415">
        <v>0.27083333333333331</v>
      </c>
      <c r="Y5" s="416"/>
      <c r="Z5" s="416"/>
      <c r="AA5" s="416"/>
      <c r="AB5" s="416"/>
      <c r="AC5" s="417"/>
      <c r="AD5" s="415">
        <v>0.27083333333333331</v>
      </c>
      <c r="AE5" s="416"/>
      <c r="AF5" s="416"/>
      <c r="AG5" s="416"/>
      <c r="AH5" s="416"/>
      <c r="AI5" s="417"/>
      <c r="AJ5" s="415">
        <v>0.25</v>
      </c>
      <c r="AK5" s="416"/>
      <c r="AL5" s="416"/>
      <c r="AM5" s="416"/>
      <c r="AN5" s="416"/>
      <c r="AO5" s="417"/>
      <c r="AP5" s="415">
        <v>0.25</v>
      </c>
      <c r="AQ5" s="416"/>
      <c r="AR5" s="416"/>
      <c r="AS5" s="416"/>
      <c r="AT5" s="416"/>
      <c r="AU5" s="417"/>
      <c r="AV5" s="415">
        <v>0.25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0.9375</v>
      </c>
      <c r="M8" s="416"/>
      <c r="N8" s="416"/>
      <c r="O8" s="416"/>
      <c r="P8" s="416"/>
      <c r="Q8" s="417"/>
      <c r="R8" s="415">
        <v>0.9375</v>
      </c>
      <c r="S8" s="416"/>
      <c r="T8" s="416"/>
      <c r="U8" s="416"/>
      <c r="V8" s="416"/>
      <c r="W8" s="417"/>
      <c r="X8" s="415">
        <v>0.9375</v>
      </c>
      <c r="Y8" s="416"/>
      <c r="Z8" s="416"/>
      <c r="AA8" s="416"/>
      <c r="AB8" s="416"/>
      <c r="AC8" s="417"/>
      <c r="AD8" s="415">
        <v>0.85416666666666663</v>
      </c>
      <c r="AE8" s="416"/>
      <c r="AF8" s="416"/>
      <c r="AG8" s="416"/>
      <c r="AH8" s="416"/>
      <c r="AI8" s="417"/>
      <c r="AJ8" s="415">
        <v>0.91666666666666663</v>
      </c>
      <c r="AK8" s="416"/>
      <c r="AL8" s="416"/>
      <c r="AM8" s="416"/>
      <c r="AN8" s="416"/>
      <c r="AO8" s="417"/>
      <c r="AP8" s="415">
        <v>0.77083333333333337</v>
      </c>
      <c r="AQ8" s="416"/>
      <c r="AR8" s="416"/>
      <c r="AS8" s="416"/>
      <c r="AT8" s="416"/>
      <c r="AU8" s="417"/>
      <c r="AV8" s="415">
        <v>0.79166666666666663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16</v>
      </c>
      <c r="M9" s="401"/>
      <c r="N9" s="401"/>
      <c r="O9" s="401"/>
      <c r="P9" s="401"/>
      <c r="Q9" s="402"/>
      <c r="R9" s="400">
        <f>IF(AND(R5&gt;=0,R8&gt;=0),(R6-R5+R8-R7)*24,0)</f>
        <v>16</v>
      </c>
      <c r="S9" s="401"/>
      <c r="T9" s="401"/>
      <c r="U9" s="401"/>
      <c r="V9" s="401"/>
      <c r="W9" s="402"/>
      <c r="X9" s="400">
        <f>IF(AND(X5&gt;=0,X8&gt;=0),(X6-X5+X8-X7)*24,0)</f>
        <v>16</v>
      </c>
      <c r="Y9" s="401"/>
      <c r="Z9" s="401"/>
      <c r="AA9" s="401"/>
      <c r="AB9" s="401"/>
      <c r="AC9" s="402"/>
      <c r="AD9" s="400">
        <f>IF(AND(AD5&gt;=0,AD8&gt;=0),(AD6-AD5+AD8-AD7)*24,0)</f>
        <v>13.999999999999998</v>
      </c>
      <c r="AE9" s="401"/>
      <c r="AF9" s="401"/>
      <c r="AG9" s="401"/>
      <c r="AH9" s="401"/>
      <c r="AI9" s="402"/>
      <c r="AJ9" s="400">
        <f>IF(AND(AJ5&gt;=0,AJ8&gt;=0),(AJ6-AJ5+AJ8-AJ7)*24,0)</f>
        <v>16</v>
      </c>
      <c r="AK9" s="401"/>
      <c r="AL9" s="401"/>
      <c r="AM9" s="401"/>
      <c r="AN9" s="401"/>
      <c r="AO9" s="402"/>
      <c r="AP9" s="400">
        <f>IF(AND(AP5&gt;=0,AP8&gt;=0),(AP6-AP5+AP8-AP7)*24,0)</f>
        <v>12.5</v>
      </c>
      <c r="AQ9" s="401"/>
      <c r="AR9" s="401"/>
      <c r="AS9" s="401"/>
      <c r="AT9" s="401"/>
      <c r="AU9" s="402"/>
      <c r="AV9" s="400">
        <f>IF(AND(AV5&gt;=0,AV8&gt;=0),(AV6-AV5+AV8-AV7)*24,0)</f>
        <v>13</v>
      </c>
      <c r="AW9" s="401"/>
      <c r="AX9" s="401"/>
      <c r="AY9" s="401"/>
      <c r="AZ9" s="401"/>
      <c r="BA9" s="402"/>
      <c r="BB9" s="400">
        <f>SUM(L9:BA9)</f>
        <v>103.5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16</v>
      </c>
      <c r="M10" s="407"/>
      <c r="N10" s="407"/>
      <c r="O10" s="407"/>
      <c r="P10" s="407"/>
      <c r="Q10" s="408"/>
      <c r="R10" s="406">
        <f>R24+S24+T24</f>
        <v>16</v>
      </c>
      <c r="S10" s="407"/>
      <c r="T10" s="407"/>
      <c r="U10" s="407"/>
      <c r="V10" s="407"/>
      <c r="W10" s="408"/>
      <c r="X10" s="406">
        <f>X24+Y24+Z24</f>
        <v>16</v>
      </c>
      <c r="Y10" s="407"/>
      <c r="Z10" s="407"/>
      <c r="AA10" s="407"/>
      <c r="AB10" s="407"/>
      <c r="AC10" s="408"/>
      <c r="AD10" s="406">
        <f>AD24+AE24+AF24</f>
        <v>14</v>
      </c>
      <c r="AE10" s="407"/>
      <c r="AF10" s="407"/>
      <c r="AG10" s="407"/>
      <c r="AH10" s="407"/>
      <c r="AI10" s="408"/>
      <c r="AJ10" s="406">
        <f>AJ24+AK24+AL24</f>
        <v>16</v>
      </c>
      <c r="AK10" s="407"/>
      <c r="AL10" s="407"/>
      <c r="AM10" s="407"/>
      <c r="AN10" s="407"/>
      <c r="AO10" s="408"/>
      <c r="AP10" s="406">
        <f>AP24+AQ24+AR24</f>
        <v>12.5</v>
      </c>
      <c r="AQ10" s="407"/>
      <c r="AR10" s="407"/>
      <c r="AS10" s="407"/>
      <c r="AT10" s="407"/>
      <c r="AU10" s="408"/>
      <c r="AV10" s="409">
        <f>AV24+AW24+AX24</f>
        <v>13</v>
      </c>
      <c r="AW10" s="410"/>
      <c r="AX10" s="410"/>
      <c r="AY10" s="410"/>
      <c r="AZ10" s="410"/>
      <c r="BA10" s="411"/>
      <c r="BB10" s="412">
        <f>SUM(L10:BA10)</f>
        <v>103.5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>x</v>
      </c>
      <c r="B13" s="353" t="s">
        <v>101</v>
      </c>
      <c r="C13" s="372" t="s">
        <v>3866</v>
      </c>
      <c r="D13" s="371"/>
      <c r="E13" s="372" t="s">
        <v>731</v>
      </c>
      <c r="F13" s="353" t="str">
        <f t="shared" ref="F13:F23" si="0">IF(ISBLANK($B$4),"",$B$4)</f>
        <v>1245</v>
      </c>
      <c r="G13" s="353" t="s">
        <v>102</v>
      </c>
      <c r="H13" s="353" t="s">
        <v>102</v>
      </c>
      <c r="I13" s="139">
        <v>1</v>
      </c>
      <c r="J13" s="153" t="str">
        <f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G23" si="1">SUM(AV13,AP13,AJ13,AD13,X13,R13,L13)</f>
        <v>0</v>
      </c>
      <c r="BC13" s="120">
        <f t="shared" si="1"/>
        <v>0</v>
      </c>
      <c r="BD13" s="120">
        <f t="shared" si="1"/>
        <v>0</v>
      </c>
      <c r="BE13" s="120">
        <f t="shared" si="1"/>
        <v>0</v>
      </c>
      <c r="BF13" s="120">
        <f t="shared" si="1"/>
        <v>0</v>
      </c>
      <c r="BG13" s="154">
        <f t="shared" si="1"/>
        <v>0</v>
      </c>
      <c r="BH13" s="123">
        <f>SUM(TimeSheet34753619244401821620262269123493109887811772527[[#This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>IF(ISBLANK(C18),"",IF(ISBLANK($D$3),"",$D$3))</f>
        <v/>
      </c>
      <c r="B14" s="353" t="s">
        <v>101</v>
      </c>
      <c r="C14" s="111"/>
      <c r="D14" s="277"/>
      <c r="E14" s="374"/>
      <c r="F14" s="353" t="str">
        <f t="shared" si="0"/>
        <v>1245</v>
      </c>
      <c r="G14" s="353" t="s">
        <v>102</v>
      </c>
      <c r="H14" s="353" t="s">
        <v>102</v>
      </c>
      <c r="I14" s="139">
        <v>1</v>
      </c>
      <c r="J14" s="153" t="str">
        <f t="shared" ref="J14:J23" si="2">IF($K14=0,"",IF($K14&lt;10,"0"&amp;$K14,$K14))</f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1"/>
        <v>0</v>
      </c>
      <c r="BC14" s="120">
        <f t="shared" si="1"/>
        <v>0</v>
      </c>
      <c r="BD14" s="120">
        <f t="shared" si="1"/>
        <v>0</v>
      </c>
      <c r="BE14" s="120">
        <f t="shared" si="1"/>
        <v>0</v>
      </c>
      <c r="BF14" s="120">
        <f t="shared" si="1"/>
        <v>0</v>
      </c>
      <c r="BG14" s="154">
        <f t="shared" si="1"/>
        <v>0</v>
      </c>
      <c r="BH14" s="123">
        <f>SUM(TimeSheet34753619244401821620262269123493109887811772527[[#This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">
        <v>423</v>
      </c>
      <c r="B15" s="353" t="s">
        <v>101</v>
      </c>
      <c r="C15" s="353" t="s">
        <v>4081</v>
      </c>
      <c r="D15" s="371"/>
      <c r="E15" s="372" t="s">
        <v>731</v>
      </c>
      <c r="F15" s="353" t="str">
        <f t="shared" si="0"/>
        <v>1245</v>
      </c>
      <c r="G15" s="353" t="s">
        <v>102</v>
      </c>
      <c r="H15" s="353" t="s">
        <v>102</v>
      </c>
      <c r="I15" s="139">
        <v>1</v>
      </c>
      <c r="J15" s="153" t="str">
        <f t="shared" si="2"/>
        <v>01</v>
      </c>
      <c r="K15" s="150">
        <v>1</v>
      </c>
      <c r="L15" s="263">
        <v>8</v>
      </c>
      <c r="M15" s="258"/>
      <c r="N15" s="258">
        <v>8</v>
      </c>
      <c r="O15" s="258">
        <v>3</v>
      </c>
      <c r="P15" s="258">
        <v>3</v>
      </c>
      <c r="Q15" s="259">
        <v>1.5</v>
      </c>
      <c r="R15" s="262">
        <v>8</v>
      </c>
      <c r="S15" s="260"/>
      <c r="T15" s="260">
        <v>8</v>
      </c>
      <c r="U15" s="260">
        <v>3</v>
      </c>
      <c r="V15" s="260">
        <v>3</v>
      </c>
      <c r="W15" s="261">
        <v>1.5</v>
      </c>
      <c r="X15" s="263">
        <v>8</v>
      </c>
      <c r="Y15" s="258"/>
      <c r="Z15" s="258">
        <v>8</v>
      </c>
      <c r="AA15" s="258">
        <v>3</v>
      </c>
      <c r="AB15" s="258">
        <v>3</v>
      </c>
      <c r="AC15" s="259">
        <v>1.5</v>
      </c>
      <c r="AD15" s="262">
        <v>8</v>
      </c>
      <c r="AE15" s="260"/>
      <c r="AF15" s="260">
        <v>6</v>
      </c>
      <c r="AG15" s="260">
        <v>3</v>
      </c>
      <c r="AH15" s="260">
        <v>3</v>
      </c>
      <c r="AI15" s="261">
        <v>1.5</v>
      </c>
      <c r="AJ15" s="263">
        <v>8</v>
      </c>
      <c r="AK15" s="258"/>
      <c r="AL15" s="258">
        <v>8</v>
      </c>
      <c r="AM15" s="258">
        <v>3</v>
      </c>
      <c r="AN15" s="258">
        <v>3</v>
      </c>
      <c r="AO15" s="259">
        <v>1.5</v>
      </c>
      <c r="AP15" s="262"/>
      <c r="AQ15" s="260"/>
      <c r="AR15" s="260">
        <v>12.5</v>
      </c>
      <c r="AS15" s="260">
        <v>3</v>
      </c>
      <c r="AT15" s="260">
        <v>2</v>
      </c>
      <c r="AU15" s="261">
        <v>1</v>
      </c>
      <c r="AV15" s="263"/>
      <c r="AW15" s="258"/>
      <c r="AX15" s="258">
        <v>13</v>
      </c>
      <c r="AY15" s="258">
        <v>3</v>
      </c>
      <c r="AZ15" s="258">
        <v>2</v>
      </c>
      <c r="BA15" s="259">
        <v>1</v>
      </c>
      <c r="BB15" s="119">
        <f t="shared" si="1"/>
        <v>40</v>
      </c>
      <c r="BC15" s="120">
        <f t="shared" si="1"/>
        <v>0</v>
      </c>
      <c r="BD15" s="120">
        <f t="shared" si="1"/>
        <v>63.5</v>
      </c>
      <c r="BE15" s="120">
        <f t="shared" si="1"/>
        <v>21</v>
      </c>
      <c r="BF15" s="120">
        <f t="shared" si="1"/>
        <v>19</v>
      </c>
      <c r="BG15" s="154">
        <f t="shared" si="1"/>
        <v>9.5</v>
      </c>
      <c r="BH15" s="123">
        <f>SUM(TimeSheet34753619244401821620262269123493109887811772527[[#This Row],[1]:[4A]])</f>
        <v>153</v>
      </c>
      <c r="BI15" s="126" t="e">
        <f ca="1"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#NAME?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 t="e">
        <f ca="1"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#NAME?</v>
      </c>
      <c r="BL15" s="127" t="e">
        <f ca="1"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#NAME?</v>
      </c>
      <c r="BM15" s="127" t="e">
        <f ca="1"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#NAME?</v>
      </c>
      <c r="BN15" s="128" t="e">
        <f ca="1"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#NAME?</v>
      </c>
      <c r="BO15" s="126" t="e">
        <f ca="1"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#NAME?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 t="e">
        <f ca="1"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#NAME?</v>
      </c>
      <c r="BR15" s="127" t="e">
        <f ca="1"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#NAME?</v>
      </c>
      <c r="BS15" s="127" t="e">
        <f ca="1"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#NAME?</v>
      </c>
      <c r="BT15" s="128" t="e">
        <f ca="1"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#NAME?</v>
      </c>
      <c r="BU15" s="126" t="e">
        <f ca="1"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#NAME?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 t="e">
        <f ca="1"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#NAME?</v>
      </c>
      <c r="BX15" s="127" t="e">
        <f ca="1"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#NAME?</v>
      </c>
      <c r="BY15" s="127" t="e">
        <f ca="1"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#NAME?</v>
      </c>
      <c r="BZ15" s="128" t="e">
        <f ca="1"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#NAME?</v>
      </c>
      <c r="CA15" s="126" t="e">
        <f ca="1"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#NAME?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 t="e">
        <f ca="1"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#NAME?</v>
      </c>
      <c r="CD15" s="127" t="e">
        <f ca="1"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#NAME?</v>
      </c>
      <c r="CE15" s="127" t="e">
        <f ca="1"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#NAME?</v>
      </c>
      <c r="CF15" s="128" t="e">
        <f ca="1"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#NAME?</v>
      </c>
      <c r="CG15" s="126" t="e">
        <f ca="1"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#NAME?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 t="e">
        <f ca="1"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#NAME?</v>
      </c>
      <c r="CJ15" s="127" t="e">
        <f ca="1"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#NAME?</v>
      </c>
      <c r="CK15" s="127" t="e">
        <f ca="1"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#NAME?</v>
      </c>
      <c r="CL15" s="128" t="e">
        <f ca="1"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#NAME?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 t="e">
        <f ca="1"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#NAME?</v>
      </c>
      <c r="CP15" s="127" t="e">
        <f ca="1"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#NAME?</v>
      </c>
      <c r="CQ15" s="127" t="e">
        <f ca="1"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#NAME?</v>
      </c>
      <c r="CR15" s="128" t="e">
        <f ca="1"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#NAME?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 t="e">
        <f ca="1"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#NAME?</v>
      </c>
      <c r="CV15" s="127" t="e">
        <f ca="1"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#NAME?</v>
      </c>
      <c r="CW15" s="127" t="e">
        <f ca="1"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#NAME?</v>
      </c>
      <c r="CX15" s="128" t="e">
        <f ca="1"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#NAME?</v>
      </c>
    </row>
    <row r="16" spans="1:102" ht="39" customHeight="1" x14ac:dyDescent="0.3">
      <c r="A16" s="109" t="str">
        <f>IF(ISBLANK(C16),"",IF(ISBLANK($D$3),"",$D$3))</f>
        <v/>
      </c>
      <c r="B16" s="353" t="s">
        <v>101</v>
      </c>
      <c r="C16" s="353"/>
      <c r="D16" s="371"/>
      <c r="E16" s="343"/>
      <c r="F16" s="353" t="str">
        <f t="shared" si="0"/>
        <v>1245</v>
      </c>
      <c r="G16" s="353" t="s">
        <v>102</v>
      </c>
      <c r="H16" s="353" t="s">
        <v>102</v>
      </c>
      <c r="I16" s="139">
        <v>1</v>
      </c>
      <c r="J16" s="153" t="str">
        <f t="shared" si="2"/>
        <v>01</v>
      </c>
      <c r="K16" s="150">
        <v>1</v>
      </c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9"/>
      <c r="AD16" s="262"/>
      <c r="AE16" s="260"/>
      <c r="AF16" s="260"/>
      <c r="AG16" s="260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1"/>
        <v>0</v>
      </c>
      <c r="BC16" s="120">
        <f t="shared" si="1"/>
        <v>0</v>
      </c>
      <c r="BD16" s="120">
        <f t="shared" si="1"/>
        <v>0</v>
      </c>
      <c r="BE16" s="120">
        <f t="shared" si="1"/>
        <v>0</v>
      </c>
      <c r="BF16" s="120">
        <f t="shared" si="1"/>
        <v>0</v>
      </c>
      <c r="BG16" s="154">
        <f t="shared" si="1"/>
        <v>0</v>
      </c>
      <c r="BH16" s="123">
        <f>SUM(TimeSheet34753619244401821620262269123493109887811772527[[#This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>x</v>
      </c>
      <c r="B17" s="353" t="s">
        <v>101</v>
      </c>
      <c r="C17" s="353" t="s">
        <v>3846</v>
      </c>
      <c r="D17" s="241"/>
      <c r="E17" s="353" t="s">
        <v>731</v>
      </c>
      <c r="F17" s="353" t="str">
        <f t="shared" si="0"/>
        <v>1245</v>
      </c>
      <c r="G17" s="353" t="s">
        <v>102</v>
      </c>
      <c r="H17" s="353" t="s">
        <v>102</v>
      </c>
      <c r="I17" s="139">
        <v>1</v>
      </c>
      <c r="J17" s="153" t="str">
        <f t="shared" si="2"/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1"/>
        <v>0</v>
      </c>
      <c r="BC17" s="120">
        <f t="shared" si="1"/>
        <v>0</v>
      </c>
      <c r="BD17" s="120">
        <f t="shared" si="1"/>
        <v>0</v>
      </c>
      <c r="BE17" s="120">
        <f t="shared" si="1"/>
        <v>0</v>
      </c>
      <c r="BF17" s="120">
        <f t="shared" si="1"/>
        <v>0</v>
      </c>
      <c r="BG17" s="154">
        <f t="shared" si="1"/>
        <v>0</v>
      </c>
      <c r="BH17" s="123">
        <f>SUM(TimeSheet34753619244401821620262269123493109887811772527[[#This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>IF(ISBLANK(#REF!),"",IF(ISBLANK($D$3),"",$D$3))</f>
        <v>x</v>
      </c>
      <c r="B18" s="353" t="s">
        <v>101</v>
      </c>
      <c r="C18" s="353"/>
      <c r="D18" s="277"/>
      <c r="E18" s="353"/>
      <c r="F18" s="353" t="str">
        <f t="shared" si="0"/>
        <v>1245</v>
      </c>
      <c r="G18" s="353" t="s">
        <v>102</v>
      </c>
      <c r="H18" s="353" t="s">
        <v>102</v>
      </c>
      <c r="I18" s="139">
        <v>1</v>
      </c>
      <c r="J18" s="153" t="str">
        <f t="shared" si="2"/>
        <v>01</v>
      </c>
      <c r="K18" s="150">
        <v>1</v>
      </c>
      <c r="L18" s="200"/>
      <c r="M18" s="201"/>
      <c r="N18" s="201"/>
      <c r="O18" s="201"/>
      <c r="P18" s="201"/>
      <c r="Q18" s="237"/>
      <c r="R18" s="238"/>
      <c r="S18" s="202"/>
      <c r="T18" s="202"/>
      <c r="U18" s="202"/>
      <c r="V18" s="202"/>
      <c r="W18" s="203"/>
      <c r="X18" s="263"/>
      <c r="Y18" s="201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62"/>
      <c r="AQ18" s="260"/>
      <c r="AR18" s="345"/>
      <c r="AS18" s="345"/>
      <c r="AT18" s="260"/>
      <c r="AU18" s="261"/>
      <c r="AV18" s="263"/>
      <c r="AW18" s="258"/>
      <c r="AX18" s="258"/>
      <c r="AY18" s="258"/>
      <c r="AZ18" s="258"/>
      <c r="BA18" s="259"/>
      <c r="BB18" s="119">
        <f t="shared" si="1"/>
        <v>0</v>
      </c>
      <c r="BC18" s="120">
        <f t="shared" si="1"/>
        <v>0</v>
      </c>
      <c r="BD18" s="120">
        <f t="shared" si="1"/>
        <v>0</v>
      </c>
      <c r="BE18" s="120">
        <f t="shared" si="1"/>
        <v>0</v>
      </c>
      <c r="BF18" s="120">
        <f t="shared" si="1"/>
        <v>0</v>
      </c>
      <c r="BG18" s="154">
        <f t="shared" si="1"/>
        <v>0</v>
      </c>
      <c r="BH18" s="123">
        <f>SUM(TimeSheet34753619244401821620262269123493109887811772527[[#This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>IF(ISBLANK(#REF!),"",IF(ISBLANK($D$3),"",$D$3))</f>
        <v>x</v>
      </c>
      <c r="B19" s="353" t="s">
        <v>101</v>
      </c>
      <c r="C19" s="353"/>
      <c r="D19" s="371"/>
      <c r="E19" s="372"/>
      <c r="F19" s="353" t="str">
        <f t="shared" si="0"/>
        <v>1245</v>
      </c>
      <c r="G19" s="353" t="s">
        <v>102</v>
      </c>
      <c r="H19" s="353" t="s">
        <v>102</v>
      </c>
      <c r="I19" s="139">
        <v>1</v>
      </c>
      <c r="J19" s="153" t="str">
        <f t="shared" si="2"/>
        <v>01</v>
      </c>
      <c r="K19" s="150">
        <v>1</v>
      </c>
      <c r="L19" s="263"/>
      <c r="M19" s="258"/>
      <c r="N19" s="258"/>
      <c r="O19" s="258"/>
      <c r="P19" s="258"/>
      <c r="Q19" s="259"/>
      <c r="R19" s="262"/>
      <c r="S19" s="260"/>
      <c r="T19" s="260"/>
      <c r="U19" s="260"/>
      <c r="V19" s="260"/>
      <c r="W19" s="261"/>
      <c r="X19" s="263"/>
      <c r="Y19" s="258"/>
      <c r="Z19" s="258"/>
      <c r="AA19" s="258"/>
      <c r="AB19" s="258"/>
      <c r="AC19" s="259"/>
      <c r="AD19" s="262"/>
      <c r="AE19" s="260"/>
      <c r="AF19" s="260"/>
      <c r="AG19" s="260"/>
      <c r="AH19" s="260"/>
      <c r="AI19" s="261"/>
      <c r="AJ19" s="263"/>
      <c r="AK19" s="258"/>
      <c r="AL19" s="258"/>
      <c r="AM19" s="258"/>
      <c r="AN19" s="258"/>
      <c r="AO19" s="259"/>
      <c r="AP19" s="262"/>
      <c r="AQ19" s="260"/>
      <c r="AR19" s="260"/>
      <c r="AS19" s="260"/>
      <c r="AT19" s="260"/>
      <c r="AU19" s="261"/>
      <c r="AV19" s="263"/>
      <c r="AW19" s="258"/>
      <c r="AX19" s="258"/>
      <c r="AY19" s="258"/>
      <c r="AZ19" s="258"/>
      <c r="BA19" s="259"/>
      <c r="BB19" s="119">
        <f t="shared" si="1"/>
        <v>0</v>
      </c>
      <c r="BC19" s="120">
        <f t="shared" si="1"/>
        <v>0</v>
      </c>
      <c r="BD19" s="120">
        <f t="shared" si="1"/>
        <v>0</v>
      </c>
      <c r="BE19" s="120">
        <f t="shared" si="1"/>
        <v>0</v>
      </c>
      <c r="BF19" s="120">
        <f t="shared" si="1"/>
        <v>0</v>
      </c>
      <c r="BG19" s="154">
        <f t="shared" si="1"/>
        <v>0</v>
      </c>
      <c r="BH19" s="123">
        <f>SUM(TimeSheet34753619244401821620262269123493109887811772527[[#This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>IF(ISBLANK(C20),"",IF(ISBLANK($D$3),"",$D$3))</f>
        <v/>
      </c>
      <c r="B20" s="353" t="s">
        <v>101</v>
      </c>
      <c r="C20" s="353"/>
      <c r="D20" s="371"/>
      <c r="E20" s="343"/>
      <c r="F20" s="353" t="str">
        <f t="shared" si="0"/>
        <v>1245</v>
      </c>
      <c r="G20" s="353" t="s">
        <v>102</v>
      </c>
      <c r="H20" s="353" t="s">
        <v>102</v>
      </c>
      <c r="I20" s="139">
        <v>1</v>
      </c>
      <c r="J20" s="153" t="str">
        <f t="shared" si="2"/>
        <v>01</v>
      </c>
      <c r="K20" s="150">
        <v>1</v>
      </c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1"/>
        <v>0</v>
      </c>
      <c r="BC20" s="120">
        <f t="shared" si="1"/>
        <v>0</v>
      </c>
      <c r="BD20" s="120">
        <f t="shared" si="1"/>
        <v>0</v>
      </c>
      <c r="BE20" s="120">
        <f t="shared" si="1"/>
        <v>0</v>
      </c>
      <c r="BF20" s="120">
        <f t="shared" si="1"/>
        <v>0</v>
      </c>
      <c r="BG20" s="154">
        <f t="shared" si="1"/>
        <v>0</v>
      </c>
      <c r="BH20" s="123">
        <f>SUM(TimeSheet34753619244401821620262269123493109887811772527[[#This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>IF(ISBLANK(C21),"",IF(ISBLANK($D$3),"",$D$3))</f>
        <v/>
      </c>
      <c r="B21" s="353" t="s">
        <v>101</v>
      </c>
      <c r="C21" s="353"/>
      <c r="D21" s="277"/>
      <c r="E21" s="353"/>
      <c r="F21" s="353" t="str">
        <f t="shared" si="0"/>
        <v>1245</v>
      </c>
      <c r="G21" s="353" t="s">
        <v>102</v>
      </c>
      <c r="H21" s="353" t="s">
        <v>102</v>
      </c>
      <c r="I21" s="139">
        <v>1</v>
      </c>
      <c r="J21" s="153" t="str">
        <f t="shared" si="2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02"/>
      <c r="AG21" s="202"/>
      <c r="AH21" s="202"/>
      <c r="AI21" s="203"/>
      <c r="AJ21" s="200"/>
      <c r="AK21" s="201"/>
      <c r="AL21" s="201"/>
      <c r="AM21" s="201"/>
      <c r="AN21" s="201"/>
      <c r="AO21" s="237"/>
      <c r="AP21" s="238"/>
      <c r="AQ21" s="202"/>
      <c r="AR21" s="202"/>
      <c r="AS21" s="202"/>
      <c r="AT21" s="202"/>
      <c r="AU21" s="203"/>
      <c r="AV21" s="200"/>
      <c r="AW21" s="201"/>
      <c r="AX21" s="201"/>
      <c r="AY21" s="201"/>
      <c r="AZ21" s="258"/>
      <c r="BA21" s="259"/>
      <c r="BB21" s="119">
        <f t="shared" si="1"/>
        <v>0</v>
      </c>
      <c r="BC21" s="120">
        <f t="shared" si="1"/>
        <v>0</v>
      </c>
      <c r="BD21" s="120">
        <f t="shared" si="1"/>
        <v>0</v>
      </c>
      <c r="BE21" s="120">
        <f t="shared" si="1"/>
        <v>0</v>
      </c>
      <c r="BF21" s="120">
        <f t="shared" si="1"/>
        <v>0</v>
      </c>
      <c r="BG21" s="154">
        <f t="shared" si="1"/>
        <v>0</v>
      </c>
      <c r="BH21" s="123">
        <f>SUM(TimeSheet34753619244401821620262269123493109887811772527[[#This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>IF(ISBLANK(C22),"",IF(ISBLANK($D$3),"",$D$3))</f>
        <v/>
      </c>
      <c r="B22" s="353" t="s">
        <v>101</v>
      </c>
      <c r="C22" s="111"/>
      <c r="D22" s="277"/>
      <c r="E22" s="353"/>
      <c r="F22" s="353" t="str">
        <f t="shared" si="0"/>
        <v>1245</v>
      </c>
      <c r="G22" s="353" t="s">
        <v>102</v>
      </c>
      <c r="H22" s="353" t="s">
        <v>102</v>
      </c>
      <c r="I22" s="139">
        <v>1</v>
      </c>
      <c r="J22" s="153" t="str">
        <f t="shared" si="2"/>
        <v>01</v>
      </c>
      <c r="K22" s="150">
        <v>1</v>
      </c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59"/>
      <c r="AP22" s="262"/>
      <c r="AQ22" s="260"/>
      <c r="AR22" s="260"/>
      <c r="AS22" s="260"/>
      <c r="AT22" s="260"/>
      <c r="AU22" s="261"/>
      <c r="AV22" s="263"/>
      <c r="AW22" s="258"/>
      <c r="AX22" s="258"/>
      <c r="AY22" s="258"/>
      <c r="AZ22" s="258"/>
      <c r="BA22" s="259"/>
      <c r="BB22" s="119">
        <f t="shared" si="1"/>
        <v>0</v>
      </c>
      <c r="BC22" s="120">
        <f t="shared" si="1"/>
        <v>0</v>
      </c>
      <c r="BD22" s="120">
        <f t="shared" si="1"/>
        <v>0</v>
      </c>
      <c r="BE22" s="120">
        <f t="shared" si="1"/>
        <v>0</v>
      </c>
      <c r="BF22" s="120">
        <f t="shared" si="1"/>
        <v>0</v>
      </c>
      <c r="BG22" s="154">
        <f t="shared" si="1"/>
        <v>0</v>
      </c>
      <c r="BH22" s="123">
        <f>SUM(TimeSheet34753619244401821620262269123493109887811772527[[#This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>IF(ISBLANK(C23),"",IF(ISBLANK($D$3),"",$D$3))</f>
        <v/>
      </c>
      <c r="B23" s="353" t="s">
        <v>101</v>
      </c>
      <c r="C23" s="111"/>
      <c r="D23" s="277"/>
      <c r="E23" s="353"/>
      <c r="F23" s="353" t="str">
        <f t="shared" si="0"/>
        <v>1245</v>
      </c>
      <c r="G23" s="353" t="s">
        <v>102</v>
      </c>
      <c r="H23" s="353" t="s">
        <v>102</v>
      </c>
      <c r="I23" s="139">
        <v>1</v>
      </c>
      <c r="J23" s="153" t="str">
        <f t="shared" si="2"/>
        <v>01</v>
      </c>
      <c r="K23" s="150">
        <v>1</v>
      </c>
      <c r="L23" s="263"/>
      <c r="M23" s="258"/>
      <c r="N23" s="258"/>
      <c r="O23" s="258"/>
      <c r="P23" s="258"/>
      <c r="Q23" s="259"/>
      <c r="R23" s="262"/>
      <c r="S23" s="260"/>
      <c r="T23" s="260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1"/>
        <v>0</v>
      </c>
      <c r="BC23" s="120">
        <f t="shared" si="1"/>
        <v>0</v>
      </c>
      <c r="BD23" s="120">
        <f t="shared" si="1"/>
        <v>0</v>
      </c>
      <c r="BE23" s="120">
        <f t="shared" si="1"/>
        <v>0</v>
      </c>
      <c r="BF23" s="120">
        <f t="shared" si="1"/>
        <v>0</v>
      </c>
      <c r="BG23" s="154">
        <f t="shared" si="1"/>
        <v>0</v>
      </c>
      <c r="BH23" s="123">
        <f>SUM(TimeSheet34753619244401821620262269123493109887811772527[[#This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SUBTOTAL(109,TimeSheet34753619244401821620262269123493109887811772527[RT1])</f>
        <v>8</v>
      </c>
      <c r="M24" s="359">
        <f>SUBTOTAL(109,TimeSheet34753619244401821620262269123493109887811772527[OT1])</f>
        <v>0</v>
      </c>
      <c r="N24" s="359">
        <f>SUBTOTAL(109,TimeSheet34753619244401821620262269123493109887811772527[DT1])</f>
        <v>8</v>
      </c>
      <c r="O24" s="359">
        <f>SUBTOTAL(109,TimeSheet34753619244401821620262269123493109887811772527[PD1])</f>
        <v>3</v>
      </c>
      <c r="P24" s="359">
        <f>SUBTOTAL(109,TimeSheet34753619244401821620262269123493109887811772527[4D1])</f>
        <v>3</v>
      </c>
      <c r="Q24" s="360">
        <f>SUBTOTAL(109,TimeSheet34753619244401821620262269123493109887811772527[4A1])</f>
        <v>1.5</v>
      </c>
      <c r="R24" s="361">
        <f>SUBTOTAL(109,TimeSheet34753619244401821620262269123493109887811772527[RT2])</f>
        <v>8</v>
      </c>
      <c r="S24" s="362">
        <f>SUBTOTAL(109,TimeSheet34753619244401821620262269123493109887811772527[OT2])</f>
        <v>0</v>
      </c>
      <c r="T24" s="362">
        <f>SUBTOTAL(109,TimeSheet34753619244401821620262269123493109887811772527[DT2])</f>
        <v>8</v>
      </c>
      <c r="U24" s="362">
        <f>SUBTOTAL(109,TimeSheet34753619244401821620262269123493109887811772527[PD2])</f>
        <v>3</v>
      </c>
      <c r="V24" s="362">
        <f>SUBTOTAL(109,TimeSheet34753619244401821620262269123493109887811772527[4D2])</f>
        <v>3</v>
      </c>
      <c r="W24" s="363">
        <f>SUBTOTAL(109,TimeSheet34753619244401821620262269123493109887811772527[4A2])</f>
        <v>1.5</v>
      </c>
      <c r="X24" s="358">
        <f>SUBTOTAL(109,TimeSheet34753619244401821620262269123493109887811772527[RT3])</f>
        <v>8</v>
      </c>
      <c r="Y24" s="359">
        <f>SUBTOTAL(109,TimeSheet34753619244401821620262269123493109887811772527[OT3])</f>
        <v>0</v>
      </c>
      <c r="Z24" s="359">
        <f>SUBTOTAL(109,TimeSheet34753619244401821620262269123493109887811772527[DT3])</f>
        <v>8</v>
      </c>
      <c r="AA24" s="359">
        <f>SUBTOTAL(109,TimeSheet34753619244401821620262269123493109887811772527[PD3])</f>
        <v>3</v>
      </c>
      <c r="AB24" s="359">
        <f>SUBTOTAL(109,TimeSheet34753619244401821620262269123493109887811772527[4D3])</f>
        <v>3</v>
      </c>
      <c r="AC24" s="360">
        <f>SUBTOTAL(109,TimeSheet34753619244401821620262269123493109887811772527[4A3])</f>
        <v>1.5</v>
      </c>
      <c r="AD24" s="361">
        <f>SUBTOTAL(109,TimeSheet34753619244401821620262269123493109887811772527[RT4])</f>
        <v>8</v>
      </c>
      <c r="AE24" s="362">
        <f>SUBTOTAL(109,TimeSheet34753619244401821620262269123493109887811772527[OT4])</f>
        <v>0</v>
      </c>
      <c r="AF24" s="362">
        <f>SUBTOTAL(109,TimeSheet34753619244401821620262269123493109887811772527[DT4])</f>
        <v>6</v>
      </c>
      <c r="AG24" s="362">
        <f>SUBTOTAL(109,TimeSheet34753619244401821620262269123493109887811772527[PD4])</f>
        <v>3</v>
      </c>
      <c r="AH24" s="362">
        <f>SUBTOTAL(109,TimeSheet34753619244401821620262269123493109887811772527[4D4])</f>
        <v>3</v>
      </c>
      <c r="AI24" s="363">
        <f>SUBTOTAL(109,TimeSheet34753619244401821620262269123493109887811772527[4A4])</f>
        <v>1.5</v>
      </c>
      <c r="AJ24" s="358">
        <f>SUBTOTAL(109,TimeSheet34753619244401821620262269123493109887811772527[RT5])</f>
        <v>8</v>
      </c>
      <c r="AK24" s="359">
        <f>SUBTOTAL(109,TimeSheet34753619244401821620262269123493109887811772527[OT5])</f>
        <v>0</v>
      </c>
      <c r="AL24" s="359">
        <f>SUBTOTAL(109,TimeSheet34753619244401821620262269123493109887811772527[DT5])</f>
        <v>8</v>
      </c>
      <c r="AM24" s="359">
        <f>SUBTOTAL(109,TimeSheet34753619244401821620262269123493109887811772527[PD5])</f>
        <v>3</v>
      </c>
      <c r="AN24" s="359">
        <f>SUBTOTAL(109,TimeSheet34753619244401821620262269123493109887811772527[4D5])</f>
        <v>3</v>
      </c>
      <c r="AO24" s="360">
        <f>SUBTOTAL(109,TimeSheet34753619244401821620262269123493109887811772527[4A5])</f>
        <v>1.5</v>
      </c>
      <c r="AP24" s="361">
        <f>SUBTOTAL(109,TimeSheet34753619244401821620262269123493109887811772527[RT6])</f>
        <v>0</v>
      </c>
      <c r="AQ24" s="362">
        <f>SUBTOTAL(109,TimeSheet34753619244401821620262269123493109887811772527[OT6])</f>
        <v>0</v>
      </c>
      <c r="AR24" s="362">
        <f>SUBTOTAL(109,TimeSheet34753619244401821620262269123493109887811772527[DT6])</f>
        <v>12.5</v>
      </c>
      <c r="AS24" s="362">
        <f>SUBTOTAL(109,TimeSheet34753619244401821620262269123493109887811772527[PD6])</f>
        <v>3</v>
      </c>
      <c r="AT24" s="362">
        <f>SUBTOTAL(109,TimeSheet34753619244401821620262269123493109887811772527[4D6])</f>
        <v>2</v>
      </c>
      <c r="AU24" s="363">
        <f>SUBTOTAL(109,TimeSheet34753619244401821620262269123493109887811772527[4A6])</f>
        <v>1</v>
      </c>
      <c r="AV24" s="358">
        <f>SUBTOTAL(109,TimeSheet34753619244401821620262269123493109887811772527[RT7])</f>
        <v>0</v>
      </c>
      <c r="AW24" s="359">
        <f>SUBTOTAL(109,TimeSheet34753619244401821620262269123493109887811772527[OT7])</f>
        <v>0</v>
      </c>
      <c r="AX24" s="359">
        <f>SUBTOTAL(109,TimeSheet34753619244401821620262269123493109887811772527[DT7])</f>
        <v>13</v>
      </c>
      <c r="AY24" s="359">
        <f>SUBTOTAL(109,TimeSheet34753619244401821620262269123493109887811772527[PD7])</f>
        <v>3</v>
      </c>
      <c r="AZ24" s="359">
        <f>SUBTOTAL(109,TimeSheet34753619244401821620262269123493109887811772527[4D7])</f>
        <v>2</v>
      </c>
      <c r="BA24" s="360">
        <f>SUBTOTAL(109,TimeSheet34753619244401821620262269123493109887811772527[4A7])</f>
        <v>1</v>
      </c>
      <c r="BB24" s="364">
        <f>SUBTOTAL(109,TimeSheet34753619244401821620262269123493109887811772527[1])</f>
        <v>40</v>
      </c>
      <c r="BC24" s="365">
        <f>SUBTOTAL(109,TimeSheet34753619244401821620262269123493109887811772527[3])</f>
        <v>0</v>
      </c>
      <c r="BD24" s="365">
        <f>SUBTOTAL(109,TimeSheet34753619244401821620262269123493109887811772527[2])</f>
        <v>63.5</v>
      </c>
      <c r="BE24" s="365">
        <f>SUBTOTAL(109,TimeSheet34753619244401821620262269123493109887811772527[4])</f>
        <v>21</v>
      </c>
      <c r="BF24" s="365">
        <f>SUBTOTAL(109,TimeSheet34753619244401821620262269123493109887811772527[4D])</f>
        <v>19</v>
      </c>
      <c r="BG24" s="366">
        <f>SUBTOTAL(109,TimeSheet34753619244401821620262269123493109887811772527[4A])</f>
        <v>9.5</v>
      </c>
      <c r="BH24" s="367">
        <f>SUBTOTAL(109,TimeSheet34753619244401821620262269123493109887811772527[Total])-SUM(TimeSheet34753619244401821620262269123493109887811772527[[#Totals],[RT1]:[4A7]])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">
      <c r="A25" s="173"/>
      <c r="B25" s="28" t="s">
        <v>356</v>
      </c>
      <c r="C25" s="28"/>
      <c r="D25" s="28"/>
      <c r="E25" s="28"/>
      <c r="L25" s="197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D25" s="222"/>
      <c r="AJ25" s="352"/>
      <c r="AK25" s="342"/>
      <c r="AL25" s="342"/>
      <c r="AM25" s="342"/>
      <c r="AN25" s="342"/>
      <c r="AO25" s="342"/>
      <c r="AP25" s="342"/>
      <c r="AQ25" s="222"/>
      <c r="AR25" s="341"/>
      <c r="AS25" s="205"/>
      <c r="AT25" s="205"/>
      <c r="AU25" s="205"/>
      <c r="AV25" s="205"/>
      <c r="AW25" s="205"/>
      <c r="AX25" s="205"/>
      <c r="AY25" s="205"/>
      <c r="AZ25" s="205"/>
      <c r="BB25" s="252"/>
      <c r="BC25" s="252"/>
      <c r="BD25" s="252"/>
      <c r="BE25" s="252"/>
      <c r="BF25" s="252"/>
      <c r="BG25" s="252"/>
    </row>
    <row r="26" spans="1:102" ht="39" customHeight="1" x14ac:dyDescent="0.7">
      <c r="A26" s="174" t="str">
        <f>IF(ISBLANK('[12]Job Details'!A5),"",'[12]Job Details'!A5)</f>
        <v>5/8's Crew</v>
      </c>
      <c r="B26" s="175"/>
      <c r="C26" s="176" t="str">
        <f>IF(ISBLANK('[12]Job Details'!B5),"",'[12]Job Details'!B5)</f>
        <v/>
      </c>
      <c r="D26" s="174" t="str">
        <f>IF(ISBLANK('[12]Job Details'!C5),"",'[12]Job Details'!C5)</f>
        <v>4/10's Crew</v>
      </c>
      <c r="E26" s="177" t="str">
        <f>IF(ISBLANK('[12]Job Details'!D5),"",'[12]Job Details'!D5)</f>
        <v/>
      </c>
      <c r="F26" s="178" t="str">
        <f>IF(ISBLANK('[12]Job Details'!E5),"",'[12]Job Details'!E5)</f>
        <v>Distribution Crews</v>
      </c>
      <c r="G26" s="270"/>
      <c r="H26" s="224"/>
      <c r="I26" s="223"/>
      <c r="J26" s="222"/>
      <c r="K26" s="222"/>
      <c r="L26" s="204"/>
      <c r="M26" s="221"/>
      <c r="N26" s="204"/>
      <c r="O26" s="204"/>
      <c r="P26" s="204"/>
      <c r="Q26" s="204"/>
      <c r="R26" s="204"/>
      <c r="S26" s="204"/>
      <c r="T26" s="204"/>
      <c r="U26" s="204"/>
      <c r="Z26" s="274"/>
      <c r="AA26" s="274"/>
      <c r="AB26" s="274"/>
      <c r="AC26" s="274"/>
      <c r="AD26" s="274"/>
      <c r="AK26" s="342"/>
      <c r="AL26" s="342"/>
      <c r="AM26" s="342"/>
      <c r="AN26" s="342"/>
      <c r="AO26" s="342"/>
      <c r="AP26" s="342"/>
      <c r="AQ26" s="341"/>
      <c r="AR26" s="341"/>
      <c r="AS26" s="205"/>
      <c r="AT26" s="205"/>
      <c r="AU26" s="205"/>
      <c r="AV26" s="205"/>
      <c r="AW26" s="205"/>
      <c r="AX26" s="205"/>
      <c r="AY26" s="205"/>
      <c r="AZ26" s="205"/>
      <c r="BB26" s="252"/>
      <c r="BC26" s="252"/>
      <c r="BD26" s="252"/>
      <c r="BE26" s="252"/>
      <c r="BF26" s="252"/>
      <c r="BG26" s="252"/>
    </row>
    <row r="27" spans="1:102" ht="39" customHeight="1" x14ac:dyDescent="0.5">
      <c r="A27" s="179" t="str">
        <f>IF(ISBLANK('[12]Job Details'!A6),"",'[12]Job Details'!A6)</f>
        <v>8 ST</v>
      </c>
      <c r="B27" s="180"/>
      <c r="C27" s="181" t="str">
        <f>IF(ISBLANK('[12]Job Details'!B6),"",'[12]Job Details'!B6)</f>
        <v>10 ST</v>
      </c>
      <c r="D27" s="182" t="str">
        <f>IF(ISBLANK('[12]Job Details'!C6),"",'[12]Job Details'!C6)</f>
        <v>5/8's Crew</v>
      </c>
      <c r="E27" s="181" t="str">
        <f>IF(ISBLANK('[12]Job Details'!D6),"",'[12]Job Details'!D6)</f>
        <v/>
      </c>
      <c r="F27" s="183" t="str">
        <f>IF(ISBLANK('[12]Job Details'!E6),"",'[12]Job Details'!E6)</f>
        <v>4/10's Crew</v>
      </c>
      <c r="G27" s="270"/>
      <c r="H27" s="224"/>
      <c r="I27" s="223"/>
      <c r="J27" s="222"/>
      <c r="K27" s="222"/>
      <c r="L27" s="222"/>
      <c r="M27" s="222"/>
      <c r="N27" s="222"/>
      <c r="O27" s="222"/>
      <c r="P27" s="222"/>
      <c r="Q27" s="222"/>
      <c r="R27" s="222"/>
      <c r="V27" s="1" t="s">
        <v>4429</v>
      </c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IF(ISBLANK('[12]Job Details'!A7),"",'[12]Job Details'!A7)</f>
        <v>2 OT</v>
      </c>
      <c r="B28" s="180"/>
      <c r="C28" s="181" t="str">
        <f>IF(ISBLANK('[12]Job Details'!B7),"",'[12]Job Details'!B7)</f>
        <v>10+ DT</v>
      </c>
      <c r="D28" s="179" t="str">
        <f>IF(ISBLANK('[12]Job Details'!C7),"",'[12]Job Details'!C7)</f>
        <v>8 ST</v>
      </c>
      <c r="E28" s="181" t="str">
        <f>IF(ISBLANK('[12]Job Details'!D7),"",'[12]Job Details'!D7)</f>
        <v>10 ST</v>
      </c>
      <c r="F28" s="183" t="str">
        <f>IF(ISBLANK('[12]Job Details'!E7),"",'[12]Job Details'!E7)</f>
        <v>Saturday</v>
      </c>
      <c r="G28" s="270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X28" s="271"/>
      <c r="Y28" s="271"/>
      <c r="Z28" s="271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IF(ISBLANK('[12]Job Details'!A8),"",'[12]Job Details'!A8)</f>
        <v>10+ DT</v>
      </c>
      <c r="B29" s="185"/>
      <c r="C29" s="186" t="str">
        <f>IF(ISBLANK('[12]Job Details'!B8),"",'[12]Job Details'!B8)</f>
        <v/>
      </c>
      <c r="D29" s="179" t="str">
        <f>IF(ISBLANK('[12]Job Details'!C8),"",'[12]Job Details'!C8)</f>
        <v>8+ DT</v>
      </c>
      <c r="E29" s="181" t="str">
        <f>IF(ISBLANK('[12]Job Details'!D8),"",'[12]Job Details'!D8)</f>
        <v>10+ DT</v>
      </c>
      <c r="F29" s="187" t="str">
        <f>IF(ISBLANK('[12]Job Details'!E8),"",'[12]Job Details'!E8)</f>
        <v>All DT</v>
      </c>
      <c r="G29" s="270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</row>
    <row r="30" spans="1:102" ht="39" customHeight="1" x14ac:dyDescent="0.4">
      <c r="A30" s="188" t="str">
        <f>IF(ISBLANK('[12]Job Details'!A9),"",'[12]Job Details'!A9)</f>
        <v>Saturday</v>
      </c>
      <c r="B30" s="175"/>
      <c r="C30" s="189" t="str">
        <f>IF(ISBLANK('[12]Job Details'!B9),"",'[12]Job Details'!B9)</f>
        <v/>
      </c>
      <c r="D30" s="190" t="str">
        <f>IF(ISBLANK('[12]Job Details'!C9),"",'[12]Job Details'!C9)</f>
        <v>Sunday</v>
      </c>
      <c r="E30" s="176" t="str">
        <f>IF(ISBLANK('[12]Job Details'!D9),"",'[12]Job Details'!D9)</f>
        <v/>
      </c>
      <c r="F30" s="183" t="str">
        <f>IF(ISBLANK('[12]Job Details'!E9),"",'[12]Job Details'!E9)</f>
        <v>Sunday</v>
      </c>
      <c r="G30" s="27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IF(ISBLANK('[12]Job Details'!A10),"",'[12]Job Details'!A10)</f>
        <v>8 OT</v>
      </c>
      <c r="B31" s="180"/>
      <c r="C31" s="181" t="str">
        <f>IF(ISBLANK('[12]Job Details'!B10),"",'[12]Job Details'!B10)</f>
        <v/>
      </c>
      <c r="D31" s="191" t="str">
        <f>IF(ISBLANK('[12]Job Details'!C10),"",'[12]Job Details'!C10)</f>
        <v>All DT</v>
      </c>
      <c r="E31" s="181" t="str">
        <f>IF(ISBLANK('[12]Job Details'!D10),"",'[12]Job Details'!D10)</f>
        <v/>
      </c>
      <c r="F31" s="187" t="str">
        <f>IF(ISBLANK('[12]Job Details'!E10),"",'[12]Job Details'!E10)</f>
        <v>All DT</v>
      </c>
      <c r="G31" s="270"/>
      <c r="H31" s="270"/>
    </row>
    <row r="32" spans="1:102" ht="39" customHeight="1" x14ac:dyDescent="0.4">
      <c r="A32" s="184" t="str">
        <f>IF(ISBLANK('[12]Job Details'!A11),"",'[12]Job Details'!A11)</f>
        <v>8+DT</v>
      </c>
      <c r="B32" s="185"/>
      <c r="C32" s="186" t="str">
        <f>IF(ISBLANK('[12]Job Details'!B11),"",'[12]Job Details'!B11)</f>
        <v/>
      </c>
      <c r="D32" s="192" t="str">
        <f>IF(ISBLANK('[12]Job Details'!C11),"",'[12]Job Details'!C11)</f>
        <v/>
      </c>
      <c r="E32" s="186" t="str">
        <f>IF(ISBLANK('[12]Job Details'!D11),"",'[12]Job Details'!D11)</f>
        <v/>
      </c>
      <c r="F32" s="193" t="str">
        <f>IF(ISBLANK('[12]Job Details'!E11),"",'[12]Job Details'!E11)</f>
        <v/>
      </c>
      <c r="G32" s="270"/>
      <c r="H32" s="270"/>
    </row>
    <row r="33" spans="7:8" ht="39" customHeight="1" x14ac:dyDescent="0.3">
      <c r="G33" s="270"/>
      <c r="H33" s="270"/>
    </row>
  </sheetData>
  <sheetProtection formatCells="0" formatColumns="0" formatRows="0" insertColumns="0" insertRows="0" deleteColumns="0" deleteRows="0" selectLockedCells="1"/>
  <mergeCells count="77">
    <mergeCell ref="BB1:BG1"/>
    <mergeCell ref="L3:Q3"/>
    <mergeCell ref="R3:W3"/>
    <mergeCell ref="X3:AC3"/>
    <mergeCell ref="AD3:AI3"/>
    <mergeCell ref="AJ3:AO3"/>
    <mergeCell ref="AP3:AU3"/>
    <mergeCell ref="AV3:BA3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</mergeCells>
  <conditionalFormatting sqref="D3 A14:A23">
    <cfRule type="expression" dxfId="1268" priority="176">
      <formula>ISBLANK(A3)</formula>
    </cfRule>
  </conditionalFormatting>
  <conditionalFormatting sqref="A1:E1 G1:K1">
    <cfRule type="expression" dxfId="1267" priority="174">
      <formula>$A$1="Input Employee Number"</formula>
    </cfRule>
  </conditionalFormatting>
  <conditionalFormatting sqref="BB1:BG1">
    <cfRule type="expression" dxfId="1266" priority="173">
      <formula>ISBLANK(BB1)</formula>
    </cfRule>
  </conditionalFormatting>
  <conditionalFormatting sqref="BH24">
    <cfRule type="expression" dxfId="1265" priority="171">
      <formula>$BH24&lt;&gt;0</formula>
    </cfRule>
    <cfRule type="expression" dxfId="1264" priority="172">
      <formula>$BH24=0</formula>
    </cfRule>
  </conditionalFormatting>
  <conditionalFormatting sqref="L11:BG11">
    <cfRule type="expression" dxfId="1263" priority="170">
      <formula>L11&lt;&gt;0</formula>
    </cfRule>
  </conditionalFormatting>
  <conditionalFormatting sqref="E24:H24 F13:H20 F22:H23">
    <cfRule type="expression" dxfId="1262" priority="169">
      <formula>AND($BH13&lt;&gt;0,ISBLANK(E13))</formula>
    </cfRule>
  </conditionalFormatting>
  <conditionalFormatting sqref="B2">
    <cfRule type="cellIs" dxfId="1261" priority="168" operator="equal">
      <formula>0</formula>
    </cfRule>
  </conditionalFormatting>
  <conditionalFormatting sqref="B3">
    <cfRule type="containsBlanks" dxfId="1260" priority="167">
      <formula>LEN(TRIM(B3))=0</formula>
    </cfRule>
  </conditionalFormatting>
  <conditionalFormatting sqref="D3 A14:A23">
    <cfRule type="cellIs" dxfId="1259" priority="175" operator="equal">
      <formula>"x"</formula>
    </cfRule>
  </conditionalFormatting>
  <conditionalFormatting sqref="B4">
    <cfRule type="containsBlanks" dxfId="1258" priority="166">
      <formula>LEN(TRIM(B4))=0</formula>
    </cfRule>
  </conditionalFormatting>
  <conditionalFormatting sqref="E22:E23 B13">
    <cfRule type="expression" dxfId="1257" priority="165">
      <formula>AND($C13&gt;0,ISBLANK($E13))</formula>
    </cfRule>
  </conditionalFormatting>
  <conditionalFormatting sqref="C22:C24">
    <cfRule type="expression" dxfId="1256" priority="177">
      <formula>AND($C22=0,BH22&lt;&gt;0)</formula>
    </cfRule>
  </conditionalFormatting>
  <conditionalFormatting sqref="A13">
    <cfRule type="expression" dxfId="1255" priority="164">
      <formula>ISBLANK(A13)</formula>
    </cfRule>
  </conditionalFormatting>
  <conditionalFormatting sqref="A13">
    <cfRule type="cellIs" dxfId="1254" priority="163" operator="equal">
      <formula>"x"</formula>
    </cfRule>
  </conditionalFormatting>
  <conditionalFormatting sqref="F21:H21">
    <cfRule type="expression" dxfId="1253" priority="162">
      <formula>AND($BH21&lt;&gt;0,ISBLANK(F21))</formula>
    </cfRule>
  </conditionalFormatting>
  <conditionalFormatting sqref="B18">
    <cfRule type="expression" dxfId="1252" priority="145">
      <formula>AND($BH18&lt;&gt;0,ISBLANK(B18))</formula>
    </cfRule>
  </conditionalFormatting>
  <conditionalFormatting sqref="B15">
    <cfRule type="expression" dxfId="1251" priority="161">
      <formula>AND($BH15&lt;&gt;0,ISBLANK(B15))</formula>
    </cfRule>
  </conditionalFormatting>
  <conditionalFormatting sqref="B15">
    <cfRule type="expression" dxfId="1250" priority="158">
      <formula>AND($BH15&lt;&gt;0,ISBLANK(B15))</formula>
    </cfRule>
  </conditionalFormatting>
  <conditionalFormatting sqref="B15">
    <cfRule type="expression" dxfId="1249" priority="160">
      <formula>AND($BH15&lt;&gt;0,ISBLANK(B15))</formula>
    </cfRule>
  </conditionalFormatting>
  <conditionalFormatting sqref="B15">
    <cfRule type="expression" dxfId="1248" priority="159">
      <formula>AND($BH15&lt;&gt;0,ISBLANK(B15))</formula>
    </cfRule>
  </conditionalFormatting>
  <conditionalFormatting sqref="B16 B20">
    <cfRule type="expression" dxfId="1247" priority="157">
      <formula>AND($BH16&lt;&gt;0,ISBLANK(B16))</formula>
    </cfRule>
  </conditionalFormatting>
  <conditionalFormatting sqref="B16 B20">
    <cfRule type="expression" dxfId="1246" priority="156">
      <formula>AND($C16&gt;0,ISBLANK($E16))</formula>
    </cfRule>
  </conditionalFormatting>
  <conditionalFormatting sqref="B16 B20">
    <cfRule type="expression" dxfId="1245" priority="152">
      <formula>AND($BH16&lt;&gt;0,ISBLANK(B16))</formula>
    </cfRule>
  </conditionalFormatting>
  <conditionalFormatting sqref="B16 B20">
    <cfRule type="expression" dxfId="1244" priority="151">
      <formula>AND($C16&gt;0,ISBLANK($E16))</formula>
    </cfRule>
  </conditionalFormatting>
  <conditionalFormatting sqref="B16 B20">
    <cfRule type="expression" dxfId="1243" priority="155">
      <formula>AND($BH16&lt;&gt;0,ISBLANK(B16))</formula>
    </cfRule>
  </conditionalFormatting>
  <conditionalFormatting sqref="B16 B20">
    <cfRule type="expression" dxfId="1242" priority="154">
      <formula>AND($BH16&lt;&gt;0,ISBLANK(B16))</formula>
    </cfRule>
  </conditionalFormatting>
  <conditionalFormatting sqref="B16 B20">
    <cfRule type="expression" dxfId="1241" priority="153">
      <formula>AND($C16&gt;0,ISBLANK($E16))</formula>
    </cfRule>
  </conditionalFormatting>
  <conditionalFormatting sqref="B13:B14">
    <cfRule type="expression" dxfId="1240" priority="150">
      <formula>AND($BH13&lt;&gt;0,ISBLANK(B13))</formula>
    </cfRule>
  </conditionalFormatting>
  <conditionalFormatting sqref="B13:B14">
    <cfRule type="expression" dxfId="1239" priority="147">
      <formula>AND($BH13&lt;&gt;0,ISBLANK(B13))</formula>
    </cfRule>
  </conditionalFormatting>
  <conditionalFormatting sqref="B13:B14">
    <cfRule type="expression" dxfId="1238" priority="149">
      <formula>AND($BH13&lt;&gt;0,ISBLANK(B13))</formula>
    </cfRule>
  </conditionalFormatting>
  <conditionalFormatting sqref="B13:B14">
    <cfRule type="expression" dxfId="1237" priority="148">
      <formula>AND($BH13&lt;&gt;0,ISBLANK(B13))</formula>
    </cfRule>
  </conditionalFormatting>
  <conditionalFormatting sqref="B18">
    <cfRule type="expression" dxfId="1236" priority="146">
      <formula>AND($BH18&lt;&gt;0,ISBLANK(B18))</formula>
    </cfRule>
  </conditionalFormatting>
  <conditionalFormatting sqref="B18">
    <cfRule type="expression" dxfId="1235" priority="143">
      <formula>AND($BH18&lt;&gt;0,ISBLANK(B18))</formula>
    </cfRule>
  </conditionalFormatting>
  <conditionalFormatting sqref="B18">
    <cfRule type="expression" dxfId="1234" priority="144">
      <formula>AND($BH18&lt;&gt;0,ISBLANK(B18))</formula>
    </cfRule>
  </conditionalFormatting>
  <conditionalFormatting sqref="B17">
    <cfRule type="expression" dxfId="1233" priority="142">
      <formula>AND($BH17&lt;&gt;0,ISBLANK(B17))</formula>
    </cfRule>
  </conditionalFormatting>
  <conditionalFormatting sqref="B17">
    <cfRule type="expression" dxfId="1232" priority="141">
      <formula>AND($C17&gt;0,ISBLANK($E17))</formula>
    </cfRule>
  </conditionalFormatting>
  <conditionalFormatting sqref="B17">
    <cfRule type="expression" dxfId="1231" priority="137">
      <formula>AND($BH17&lt;&gt;0,ISBLANK(B17))</formula>
    </cfRule>
  </conditionalFormatting>
  <conditionalFormatting sqref="B17">
    <cfRule type="expression" dxfId="1230" priority="136">
      <formula>AND($C17&gt;0,ISBLANK($E17))</formula>
    </cfRule>
  </conditionalFormatting>
  <conditionalFormatting sqref="B17">
    <cfRule type="expression" dxfId="1229" priority="140">
      <formula>AND($BH17&lt;&gt;0,ISBLANK(B17))</formula>
    </cfRule>
  </conditionalFormatting>
  <conditionalFormatting sqref="B17">
    <cfRule type="expression" dxfId="1228" priority="139">
      <formula>AND($BH17&lt;&gt;0,ISBLANK(B17))</formula>
    </cfRule>
  </conditionalFormatting>
  <conditionalFormatting sqref="B17">
    <cfRule type="expression" dxfId="1227" priority="138">
      <formula>AND($C17&gt;0,ISBLANK($E17))</formula>
    </cfRule>
  </conditionalFormatting>
  <conditionalFormatting sqref="B19">
    <cfRule type="expression" dxfId="1226" priority="135">
      <formula>AND($BH19&lt;&gt;0,ISBLANK(B19))</formula>
    </cfRule>
  </conditionalFormatting>
  <conditionalFormatting sqref="B19">
    <cfRule type="expression" dxfId="1225" priority="132">
      <formula>AND($BH19&lt;&gt;0,ISBLANK(B19))</formula>
    </cfRule>
  </conditionalFormatting>
  <conditionalFormatting sqref="B19">
    <cfRule type="expression" dxfId="1224" priority="134">
      <formula>AND($BH19&lt;&gt;0,ISBLANK(B19))</formula>
    </cfRule>
  </conditionalFormatting>
  <conditionalFormatting sqref="B19">
    <cfRule type="expression" dxfId="1223" priority="133">
      <formula>AND($BH19&lt;&gt;0,ISBLANK(B19))</formula>
    </cfRule>
  </conditionalFormatting>
  <conditionalFormatting sqref="B14:B15">
    <cfRule type="expression" dxfId="1222" priority="178">
      <formula>AND($C18&gt;0,ISBLANK($E18))</formula>
    </cfRule>
  </conditionalFormatting>
  <conditionalFormatting sqref="B18:B19">
    <cfRule type="expression" dxfId="1221" priority="179">
      <formula>AND(#REF!&gt;0,ISBLANK(#REF!))</formula>
    </cfRule>
  </conditionalFormatting>
  <conditionalFormatting sqref="E21">
    <cfRule type="expression" dxfId="1220" priority="131">
      <formula>AND($BH21&lt;&gt;0,ISBLANK(E21))</formula>
    </cfRule>
  </conditionalFormatting>
  <conditionalFormatting sqref="E21">
    <cfRule type="expression" dxfId="1219" priority="130">
      <formula>AND($C21&gt;0,ISBLANK($E21))</formula>
    </cfRule>
  </conditionalFormatting>
  <conditionalFormatting sqref="C21">
    <cfRule type="expression" dxfId="1218" priority="129">
      <formula>AND($BH21&lt;&gt;0,ISBLANK(C21))</formula>
    </cfRule>
  </conditionalFormatting>
  <conditionalFormatting sqref="C21">
    <cfRule type="expression" dxfId="1217" priority="128">
      <formula>AND($BH21&lt;&gt;0,ISBLANK(C21))</formula>
    </cfRule>
  </conditionalFormatting>
  <conditionalFormatting sqref="C21">
    <cfRule type="expression" dxfId="1216" priority="127">
      <formula>AND($C21&gt;0,ISBLANK($E21))</formula>
    </cfRule>
  </conditionalFormatting>
  <conditionalFormatting sqref="E18">
    <cfRule type="expression" dxfId="1215" priority="125">
      <formula>AND($BH18&lt;&gt;0,ISBLANK(E18))</formula>
    </cfRule>
  </conditionalFormatting>
  <conditionalFormatting sqref="E18">
    <cfRule type="expression" dxfId="1214" priority="124">
      <formula>AND($C18&gt;0,ISBLANK($E18))</formula>
    </cfRule>
  </conditionalFormatting>
  <conditionalFormatting sqref="E18">
    <cfRule type="expression" dxfId="1213" priority="126">
      <formula>AND($BH18&lt;&gt;0,ISBLANK(E18))</formula>
    </cfRule>
  </conditionalFormatting>
  <conditionalFormatting sqref="E20">
    <cfRule type="expression" dxfId="1212" priority="123">
      <formula>AND($BH20&lt;&gt;0,ISBLANK(E20))</formula>
    </cfRule>
  </conditionalFormatting>
  <conditionalFormatting sqref="E19">
    <cfRule type="expression" dxfId="1211" priority="118">
      <formula>AND($C19&gt;0,ISBLANK($E19))</formula>
    </cfRule>
  </conditionalFormatting>
  <conditionalFormatting sqref="E19">
    <cfRule type="expression" dxfId="1210" priority="113">
      <formula>AND($BH19&lt;&gt;0,ISBLANK(E19))</formula>
    </cfRule>
  </conditionalFormatting>
  <conditionalFormatting sqref="E19">
    <cfRule type="expression" dxfId="1209" priority="119">
      <formula>AND($BH19&lt;&gt;0,ISBLANK(E19))</formula>
    </cfRule>
  </conditionalFormatting>
  <conditionalFormatting sqref="E19">
    <cfRule type="expression" dxfId="1208" priority="116">
      <formula>AND($C19&gt;0,ISBLANK($E19))</formula>
    </cfRule>
  </conditionalFormatting>
  <conditionalFormatting sqref="E19">
    <cfRule type="expression" dxfId="1207" priority="115">
      <formula>AND($BH19&lt;&gt;0,ISBLANK(E19))</formula>
    </cfRule>
  </conditionalFormatting>
  <conditionalFormatting sqref="E19">
    <cfRule type="expression" dxfId="1206" priority="114">
      <formula>AND($C19&gt;0,ISBLANK($E19))</formula>
    </cfRule>
  </conditionalFormatting>
  <conditionalFormatting sqref="E19">
    <cfRule type="expression" dxfId="1205" priority="120">
      <formula>AND($BH19&lt;&gt;0,ISBLANK(E19))</formula>
    </cfRule>
  </conditionalFormatting>
  <conditionalFormatting sqref="E19">
    <cfRule type="expression" dxfId="1204" priority="117">
      <formula>AND($BH19&lt;&gt;0,ISBLANK(E19))</formula>
    </cfRule>
  </conditionalFormatting>
  <conditionalFormatting sqref="E19">
    <cfRule type="expression" dxfId="1203" priority="122">
      <formula>AND($BH19&lt;&gt;0,ISBLANK(E19))</formula>
    </cfRule>
  </conditionalFormatting>
  <conditionalFormatting sqref="E19">
    <cfRule type="expression" dxfId="1202" priority="121">
      <formula>AND($C19&gt;0,ISBLANK($E19))</formula>
    </cfRule>
  </conditionalFormatting>
  <conditionalFormatting sqref="E16">
    <cfRule type="expression" dxfId="1201" priority="112">
      <formula>AND($BH16&lt;&gt;0,ISBLANK(E16))</formula>
    </cfRule>
  </conditionalFormatting>
  <conditionalFormatting sqref="C16">
    <cfRule type="expression" dxfId="1200" priority="111">
      <formula>AND($BH16&lt;&gt;0,ISBLANK(C16))</formula>
    </cfRule>
  </conditionalFormatting>
  <conditionalFormatting sqref="C16">
    <cfRule type="expression" dxfId="1199" priority="110">
      <formula>AND($C16&gt;0,ISBLANK($E16))</formula>
    </cfRule>
  </conditionalFormatting>
  <conditionalFormatting sqref="C19">
    <cfRule type="expression" dxfId="1198" priority="109">
      <formula>AND($C19&gt;0,ISBLANK($E19))</formula>
    </cfRule>
  </conditionalFormatting>
  <conditionalFormatting sqref="C19">
    <cfRule type="expression" dxfId="1197" priority="107">
      <formula>AND($BH14&lt;&gt;0,ISBLANK(C19))</formula>
    </cfRule>
  </conditionalFormatting>
  <conditionalFormatting sqref="C19">
    <cfRule type="expression" dxfId="1196" priority="106">
      <formula>AND($BH14&lt;&gt;0,ISBLANK(C19))</formula>
    </cfRule>
  </conditionalFormatting>
  <conditionalFormatting sqref="C19">
    <cfRule type="expression" dxfId="1195" priority="105">
      <formula>AND($BH14&lt;&gt;0,ISBLANK(C19))</formula>
    </cfRule>
  </conditionalFormatting>
  <conditionalFormatting sqref="C19">
    <cfRule type="expression" dxfId="1194" priority="108">
      <formula>AND($BH14&lt;&gt;0,ISBLANK(C19))</formula>
    </cfRule>
  </conditionalFormatting>
  <conditionalFormatting sqref="C19">
    <cfRule type="expression" dxfId="1193" priority="104">
      <formula>AND($BH14&lt;&gt;0,ISBLANK(C19))</formula>
    </cfRule>
  </conditionalFormatting>
  <conditionalFormatting sqref="C19">
    <cfRule type="expression" dxfId="1192" priority="103">
      <formula>AND($BH14&lt;&gt;0,ISBLANK(C19))</formula>
    </cfRule>
  </conditionalFormatting>
  <conditionalFormatting sqref="C18">
    <cfRule type="expression" dxfId="1191" priority="102">
      <formula>AND($BH18&lt;&gt;0,ISBLANK(C18))</formula>
    </cfRule>
  </conditionalFormatting>
  <conditionalFormatting sqref="C18">
    <cfRule type="expression" dxfId="1190" priority="101">
      <formula>AND($C18&gt;0,ISBLANK($E18))</formula>
    </cfRule>
  </conditionalFormatting>
  <conditionalFormatting sqref="C20">
    <cfRule type="expression" dxfId="1189" priority="100">
      <formula>AND($BH20&lt;&gt;0,ISBLANK(C20))</formula>
    </cfRule>
  </conditionalFormatting>
  <conditionalFormatting sqref="C20">
    <cfRule type="expression" dxfId="1188" priority="99">
      <formula>AND($C20&gt;0,ISBLANK($E20))</formula>
    </cfRule>
  </conditionalFormatting>
  <conditionalFormatting sqref="F1">
    <cfRule type="expression" dxfId="1187" priority="88">
      <formula>$A$1="Input Employee Number"</formula>
    </cfRule>
  </conditionalFormatting>
  <conditionalFormatting sqref="C13">
    <cfRule type="expression" dxfId="1186" priority="64">
      <formula>AND($BH13&lt;&gt;0,ISBLANK(C13))</formula>
    </cfRule>
  </conditionalFormatting>
  <conditionalFormatting sqref="C13">
    <cfRule type="expression" dxfId="1185" priority="57">
      <formula>AND($BH13&lt;&gt;0,ISBLANK(C13))</formula>
    </cfRule>
  </conditionalFormatting>
  <conditionalFormatting sqref="E13">
    <cfRule type="expression" dxfId="1184" priority="56">
      <formula>AND($BH13&lt;&gt;0,ISBLANK(E13))</formula>
    </cfRule>
  </conditionalFormatting>
  <conditionalFormatting sqref="E13">
    <cfRule type="expression" dxfId="1183" priority="55">
      <formula>AND($C13&gt;0,ISBLANK($E13))</formula>
    </cfRule>
  </conditionalFormatting>
  <conditionalFormatting sqref="E13">
    <cfRule type="expression" dxfId="1182" priority="51">
      <formula>AND($BH13&lt;&gt;0,ISBLANK(E13))</formula>
    </cfRule>
  </conditionalFormatting>
  <conditionalFormatting sqref="E13">
    <cfRule type="expression" dxfId="1181" priority="50">
      <formula>AND($C13&gt;0,ISBLANK($E13))</formula>
    </cfRule>
  </conditionalFormatting>
  <conditionalFormatting sqref="E13">
    <cfRule type="expression" dxfId="1180" priority="54">
      <formula>AND($BH13&lt;&gt;0,ISBLANK(E13))</formula>
    </cfRule>
  </conditionalFormatting>
  <conditionalFormatting sqref="E13">
    <cfRule type="expression" dxfId="1179" priority="53">
      <formula>AND($BH13&lt;&gt;0,ISBLANK(E13))</formula>
    </cfRule>
  </conditionalFormatting>
  <conditionalFormatting sqref="E13">
    <cfRule type="expression" dxfId="1178" priority="52">
      <formula>AND($C13&gt;0,ISBLANK($E13))</formula>
    </cfRule>
  </conditionalFormatting>
  <conditionalFormatting sqref="E13">
    <cfRule type="expression" dxfId="1177" priority="49">
      <formula>AND($BH13&lt;&gt;0,ISBLANK(E13))</formula>
    </cfRule>
  </conditionalFormatting>
  <conditionalFormatting sqref="E13">
    <cfRule type="expression" dxfId="1176" priority="48">
      <formula>AND($C13&gt;0,ISBLANK($E13))</formula>
    </cfRule>
  </conditionalFormatting>
  <conditionalFormatting sqref="E13">
    <cfRule type="expression" dxfId="1175" priority="47">
      <formula>AND($BH13&lt;&gt;0,ISBLANK(E13))</formula>
    </cfRule>
  </conditionalFormatting>
  <conditionalFormatting sqref="C13">
    <cfRule type="expression" dxfId="1174" priority="66">
      <formula>AND($BH13&lt;&gt;0,ISBLANK(C13))</formula>
    </cfRule>
  </conditionalFormatting>
  <conditionalFormatting sqref="C13">
    <cfRule type="expression" dxfId="1173" priority="65">
      <formula>AND($C13&gt;0,ISBLANK($E13))</formula>
    </cfRule>
  </conditionalFormatting>
  <conditionalFormatting sqref="C13">
    <cfRule type="expression" dxfId="1172" priority="61">
      <formula>AND($BH13&lt;&gt;0,ISBLANK(C13))</formula>
    </cfRule>
  </conditionalFormatting>
  <conditionalFormatting sqref="C13">
    <cfRule type="expression" dxfId="1171" priority="60">
      <formula>AND($C13&gt;0,ISBLANK($E13))</formula>
    </cfRule>
  </conditionalFormatting>
  <conditionalFormatting sqref="C13">
    <cfRule type="expression" dxfId="1170" priority="63">
      <formula>AND($BH13&lt;&gt;0,ISBLANK(C13))</formula>
    </cfRule>
  </conditionalFormatting>
  <conditionalFormatting sqref="C13">
    <cfRule type="expression" dxfId="1169" priority="62">
      <formula>AND($C13&gt;0,ISBLANK($E13))</formula>
    </cfRule>
  </conditionalFormatting>
  <conditionalFormatting sqref="C13">
    <cfRule type="expression" dxfId="1168" priority="59">
      <formula>AND($BH13&lt;&gt;0,ISBLANK(C13))</formula>
    </cfRule>
  </conditionalFormatting>
  <conditionalFormatting sqref="C13">
    <cfRule type="expression" dxfId="1167" priority="58">
      <formula>AND($C13&gt;0,ISBLANK($E13))</formula>
    </cfRule>
  </conditionalFormatting>
  <conditionalFormatting sqref="E15">
    <cfRule type="expression" dxfId="1166" priority="46">
      <formula>AND($BH15&lt;&gt;0,ISBLANK(E15))</formula>
    </cfRule>
  </conditionalFormatting>
  <conditionalFormatting sqref="E15">
    <cfRule type="expression" dxfId="1165" priority="45">
      <formula>AND($C15&gt;0,ISBLANK($E15))</formula>
    </cfRule>
  </conditionalFormatting>
  <conditionalFormatting sqref="E15">
    <cfRule type="expression" dxfId="1164" priority="41">
      <formula>AND($BH15&lt;&gt;0,ISBLANK(E15))</formula>
    </cfRule>
  </conditionalFormatting>
  <conditionalFormatting sqref="E15">
    <cfRule type="expression" dxfId="1163" priority="40">
      <formula>AND($C15&gt;0,ISBLANK($E15))</formula>
    </cfRule>
  </conditionalFormatting>
  <conditionalFormatting sqref="E15">
    <cfRule type="expression" dxfId="1162" priority="44">
      <formula>AND($BH15&lt;&gt;0,ISBLANK(E15))</formula>
    </cfRule>
  </conditionalFormatting>
  <conditionalFormatting sqref="E15">
    <cfRule type="expression" dxfId="1161" priority="43">
      <formula>AND($BH15&lt;&gt;0,ISBLANK(E15))</formula>
    </cfRule>
  </conditionalFormatting>
  <conditionalFormatting sqref="E15">
    <cfRule type="expression" dxfId="1160" priority="42">
      <formula>AND($C15&gt;0,ISBLANK($E15))</formula>
    </cfRule>
  </conditionalFormatting>
  <conditionalFormatting sqref="E15">
    <cfRule type="expression" dxfId="1159" priority="39">
      <formula>AND($BH15&lt;&gt;0,ISBLANK(E15))</formula>
    </cfRule>
  </conditionalFormatting>
  <conditionalFormatting sqref="E15">
    <cfRule type="expression" dxfId="1158" priority="38">
      <formula>AND($C15&gt;0,ISBLANK($E15))</formula>
    </cfRule>
  </conditionalFormatting>
  <conditionalFormatting sqref="E15">
    <cfRule type="expression" dxfId="1157" priority="37">
      <formula>AND($BH15&lt;&gt;0,ISBLANK(E15))</formula>
    </cfRule>
  </conditionalFormatting>
  <conditionalFormatting sqref="C15">
    <cfRule type="expression" dxfId="1156" priority="36">
      <formula>AND($BH15&lt;&gt;0,ISBLANK(C15))</formula>
    </cfRule>
  </conditionalFormatting>
  <conditionalFormatting sqref="C15">
    <cfRule type="expression" dxfId="1155" priority="35">
      <formula>AND($C15&gt;0,ISBLANK($E15))</formula>
    </cfRule>
  </conditionalFormatting>
  <conditionalFormatting sqref="E17">
    <cfRule type="expression" dxfId="1154" priority="25">
      <formula>AND($BH17&lt;&gt;0,ISBLANK(E17))</formula>
    </cfRule>
  </conditionalFormatting>
  <conditionalFormatting sqref="E17">
    <cfRule type="expression" dxfId="1153" priority="24">
      <formula>AND($C17&gt;0,ISBLANK($E17))</formula>
    </cfRule>
  </conditionalFormatting>
  <conditionalFormatting sqref="C17">
    <cfRule type="expression" dxfId="1152" priority="23">
      <formula>AND($BH17&lt;&gt;0,ISBLANK(C17))</formula>
    </cfRule>
  </conditionalFormatting>
  <conditionalFormatting sqref="C17">
    <cfRule type="expression" dxfId="1151" priority="22">
      <formula>AND($C17&gt;0,ISBLANK($E17))</formula>
    </cfRule>
  </conditionalFormatting>
  <conditionalFormatting sqref="Q12">
    <cfRule type="expression" dxfId="1150" priority="19">
      <formula>AND(L$9&gt;10.5,Q$24=0)</formula>
    </cfRule>
  </conditionalFormatting>
  <conditionalFormatting sqref="P12">
    <cfRule type="expression" dxfId="1149" priority="20">
      <formula>AND(L$9&gt;10.5,P$24=0)</formula>
    </cfRule>
  </conditionalFormatting>
  <conditionalFormatting sqref="O12">
    <cfRule type="expression" dxfId="1148" priority="21">
      <formula>AND(L$10&gt;0,O$24=0)</formula>
    </cfRule>
  </conditionalFormatting>
  <conditionalFormatting sqref="W12">
    <cfRule type="expression" dxfId="1147" priority="17">
      <formula>AND(R$9&gt;10.5,W$24=0)</formula>
    </cfRule>
  </conditionalFormatting>
  <conditionalFormatting sqref="V12">
    <cfRule type="expression" dxfId="1146" priority="18">
      <formula>AND(R$9&gt;10.5,V$24=0)</formula>
    </cfRule>
  </conditionalFormatting>
  <conditionalFormatting sqref="U12">
    <cfRule type="expression" dxfId="1145" priority="16">
      <formula>AND(R$10&gt;0,U$24=0)</formula>
    </cfRule>
  </conditionalFormatting>
  <conditionalFormatting sqref="AC12">
    <cfRule type="expression" dxfId="1144" priority="13">
      <formula>AND(X$9&gt;10.5,AC$24=0)</formula>
    </cfRule>
  </conditionalFormatting>
  <conditionalFormatting sqref="AB12">
    <cfRule type="expression" dxfId="1143" priority="14">
      <formula>AND(X$9&gt;10.5,AB$24=0)</formula>
    </cfRule>
  </conditionalFormatting>
  <conditionalFormatting sqref="AA12">
    <cfRule type="expression" dxfId="1142" priority="15">
      <formula>AND(X$10&gt;0,AA$24=0)</formula>
    </cfRule>
  </conditionalFormatting>
  <conditionalFormatting sqref="AI12">
    <cfRule type="expression" dxfId="1141" priority="11">
      <formula>AND(AD$9&gt;10.5,AI$24=0)</formula>
    </cfRule>
  </conditionalFormatting>
  <conditionalFormatting sqref="AH12">
    <cfRule type="expression" dxfId="1140" priority="12">
      <formula>AND(AD$9&gt;10.5,AH$24=0)</formula>
    </cfRule>
  </conditionalFormatting>
  <conditionalFormatting sqref="AG12">
    <cfRule type="expression" dxfId="1139" priority="10">
      <formula>AND(AD$10&gt;0,AG$24=0)</formula>
    </cfRule>
  </conditionalFormatting>
  <conditionalFormatting sqref="AO12">
    <cfRule type="expression" dxfId="1138" priority="7">
      <formula>AND(AJ$9&gt;10.5,AO$24=0)</formula>
    </cfRule>
  </conditionalFormatting>
  <conditionalFormatting sqref="AN12">
    <cfRule type="expression" dxfId="1137" priority="8">
      <formula>AND(AJ$9&gt;10.5,AN$24=0)</formula>
    </cfRule>
  </conditionalFormatting>
  <conditionalFormatting sqref="AM12">
    <cfRule type="expression" dxfId="1136" priority="9">
      <formula>AND(AJ$10&gt;0,AM$24=0)</formula>
    </cfRule>
  </conditionalFormatting>
  <conditionalFormatting sqref="AU12">
    <cfRule type="expression" dxfId="1135" priority="5">
      <formula>AND(AP$9&gt;10.5,AU$24=0)</formula>
    </cfRule>
  </conditionalFormatting>
  <conditionalFormatting sqref="AT12">
    <cfRule type="expression" dxfId="1134" priority="6">
      <formula>AND(AP$9&gt;10.5,AT$24=0)</formula>
    </cfRule>
  </conditionalFormatting>
  <conditionalFormatting sqref="AS12">
    <cfRule type="expression" dxfId="1133" priority="4">
      <formula>AND(AP$10&gt;0,AS$24=0)</formula>
    </cfRule>
  </conditionalFormatting>
  <conditionalFormatting sqref="BA12">
    <cfRule type="expression" dxfId="1132" priority="1">
      <formula>AND(AV$9&gt;10.5,BA$24=0)</formula>
    </cfRule>
  </conditionalFormatting>
  <conditionalFormatting sqref="AZ12">
    <cfRule type="expression" dxfId="1131" priority="2">
      <formula>AND(AV$9&gt;10.5,AZ$24=0)</formula>
    </cfRule>
  </conditionalFormatting>
  <conditionalFormatting sqref="AY12">
    <cfRule type="expression" dxfId="1130" priority="3">
      <formula>AND(AV$10&gt;0,AY$24=0)</formula>
    </cfRule>
  </conditionalFormatting>
  <dataValidations count="2">
    <dataValidation type="textLength" allowBlank="1" showInputMessage="1" showErrorMessage="1" errorTitle="Digits" error="The EE# must be between 4 ad 5 digits" sqref="B2" xr:uid="{00000000-0002-0000-0B00-000000000000}">
      <formula1>4</formula1>
      <formula2>5</formula2>
    </dataValidation>
    <dataValidation allowBlank="1" showInputMessage="1" showErrorMessage="1" sqref="E13:H13 F14:H23 E15:E23" xr:uid="{00000000-0002-0000-0B00-000001000000}"/>
  </dataValidations>
  <pageMargins left="0.25" right="0.25" top="0.75" bottom="0.75" header="0.3" footer="0.3"/>
  <pageSetup paperSize="5" scale="3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B00-000002000000}">
          <x14:formula1>
            <xm:f>'Job List'!$A:$A</xm:f>
          </x14:formula1>
          <xm:sqref>C17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70C0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AV5" sqref="AV5:BA8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13.85546875" style="1" customWidth="1"/>
    <col min="7" max="7" width="14.42578125" style="1" bestFit="1" customWidth="1"/>
    <col min="8" max="8" width="8.42578125" style="1" customWidth="1"/>
    <col min="9" max="9" width="11.7109375" customWidth="1"/>
    <col min="10" max="10" width="13.42578125" style="1" hidden="1" customWidth="1"/>
    <col min="11" max="11" width="19.85546875" style="1" customWidth="1"/>
    <col min="12" max="17" width="7.85546875" style="1" customWidth="1"/>
    <col min="18" max="24" width="6.7109375" style="1" customWidth="1"/>
    <col min="25" max="25" width="7.5703125" style="1" customWidth="1"/>
    <col min="26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37" width="7.85546875" style="1" bestFit="1" customWidth="1"/>
    <col min="38" max="43" width="6.7109375" style="1" customWidth="1"/>
    <col min="44" max="44" width="7.85546875" style="1" bestFit="1" customWidth="1"/>
    <col min="45" max="49" width="6.7109375" style="1" customWidth="1"/>
    <col min="50" max="50" width="7.85546875" style="1" bestFit="1" customWidth="1"/>
    <col min="51" max="53" width="6.7109375" style="1" customWidth="1"/>
    <col min="54" max="54" width="13.85546875" style="1" customWidth="1"/>
    <col min="55" max="55" width="9.5703125" style="1" bestFit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IF(ISNA(VLOOKUP($B$2,Employees!$B:$H,2,FALSE)),"Input Employee Number",VLOOKUP($B$2,Employees!$B:$H,2,FALSE))</f>
        <v>MacKenzie; Matt E.</v>
      </c>
      <c r="B1" s="143"/>
      <c r="C1" s="143"/>
      <c r="D1" s="143"/>
      <c r="E1" s="143"/>
      <c r="F1" s="143"/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94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6919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IF(ISNA(VLOOKUP($B$2,Employees!$B:$H,4,FALSE)),"",VLOOKUP($B$2,Employees!$B:$H,4,FALSE))</f>
        <v>IBEWOUT</v>
      </c>
      <c r="C3" s="52" t="s">
        <v>335</v>
      </c>
      <c r="D3" s="48" t="s">
        <v>3050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>1245</v>
      </c>
      <c r="D4" s="67"/>
      <c r="E4" s="233"/>
      <c r="F4" s="233"/>
      <c r="G4" s="234"/>
      <c r="H4" s="234"/>
      <c r="I4" s="234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0.29166666666666669</v>
      </c>
      <c r="M5" s="416"/>
      <c r="N5" s="416"/>
      <c r="O5" s="416"/>
      <c r="P5" s="416"/>
      <c r="Q5" s="417"/>
      <c r="R5" s="415">
        <v>0.29166666666666669</v>
      </c>
      <c r="S5" s="416"/>
      <c r="T5" s="416"/>
      <c r="U5" s="416"/>
      <c r="V5" s="416"/>
      <c r="W5" s="417"/>
      <c r="X5" s="415">
        <v>0.29166666666666669</v>
      </c>
      <c r="Y5" s="416"/>
      <c r="Z5" s="416"/>
      <c r="AA5" s="416"/>
      <c r="AB5" s="416"/>
      <c r="AC5" s="417"/>
      <c r="AD5" s="415">
        <v>0.29166666666666669</v>
      </c>
      <c r="AE5" s="416"/>
      <c r="AF5" s="416"/>
      <c r="AG5" s="416"/>
      <c r="AH5" s="416"/>
      <c r="AI5" s="417"/>
      <c r="AJ5" s="415">
        <v>0.29166666666666669</v>
      </c>
      <c r="AK5" s="416"/>
      <c r="AL5" s="416"/>
      <c r="AM5" s="416"/>
      <c r="AN5" s="416"/>
      <c r="AO5" s="417"/>
      <c r="AP5" s="415">
        <v>0.29166666666666669</v>
      </c>
      <c r="AQ5" s="416"/>
      <c r="AR5" s="416"/>
      <c r="AS5" s="416"/>
      <c r="AT5" s="416"/>
      <c r="AU5" s="417"/>
      <c r="AV5" s="415"/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0.70833333333333337</v>
      </c>
      <c r="M8" s="416"/>
      <c r="N8" s="416"/>
      <c r="O8" s="416"/>
      <c r="P8" s="416"/>
      <c r="Q8" s="417"/>
      <c r="R8" s="415">
        <v>0.70833333333333337</v>
      </c>
      <c r="S8" s="416"/>
      <c r="T8" s="416"/>
      <c r="U8" s="416"/>
      <c r="V8" s="416"/>
      <c r="W8" s="417"/>
      <c r="X8" s="415">
        <v>0.70833333333333337</v>
      </c>
      <c r="Y8" s="416"/>
      <c r="Z8" s="416"/>
      <c r="AA8" s="416"/>
      <c r="AB8" s="416"/>
      <c r="AC8" s="417"/>
      <c r="AD8" s="415">
        <v>0.70833333333333337</v>
      </c>
      <c r="AE8" s="416"/>
      <c r="AF8" s="416"/>
      <c r="AG8" s="416"/>
      <c r="AH8" s="416"/>
      <c r="AI8" s="417"/>
      <c r="AJ8" s="415">
        <v>0.70833333333333337</v>
      </c>
      <c r="AK8" s="416"/>
      <c r="AL8" s="416"/>
      <c r="AM8" s="416"/>
      <c r="AN8" s="416"/>
      <c r="AO8" s="417"/>
      <c r="AP8" s="415">
        <v>0.70833333333333337</v>
      </c>
      <c r="AQ8" s="416"/>
      <c r="AR8" s="416"/>
      <c r="AS8" s="416"/>
      <c r="AT8" s="416"/>
      <c r="AU8" s="417"/>
      <c r="AV8" s="415"/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10</v>
      </c>
      <c r="M9" s="401"/>
      <c r="N9" s="401"/>
      <c r="O9" s="401"/>
      <c r="P9" s="401"/>
      <c r="Q9" s="402"/>
      <c r="R9" s="400">
        <f>IF(AND(R5&gt;=0,R8&gt;=0),(R6-R5+R8-R7)*24,0)</f>
        <v>10</v>
      </c>
      <c r="S9" s="401"/>
      <c r="T9" s="401"/>
      <c r="U9" s="401"/>
      <c r="V9" s="401"/>
      <c r="W9" s="402"/>
      <c r="X9" s="400">
        <f>IF(AND(X5&gt;=0,X8&gt;=0),(X6-X5+X8-X7)*24,0)</f>
        <v>10</v>
      </c>
      <c r="Y9" s="401"/>
      <c r="Z9" s="401"/>
      <c r="AA9" s="401"/>
      <c r="AB9" s="401"/>
      <c r="AC9" s="402"/>
      <c r="AD9" s="400">
        <f>IF(AND(AD5&gt;=0,AD8&gt;=0),(AD6-AD5+AD8-AD7)*24,0)</f>
        <v>10</v>
      </c>
      <c r="AE9" s="401"/>
      <c r="AF9" s="401"/>
      <c r="AG9" s="401"/>
      <c r="AH9" s="401"/>
      <c r="AI9" s="402"/>
      <c r="AJ9" s="400">
        <f>IF(AND(AJ5&gt;=0,AJ8&gt;=0),(AJ6-AJ5+AJ8-AJ7)*24,0)</f>
        <v>10</v>
      </c>
      <c r="AK9" s="401"/>
      <c r="AL9" s="401"/>
      <c r="AM9" s="401"/>
      <c r="AN9" s="401"/>
      <c r="AO9" s="402"/>
      <c r="AP9" s="400">
        <f>IF(AND(AP5&gt;=0,AP8&gt;=0),(AP6-AP5+AP8-AP7)*24,0)</f>
        <v>10</v>
      </c>
      <c r="AQ9" s="401"/>
      <c r="AR9" s="401"/>
      <c r="AS9" s="401"/>
      <c r="AT9" s="401"/>
      <c r="AU9" s="402"/>
      <c r="AV9" s="400">
        <f>IF(AND(AV5&gt;=0,AV8&gt;=0),(AV6-AV5+AV8-AV7)*24,0)</f>
        <v>0</v>
      </c>
      <c r="AW9" s="401"/>
      <c r="AX9" s="401"/>
      <c r="AY9" s="401"/>
      <c r="AZ9" s="401"/>
      <c r="BA9" s="402"/>
      <c r="BB9" s="400">
        <f>SUM(L9:BA9)</f>
        <v>60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10</v>
      </c>
      <c r="M10" s="407"/>
      <c r="N10" s="407"/>
      <c r="O10" s="407"/>
      <c r="P10" s="407"/>
      <c r="Q10" s="408"/>
      <c r="R10" s="406">
        <f>R24+S24+T24</f>
        <v>10</v>
      </c>
      <c r="S10" s="407"/>
      <c r="T10" s="407"/>
      <c r="U10" s="407"/>
      <c r="V10" s="407"/>
      <c r="W10" s="408"/>
      <c r="X10" s="406">
        <f>X24+Y24+Z24</f>
        <v>10</v>
      </c>
      <c r="Y10" s="407"/>
      <c r="Z10" s="407"/>
      <c r="AA10" s="407"/>
      <c r="AB10" s="407"/>
      <c r="AC10" s="408"/>
      <c r="AD10" s="406">
        <f>AD24+AF24</f>
        <v>10</v>
      </c>
      <c r="AE10" s="407"/>
      <c r="AF10" s="407"/>
      <c r="AG10" s="407"/>
      <c r="AH10" s="407"/>
      <c r="AI10" s="408"/>
      <c r="AJ10" s="406">
        <f>AJ24+AL24</f>
        <v>10</v>
      </c>
      <c r="AK10" s="407"/>
      <c r="AL10" s="407"/>
      <c r="AM10" s="407"/>
      <c r="AN10" s="407"/>
      <c r="AO10" s="408"/>
      <c r="AP10" s="406">
        <f>AP24+AQ24+AR24</f>
        <v>10</v>
      </c>
      <c r="AQ10" s="407"/>
      <c r="AR10" s="407"/>
      <c r="AS10" s="407"/>
      <c r="AT10" s="407"/>
      <c r="AU10" s="408"/>
      <c r="AV10" s="409">
        <f>AV24+AW24+AX24</f>
        <v>0</v>
      </c>
      <c r="AW10" s="410"/>
      <c r="AX10" s="410"/>
      <c r="AY10" s="410"/>
      <c r="AZ10" s="410"/>
      <c r="BA10" s="411"/>
      <c r="BB10" s="412">
        <f>SUM(L10:BA10)</f>
        <v>60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>X</v>
      </c>
      <c r="B13" s="264" t="s">
        <v>101</v>
      </c>
      <c r="C13" s="276" t="s">
        <v>3846</v>
      </c>
      <c r="D13" s="265"/>
      <c r="E13" s="276" t="s">
        <v>3210</v>
      </c>
      <c r="F13" s="110" t="str">
        <f t="shared" ref="F13:F20" si="0">IF(ISBLANK($B$4),"",$B$4)</f>
        <v>1245</v>
      </c>
      <c r="G13" s="110" t="s">
        <v>102</v>
      </c>
      <c r="H13" s="110" t="s">
        <v>102</v>
      </c>
      <c r="I13" s="139">
        <v>1</v>
      </c>
      <c r="J13" s="153" t="str">
        <f t="shared" ref="J13:J20" si="1">IF($K13=0,"",IF($K13&lt;10,"0"&amp;$K13,$K13))</f>
        <v>01</v>
      </c>
      <c r="K13" s="150">
        <v>1</v>
      </c>
      <c r="L13" s="263">
        <v>8</v>
      </c>
      <c r="M13" s="258"/>
      <c r="N13" s="258">
        <v>2</v>
      </c>
      <c r="O13" s="258">
        <v>3</v>
      </c>
      <c r="P13" s="258"/>
      <c r="Q13" s="259"/>
      <c r="R13" s="262">
        <v>8</v>
      </c>
      <c r="S13" s="260"/>
      <c r="T13" s="260">
        <v>2</v>
      </c>
      <c r="U13" s="260">
        <v>3</v>
      </c>
      <c r="V13" s="260"/>
      <c r="W13" s="261"/>
      <c r="X13" s="263">
        <v>8</v>
      </c>
      <c r="Y13" s="258"/>
      <c r="Z13" s="258">
        <v>2</v>
      </c>
      <c r="AA13" s="258">
        <v>3</v>
      </c>
      <c r="AB13" s="258"/>
      <c r="AC13" s="259"/>
      <c r="AD13" s="262">
        <v>8</v>
      </c>
      <c r="AE13" s="260"/>
      <c r="AF13" s="260">
        <v>2</v>
      </c>
      <c r="AG13" s="260">
        <v>3</v>
      </c>
      <c r="AH13" s="260"/>
      <c r="AI13" s="261"/>
      <c r="AJ13" s="263">
        <v>8</v>
      </c>
      <c r="AK13" s="258"/>
      <c r="AL13" s="258">
        <v>2</v>
      </c>
      <c r="AM13" s="258">
        <v>3</v>
      </c>
      <c r="AN13" s="258"/>
      <c r="AO13" s="259"/>
      <c r="AP13" s="262"/>
      <c r="AQ13" s="260"/>
      <c r="AR13" s="260">
        <v>10</v>
      </c>
      <c r="AS13" s="260">
        <v>3</v>
      </c>
      <c r="AT13" s="115"/>
      <c r="AU13" s="116"/>
      <c r="AV13" s="118"/>
      <c r="AW13" s="113"/>
      <c r="AX13" s="113"/>
      <c r="AY13" s="113"/>
      <c r="AZ13" s="113"/>
      <c r="BA13" s="114"/>
      <c r="BB13" s="119">
        <f t="shared" ref="BB13:BG23" si="2">SUM(AV13,AP13,AJ13,AD13,X13,R13,L13)</f>
        <v>40</v>
      </c>
      <c r="BC13" s="120">
        <f t="shared" si="2"/>
        <v>0</v>
      </c>
      <c r="BD13" s="120">
        <f t="shared" si="2"/>
        <v>20</v>
      </c>
      <c r="BE13" s="120">
        <f t="shared" si="2"/>
        <v>18</v>
      </c>
      <c r="BF13" s="120">
        <f t="shared" si="2"/>
        <v>0</v>
      </c>
      <c r="BG13" s="154">
        <f t="shared" si="2"/>
        <v>0</v>
      </c>
      <c r="BH13" s="123">
        <f>SUM(TimeSheet3410[[#This Row],[1]:[4A]])</f>
        <v>78</v>
      </c>
      <c r="BI13" s="126" t="e">
        <f ca="1"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#NAME?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 t="e">
        <f ca="1"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#NAME?</v>
      </c>
      <c r="BL13" s="127" t="e">
        <f ca="1"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#NAME?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 t="e">
        <f ca="1"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#NAME?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 t="e">
        <f ca="1"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#NAME?</v>
      </c>
      <c r="BR13" s="127" t="e">
        <f ca="1"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#NAME?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 t="e">
        <f ca="1"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#NAME?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 t="e">
        <f ca="1"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#NAME?</v>
      </c>
      <c r="BX13" s="127" t="e">
        <f ca="1"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#NAME?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 t="e">
        <f ca="1"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#NAME?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 t="e">
        <f ca="1"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#NAME?</v>
      </c>
      <c r="CD13" s="127" t="e">
        <f ca="1"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#NAME?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 t="e">
        <f ca="1"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#NAME?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 t="e">
        <f ca="1"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#NAME?</v>
      </c>
      <c r="CJ13" s="127" t="e">
        <f ca="1"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#NAME?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 t="e">
        <f ca="1"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#NAME?</v>
      </c>
      <c r="CP13" s="127" t="e">
        <f ca="1"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#NAME?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>IF(ISBLANK(C14),"",IF(ISBLANK($D$3),"",$D$3))</f>
        <v/>
      </c>
      <c r="B14" s="264"/>
      <c r="C14" s="264"/>
      <c r="D14" s="265"/>
      <c r="E14" s="276" t="s">
        <v>3210</v>
      </c>
      <c r="F14" s="110" t="str">
        <f t="shared" si="0"/>
        <v>1245</v>
      </c>
      <c r="G14" s="110" t="s">
        <v>102</v>
      </c>
      <c r="H14" s="110" t="s">
        <v>102</v>
      </c>
      <c r="I14" s="139">
        <v>1</v>
      </c>
      <c r="J14" s="153" t="str">
        <f t="shared" si="1"/>
        <v>01</v>
      </c>
      <c r="K14" s="150">
        <v>1</v>
      </c>
      <c r="L14" s="118"/>
      <c r="M14" s="113"/>
      <c r="N14" s="113"/>
      <c r="O14" s="113"/>
      <c r="P14" s="113"/>
      <c r="Q14" s="114"/>
      <c r="R14" s="117"/>
      <c r="S14" s="115"/>
      <c r="T14" s="115"/>
      <c r="U14" s="115"/>
      <c r="V14" s="115"/>
      <c r="W14" s="116"/>
      <c r="X14" s="118"/>
      <c r="Y14" s="113"/>
      <c r="Z14" s="113"/>
      <c r="AA14" s="113"/>
      <c r="AB14" s="113"/>
      <c r="AC14" s="114"/>
      <c r="AD14" s="117"/>
      <c r="AE14" s="115"/>
      <c r="AF14" s="115"/>
      <c r="AG14" s="115"/>
      <c r="AH14" s="115"/>
      <c r="AI14" s="116"/>
      <c r="AJ14" s="118"/>
      <c r="AK14" s="113"/>
      <c r="AL14" s="113"/>
      <c r="AM14" s="113"/>
      <c r="AN14" s="113"/>
      <c r="AO14" s="114"/>
      <c r="AP14" s="117"/>
      <c r="AQ14" s="115"/>
      <c r="AR14" s="115"/>
      <c r="AS14" s="115"/>
      <c r="AT14" s="115"/>
      <c r="AU14" s="116"/>
      <c r="AV14" s="118"/>
      <c r="AW14" s="113"/>
      <c r="AX14" s="113"/>
      <c r="AY14" s="113"/>
      <c r="AZ14" s="113"/>
      <c r="BA14" s="114"/>
      <c r="BB14" s="119">
        <f t="shared" si="2"/>
        <v>0</v>
      </c>
      <c r="BC14" s="120">
        <f t="shared" si="2"/>
        <v>0</v>
      </c>
      <c r="BD14" s="120">
        <f t="shared" si="2"/>
        <v>0</v>
      </c>
      <c r="BE14" s="120">
        <f t="shared" si="2"/>
        <v>0</v>
      </c>
      <c r="BF14" s="120">
        <f t="shared" si="2"/>
        <v>0</v>
      </c>
      <c r="BG14" s="154">
        <f t="shared" si="2"/>
        <v>0</v>
      </c>
      <c r="BH14" s="123">
        <f>SUM(TimeSheet3410[[#This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>IF(ISBLANK(C15),"",IF(ISBLANK($D$3),"",$D$3))</f>
        <v>X</v>
      </c>
      <c r="B15" s="276" t="s">
        <v>101</v>
      </c>
      <c r="C15" s="316" t="s">
        <v>4081</v>
      </c>
      <c r="D15" s="344"/>
      <c r="E15" s="334" t="s">
        <v>4129</v>
      </c>
      <c r="F15" s="110" t="str">
        <f t="shared" si="0"/>
        <v>1245</v>
      </c>
      <c r="G15" s="110" t="s">
        <v>102</v>
      </c>
      <c r="H15" s="110" t="s">
        <v>102</v>
      </c>
      <c r="I15" s="139">
        <v>1</v>
      </c>
      <c r="J15" s="153" t="str">
        <f t="shared" si="1"/>
        <v>01</v>
      </c>
      <c r="K15" s="150">
        <v>1</v>
      </c>
      <c r="L15" s="118"/>
      <c r="M15" s="113"/>
      <c r="N15" s="113"/>
      <c r="O15" s="113"/>
      <c r="P15" s="113"/>
      <c r="Q15" s="114"/>
      <c r="R15" s="117"/>
      <c r="S15" s="115"/>
      <c r="T15" s="115"/>
      <c r="U15" s="115"/>
      <c r="V15" s="115"/>
      <c r="W15" s="116"/>
      <c r="X15" s="118"/>
      <c r="Y15" s="113"/>
      <c r="Z15" s="113"/>
      <c r="AA15" s="113"/>
      <c r="AB15" s="113"/>
      <c r="AC15" s="114"/>
      <c r="AD15" s="117"/>
      <c r="AE15" s="115"/>
      <c r="AF15" s="115"/>
      <c r="AG15" s="115"/>
      <c r="AH15" s="115"/>
      <c r="AI15" s="116"/>
      <c r="AJ15" s="118"/>
      <c r="AK15" s="113"/>
      <c r="AL15" s="113"/>
      <c r="AM15" s="113"/>
      <c r="AN15" s="113"/>
      <c r="AO15" s="114"/>
      <c r="AP15" s="117"/>
      <c r="AQ15" s="115"/>
      <c r="AR15" s="115"/>
      <c r="AS15" s="115"/>
      <c r="AT15" s="115"/>
      <c r="AU15" s="116"/>
      <c r="AV15" s="118"/>
      <c r="AW15" s="113"/>
      <c r="AX15" s="113"/>
      <c r="AY15" s="113"/>
      <c r="AZ15" s="113"/>
      <c r="BA15" s="114"/>
      <c r="BB15" s="119">
        <f t="shared" si="2"/>
        <v>0</v>
      </c>
      <c r="BC15" s="120">
        <f t="shared" si="2"/>
        <v>0</v>
      </c>
      <c r="BD15" s="120">
        <f t="shared" si="2"/>
        <v>0</v>
      </c>
      <c r="BE15" s="120">
        <f t="shared" si="2"/>
        <v>0</v>
      </c>
      <c r="BF15" s="120">
        <f t="shared" si="2"/>
        <v>0</v>
      </c>
      <c r="BG15" s="154">
        <f t="shared" si="2"/>
        <v>0</v>
      </c>
      <c r="BH15" s="123">
        <f>SUM(TimeSheet3410[[#This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>IF(ISBLANK(C16),"",IF(ISBLANK($D$3),"",$D$3))</f>
        <v/>
      </c>
      <c r="B16" s="264"/>
      <c r="C16" s="264"/>
      <c r="D16" s="265"/>
      <c r="E16" s="276" t="s">
        <v>3210</v>
      </c>
      <c r="F16" s="110" t="str">
        <f t="shared" si="0"/>
        <v>1245</v>
      </c>
      <c r="G16" s="110" t="s">
        <v>102</v>
      </c>
      <c r="H16" s="110" t="s">
        <v>102</v>
      </c>
      <c r="I16" s="139">
        <v>1</v>
      </c>
      <c r="J16" s="153" t="str">
        <f t="shared" si="1"/>
        <v>01</v>
      </c>
      <c r="K16" s="150">
        <v>1</v>
      </c>
      <c r="L16" s="118"/>
      <c r="M16" s="113"/>
      <c r="N16" s="113"/>
      <c r="O16" s="113"/>
      <c r="P16" s="113"/>
      <c r="Q16" s="114"/>
      <c r="R16" s="117"/>
      <c r="S16" s="115"/>
      <c r="T16" s="115"/>
      <c r="U16" s="115"/>
      <c r="V16" s="115"/>
      <c r="W16" s="116"/>
      <c r="X16" s="118"/>
      <c r="Y16" s="113"/>
      <c r="Z16" s="113"/>
      <c r="AA16" s="113"/>
      <c r="AB16" s="113"/>
      <c r="AC16" s="114"/>
      <c r="AD16" s="117"/>
      <c r="AE16" s="115"/>
      <c r="AF16" s="115"/>
      <c r="AG16" s="115"/>
      <c r="AH16" s="115"/>
      <c r="AI16" s="116"/>
      <c r="AJ16" s="118"/>
      <c r="AK16" s="113"/>
      <c r="AL16" s="113"/>
      <c r="AM16" s="113"/>
      <c r="AN16" s="113"/>
      <c r="AO16" s="114"/>
      <c r="AP16" s="117"/>
      <c r="AQ16" s="115"/>
      <c r="AR16" s="115"/>
      <c r="AS16" s="115"/>
      <c r="AT16" s="115"/>
      <c r="AU16" s="116"/>
      <c r="AV16" s="118"/>
      <c r="AW16" s="113"/>
      <c r="AX16" s="113"/>
      <c r="AY16" s="113"/>
      <c r="AZ16" s="113"/>
      <c r="BA16" s="114"/>
      <c r="BB16" s="119">
        <f t="shared" si="2"/>
        <v>0</v>
      </c>
      <c r="BC16" s="120">
        <f t="shared" si="2"/>
        <v>0</v>
      </c>
      <c r="BD16" s="120">
        <f t="shared" si="2"/>
        <v>0</v>
      </c>
      <c r="BE16" s="120">
        <f t="shared" si="2"/>
        <v>0</v>
      </c>
      <c r="BF16" s="120">
        <f t="shared" si="2"/>
        <v>0</v>
      </c>
      <c r="BG16" s="154">
        <f t="shared" si="2"/>
        <v>0</v>
      </c>
      <c r="BH16" s="123">
        <f>SUM(TimeSheet3410[[#This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>X</v>
      </c>
      <c r="B17" s="269" t="s">
        <v>101</v>
      </c>
      <c r="C17" s="276" t="s">
        <v>3476</v>
      </c>
      <c r="D17" s="265"/>
      <c r="E17" s="276" t="s">
        <v>3210</v>
      </c>
      <c r="F17" s="110" t="str">
        <f t="shared" si="0"/>
        <v>1245</v>
      </c>
      <c r="G17" s="110" t="s">
        <v>102</v>
      </c>
      <c r="H17" s="110" t="s">
        <v>102</v>
      </c>
      <c r="I17" s="139">
        <v>1</v>
      </c>
      <c r="J17" s="153" t="str">
        <f t="shared" si="1"/>
        <v>01</v>
      </c>
      <c r="K17" s="150">
        <v>1</v>
      </c>
      <c r="L17" s="118"/>
      <c r="M17" s="113"/>
      <c r="N17" s="113"/>
      <c r="O17" s="113"/>
      <c r="P17" s="113"/>
      <c r="Q17" s="114"/>
      <c r="R17" s="117"/>
      <c r="S17" s="115"/>
      <c r="T17" s="115"/>
      <c r="U17" s="115"/>
      <c r="V17" s="115"/>
      <c r="W17" s="116"/>
      <c r="X17" s="118"/>
      <c r="Y17" s="113"/>
      <c r="Z17" s="113"/>
      <c r="AA17" s="113"/>
      <c r="AB17" s="113"/>
      <c r="AC17" s="114"/>
      <c r="AD17" s="117"/>
      <c r="AE17" s="115"/>
      <c r="AF17" s="115"/>
      <c r="AG17" s="115"/>
      <c r="AH17" s="115"/>
      <c r="AI17" s="116"/>
      <c r="AJ17" s="118"/>
      <c r="AK17" s="113"/>
      <c r="AL17" s="113"/>
      <c r="AM17" s="113"/>
      <c r="AN17" s="113"/>
      <c r="AO17" s="114"/>
      <c r="AP17" s="117"/>
      <c r="AQ17" s="115"/>
      <c r="AR17" s="115"/>
      <c r="AS17" s="115"/>
      <c r="AT17" s="115"/>
      <c r="AU17" s="116"/>
      <c r="AV17" s="118"/>
      <c r="AW17" s="113"/>
      <c r="AX17" s="113"/>
      <c r="AY17" s="113"/>
      <c r="AZ17" s="113"/>
      <c r="BA17" s="114"/>
      <c r="BB17" s="119">
        <f t="shared" si="2"/>
        <v>0</v>
      </c>
      <c r="BC17" s="120">
        <f t="shared" si="2"/>
        <v>0</v>
      </c>
      <c r="BD17" s="120">
        <f t="shared" si="2"/>
        <v>0</v>
      </c>
      <c r="BE17" s="120">
        <f t="shared" si="2"/>
        <v>0</v>
      </c>
      <c r="BF17" s="120">
        <f t="shared" si="2"/>
        <v>0</v>
      </c>
      <c r="BG17" s="154">
        <f t="shared" si="2"/>
        <v>0</v>
      </c>
      <c r="BH17" s="123">
        <f>SUM(TimeSheet3410[[#This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ref="A18:A23" si="3">IF(ISBLANK(C18),"",IF(ISBLANK($D$3),"",$D$3))</f>
        <v/>
      </c>
      <c r="B18" s="264"/>
      <c r="C18" s="264"/>
      <c r="D18" s="265"/>
      <c r="E18" s="276" t="s">
        <v>3210</v>
      </c>
      <c r="F18" s="110" t="str">
        <f t="shared" si="0"/>
        <v>1245</v>
      </c>
      <c r="G18" s="110" t="s">
        <v>102</v>
      </c>
      <c r="H18" s="110" t="s">
        <v>102</v>
      </c>
      <c r="I18" s="139">
        <v>1</v>
      </c>
      <c r="J18" s="153" t="str">
        <f t="shared" si="1"/>
        <v>01</v>
      </c>
      <c r="K18" s="150">
        <v>1</v>
      </c>
      <c r="L18" s="118"/>
      <c r="M18" s="113"/>
      <c r="N18" s="113"/>
      <c r="O18" s="113"/>
      <c r="P18" s="113"/>
      <c r="Q18" s="114"/>
      <c r="R18" s="117"/>
      <c r="S18" s="115"/>
      <c r="T18" s="115"/>
      <c r="U18" s="115"/>
      <c r="V18" s="115"/>
      <c r="W18" s="116"/>
      <c r="X18" s="118"/>
      <c r="Y18" s="113"/>
      <c r="Z18" s="113"/>
      <c r="AA18" s="113"/>
      <c r="AB18" s="113"/>
      <c r="AC18" s="114"/>
      <c r="AD18" s="117"/>
      <c r="AE18" s="115"/>
      <c r="AF18" s="115"/>
      <c r="AG18" s="115"/>
      <c r="AH18" s="115"/>
      <c r="AI18" s="116"/>
      <c r="AJ18" s="118"/>
      <c r="AK18" s="113"/>
      <c r="AL18" s="113"/>
      <c r="AM18" s="113"/>
      <c r="AN18" s="113"/>
      <c r="AO18" s="114"/>
      <c r="AP18" s="117"/>
      <c r="AQ18" s="115"/>
      <c r="AR18" s="115"/>
      <c r="AS18" s="115"/>
      <c r="AT18" s="115"/>
      <c r="AU18" s="116"/>
      <c r="AV18" s="118"/>
      <c r="AW18" s="113"/>
      <c r="AX18" s="113"/>
      <c r="AY18" s="113"/>
      <c r="AZ18" s="113"/>
      <c r="BA18" s="114"/>
      <c r="BB18" s="119">
        <f t="shared" si="2"/>
        <v>0</v>
      </c>
      <c r="BC18" s="120">
        <f t="shared" si="2"/>
        <v>0</v>
      </c>
      <c r="BD18" s="120">
        <f t="shared" si="2"/>
        <v>0</v>
      </c>
      <c r="BE18" s="120">
        <f t="shared" si="2"/>
        <v>0</v>
      </c>
      <c r="BF18" s="120">
        <f t="shared" si="2"/>
        <v>0</v>
      </c>
      <c r="BG18" s="154">
        <f t="shared" si="2"/>
        <v>0</v>
      </c>
      <c r="BH18" s="123">
        <f>SUM(TimeSheet3410[[#This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3"/>
        <v>X</v>
      </c>
      <c r="B19" s="276" t="s">
        <v>101</v>
      </c>
      <c r="C19" s="276" t="s">
        <v>3637</v>
      </c>
      <c r="D19" s="265"/>
      <c r="E19" s="276" t="s">
        <v>3210</v>
      </c>
      <c r="F19" s="110" t="str">
        <f t="shared" si="0"/>
        <v>1245</v>
      </c>
      <c r="G19" s="110" t="s">
        <v>102</v>
      </c>
      <c r="H19" s="110" t="s">
        <v>102</v>
      </c>
      <c r="I19" s="139">
        <v>1</v>
      </c>
      <c r="J19" s="153" t="str">
        <f t="shared" si="1"/>
        <v>01</v>
      </c>
      <c r="K19" s="150">
        <v>1</v>
      </c>
      <c r="L19" s="118"/>
      <c r="M19" s="113"/>
      <c r="N19" s="113"/>
      <c r="O19" s="113"/>
      <c r="P19" s="113"/>
      <c r="Q19" s="114"/>
      <c r="R19" s="117"/>
      <c r="S19" s="115"/>
      <c r="T19" s="115"/>
      <c r="U19" s="115"/>
      <c r="V19" s="115"/>
      <c r="W19" s="116"/>
      <c r="X19" s="118"/>
      <c r="Y19" s="113"/>
      <c r="Z19" s="113"/>
      <c r="AA19" s="113"/>
      <c r="AB19" s="113"/>
      <c r="AC19" s="114"/>
      <c r="AD19" s="117"/>
      <c r="AE19" s="115"/>
      <c r="AF19" s="115"/>
      <c r="AG19" s="115"/>
      <c r="AH19" s="115"/>
      <c r="AI19" s="116"/>
      <c r="AJ19" s="118"/>
      <c r="AK19" s="113"/>
      <c r="AL19" s="113"/>
      <c r="AM19" s="113"/>
      <c r="AN19" s="113"/>
      <c r="AO19" s="114"/>
      <c r="AP19" s="117"/>
      <c r="AQ19" s="115"/>
      <c r="AR19" s="115"/>
      <c r="AS19" s="115"/>
      <c r="AT19" s="115"/>
      <c r="AU19" s="116"/>
      <c r="AV19" s="118"/>
      <c r="AW19" s="113"/>
      <c r="AX19" s="113"/>
      <c r="AY19" s="113"/>
      <c r="AZ19" s="113"/>
      <c r="BA19" s="114"/>
      <c r="BB19" s="119">
        <f t="shared" si="2"/>
        <v>0</v>
      </c>
      <c r="BC19" s="120">
        <f t="shared" si="2"/>
        <v>0</v>
      </c>
      <c r="BD19" s="120">
        <f t="shared" si="2"/>
        <v>0</v>
      </c>
      <c r="BE19" s="120">
        <f t="shared" si="2"/>
        <v>0</v>
      </c>
      <c r="BF19" s="120">
        <f t="shared" si="2"/>
        <v>0</v>
      </c>
      <c r="BG19" s="154">
        <f t="shared" si="2"/>
        <v>0</v>
      </c>
      <c r="BH19" s="123">
        <f>SUM(TimeSheet3410[[#This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3"/>
        <v/>
      </c>
      <c r="B20" s="276"/>
      <c r="C20" s="276"/>
      <c r="D20" s="277"/>
      <c r="E20" s="276" t="s">
        <v>3210</v>
      </c>
      <c r="F20" s="110" t="str">
        <f t="shared" si="0"/>
        <v>1245</v>
      </c>
      <c r="G20" s="110" t="s">
        <v>102</v>
      </c>
      <c r="H20" s="110" t="s">
        <v>102</v>
      </c>
      <c r="I20" s="139">
        <v>1</v>
      </c>
      <c r="J20" s="153" t="str">
        <f t="shared" si="1"/>
        <v>01</v>
      </c>
      <c r="K20" s="150">
        <v>1</v>
      </c>
      <c r="L20" s="118"/>
      <c r="M20" s="113"/>
      <c r="N20" s="113"/>
      <c r="O20" s="113"/>
      <c r="P20" s="113"/>
      <c r="Q20" s="114"/>
      <c r="R20" s="117"/>
      <c r="S20" s="115"/>
      <c r="T20" s="115"/>
      <c r="U20" s="115"/>
      <c r="V20" s="115"/>
      <c r="W20" s="116"/>
      <c r="X20" s="118"/>
      <c r="Y20" s="113"/>
      <c r="Z20" s="113"/>
      <c r="AA20" s="113"/>
      <c r="AB20" s="113"/>
      <c r="AC20" s="114"/>
      <c r="AD20" s="117"/>
      <c r="AE20" s="115"/>
      <c r="AF20" s="115"/>
      <c r="AG20" s="115"/>
      <c r="AH20" s="115"/>
      <c r="AI20" s="116"/>
      <c r="AJ20" s="118"/>
      <c r="AK20" s="113"/>
      <c r="AL20" s="113"/>
      <c r="AM20" s="113"/>
      <c r="AN20" s="113"/>
      <c r="AO20" s="114"/>
      <c r="AP20" s="117"/>
      <c r="AQ20" s="115"/>
      <c r="AR20" s="115"/>
      <c r="AS20" s="115"/>
      <c r="AT20" s="115"/>
      <c r="AU20" s="116"/>
      <c r="AV20" s="118"/>
      <c r="AW20" s="113"/>
      <c r="AX20" s="113"/>
      <c r="AY20" s="113"/>
      <c r="AZ20" s="113"/>
      <c r="BA20" s="114"/>
      <c r="BB20" s="119">
        <f t="shared" si="2"/>
        <v>0</v>
      </c>
      <c r="BC20" s="120">
        <f t="shared" si="2"/>
        <v>0</v>
      </c>
      <c r="BD20" s="120">
        <f t="shared" si="2"/>
        <v>0</v>
      </c>
      <c r="BE20" s="120">
        <f t="shared" si="2"/>
        <v>0</v>
      </c>
      <c r="BF20" s="120">
        <f t="shared" si="2"/>
        <v>0</v>
      </c>
      <c r="BG20" s="154">
        <f t="shared" si="2"/>
        <v>0</v>
      </c>
      <c r="BH20" s="123">
        <f>SUM(TimeSheet3410[[#This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3"/>
        <v/>
      </c>
      <c r="B21" s="353"/>
      <c r="C21" s="353"/>
      <c r="D21" s="277"/>
      <c r="E21" s="353"/>
      <c r="F21" s="353"/>
      <c r="G21" s="353"/>
      <c r="H21" s="353"/>
      <c r="I21" s="139"/>
      <c r="J21" s="153"/>
      <c r="K21" s="150"/>
      <c r="L21" s="263"/>
      <c r="M21" s="258"/>
      <c r="N21" s="258"/>
      <c r="O21" s="258"/>
      <c r="P21" s="258"/>
      <c r="Q21" s="259"/>
      <c r="R21" s="262"/>
      <c r="S21" s="260"/>
      <c r="T21" s="260"/>
      <c r="U21" s="260"/>
      <c r="V21" s="260"/>
      <c r="W21" s="261"/>
      <c r="X21" s="263"/>
      <c r="Y21" s="258"/>
      <c r="Z21" s="258"/>
      <c r="AA21" s="258"/>
      <c r="AB21" s="258"/>
      <c r="AC21" s="259"/>
      <c r="AD21" s="262"/>
      <c r="AE21" s="260"/>
      <c r="AF21" s="260"/>
      <c r="AG21" s="260"/>
      <c r="AH21" s="260"/>
      <c r="AI21" s="261"/>
      <c r="AJ21" s="263"/>
      <c r="AK21" s="258"/>
      <c r="AL21" s="258"/>
      <c r="AM21" s="258"/>
      <c r="AN21" s="258"/>
      <c r="AO21" s="259"/>
      <c r="AP21" s="262"/>
      <c r="AQ21" s="260"/>
      <c r="AR21" s="260"/>
      <c r="AS21" s="260"/>
      <c r="AT21" s="260"/>
      <c r="AU21" s="261"/>
      <c r="AV21" s="263"/>
      <c r="AW21" s="258"/>
      <c r="AX21" s="258"/>
      <c r="AY21" s="113"/>
      <c r="AZ21" s="113"/>
      <c r="BA21" s="114"/>
      <c r="BB21" s="119">
        <f t="shared" si="2"/>
        <v>0</v>
      </c>
      <c r="BC21" s="120">
        <f t="shared" si="2"/>
        <v>0</v>
      </c>
      <c r="BD21" s="120">
        <f t="shared" si="2"/>
        <v>0</v>
      </c>
      <c r="BE21" s="120">
        <f t="shared" si="2"/>
        <v>0</v>
      </c>
      <c r="BF21" s="120">
        <f t="shared" si="2"/>
        <v>0</v>
      </c>
      <c r="BG21" s="154">
        <f t="shared" si="2"/>
        <v>0</v>
      </c>
      <c r="BH21" s="123">
        <f>SUM(TimeSheet3410[[#This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3"/>
        <v/>
      </c>
      <c r="B22" s="353"/>
      <c r="C22" s="353"/>
      <c r="D22" s="277"/>
      <c r="E22" s="353"/>
      <c r="F22" s="353"/>
      <c r="G22" s="353"/>
      <c r="H22" s="353"/>
      <c r="I22" s="139"/>
      <c r="J22" s="153"/>
      <c r="K22" s="150"/>
      <c r="L22" s="263"/>
      <c r="M22" s="258"/>
      <c r="N22" s="258"/>
      <c r="O22" s="258"/>
      <c r="P22" s="258"/>
      <c r="Q22" s="259"/>
      <c r="R22" s="262"/>
      <c r="S22" s="260"/>
      <c r="T22" s="260"/>
      <c r="U22" s="260"/>
      <c r="V22" s="260"/>
      <c r="W22" s="261"/>
      <c r="X22" s="263"/>
      <c r="Y22" s="258"/>
      <c r="Z22" s="258"/>
      <c r="AA22" s="258"/>
      <c r="AB22" s="258"/>
      <c r="AC22" s="259"/>
      <c r="AD22" s="262"/>
      <c r="AE22" s="260"/>
      <c r="AF22" s="260"/>
      <c r="AG22" s="260"/>
      <c r="AH22" s="260"/>
      <c r="AI22" s="261"/>
      <c r="AJ22" s="263"/>
      <c r="AK22" s="258"/>
      <c r="AL22" s="258"/>
      <c r="AM22" s="258"/>
      <c r="AN22" s="258"/>
      <c r="AO22" s="259"/>
      <c r="AP22" s="262"/>
      <c r="AQ22" s="260"/>
      <c r="AR22" s="260"/>
      <c r="AS22" s="260"/>
      <c r="AT22" s="260"/>
      <c r="AU22" s="261"/>
      <c r="AV22" s="263"/>
      <c r="AW22" s="258"/>
      <c r="AX22" s="258"/>
      <c r="AY22" s="113"/>
      <c r="AZ22" s="113"/>
      <c r="BA22" s="114"/>
      <c r="BB22" s="119">
        <f t="shared" si="2"/>
        <v>0</v>
      </c>
      <c r="BC22" s="120">
        <f t="shared" si="2"/>
        <v>0</v>
      </c>
      <c r="BD22" s="120">
        <f t="shared" si="2"/>
        <v>0</v>
      </c>
      <c r="BE22" s="120">
        <f t="shared" si="2"/>
        <v>0</v>
      </c>
      <c r="BF22" s="120">
        <f t="shared" si="2"/>
        <v>0</v>
      </c>
      <c r="BG22" s="154">
        <f t="shared" si="2"/>
        <v>0</v>
      </c>
      <c r="BH22" s="123">
        <f>SUM(TimeSheet3410[[#This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3"/>
        <v/>
      </c>
      <c r="B23" s="316"/>
      <c r="C23" s="316"/>
      <c r="D23" s="277"/>
      <c r="E23" s="316"/>
      <c r="F23" s="316"/>
      <c r="G23" s="316"/>
      <c r="H23" s="316"/>
      <c r="I23" s="139"/>
      <c r="J23" s="153"/>
      <c r="K23" s="150"/>
      <c r="L23" s="263"/>
      <c r="M23" s="258"/>
      <c r="N23" s="258"/>
      <c r="O23" s="258"/>
      <c r="P23" s="258"/>
      <c r="Q23" s="237"/>
      <c r="R23" s="117"/>
      <c r="S23" s="115"/>
      <c r="T23" s="115"/>
      <c r="U23" s="115"/>
      <c r="V23" s="115"/>
      <c r="W23" s="116"/>
      <c r="X23" s="118"/>
      <c r="Y23" s="113"/>
      <c r="Z23" s="113"/>
      <c r="AA23" s="113"/>
      <c r="AB23" s="113"/>
      <c r="AC23" s="114"/>
      <c r="AD23" s="117"/>
      <c r="AE23" s="115"/>
      <c r="AF23" s="115"/>
      <c r="AG23" s="115"/>
      <c r="AH23" s="115"/>
      <c r="AI23" s="116"/>
      <c r="AJ23" s="118"/>
      <c r="AK23" s="113"/>
      <c r="AL23" s="113"/>
      <c r="AM23" s="113"/>
      <c r="AN23" s="113"/>
      <c r="AO23" s="114"/>
      <c r="AP23" s="117"/>
      <c r="AQ23" s="115"/>
      <c r="AR23" s="115"/>
      <c r="AS23" s="115"/>
      <c r="AT23" s="115"/>
      <c r="AU23" s="116"/>
      <c r="AV23" s="118"/>
      <c r="AW23" s="113"/>
      <c r="AX23" s="113"/>
      <c r="AY23" s="113"/>
      <c r="AZ23" s="113"/>
      <c r="BA23" s="114"/>
      <c r="BB23" s="119">
        <f t="shared" si="2"/>
        <v>0</v>
      </c>
      <c r="BC23" s="120">
        <f t="shared" si="2"/>
        <v>0</v>
      </c>
      <c r="BD23" s="120">
        <f t="shared" si="2"/>
        <v>0</v>
      </c>
      <c r="BE23" s="120">
        <f t="shared" si="2"/>
        <v>0</v>
      </c>
      <c r="BF23" s="120">
        <f t="shared" si="2"/>
        <v>0</v>
      </c>
      <c r="BG23" s="154">
        <f t="shared" si="2"/>
        <v>0</v>
      </c>
      <c r="BH23" s="123">
        <f>SUM(TimeSheet3410[[#This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SUBTOTAL(109,TimeSheet3410[RT1])</f>
        <v>8</v>
      </c>
      <c r="M24" s="359">
        <f>SUBTOTAL(109,TimeSheet3410[OT1])</f>
        <v>0</v>
      </c>
      <c r="N24" s="359">
        <f>SUBTOTAL(109,TimeSheet3410[DT1])</f>
        <v>2</v>
      </c>
      <c r="O24" s="359">
        <f>SUBTOTAL(109,TimeSheet3410[PD1])</f>
        <v>3</v>
      </c>
      <c r="P24" s="359">
        <f>SUBTOTAL(109,TimeSheet3410[4D1])</f>
        <v>0</v>
      </c>
      <c r="Q24" s="360">
        <f>SUBTOTAL(109,TimeSheet3410[4A1])</f>
        <v>0</v>
      </c>
      <c r="R24" s="361">
        <f>SUBTOTAL(109,TimeSheet3410[RT2])</f>
        <v>8</v>
      </c>
      <c r="S24" s="362">
        <f>SUBTOTAL(109,TimeSheet3410[OT2])</f>
        <v>0</v>
      </c>
      <c r="T24" s="362">
        <f>SUBTOTAL(109,TimeSheet3410[DT2])</f>
        <v>2</v>
      </c>
      <c r="U24" s="362">
        <f>SUBTOTAL(109,TimeSheet3410[PD2])</f>
        <v>3</v>
      </c>
      <c r="V24" s="362">
        <f>SUBTOTAL(109,TimeSheet3410[4D2])</f>
        <v>0</v>
      </c>
      <c r="W24" s="363">
        <f>SUBTOTAL(109,TimeSheet3410[4A2])</f>
        <v>0</v>
      </c>
      <c r="X24" s="358">
        <f>SUBTOTAL(109,TimeSheet3410[RT3])</f>
        <v>8</v>
      </c>
      <c r="Y24" s="359">
        <f>SUBTOTAL(109,TimeSheet3410[OT3])</f>
        <v>0</v>
      </c>
      <c r="Z24" s="359">
        <f>SUBTOTAL(109,TimeSheet3410[DT3])</f>
        <v>2</v>
      </c>
      <c r="AA24" s="359">
        <f>SUBTOTAL(109,TimeSheet3410[PD3])</f>
        <v>3</v>
      </c>
      <c r="AB24" s="359">
        <f>SUBTOTAL(109,TimeSheet3410[4D3])</f>
        <v>0</v>
      </c>
      <c r="AC24" s="360">
        <f>SUBTOTAL(109,TimeSheet3410[4A3])</f>
        <v>0</v>
      </c>
      <c r="AD24" s="361">
        <f>SUBTOTAL(109,TimeSheet3410[RT4])</f>
        <v>8</v>
      </c>
      <c r="AE24" s="362">
        <f>SUBTOTAL(109,TimeSheet3410[OT4])</f>
        <v>0</v>
      </c>
      <c r="AF24" s="362">
        <f>SUBTOTAL(109,TimeSheet3410[DT4])</f>
        <v>2</v>
      </c>
      <c r="AG24" s="362">
        <f>SUBTOTAL(109,TimeSheet3410[PD4])</f>
        <v>3</v>
      </c>
      <c r="AH24" s="362">
        <f>SUBTOTAL(109,TimeSheet3410[4D4])</f>
        <v>0</v>
      </c>
      <c r="AI24" s="363">
        <f>SUBTOTAL(109,TimeSheet3410[4A4])</f>
        <v>0</v>
      </c>
      <c r="AJ24" s="358">
        <f>SUBTOTAL(109,TimeSheet3410[RT5])</f>
        <v>8</v>
      </c>
      <c r="AK24" s="359">
        <f>SUBTOTAL(109,TimeSheet3410[OT5])</f>
        <v>0</v>
      </c>
      <c r="AL24" s="359">
        <f>SUBTOTAL(109,TimeSheet3410[DT5])</f>
        <v>2</v>
      </c>
      <c r="AM24" s="359">
        <f>SUBTOTAL(109,TimeSheet3410[PD5])</f>
        <v>3</v>
      </c>
      <c r="AN24" s="359">
        <f>SUBTOTAL(109,TimeSheet3410[4D5])</f>
        <v>0</v>
      </c>
      <c r="AO24" s="360">
        <f>SUBTOTAL(109,TimeSheet3410[4A5])</f>
        <v>0</v>
      </c>
      <c r="AP24" s="361">
        <f>SUBTOTAL(109,TimeSheet3410[RT6])</f>
        <v>0</v>
      </c>
      <c r="AQ24" s="362">
        <f>SUBTOTAL(109,TimeSheet3410[OT6])</f>
        <v>0</v>
      </c>
      <c r="AR24" s="362">
        <f>SUBTOTAL(109,TimeSheet3410[DT6])</f>
        <v>10</v>
      </c>
      <c r="AS24" s="362">
        <f>SUBTOTAL(109,TimeSheet3410[PD6])</f>
        <v>3</v>
      </c>
      <c r="AT24" s="362">
        <f>SUBTOTAL(109,TimeSheet3410[4D6])</f>
        <v>0</v>
      </c>
      <c r="AU24" s="363">
        <f>SUBTOTAL(109,TimeSheet3410[4A6])</f>
        <v>0</v>
      </c>
      <c r="AV24" s="358">
        <f>SUBTOTAL(109,TimeSheet3410[RT7])</f>
        <v>0</v>
      </c>
      <c r="AW24" s="359">
        <f>SUBTOTAL(109,TimeSheet3410[OT7])</f>
        <v>0</v>
      </c>
      <c r="AX24" s="359">
        <f>SUBTOTAL(109,TimeSheet3410[DT7])</f>
        <v>0</v>
      </c>
      <c r="AY24" s="359">
        <f>SUBTOTAL(109,TimeSheet3410[PD7])</f>
        <v>0</v>
      </c>
      <c r="AZ24" s="359">
        <f>SUBTOTAL(109,TimeSheet3410[4D7])</f>
        <v>0</v>
      </c>
      <c r="BA24" s="360">
        <f>SUBTOTAL(109,TimeSheet3410[4A7])</f>
        <v>0</v>
      </c>
      <c r="BB24" s="364">
        <f>SUBTOTAL(109,TimeSheet3410[1])</f>
        <v>40</v>
      </c>
      <c r="BC24" s="365">
        <f>SUBTOTAL(109,TimeSheet3410[3])</f>
        <v>0</v>
      </c>
      <c r="BD24" s="365">
        <f>SUBTOTAL(109,TimeSheet3410[2])</f>
        <v>20</v>
      </c>
      <c r="BE24" s="365">
        <f>SUBTOTAL(109,TimeSheet3410[4])</f>
        <v>18</v>
      </c>
      <c r="BF24" s="365">
        <f>SUBTOTAL(109,TimeSheet3410[4D])</f>
        <v>0</v>
      </c>
      <c r="BG24" s="366">
        <f>SUBTOTAL(109,TimeSheet3410[4A])</f>
        <v>0</v>
      </c>
      <c r="BH24" s="367">
        <f>SUBTOTAL(109,TimeSheet3410[Total])-SUM(TimeSheet3410[[#Totals],[RT1]:[4A7]])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">
      <c r="A25" s="173"/>
      <c r="B25" s="28" t="s">
        <v>356</v>
      </c>
      <c r="C25" s="28"/>
      <c r="D25" s="28"/>
      <c r="E25" s="28"/>
      <c r="L25" s="253"/>
      <c r="X25" s="205"/>
      <c r="AP25" s="253"/>
      <c r="AV25" s="279"/>
      <c r="BB25" s="197"/>
    </row>
    <row r="26" spans="1:102" ht="39" customHeight="1" x14ac:dyDescent="0.45">
      <c r="A26" s="174" t="str">
        <f>IF(ISBLANK('Job Details'!A5),"",'Job Details'!A5)</f>
        <v xml:space="preserve">Hours </v>
      </c>
      <c r="B26" s="175"/>
      <c r="C26" s="176" t="str">
        <f>IF(ISBLANK('Job Details'!B5),"",'Job Details'!B5)</f>
        <v>8ST, then everything else DT</v>
      </c>
      <c r="D26" s="174" t="str">
        <f>IF(ISBLANK('Job Details'!C5),"",'Job Details'!C5)</f>
        <v/>
      </c>
      <c r="E26" s="177" t="str">
        <f>IF(ISBLANK('Job Details'!D5),"",'Job Details'!D5)</f>
        <v/>
      </c>
      <c r="F26" s="178" t="str">
        <f>IF(ISBLANK('Job Details'!E5),"",'Job Details'!E5)</f>
        <v/>
      </c>
      <c r="G26"/>
      <c r="H26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29"/>
      <c r="AD26" s="229"/>
      <c r="AE26" s="229"/>
      <c r="AF26" s="229"/>
      <c r="AG26" s="229"/>
      <c r="AH26" s="229"/>
      <c r="AI26" s="228"/>
      <c r="AJ26" s="228"/>
      <c r="AK26" s="229"/>
      <c r="BB26" s="195"/>
      <c r="BC26" s="195"/>
      <c r="BD26" s="196"/>
      <c r="BE26" s="195"/>
      <c r="BF26" s="195"/>
      <c r="BG26" s="195"/>
    </row>
    <row r="27" spans="1:102" ht="39" customHeight="1" x14ac:dyDescent="0.5">
      <c r="A27" s="179" t="str">
        <f>IF(ISBLANK('Job Details'!A6),"",'Job Details'!A6)</f>
        <v>PD</v>
      </c>
      <c r="B27" s="180"/>
      <c r="C27" s="181" t="str">
        <f>IF(ISBLANK('Job Details'!B6),"",'Job Details'!B6)</f>
        <v>$50/day (must work 4 hours or until noon, whichever is later)</v>
      </c>
      <c r="D27" s="182" t="str">
        <f>IF(ISBLANK('Job Details'!C6),"",'Job Details'!C6)</f>
        <v/>
      </c>
      <c r="E27" s="181" t="str">
        <f>IF(ISBLANK('Job Details'!D6),"",'Job Details'!D6)</f>
        <v/>
      </c>
      <c r="F27" s="183" t="str">
        <f>IF(ISBLANK('Job Details'!E6),"",'Job Details'!E6)</f>
        <v/>
      </c>
      <c r="G27"/>
      <c r="H27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IF(ISBLANK('Job Details'!A7),"",'Job Details'!A7)</f>
        <v>Meal</v>
      </c>
      <c r="B28" s="180"/>
      <c r="C28" s="181" t="str">
        <f>IF(ISBLANK('Job Details'!B7),"",'Job Details'!B7)</f>
        <v>$15 after 10.5 hours (then after every 4.5 hours)</v>
      </c>
      <c r="D28" s="179" t="str">
        <f>IF(ISBLANK('Job Details'!C7),"",'Job Details'!C7)</f>
        <v/>
      </c>
      <c r="E28" s="181" t="str">
        <f>IF(ISBLANK('Job Details'!D7),"",'Job Details'!D7)</f>
        <v/>
      </c>
      <c r="F28" s="183" t="str">
        <f>IF(ISBLANK('Job Details'!E7),"",'Job Details'!E7)</f>
        <v/>
      </c>
      <c r="G28"/>
      <c r="H28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IF(ISBLANK('Job Details'!A8),"",'Job Details'!A8)</f>
        <v>In Lieu</v>
      </c>
      <c r="B29" s="185"/>
      <c r="C29" s="186" t="str">
        <f>IF(ISBLANK('Job Details'!B8),"",'Job Details'!B8)</f>
        <v>0.5DT after 10.5 hours (then after every 4.5 hours)</v>
      </c>
      <c r="D29" s="179" t="str">
        <f>IF(ISBLANK('Job Details'!C8),"",'Job Details'!C8)</f>
        <v/>
      </c>
      <c r="E29" s="181" t="str">
        <f>IF(ISBLANK('Job Details'!D8),"",'Job Details'!D8)</f>
        <v/>
      </c>
      <c r="F29" s="187" t="str">
        <f>IF(ISBLANK('Job Details'!E8),"",'Job Details'!E8)</f>
        <v/>
      </c>
      <c r="G29"/>
      <c r="H29"/>
    </row>
    <row r="30" spans="1:102" ht="39" customHeight="1" x14ac:dyDescent="0.4">
      <c r="A30" s="188" t="str">
        <f>IF(ISBLANK('Job Details'!A9),"",'Job Details'!A9)</f>
        <v>Job Details</v>
      </c>
      <c r="B30" s="175"/>
      <c r="C30" s="189" t="str">
        <f>IF(ISBLANK('Job Details'!B9),"",'Job Details'!B9)</f>
        <v/>
      </c>
      <c r="D30" s="190" t="str">
        <f>IF(ISBLANK('Job Details'!C9),"",'Job Details'!C9)</f>
        <v/>
      </c>
      <c r="E30" s="176" t="str">
        <f>IF(ISBLANK('Job Details'!D9),"",'Job Details'!D9)</f>
        <v/>
      </c>
      <c r="F30" s="183" t="str">
        <f>IF(ISBLANK('Job Details'!E9),"",'Job Details'!E9)</f>
        <v/>
      </c>
      <c r="G30"/>
      <c r="H30"/>
    </row>
    <row r="31" spans="1:102" ht="39" customHeight="1" x14ac:dyDescent="0.4">
      <c r="A31" s="179" t="str">
        <f>IF(ISBLANK('Job Details'!A10),"",'Job Details'!A10)</f>
        <v>Extra</v>
      </c>
      <c r="B31" s="180"/>
      <c r="C31" s="181" t="str">
        <f>IF(ISBLANK('Job Details'!B10),"",'Job Details'!B10)</f>
        <v>Phase</v>
      </c>
      <c r="D31" s="191" t="str">
        <f>IF(ISBLANK('Job Details'!C10),"",'Job Details'!C10)</f>
        <v>Phase Description</v>
      </c>
      <c r="E31" s="181" t="str">
        <f>IF(ISBLANK('Job Details'!D10),"",'Job Details'!D10)</f>
        <v>Category</v>
      </c>
      <c r="F31" s="187" t="str">
        <f>IF(ISBLANK('Job Details'!E10),"",'Job Details'!E10)</f>
        <v>Description</v>
      </c>
      <c r="G31"/>
      <c r="H31"/>
    </row>
    <row r="32" spans="1:102" ht="39" customHeight="1" x14ac:dyDescent="0.4">
      <c r="A32" s="184" t="str">
        <f>IF(ISBLANK('Job Details'!A11),"",'Job Details'!A11)</f>
        <v/>
      </c>
      <c r="B32" s="185"/>
      <c r="C32" s="186" t="str">
        <f>IF(ISBLANK('Job Details'!B11),"",'Job Details'!B11)</f>
        <v>1-001</v>
      </c>
      <c r="D32" s="192" t="str">
        <f>IF(ISBLANK('Job Details'!C11),"",'Job Details'!C11)</f>
        <v>Project Superintendent (Hrs)</v>
      </c>
      <c r="E32" s="186" t="str">
        <f>IF(ISBLANK('Job Details'!D11),"",'Job Details'!D11)</f>
        <v>DT</v>
      </c>
      <c r="F32" s="193" t="str">
        <f>IF(ISBLANK('Job Details'!E11),"",'Job Details'!E11)</f>
        <v>Double Time - Jobs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7"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BB1:BG1"/>
    <mergeCell ref="L3:Q3"/>
    <mergeCell ref="R3:W3"/>
    <mergeCell ref="X3:AC3"/>
    <mergeCell ref="AD3:AI3"/>
    <mergeCell ref="AJ3:AO3"/>
    <mergeCell ref="AP3:AU3"/>
    <mergeCell ref="AV3:BA3"/>
  </mergeCells>
  <conditionalFormatting sqref="D3 A13:A23">
    <cfRule type="expression" dxfId="919" priority="481">
      <formula>ISBLANK(A3)</formula>
    </cfRule>
  </conditionalFormatting>
  <conditionalFormatting sqref="A1:K1">
    <cfRule type="expression" dxfId="918" priority="479">
      <formula>$A$1="Input Employee Number"</formula>
    </cfRule>
  </conditionalFormatting>
  <conditionalFormatting sqref="BB1:BG1">
    <cfRule type="expression" dxfId="917" priority="478">
      <formula>ISBLANK(BB1)</formula>
    </cfRule>
  </conditionalFormatting>
  <conditionalFormatting sqref="BH24">
    <cfRule type="expression" dxfId="916" priority="476">
      <formula>$BH24&lt;&gt;0</formula>
    </cfRule>
    <cfRule type="expression" dxfId="915" priority="477">
      <formula>$BH24=0</formula>
    </cfRule>
  </conditionalFormatting>
  <conditionalFormatting sqref="L11:BG11">
    <cfRule type="expression" dxfId="914" priority="475">
      <formula>L11&lt;&gt;0</formula>
    </cfRule>
  </conditionalFormatting>
  <conditionalFormatting sqref="E24:H24 F13:H23">
    <cfRule type="expression" dxfId="913" priority="474">
      <formula>AND($BH13&lt;&gt;0,ISBLANK(E13))</formula>
    </cfRule>
  </conditionalFormatting>
  <conditionalFormatting sqref="B2">
    <cfRule type="cellIs" dxfId="912" priority="473" operator="equal">
      <formula>0</formula>
    </cfRule>
  </conditionalFormatting>
  <conditionalFormatting sqref="B3">
    <cfRule type="containsBlanks" dxfId="911" priority="472">
      <formula>LEN(TRIM(B3))=0</formula>
    </cfRule>
  </conditionalFormatting>
  <conditionalFormatting sqref="D3 A13:A23">
    <cfRule type="cellIs" dxfId="910" priority="480" operator="equal">
      <formula>"x"</formula>
    </cfRule>
  </conditionalFormatting>
  <conditionalFormatting sqref="B4">
    <cfRule type="containsBlanks" dxfId="909" priority="471">
      <formula>LEN(TRIM(B4))=0</formula>
    </cfRule>
  </conditionalFormatting>
  <conditionalFormatting sqref="C24">
    <cfRule type="expression" dxfId="908" priority="482">
      <formula>AND($C24=0,BH24&lt;&gt;0)</formula>
    </cfRule>
  </conditionalFormatting>
  <conditionalFormatting sqref="B22">
    <cfRule type="expression" dxfId="907" priority="302">
      <formula>AND($BH22&lt;&gt;0,ISBLANK(B22))</formula>
    </cfRule>
  </conditionalFormatting>
  <conditionalFormatting sqref="B22">
    <cfRule type="expression" dxfId="906" priority="301">
      <formula>AND($C22&gt;0,ISBLANK($E22))</formula>
    </cfRule>
  </conditionalFormatting>
  <conditionalFormatting sqref="E22">
    <cfRule type="expression" dxfId="905" priority="300">
      <formula>AND($BH22&lt;&gt;0,ISBLANK(E22))</formula>
    </cfRule>
  </conditionalFormatting>
  <conditionalFormatting sqref="E22">
    <cfRule type="expression" dxfId="904" priority="299">
      <formula>AND($BH22&lt;&gt;0,ISBLANK(E22))</formula>
    </cfRule>
  </conditionalFormatting>
  <conditionalFormatting sqref="E22">
    <cfRule type="expression" dxfId="903" priority="298">
      <formula>AND($C22&gt;0,ISBLANK($E22))</formula>
    </cfRule>
  </conditionalFormatting>
  <conditionalFormatting sqref="C22">
    <cfRule type="expression" dxfId="902" priority="297">
      <formula>AND($BH22&lt;&gt;0,ISBLANK(C22))</formula>
    </cfRule>
  </conditionalFormatting>
  <conditionalFormatting sqref="C22">
    <cfRule type="expression" dxfId="901" priority="296">
      <formula>AND($C22&gt;0,ISBLANK($E22))</formula>
    </cfRule>
  </conditionalFormatting>
  <conditionalFormatting sqref="B23">
    <cfRule type="expression" dxfId="900" priority="293">
      <formula>AND($BH23&lt;&gt;0,ISBLANK(B23))</formula>
    </cfRule>
  </conditionalFormatting>
  <conditionalFormatting sqref="B23">
    <cfRule type="expression" dxfId="899" priority="292">
      <formula>AND($C23&gt;0,ISBLANK($E23))</formula>
    </cfRule>
  </conditionalFormatting>
  <conditionalFormatting sqref="C23">
    <cfRule type="expression" dxfId="898" priority="247">
      <formula>AND($BH23&lt;&gt;0,ISBLANK(C23))</formula>
    </cfRule>
  </conditionalFormatting>
  <conditionalFormatting sqref="C23">
    <cfRule type="expression" dxfId="897" priority="246">
      <formula>AND($C23&gt;0,ISBLANK($E23))</formula>
    </cfRule>
  </conditionalFormatting>
  <conditionalFormatting sqref="E23">
    <cfRule type="expression" dxfId="896" priority="226">
      <formula>AND($BH23&lt;&gt;0,ISBLANK(E23))</formula>
    </cfRule>
  </conditionalFormatting>
  <conditionalFormatting sqref="E23">
    <cfRule type="expression" dxfId="895" priority="225">
      <formula>AND($C23&gt;0,ISBLANK($E23))</formula>
    </cfRule>
  </conditionalFormatting>
  <conditionalFormatting sqref="B13">
    <cfRule type="expression" dxfId="894" priority="216">
      <formula>AND($BH13&lt;&gt;0,ISBLANK(B13))</formula>
    </cfRule>
  </conditionalFormatting>
  <conditionalFormatting sqref="B13">
    <cfRule type="expression" dxfId="893" priority="215">
      <formula>AND($C13&gt;0,ISBLANK($E13))</formula>
    </cfRule>
  </conditionalFormatting>
  <conditionalFormatting sqref="C14">
    <cfRule type="expression" dxfId="892" priority="208">
      <formula>AND($BH14&lt;&gt;0,ISBLANK(C14))</formula>
    </cfRule>
  </conditionalFormatting>
  <conditionalFormatting sqref="C14">
    <cfRule type="expression" dxfId="891" priority="207">
      <formula>AND($C14&gt;0,ISBLANK($E14))</formula>
    </cfRule>
  </conditionalFormatting>
  <conditionalFormatting sqref="C18">
    <cfRule type="expression" dxfId="890" priority="194">
      <formula>AND($BH18&lt;&gt;0,ISBLANK(C18))</formula>
    </cfRule>
  </conditionalFormatting>
  <conditionalFormatting sqref="C18">
    <cfRule type="expression" dxfId="889" priority="193">
      <formula>AND($C18&gt;0,ISBLANK($E18))</formula>
    </cfRule>
  </conditionalFormatting>
  <conditionalFormatting sqref="C20">
    <cfRule type="expression" dxfId="888" priority="192">
      <formula>AND($C20=0,BH20&lt;&gt;0)</formula>
    </cfRule>
  </conditionalFormatting>
  <conditionalFormatting sqref="E13">
    <cfRule type="expression" dxfId="887" priority="190">
      <formula>AND($BH13&lt;&gt;0,ISBLANK(E13))</formula>
    </cfRule>
  </conditionalFormatting>
  <conditionalFormatting sqref="E13">
    <cfRule type="expression" dxfId="886" priority="189">
      <formula>AND($C13&gt;0,ISBLANK($E13))</formula>
    </cfRule>
  </conditionalFormatting>
  <conditionalFormatting sqref="E16:E18">
    <cfRule type="expression" dxfId="885" priority="188">
      <formula>AND($BH16&lt;&gt;0,ISBLANK(E16))</formula>
    </cfRule>
  </conditionalFormatting>
  <conditionalFormatting sqref="E16:E18">
    <cfRule type="expression" dxfId="884" priority="187">
      <formula>AND($C16&gt;0,ISBLANK($E16))</formula>
    </cfRule>
  </conditionalFormatting>
  <conditionalFormatting sqref="E20">
    <cfRule type="expression" dxfId="883" priority="186">
      <formula>AND($BH20&lt;&gt;0,ISBLANK(E20))</formula>
    </cfRule>
  </conditionalFormatting>
  <conditionalFormatting sqref="E20">
    <cfRule type="expression" dxfId="882" priority="185">
      <formula>AND($C20&gt;0,ISBLANK($E20))</formula>
    </cfRule>
  </conditionalFormatting>
  <conditionalFormatting sqref="E19">
    <cfRule type="expression" dxfId="881" priority="179">
      <formula>AND($BH19&lt;&gt;0,ISBLANK(E19))</formula>
    </cfRule>
  </conditionalFormatting>
  <conditionalFormatting sqref="E19">
    <cfRule type="expression" dxfId="880" priority="178">
      <formula>AND($C19&gt;0,ISBLANK($E19))</formula>
    </cfRule>
  </conditionalFormatting>
  <conditionalFormatting sqref="E14">
    <cfRule type="expression" dxfId="879" priority="177">
      <formula>AND($BH14&lt;&gt;0,ISBLANK(E14))</formula>
    </cfRule>
  </conditionalFormatting>
  <conditionalFormatting sqref="E14">
    <cfRule type="expression" dxfId="878" priority="176">
      <formula>AND($C14&gt;0,ISBLANK($E14))</formula>
    </cfRule>
  </conditionalFormatting>
  <conditionalFormatting sqref="C17">
    <cfRule type="expression" dxfId="877" priority="174">
      <formula>AND($C17&gt;0,ISBLANK($E17))</formula>
    </cfRule>
  </conditionalFormatting>
  <conditionalFormatting sqref="C17">
    <cfRule type="expression" dxfId="876" priority="173">
      <formula>AND($BH15&lt;&gt;0,ISBLANK(C17))</formula>
    </cfRule>
  </conditionalFormatting>
  <conditionalFormatting sqref="C13">
    <cfRule type="expression" dxfId="875" priority="134">
      <formula>AND($BH13&lt;&gt;0,ISBLANK(C13))</formula>
    </cfRule>
  </conditionalFormatting>
  <conditionalFormatting sqref="C13">
    <cfRule type="expression" dxfId="874" priority="133">
      <formula>AND($C13&gt;0,ISBLANK($E13))</formula>
    </cfRule>
  </conditionalFormatting>
  <conditionalFormatting sqref="B21">
    <cfRule type="expression" dxfId="873" priority="69">
      <formula>AND($BH21&lt;&gt;0,ISBLANK(B21))</formula>
    </cfRule>
  </conditionalFormatting>
  <conditionalFormatting sqref="B21">
    <cfRule type="expression" dxfId="872" priority="68">
      <formula>AND($C21&gt;0,ISBLANK($E21))</formula>
    </cfRule>
  </conditionalFormatting>
  <conditionalFormatting sqref="E21">
    <cfRule type="expression" dxfId="871" priority="67">
      <formula>AND($BH21&lt;&gt;0,ISBLANK(E21))</formula>
    </cfRule>
  </conditionalFormatting>
  <conditionalFormatting sqref="E21">
    <cfRule type="expression" dxfId="870" priority="66">
      <formula>AND($C21&gt;0,ISBLANK($E21))</formula>
    </cfRule>
  </conditionalFormatting>
  <conditionalFormatting sqref="C21">
    <cfRule type="expression" dxfId="869" priority="65">
      <formula>AND($BH21&lt;&gt;0,ISBLANK(C21))</formula>
    </cfRule>
  </conditionalFormatting>
  <conditionalFormatting sqref="C21">
    <cfRule type="expression" dxfId="868" priority="64">
      <formula>AND($C21&gt;0,ISBLANK($E21))</formula>
    </cfRule>
  </conditionalFormatting>
  <conditionalFormatting sqref="E15">
    <cfRule type="expression" dxfId="867" priority="63">
      <formula>AND($BH15&lt;&gt;0,ISBLANK(E15))</formula>
    </cfRule>
  </conditionalFormatting>
  <conditionalFormatting sqref="E15">
    <cfRule type="expression" dxfId="866" priority="62">
      <formula>AND($C15&gt;0,ISBLANK($E15))</formula>
    </cfRule>
  </conditionalFormatting>
  <conditionalFormatting sqref="E15">
    <cfRule type="expression" dxfId="865" priority="58">
      <formula>AND($BH15&lt;&gt;0,ISBLANK(E15))</formula>
    </cfRule>
  </conditionalFormatting>
  <conditionalFormatting sqref="E15">
    <cfRule type="expression" dxfId="864" priority="57">
      <formula>AND($C15&gt;0,ISBLANK($E15))</formula>
    </cfRule>
  </conditionalFormatting>
  <conditionalFormatting sqref="E15">
    <cfRule type="expression" dxfId="863" priority="61">
      <formula>AND($BH15&lt;&gt;0,ISBLANK(E15))</formula>
    </cfRule>
  </conditionalFormatting>
  <conditionalFormatting sqref="E15">
    <cfRule type="expression" dxfId="862" priority="60">
      <formula>AND($BH15&lt;&gt;0,ISBLANK(E15))</formula>
    </cfRule>
  </conditionalFormatting>
  <conditionalFormatting sqref="E15">
    <cfRule type="expression" dxfId="861" priority="59">
      <formula>AND($C15&gt;0,ISBLANK($E15))</formula>
    </cfRule>
  </conditionalFormatting>
  <conditionalFormatting sqref="E15">
    <cfRule type="expression" dxfId="860" priority="56">
      <formula>AND($BH15&lt;&gt;0,ISBLANK(E15))</formula>
    </cfRule>
  </conditionalFormatting>
  <conditionalFormatting sqref="E15">
    <cfRule type="expression" dxfId="859" priority="55">
      <formula>AND($C15&gt;0,ISBLANK($E15))</formula>
    </cfRule>
  </conditionalFormatting>
  <conditionalFormatting sqref="E15">
    <cfRule type="expression" dxfId="858" priority="54">
      <formula>AND($BH15&lt;&gt;0,ISBLANK(E15))</formula>
    </cfRule>
  </conditionalFormatting>
  <conditionalFormatting sqref="C15">
    <cfRule type="expression" dxfId="857" priority="53">
      <formula>AND($BH15&lt;&gt;0,ISBLANK(C15))</formula>
    </cfRule>
  </conditionalFormatting>
  <conditionalFormatting sqref="C15">
    <cfRule type="expression" dxfId="856" priority="52">
      <formula>AND($C15&gt;0,ISBLANK($E15))</formula>
    </cfRule>
  </conditionalFormatting>
  <conditionalFormatting sqref="Q12">
    <cfRule type="expression" dxfId="855" priority="19">
      <formula>AND(L$9&gt;10.5,Q$24=0)</formula>
    </cfRule>
  </conditionalFormatting>
  <conditionalFormatting sqref="P12">
    <cfRule type="expression" dxfId="854" priority="20">
      <formula>AND(L$9&gt;10.5,P$24=0)</formula>
    </cfRule>
  </conditionalFormatting>
  <conditionalFormatting sqref="O12">
    <cfRule type="expression" dxfId="853" priority="21">
      <formula>AND(L$10&gt;0,O$24=0)</formula>
    </cfRule>
  </conditionalFormatting>
  <conditionalFormatting sqref="W12">
    <cfRule type="expression" dxfId="852" priority="17">
      <formula>AND(R$9&gt;10.5,W$24=0)</formula>
    </cfRule>
  </conditionalFormatting>
  <conditionalFormatting sqref="V12">
    <cfRule type="expression" dxfId="851" priority="18">
      <formula>AND(R$9&gt;10.5,V$24=0)</formula>
    </cfRule>
  </conditionalFormatting>
  <conditionalFormatting sqref="U12">
    <cfRule type="expression" dxfId="850" priority="16">
      <formula>AND(R$10&gt;0,U$24=0)</formula>
    </cfRule>
  </conditionalFormatting>
  <conditionalFormatting sqref="AC12">
    <cfRule type="expression" dxfId="849" priority="13">
      <formula>AND(X$9&gt;10.5,AC$24=0)</formula>
    </cfRule>
  </conditionalFormatting>
  <conditionalFormatting sqref="AB12">
    <cfRule type="expression" dxfId="848" priority="14">
      <formula>AND(X$9&gt;10.5,AB$24=0)</formula>
    </cfRule>
  </conditionalFormatting>
  <conditionalFormatting sqref="AA12">
    <cfRule type="expression" dxfId="847" priority="15">
      <formula>AND(X$10&gt;0,AA$24=0)</formula>
    </cfRule>
  </conditionalFormatting>
  <conditionalFormatting sqref="AI12">
    <cfRule type="expression" dxfId="846" priority="11">
      <formula>AND(AD$9&gt;10.5,AI$24=0)</formula>
    </cfRule>
  </conditionalFormatting>
  <conditionalFormatting sqref="AH12">
    <cfRule type="expression" dxfId="845" priority="12">
      <formula>AND(AD$9&gt;10.5,AH$24=0)</formula>
    </cfRule>
  </conditionalFormatting>
  <conditionalFormatting sqref="AG12">
    <cfRule type="expression" dxfId="844" priority="10">
      <formula>AND(AD$10&gt;0,AG$24=0)</formula>
    </cfRule>
  </conditionalFormatting>
  <conditionalFormatting sqref="AO12">
    <cfRule type="expression" dxfId="843" priority="7">
      <formula>AND(AJ$9&gt;10.5,AO$24=0)</formula>
    </cfRule>
  </conditionalFormatting>
  <conditionalFormatting sqref="AN12">
    <cfRule type="expression" dxfId="842" priority="8">
      <formula>AND(AJ$9&gt;10.5,AN$24=0)</formula>
    </cfRule>
  </conditionalFormatting>
  <conditionalFormatting sqref="AM12">
    <cfRule type="expression" dxfId="841" priority="9">
      <formula>AND(AJ$10&gt;0,AM$24=0)</formula>
    </cfRule>
  </conditionalFormatting>
  <conditionalFormatting sqref="AU12">
    <cfRule type="expression" dxfId="840" priority="5">
      <formula>AND(AP$9&gt;10.5,AU$24=0)</formula>
    </cfRule>
  </conditionalFormatting>
  <conditionalFormatting sqref="AT12">
    <cfRule type="expression" dxfId="839" priority="6">
      <formula>AND(AP$9&gt;10.5,AT$24=0)</formula>
    </cfRule>
  </conditionalFormatting>
  <conditionalFormatting sqref="AS12">
    <cfRule type="expression" dxfId="838" priority="4">
      <formula>AND(AP$10&gt;0,AS$24=0)</formula>
    </cfRule>
  </conditionalFormatting>
  <conditionalFormatting sqref="BA12">
    <cfRule type="expression" dxfId="837" priority="1">
      <formula>AND(AV$9&gt;10.5,BA$24=0)</formula>
    </cfRule>
  </conditionalFormatting>
  <conditionalFormatting sqref="AZ12">
    <cfRule type="expression" dxfId="836" priority="2">
      <formula>AND(AV$9&gt;10.5,AZ$24=0)</formula>
    </cfRule>
  </conditionalFormatting>
  <conditionalFormatting sqref="AY12">
    <cfRule type="expression" dxfId="835" priority="3">
      <formula>AND(AV$10&gt;0,AY$24=0)</formula>
    </cfRule>
  </conditionalFormatting>
  <dataValidations count="2">
    <dataValidation allowBlank="1" showInputMessage="1" showErrorMessage="1" sqref="E13:H23" xr:uid="{00000000-0002-0000-0C00-000000000000}"/>
    <dataValidation type="textLength" allowBlank="1" showInputMessage="1" showErrorMessage="1" errorTitle="Digits" error="The EE# must be between 4 ad 5 digits" sqref="B2" xr:uid="{00000000-0002-0000-0C00-000001000000}">
      <formula1>4</formula1>
      <formula2>5</formula2>
    </dataValidation>
  </dataValidations>
  <pageMargins left="0.25" right="0.25" top="0.75" bottom="0.75" header="0.3" footer="0.3"/>
  <pageSetup paperSize="5" scale="3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C00-000002000000}">
          <x14:formula1>
            <xm:f>'Job List'!$A:$A</xm:f>
          </x14:formula1>
          <xm:sqref>C17:C18 C20:C23 C13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tabColor rgb="FF0070C0"/>
    <pageSetUpPr fitToPage="1"/>
  </sheetPr>
  <dimension ref="A1:CX33"/>
  <sheetViews>
    <sheetView showGridLines="0" zoomScale="48" zoomScaleNormal="48" zoomScaleSheetLayoutView="38" workbookViewId="0">
      <pane xSplit="3" ySplit="12" topLeftCell="E13" activePane="bottomRight" state="frozen"/>
      <selection activeCell="L13" sqref="L13:BA18"/>
      <selection pane="topRight" activeCell="L13" sqref="L13:BA18"/>
      <selection pane="bottomLeft" activeCell="L13" sqref="L13:BA18"/>
      <selection pane="bottomRight" activeCell="BB15" sqref="BB15"/>
    </sheetView>
  </sheetViews>
  <sheetFormatPr defaultColWidth="8.85546875" defaultRowHeight="39" customHeight="1" x14ac:dyDescent="0.3"/>
  <cols>
    <col min="1" max="1" width="16.5703125" customWidth="1"/>
    <col min="2" max="2" width="18" style="1" customWidth="1"/>
    <col min="3" max="3" width="23.7109375" style="1" bestFit="1" customWidth="1"/>
    <col min="4" max="4" width="23.140625" style="1" customWidth="1"/>
    <col min="5" max="5" width="16.140625" style="1" customWidth="1"/>
    <col min="6" max="6" width="38.7109375" style="1" customWidth="1"/>
    <col min="7" max="7" width="14.42578125" style="1" bestFit="1" customWidth="1"/>
    <col min="8" max="8" width="8.42578125" style="1" customWidth="1"/>
    <col min="9" max="9" width="11.7109375" customWidth="1"/>
    <col min="10" max="10" width="13.42578125" style="1" hidden="1" customWidth="1"/>
    <col min="11" max="11" width="19.85546875" style="1" customWidth="1"/>
    <col min="12" max="12" width="6.7109375" style="1" bestFit="1" customWidth="1"/>
    <col min="13" max="13" width="6.7109375" style="1" customWidth="1"/>
    <col min="14" max="14" width="8.7109375" style="1" customWidth="1"/>
    <col min="15" max="18" width="6.7109375" style="1" customWidth="1"/>
    <col min="19" max="19" width="9" style="1" bestFit="1" customWidth="1"/>
    <col min="20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43" width="6.7109375" style="1" customWidth="1"/>
    <col min="44" max="44" width="7.85546875" style="1" bestFit="1" customWidth="1"/>
    <col min="45" max="49" width="6.7109375" style="1" customWidth="1"/>
    <col min="50" max="50" width="7.85546875" style="1" bestFit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IF(ISNA(VLOOKUP($B$2,Employees!$B:$H,2,FALSE)),"Input Employee Number",VLOOKUP($B$2,Employees!$B:$H,2,FALSE))</f>
        <v>Zeulner; Zachariah Robert</v>
      </c>
      <c r="B1" s="143"/>
      <c r="C1" s="143"/>
      <c r="D1" s="143"/>
      <c r="E1" s="143"/>
      <c r="F1" s="143"/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 t="s">
        <v>18</v>
      </c>
      <c r="AT1" s="147"/>
      <c r="AU1" s="147"/>
      <c r="AV1" s="147"/>
      <c r="AW1" s="147"/>
      <c r="AX1" s="147"/>
      <c r="AY1" s="147"/>
      <c r="AZ1" s="147"/>
      <c r="BA1" s="247"/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10923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IF(ISNA(VLOOKUP($B$2,Employees!$B:$H,4,FALSE)),"",VLOOKUP($B$2,Employees!$B:$H,4,FALSE))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IF(ISNA(VLOOKUP($B$2,Employees!$B:$H,5,FALSE)),"",VLOOKUP($B$2,Employees!$B:$H,5,FALSE))</f>
        <v>1245</v>
      </c>
      <c r="D4" s="67"/>
      <c r="E4" s="67"/>
      <c r="F4" s="67"/>
      <c r="G4" s="67"/>
      <c r="H4" s="67"/>
      <c r="I4" s="67"/>
      <c r="J4" s="67"/>
      <c r="K4" s="6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>
        <v>0.29166666666666669</v>
      </c>
      <c r="M5" s="416"/>
      <c r="N5" s="416"/>
      <c r="O5" s="416"/>
      <c r="P5" s="416"/>
      <c r="Q5" s="417"/>
      <c r="R5" s="415">
        <v>0.29166666666666669</v>
      </c>
      <c r="S5" s="416"/>
      <c r="T5" s="416"/>
      <c r="U5" s="416"/>
      <c r="V5" s="416"/>
      <c r="W5" s="417"/>
      <c r="X5" s="415">
        <v>0.29166666666666669</v>
      </c>
      <c r="Y5" s="416"/>
      <c r="Z5" s="416"/>
      <c r="AA5" s="416"/>
      <c r="AB5" s="416"/>
      <c r="AC5" s="417"/>
      <c r="AD5" s="415">
        <v>0.29166666666666669</v>
      </c>
      <c r="AE5" s="416"/>
      <c r="AF5" s="416"/>
      <c r="AG5" s="416"/>
      <c r="AH5" s="416"/>
      <c r="AI5" s="417"/>
      <c r="AJ5" s="415">
        <v>0.29166666666666669</v>
      </c>
      <c r="AK5" s="416"/>
      <c r="AL5" s="416"/>
      <c r="AM5" s="416"/>
      <c r="AN5" s="416"/>
      <c r="AO5" s="417"/>
      <c r="AP5" s="415">
        <v>0.29166666666666669</v>
      </c>
      <c r="AQ5" s="416"/>
      <c r="AR5" s="416"/>
      <c r="AS5" s="416"/>
      <c r="AT5" s="416"/>
      <c r="AU5" s="417"/>
      <c r="AV5" s="415">
        <v>0.29166666666666669</v>
      </c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80"/>
      <c r="B6" s="81"/>
      <c r="C6" s="81"/>
      <c r="D6" s="82"/>
      <c r="E6" s="83"/>
      <c r="F6" s="83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80"/>
      <c r="B7" s="81"/>
      <c r="C7" s="81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>
        <v>0.70833333333333337</v>
      </c>
      <c r="M8" s="416"/>
      <c r="N8" s="416"/>
      <c r="O8" s="416"/>
      <c r="P8" s="416"/>
      <c r="Q8" s="417"/>
      <c r="R8" s="415">
        <v>0.70833333333333337</v>
      </c>
      <c r="S8" s="416"/>
      <c r="T8" s="416"/>
      <c r="U8" s="416"/>
      <c r="V8" s="416"/>
      <c r="W8" s="417"/>
      <c r="X8" s="415">
        <v>0.70833333333333337</v>
      </c>
      <c r="Y8" s="416"/>
      <c r="Z8" s="416"/>
      <c r="AA8" s="416"/>
      <c r="AB8" s="416"/>
      <c r="AC8" s="417"/>
      <c r="AD8" s="415">
        <v>0.70833333333333337</v>
      </c>
      <c r="AE8" s="416"/>
      <c r="AF8" s="416"/>
      <c r="AG8" s="416"/>
      <c r="AH8" s="416"/>
      <c r="AI8" s="417"/>
      <c r="AJ8" s="415">
        <v>0.70833333333333337</v>
      </c>
      <c r="AK8" s="416"/>
      <c r="AL8" s="416"/>
      <c r="AM8" s="416"/>
      <c r="AN8" s="416"/>
      <c r="AO8" s="417"/>
      <c r="AP8" s="415">
        <v>0.70833333333333337</v>
      </c>
      <c r="AQ8" s="416"/>
      <c r="AR8" s="416"/>
      <c r="AS8" s="416"/>
      <c r="AT8" s="416"/>
      <c r="AU8" s="417"/>
      <c r="AV8" s="415">
        <v>0.70833333333333337</v>
      </c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10</v>
      </c>
      <c r="M9" s="401"/>
      <c r="N9" s="401"/>
      <c r="O9" s="401"/>
      <c r="P9" s="401"/>
      <c r="Q9" s="402"/>
      <c r="R9" s="400">
        <f>IF(AND(R5&gt;=0,R8&gt;=0),(R6-R5+R8-R7)*24,0)</f>
        <v>10</v>
      </c>
      <c r="S9" s="401"/>
      <c r="T9" s="401"/>
      <c r="U9" s="401"/>
      <c r="V9" s="401"/>
      <c r="W9" s="402"/>
      <c r="X9" s="400">
        <f>IF(AND(X5&gt;=0,X8&gt;=0),(X6-X5+X8-X7)*24,0)</f>
        <v>10</v>
      </c>
      <c r="Y9" s="401"/>
      <c r="Z9" s="401"/>
      <c r="AA9" s="401"/>
      <c r="AB9" s="401"/>
      <c r="AC9" s="402"/>
      <c r="AD9" s="400">
        <f>IF(AND(AD5&gt;=0,AD8&gt;=0),(AD6-AD5+AD8-AD7)*24,0)</f>
        <v>10</v>
      </c>
      <c r="AE9" s="401"/>
      <c r="AF9" s="401"/>
      <c r="AG9" s="401"/>
      <c r="AH9" s="401"/>
      <c r="AI9" s="402"/>
      <c r="AJ9" s="400">
        <f>IF(AND(AJ5&gt;=0,AJ8&gt;=0),(AJ6-AJ5+AJ8-AJ7)*24,0)</f>
        <v>10</v>
      </c>
      <c r="AK9" s="401"/>
      <c r="AL9" s="401"/>
      <c r="AM9" s="401"/>
      <c r="AN9" s="401"/>
      <c r="AO9" s="402"/>
      <c r="AP9" s="400">
        <f>IF(AND(AP5&gt;=0,AP8&gt;=0),(AP6-AP5+AP8-AP7)*24,0)</f>
        <v>10</v>
      </c>
      <c r="AQ9" s="401"/>
      <c r="AR9" s="401"/>
      <c r="AS9" s="401"/>
      <c r="AT9" s="401"/>
      <c r="AU9" s="402"/>
      <c r="AV9" s="400">
        <f>IF(AND(AV5&gt;=0,AV8&gt;=0),(AV6-AV5+AV8-AV7)*24,0)</f>
        <v>10</v>
      </c>
      <c r="AW9" s="401"/>
      <c r="AX9" s="401"/>
      <c r="AY9" s="401"/>
      <c r="AZ9" s="401"/>
      <c r="BA9" s="402"/>
      <c r="BB9" s="400">
        <f>SUM(L9:BA9)</f>
        <v>70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10</v>
      </c>
      <c r="M10" s="407"/>
      <c r="N10" s="407"/>
      <c r="O10" s="407"/>
      <c r="P10" s="407"/>
      <c r="Q10" s="408"/>
      <c r="R10" s="406">
        <f>R24+S24+T24</f>
        <v>10</v>
      </c>
      <c r="S10" s="407"/>
      <c r="T10" s="407"/>
      <c r="U10" s="407"/>
      <c r="V10" s="407"/>
      <c r="W10" s="408"/>
      <c r="X10" s="406">
        <f>X24+Y24+Z24</f>
        <v>10</v>
      </c>
      <c r="Y10" s="407"/>
      <c r="Z10" s="407"/>
      <c r="AA10" s="407"/>
      <c r="AB10" s="407"/>
      <c r="AC10" s="408"/>
      <c r="AD10" s="406">
        <f>AD24+AF24</f>
        <v>10</v>
      </c>
      <c r="AE10" s="407"/>
      <c r="AF10" s="407"/>
      <c r="AG10" s="407"/>
      <c r="AH10" s="407"/>
      <c r="AI10" s="408"/>
      <c r="AJ10" s="406">
        <f>AJ24+AL24</f>
        <v>10</v>
      </c>
      <c r="AK10" s="407"/>
      <c r="AL10" s="407"/>
      <c r="AM10" s="407"/>
      <c r="AN10" s="407"/>
      <c r="AO10" s="408"/>
      <c r="AP10" s="406">
        <f>AP24+AQ24+AR24</f>
        <v>10</v>
      </c>
      <c r="AQ10" s="407"/>
      <c r="AR10" s="407"/>
      <c r="AS10" s="407"/>
      <c r="AT10" s="407"/>
      <c r="AU10" s="408"/>
      <c r="AV10" s="409">
        <f>AV24+AW24+AX24</f>
        <v>10</v>
      </c>
      <c r="AW10" s="410"/>
      <c r="AX10" s="410"/>
      <c r="AY10" s="410"/>
      <c r="AZ10" s="410"/>
      <c r="BA10" s="411"/>
      <c r="BB10" s="412">
        <f>SUM(L10:BA10)</f>
        <v>70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>IF(ISBLANK(C13),"",IF(ISBLANK($D$3),"",$D$3))</f>
        <v>x</v>
      </c>
      <c r="B13" s="276" t="s">
        <v>101</v>
      </c>
      <c r="C13" s="353" t="s">
        <v>3846</v>
      </c>
      <c r="D13" s="277"/>
      <c r="E13" s="353" t="s">
        <v>3210</v>
      </c>
      <c r="F13" s="110" t="str">
        <f t="shared" ref="F13:F23" si="0">IF(ISBLANK($B$4),"",$B$4)</f>
        <v>1245</v>
      </c>
      <c r="G13" s="110" t="s">
        <v>102</v>
      </c>
      <c r="H13" s="110" t="s">
        <v>102</v>
      </c>
      <c r="I13" s="139">
        <v>1</v>
      </c>
      <c r="J13" s="153" t="str">
        <f t="shared" ref="J13:J23" si="1"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263"/>
      <c r="Y13" s="258"/>
      <c r="Z13" s="258"/>
      <c r="AA13" s="258"/>
      <c r="AB13" s="258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118"/>
      <c r="AW13" s="113"/>
      <c r="AX13" s="113"/>
      <c r="AY13" s="113"/>
      <c r="AZ13" s="113"/>
      <c r="BA13" s="114"/>
      <c r="BB13" s="119">
        <f>SUM(AV13,AP13,AJ13,AD13,X13,R13,L13)</f>
        <v>0</v>
      </c>
      <c r="BC13" s="120">
        <f>SUM(AW13,AQ13,AK13,AE13,Y13,S13,M13)</f>
        <v>0</v>
      </c>
      <c r="BD13" s="120">
        <f t="shared" ref="BB13:BG23" si="2">SUM(AX13,AR13,AL13,AF13,Z13,T13,N13)</f>
        <v>0</v>
      </c>
      <c r="BE13" s="120">
        <f t="shared" si="2"/>
        <v>0</v>
      </c>
      <c r="BF13" s="120">
        <f t="shared" si="2"/>
        <v>0</v>
      </c>
      <c r="BG13" s="154">
        <f t="shared" si="2"/>
        <v>0</v>
      </c>
      <c r="BH13" s="123">
        <f>SUM(TimeSheet3413[[#This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>IF(ISBLANK(C14),"",IF(ISBLANK($D$3),"",$D$3))</f>
        <v/>
      </c>
      <c r="B14" s="276"/>
      <c r="C14" s="276"/>
      <c r="D14" s="277"/>
      <c r="E14" s="276"/>
      <c r="F14" s="110" t="str">
        <f t="shared" si="0"/>
        <v>1245</v>
      </c>
      <c r="G14" s="110" t="s">
        <v>102</v>
      </c>
      <c r="H14" s="110" t="s">
        <v>102</v>
      </c>
      <c r="I14" s="139">
        <v>1</v>
      </c>
      <c r="J14" s="153" t="str">
        <f t="shared" si="1"/>
        <v>01</v>
      </c>
      <c r="K14" s="150">
        <v>1</v>
      </c>
      <c r="L14" s="118"/>
      <c r="M14" s="113"/>
      <c r="N14" s="113"/>
      <c r="O14" s="113"/>
      <c r="P14" s="113"/>
      <c r="Q14" s="114"/>
      <c r="R14" s="117"/>
      <c r="S14" s="115"/>
      <c r="T14" s="115"/>
      <c r="U14" s="115"/>
      <c r="V14" s="115"/>
      <c r="W14" s="116"/>
      <c r="X14" s="118"/>
      <c r="Y14" s="113"/>
      <c r="Z14" s="113"/>
      <c r="AA14" s="113"/>
      <c r="AB14" s="113"/>
      <c r="AC14" s="114"/>
      <c r="AD14" s="117"/>
      <c r="AE14" s="115"/>
      <c r="AF14" s="115"/>
      <c r="AG14" s="115"/>
      <c r="AH14" s="115"/>
      <c r="AI14" s="116"/>
      <c r="AJ14" s="118"/>
      <c r="AK14" s="113"/>
      <c r="AL14" s="113"/>
      <c r="AM14" s="113"/>
      <c r="AN14" s="113"/>
      <c r="AO14" s="114"/>
      <c r="AP14" s="117"/>
      <c r="AQ14" s="115"/>
      <c r="AR14" s="115"/>
      <c r="AS14" s="115"/>
      <c r="AT14" s="115"/>
      <c r="AU14" s="116"/>
      <c r="AV14" s="118"/>
      <c r="AW14" s="113"/>
      <c r="AX14" s="113"/>
      <c r="AY14" s="113"/>
      <c r="AZ14" s="113"/>
      <c r="BA14" s="114"/>
      <c r="BB14" s="119">
        <f t="shared" si="2"/>
        <v>0</v>
      </c>
      <c r="BC14" s="120">
        <f t="shared" si="2"/>
        <v>0</v>
      </c>
      <c r="BD14" s="120">
        <f t="shared" si="2"/>
        <v>0</v>
      </c>
      <c r="BE14" s="120">
        <f t="shared" si="2"/>
        <v>0</v>
      </c>
      <c r="BF14" s="120">
        <f t="shared" si="2"/>
        <v>0</v>
      </c>
      <c r="BG14" s="154">
        <f t="shared" si="2"/>
        <v>0</v>
      </c>
      <c r="BH14" s="123">
        <f>SUM(TimeSheet3413[[#This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>IF(ISBLANK(C15),"",IF(ISBLANK($D$3),"",$D$3))</f>
        <v>x</v>
      </c>
      <c r="B15" s="276" t="s">
        <v>101</v>
      </c>
      <c r="C15" s="372" t="s">
        <v>4081</v>
      </c>
      <c r="D15" s="241"/>
      <c r="E15" s="373" t="s">
        <v>3210</v>
      </c>
      <c r="F15" s="110" t="str">
        <f t="shared" si="0"/>
        <v>1245</v>
      </c>
      <c r="G15" s="110" t="s">
        <v>102</v>
      </c>
      <c r="H15" s="110" t="s">
        <v>102</v>
      </c>
      <c r="I15" s="139">
        <v>1</v>
      </c>
      <c r="J15" s="153" t="str">
        <f t="shared" si="1"/>
        <v>01</v>
      </c>
      <c r="K15" s="150">
        <v>1</v>
      </c>
      <c r="L15" s="263">
        <v>8</v>
      </c>
      <c r="M15" s="258"/>
      <c r="N15" s="258">
        <v>2</v>
      </c>
      <c r="O15" s="258">
        <v>3</v>
      </c>
      <c r="P15" s="258">
        <v>2</v>
      </c>
      <c r="Q15" s="259">
        <v>1</v>
      </c>
      <c r="R15" s="262">
        <v>8</v>
      </c>
      <c r="S15" s="260"/>
      <c r="T15" s="260">
        <v>2</v>
      </c>
      <c r="U15" s="260">
        <v>3</v>
      </c>
      <c r="V15" s="260">
        <v>2</v>
      </c>
      <c r="W15" s="261">
        <v>1</v>
      </c>
      <c r="X15" s="118">
        <v>8</v>
      </c>
      <c r="Y15" s="113"/>
      <c r="Z15" s="113">
        <v>2</v>
      </c>
      <c r="AA15" s="113">
        <v>3</v>
      </c>
      <c r="AB15" s="113">
        <v>2</v>
      </c>
      <c r="AC15" s="114">
        <v>1</v>
      </c>
      <c r="AD15" s="117">
        <v>8</v>
      </c>
      <c r="AE15" s="115"/>
      <c r="AF15" s="115">
        <v>2</v>
      </c>
      <c r="AG15" s="115">
        <v>3</v>
      </c>
      <c r="AH15" s="115">
        <v>2</v>
      </c>
      <c r="AI15" s="116">
        <v>1</v>
      </c>
      <c r="AJ15" s="118">
        <v>8</v>
      </c>
      <c r="AK15" s="113"/>
      <c r="AL15" s="113">
        <v>2</v>
      </c>
      <c r="AM15" s="113">
        <v>3</v>
      </c>
      <c r="AN15" s="113">
        <v>2</v>
      </c>
      <c r="AO15" s="114">
        <v>1</v>
      </c>
      <c r="AP15" s="117"/>
      <c r="AQ15" s="115"/>
      <c r="AR15" s="115">
        <v>10</v>
      </c>
      <c r="AS15" s="115">
        <v>3</v>
      </c>
      <c r="AT15" s="115">
        <v>2</v>
      </c>
      <c r="AU15" s="116">
        <v>1</v>
      </c>
      <c r="AV15" s="118"/>
      <c r="AW15" s="113"/>
      <c r="AX15" s="113">
        <v>10</v>
      </c>
      <c r="AY15" s="113">
        <v>3</v>
      </c>
      <c r="AZ15" s="113">
        <v>2</v>
      </c>
      <c r="BA15" s="114">
        <v>1</v>
      </c>
      <c r="BB15" s="119">
        <f t="shared" si="2"/>
        <v>40</v>
      </c>
      <c r="BC15" s="120">
        <f t="shared" si="2"/>
        <v>0</v>
      </c>
      <c r="BD15" s="120">
        <f t="shared" si="2"/>
        <v>30</v>
      </c>
      <c r="BE15" s="120">
        <f t="shared" si="2"/>
        <v>21</v>
      </c>
      <c r="BF15" s="120">
        <f t="shared" si="2"/>
        <v>14</v>
      </c>
      <c r="BG15" s="154">
        <f t="shared" si="2"/>
        <v>7</v>
      </c>
      <c r="BH15" s="123">
        <f>SUM(TimeSheet3413[[#This Row],[1]:[4A]])</f>
        <v>112</v>
      </c>
      <c r="BI15" s="126" t="e">
        <f ca="1"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#NAME?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 t="e">
        <f ca="1"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#NAME?</v>
      </c>
      <c r="BL15" s="127" t="e">
        <f ca="1"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#NAME?</v>
      </c>
      <c r="BM15" s="127" t="e">
        <f ca="1"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#NAME?</v>
      </c>
      <c r="BN15" s="128" t="e">
        <f ca="1"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#NAME?</v>
      </c>
      <c r="BO15" s="126" t="e">
        <f ca="1"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#NAME?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 t="e">
        <f ca="1"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#NAME?</v>
      </c>
      <c r="BR15" s="127" t="e">
        <f ca="1"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#NAME?</v>
      </c>
      <c r="BS15" s="127" t="e">
        <f ca="1"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#NAME?</v>
      </c>
      <c r="BT15" s="128" t="e">
        <f ca="1"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#NAME?</v>
      </c>
      <c r="BU15" s="126" t="e">
        <f ca="1"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#NAME?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 t="e">
        <f ca="1"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#NAME?</v>
      </c>
      <c r="BX15" s="127" t="e">
        <f ca="1"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#NAME?</v>
      </c>
      <c r="BY15" s="127" t="e">
        <f ca="1"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#NAME?</v>
      </c>
      <c r="BZ15" s="128" t="e">
        <f ca="1"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#NAME?</v>
      </c>
      <c r="CA15" s="126" t="e">
        <f ca="1"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#NAME?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 t="e">
        <f ca="1"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#NAME?</v>
      </c>
      <c r="CD15" s="127" t="e">
        <f ca="1"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#NAME?</v>
      </c>
      <c r="CE15" s="127" t="e">
        <f ca="1"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#NAME?</v>
      </c>
      <c r="CF15" s="128" t="e">
        <f ca="1"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#NAME?</v>
      </c>
      <c r="CG15" s="126" t="e">
        <f ca="1"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#NAME?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 t="e">
        <f ca="1"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#NAME?</v>
      </c>
      <c r="CJ15" s="127" t="e">
        <f ca="1"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#NAME?</v>
      </c>
      <c r="CK15" s="127" t="e">
        <f ca="1"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#NAME?</v>
      </c>
      <c r="CL15" s="128" t="e">
        <f ca="1"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#NAME?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 t="e">
        <f ca="1"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#NAME?</v>
      </c>
      <c r="CP15" s="127" t="e">
        <f ca="1"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#NAME?</v>
      </c>
      <c r="CQ15" s="127" t="e">
        <f ca="1"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#NAME?</v>
      </c>
      <c r="CR15" s="128" t="e">
        <f ca="1"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#NAME?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 t="e">
        <f ca="1"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#NAME?</v>
      </c>
      <c r="CV15" s="127" t="e">
        <f ca="1"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#NAME?</v>
      </c>
      <c r="CW15" s="127" t="e">
        <f ca="1"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#NAME?</v>
      </c>
      <c r="CX15" s="128" t="e">
        <f ca="1"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#NAME?</v>
      </c>
    </row>
    <row r="16" spans="1:102" ht="39" customHeight="1" x14ac:dyDescent="0.3">
      <c r="A16" s="109" t="str">
        <f>IF(ISBLANK(C16),"",IF(ISBLANK($D$3),"",$D$3))</f>
        <v/>
      </c>
      <c r="B16" s="264"/>
      <c r="C16" s="110"/>
      <c r="D16" s="112"/>
      <c r="E16" s="110"/>
      <c r="F16" s="110" t="str">
        <f t="shared" si="0"/>
        <v>1245</v>
      </c>
      <c r="G16" s="110" t="s">
        <v>102</v>
      </c>
      <c r="H16" s="110" t="s">
        <v>102</v>
      </c>
      <c r="I16" s="139">
        <v>1</v>
      </c>
      <c r="J16" s="153" t="str">
        <f t="shared" si="1"/>
        <v>01</v>
      </c>
      <c r="K16" s="150">
        <v>1</v>
      </c>
      <c r="L16" s="118"/>
      <c r="M16" s="113"/>
      <c r="N16" s="113"/>
      <c r="O16" s="113"/>
      <c r="P16" s="113"/>
      <c r="Q16" s="114"/>
      <c r="R16" s="117"/>
      <c r="S16" s="115"/>
      <c r="T16" s="115"/>
      <c r="U16" s="115"/>
      <c r="V16" s="115"/>
      <c r="W16" s="116"/>
      <c r="X16" s="118"/>
      <c r="Y16" s="113"/>
      <c r="Z16" s="113"/>
      <c r="AA16" s="113"/>
      <c r="AB16" s="113"/>
      <c r="AC16" s="114"/>
      <c r="AD16" s="117"/>
      <c r="AE16" s="115"/>
      <c r="AF16" s="115"/>
      <c r="AG16" s="115"/>
      <c r="AH16" s="115"/>
      <c r="AI16" s="116"/>
      <c r="AJ16" s="118"/>
      <c r="AK16" s="113"/>
      <c r="AL16" s="113"/>
      <c r="AM16" s="113"/>
      <c r="AN16" s="113"/>
      <c r="AO16" s="114"/>
      <c r="AP16" s="117"/>
      <c r="AQ16" s="115"/>
      <c r="AR16" s="115"/>
      <c r="AS16" s="115"/>
      <c r="AT16" s="115"/>
      <c r="AU16" s="116"/>
      <c r="AV16" s="118"/>
      <c r="AW16" s="113"/>
      <c r="AX16" s="113"/>
      <c r="AY16" s="113"/>
      <c r="AZ16" s="113"/>
      <c r="BA16" s="114"/>
      <c r="BB16" s="119">
        <f t="shared" si="2"/>
        <v>0</v>
      </c>
      <c r="BC16" s="120">
        <f t="shared" si="2"/>
        <v>0</v>
      </c>
      <c r="BD16" s="120">
        <f t="shared" si="2"/>
        <v>0</v>
      </c>
      <c r="BE16" s="120">
        <f t="shared" si="2"/>
        <v>0</v>
      </c>
      <c r="BF16" s="120">
        <f t="shared" si="2"/>
        <v>0</v>
      </c>
      <c r="BG16" s="154">
        <f t="shared" si="2"/>
        <v>0</v>
      </c>
      <c r="BH16" s="123">
        <f>SUM(TimeSheet3413[[#This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>IF(ISBLANK(C17),"",IF(ISBLANK($D$3),"",$D$3))</f>
        <v>x</v>
      </c>
      <c r="B17" s="276" t="s">
        <v>101</v>
      </c>
      <c r="C17" s="372" t="s">
        <v>3866</v>
      </c>
      <c r="D17" s="241"/>
      <c r="E17" s="276" t="s">
        <v>3210</v>
      </c>
      <c r="F17" s="110" t="str">
        <f t="shared" si="0"/>
        <v>1245</v>
      </c>
      <c r="G17" s="110" t="s">
        <v>102</v>
      </c>
      <c r="H17" s="110" t="s">
        <v>102</v>
      </c>
      <c r="I17" s="139">
        <v>1</v>
      </c>
      <c r="J17" s="153" t="str">
        <f t="shared" si="1"/>
        <v>01</v>
      </c>
      <c r="K17" s="150">
        <v>1</v>
      </c>
      <c r="L17" s="118"/>
      <c r="M17" s="113"/>
      <c r="N17" s="113"/>
      <c r="O17" s="113"/>
      <c r="P17" s="113"/>
      <c r="Q17" s="114"/>
      <c r="R17" s="117"/>
      <c r="S17" s="115"/>
      <c r="T17" s="115"/>
      <c r="U17" s="115"/>
      <c r="V17" s="115"/>
      <c r="W17" s="116"/>
      <c r="X17" s="118"/>
      <c r="Y17" s="113"/>
      <c r="Z17" s="113"/>
      <c r="AA17" s="113"/>
      <c r="AB17" s="113"/>
      <c r="AC17" s="114"/>
      <c r="AD17" s="117"/>
      <c r="AE17" s="115"/>
      <c r="AF17" s="115"/>
      <c r="AG17" s="115"/>
      <c r="AH17" s="115"/>
      <c r="AI17" s="116"/>
      <c r="AJ17" s="118"/>
      <c r="AK17" s="113"/>
      <c r="AL17" s="113"/>
      <c r="AM17" s="113"/>
      <c r="AN17" s="113"/>
      <c r="AO17" s="114"/>
      <c r="AP17" s="117"/>
      <c r="AQ17" s="115"/>
      <c r="AR17" s="115"/>
      <c r="AS17" s="115"/>
      <c r="AT17" s="115"/>
      <c r="AU17" s="116"/>
      <c r="AV17" s="118"/>
      <c r="AW17" s="113"/>
      <c r="AX17" s="113"/>
      <c r="AY17" s="113"/>
      <c r="AZ17" s="113"/>
      <c r="BA17" s="114"/>
      <c r="BB17" s="119">
        <f t="shared" si="2"/>
        <v>0</v>
      </c>
      <c r="BC17" s="120">
        <f t="shared" si="2"/>
        <v>0</v>
      </c>
      <c r="BD17" s="120">
        <f t="shared" si="2"/>
        <v>0</v>
      </c>
      <c r="BE17" s="120">
        <f t="shared" si="2"/>
        <v>0</v>
      </c>
      <c r="BF17" s="120">
        <f t="shared" si="2"/>
        <v>0</v>
      </c>
      <c r="BG17" s="154">
        <f t="shared" si="2"/>
        <v>0</v>
      </c>
      <c r="BH17" s="123">
        <f>SUM(TimeSheet3413[[#This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ref="A18:A21" si="3">IF(ISBLANK(C18),"",IF(ISBLANK($D$3),"",$D$3))</f>
        <v/>
      </c>
      <c r="B18" s="276"/>
      <c r="C18" s="316"/>
      <c r="D18" s="277"/>
      <c r="E18" s="110"/>
      <c r="F18" s="110" t="str">
        <f t="shared" si="0"/>
        <v>1245</v>
      </c>
      <c r="G18" s="110" t="s">
        <v>102</v>
      </c>
      <c r="H18" s="110" t="s">
        <v>102</v>
      </c>
      <c r="I18" s="139">
        <v>1</v>
      </c>
      <c r="J18" s="153" t="str">
        <f t="shared" si="1"/>
        <v>01</v>
      </c>
      <c r="K18" s="150">
        <v>1</v>
      </c>
      <c r="L18" s="118"/>
      <c r="M18" s="113"/>
      <c r="N18" s="113"/>
      <c r="O18" s="113"/>
      <c r="P18" s="113"/>
      <c r="Q18" s="114"/>
      <c r="R18" s="117"/>
      <c r="S18" s="115"/>
      <c r="T18" s="115"/>
      <c r="U18" s="115"/>
      <c r="V18" s="115"/>
      <c r="W18" s="116"/>
      <c r="X18" s="118"/>
      <c r="Y18" s="113"/>
      <c r="Z18" s="113"/>
      <c r="AA18" s="113"/>
      <c r="AB18" s="113"/>
      <c r="AC18" s="114"/>
      <c r="AD18" s="117"/>
      <c r="AE18" s="115"/>
      <c r="AF18" s="115"/>
      <c r="AG18" s="115"/>
      <c r="AH18" s="115"/>
      <c r="AI18" s="116"/>
      <c r="AJ18" s="118"/>
      <c r="AK18" s="113"/>
      <c r="AL18" s="113"/>
      <c r="AM18" s="113"/>
      <c r="AN18" s="113"/>
      <c r="AO18" s="114"/>
      <c r="AP18" s="117"/>
      <c r="AQ18" s="115"/>
      <c r="AR18" s="115"/>
      <c r="AS18" s="115"/>
      <c r="AT18" s="115"/>
      <c r="AU18" s="116"/>
      <c r="AV18" s="118"/>
      <c r="AW18" s="113"/>
      <c r="AX18" s="113"/>
      <c r="AY18" s="113"/>
      <c r="AZ18" s="113"/>
      <c r="BA18" s="114"/>
      <c r="BB18" s="119">
        <f t="shared" si="2"/>
        <v>0</v>
      </c>
      <c r="BC18" s="120">
        <f t="shared" si="2"/>
        <v>0</v>
      </c>
      <c r="BD18" s="120">
        <f t="shared" si="2"/>
        <v>0</v>
      </c>
      <c r="BE18" s="120">
        <f t="shared" si="2"/>
        <v>0</v>
      </c>
      <c r="BF18" s="120">
        <f t="shared" si="2"/>
        <v>0</v>
      </c>
      <c r="BG18" s="154">
        <f t="shared" si="2"/>
        <v>0</v>
      </c>
      <c r="BH18" s="123">
        <f>SUM(TimeSheet3413[[#This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 t="shared" si="3"/>
        <v>x</v>
      </c>
      <c r="B19" s="276" t="s">
        <v>101</v>
      </c>
      <c r="C19" s="316" t="s">
        <v>4320</v>
      </c>
      <c r="D19" s="241"/>
      <c r="E19" s="276" t="s">
        <v>3210</v>
      </c>
      <c r="F19" s="110" t="str">
        <f t="shared" si="0"/>
        <v>1245</v>
      </c>
      <c r="G19" s="110" t="s">
        <v>102</v>
      </c>
      <c r="H19" s="110" t="s">
        <v>102</v>
      </c>
      <c r="I19" s="139">
        <v>1</v>
      </c>
      <c r="J19" s="153" t="str">
        <f t="shared" si="1"/>
        <v>01</v>
      </c>
      <c r="K19" s="150">
        <v>1</v>
      </c>
      <c r="L19" s="118"/>
      <c r="M19" s="113"/>
      <c r="N19" s="113"/>
      <c r="O19" s="113"/>
      <c r="P19" s="113"/>
      <c r="Q19" s="114"/>
      <c r="R19" s="117"/>
      <c r="S19" s="280"/>
      <c r="T19" s="115"/>
      <c r="U19" s="115"/>
      <c r="V19" s="115"/>
      <c r="W19" s="116"/>
      <c r="X19" s="118"/>
      <c r="Y19" s="113"/>
      <c r="Z19" s="113"/>
      <c r="AA19" s="113"/>
      <c r="AB19" s="113"/>
      <c r="AC19" s="114"/>
      <c r="AD19" s="117"/>
      <c r="AE19" s="115"/>
      <c r="AF19" s="115"/>
      <c r="AG19" s="115"/>
      <c r="AH19" s="115"/>
      <c r="AI19" s="116"/>
      <c r="AJ19" s="263"/>
      <c r="AK19" s="258"/>
      <c r="AL19" s="258"/>
      <c r="AM19" s="258"/>
      <c r="AN19" s="113"/>
      <c r="AO19" s="114"/>
      <c r="AP19" s="117"/>
      <c r="AQ19" s="115"/>
      <c r="AR19" s="115"/>
      <c r="AS19" s="115"/>
      <c r="AT19" s="115"/>
      <c r="AU19" s="116"/>
      <c r="AV19" s="118"/>
      <c r="AW19" s="113"/>
      <c r="AX19" s="113"/>
      <c r="AY19" s="113"/>
      <c r="AZ19" s="113"/>
      <c r="BA19" s="114"/>
      <c r="BB19" s="119">
        <f t="shared" si="2"/>
        <v>0</v>
      </c>
      <c r="BC19" s="281">
        <f t="shared" si="2"/>
        <v>0</v>
      </c>
      <c r="BD19" s="120">
        <f t="shared" si="2"/>
        <v>0</v>
      </c>
      <c r="BE19" s="120">
        <f t="shared" si="2"/>
        <v>0</v>
      </c>
      <c r="BF19" s="120">
        <f t="shared" si="2"/>
        <v>0</v>
      </c>
      <c r="BG19" s="154">
        <f t="shared" si="2"/>
        <v>0</v>
      </c>
      <c r="BH19" s="123">
        <f>SUM(TimeSheet3413[[#This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3"/>
        <v/>
      </c>
      <c r="B20" s="276"/>
      <c r="C20" s="316"/>
      <c r="D20" s="277"/>
      <c r="E20" s="264"/>
      <c r="F20" s="110" t="str">
        <f t="shared" si="0"/>
        <v>1245</v>
      </c>
      <c r="G20" s="110" t="s">
        <v>102</v>
      </c>
      <c r="H20" s="110" t="s">
        <v>102</v>
      </c>
      <c r="I20" s="139">
        <v>1</v>
      </c>
      <c r="J20" s="153" t="str">
        <f t="shared" si="1"/>
        <v>01</v>
      </c>
      <c r="K20" s="150">
        <v>1</v>
      </c>
      <c r="L20" s="118"/>
      <c r="M20" s="113"/>
      <c r="N20" s="113"/>
      <c r="O20" s="113"/>
      <c r="P20" s="113"/>
      <c r="Q20" s="114"/>
      <c r="R20" s="117"/>
      <c r="S20" s="115"/>
      <c r="T20" s="115"/>
      <c r="U20" s="115"/>
      <c r="V20" s="115"/>
      <c r="W20" s="116"/>
      <c r="X20" s="118"/>
      <c r="Y20" s="113"/>
      <c r="Z20" s="113"/>
      <c r="AA20" s="113"/>
      <c r="AB20" s="113"/>
      <c r="AC20" s="114"/>
      <c r="AD20" s="117"/>
      <c r="AE20" s="115"/>
      <c r="AF20" s="115"/>
      <c r="AG20" s="115"/>
      <c r="AH20" s="115"/>
      <c r="AI20" s="116"/>
      <c r="AJ20" s="118"/>
      <c r="AK20" s="113"/>
      <c r="AL20" s="113"/>
      <c r="AM20" s="113"/>
      <c r="AN20" s="113"/>
      <c r="AO20" s="114"/>
      <c r="AP20" s="117"/>
      <c r="AQ20" s="115"/>
      <c r="AR20" s="115"/>
      <c r="AS20" s="115"/>
      <c r="AT20" s="115"/>
      <c r="AU20" s="116"/>
      <c r="AV20" s="118"/>
      <c r="AW20" s="113"/>
      <c r="AX20" s="113"/>
      <c r="AY20" s="113"/>
      <c r="AZ20" s="113"/>
      <c r="BA20" s="114"/>
      <c r="BB20" s="119">
        <f t="shared" si="2"/>
        <v>0</v>
      </c>
      <c r="BC20" s="120">
        <f t="shared" si="2"/>
        <v>0</v>
      </c>
      <c r="BD20" s="120">
        <f t="shared" si="2"/>
        <v>0</v>
      </c>
      <c r="BE20" s="120">
        <f t="shared" si="2"/>
        <v>0</v>
      </c>
      <c r="BF20" s="120">
        <f t="shared" si="2"/>
        <v>0</v>
      </c>
      <c r="BG20" s="154">
        <f t="shared" si="2"/>
        <v>0</v>
      </c>
      <c r="BH20" s="123">
        <f>SUM(TimeSheet3413[[#This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3"/>
        <v>x</v>
      </c>
      <c r="B21" s="276" t="s">
        <v>101</v>
      </c>
      <c r="C21" s="316" t="s">
        <v>3977</v>
      </c>
      <c r="D21" s="277"/>
      <c r="E21" s="276" t="s">
        <v>3210</v>
      </c>
      <c r="F21" s="110" t="str">
        <f t="shared" si="0"/>
        <v>1245</v>
      </c>
      <c r="G21" s="110" t="s">
        <v>102</v>
      </c>
      <c r="H21" s="110" t="s">
        <v>102</v>
      </c>
      <c r="I21" s="139">
        <v>1</v>
      </c>
      <c r="J21" s="153" t="str">
        <f t="shared" si="1"/>
        <v>01</v>
      </c>
      <c r="K21" s="150">
        <v>1</v>
      </c>
      <c r="L21" s="118"/>
      <c r="M21" s="113"/>
      <c r="N21" s="113"/>
      <c r="O21" s="113"/>
      <c r="P21" s="113"/>
      <c r="Q21" s="114"/>
      <c r="R21" s="117"/>
      <c r="S21" s="115"/>
      <c r="T21" s="115"/>
      <c r="U21" s="115"/>
      <c r="V21" s="115"/>
      <c r="W21" s="116"/>
      <c r="X21" s="118"/>
      <c r="Y21" s="113"/>
      <c r="Z21" s="113"/>
      <c r="AA21" s="113"/>
      <c r="AB21" s="113"/>
      <c r="AC21" s="114"/>
      <c r="AD21" s="117"/>
      <c r="AE21" s="115"/>
      <c r="AF21" s="115"/>
      <c r="AG21" s="115"/>
      <c r="AH21" s="115"/>
      <c r="AI21" s="116"/>
      <c r="AJ21" s="118"/>
      <c r="AK21" s="113"/>
      <c r="AL21" s="113"/>
      <c r="AM21" s="113"/>
      <c r="AN21" s="113"/>
      <c r="AO21" s="114"/>
      <c r="AP21" s="117"/>
      <c r="AQ21" s="115"/>
      <c r="AR21" s="115"/>
      <c r="AS21" s="115"/>
      <c r="AT21" s="115"/>
      <c r="AU21" s="116"/>
      <c r="AV21" s="118"/>
      <c r="AW21" s="113"/>
      <c r="AX21" s="113"/>
      <c r="AY21" s="113"/>
      <c r="AZ21" s="113"/>
      <c r="BA21" s="114"/>
      <c r="BB21" s="119">
        <f t="shared" si="2"/>
        <v>0</v>
      </c>
      <c r="BC21" s="120">
        <f t="shared" si="2"/>
        <v>0</v>
      </c>
      <c r="BD21" s="120">
        <f t="shared" si="2"/>
        <v>0</v>
      </c>
      <c r="BE21" s="120">
        <f t="shared" si="2"/>
        <v>0</v>
      </c>
      <c r="BF21" s="120">
        <f t="shared" si="2"/>
        <v>0</v>
      </c>
      <c r="BG21" s="154">
        <f t="shared" si="2"/>
        <v>0</v>
      </c>
      <c r="BH21" s="123">
        <f>SUM(TimeSheet3413[[#This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ref="A22:A23" si="4">IF(ISBLANK(C22),"",IF(ISBLANK($D$3),"",$D$3))</f>
        <v/>
      </c>
      <c r="B22" s="264"/>
      <c r="C22" s="264"/>
      <c r="D22" s="265"/>
      <c r="E22" s="264"/>
      <c r="F22" s="110" t="str">
        <f t="shared" si="0"/>
        <v>1245</v>
      </c>
      <c r="G22" s="110" t="s">
        <v>102</v>
      </c>
      <c r="H22" s="110" t="s">
        <v>102</v>
      </c>
      <c r="I22" s="139">
        <v>1</v>
      </c>
      <c r="J22" s="153" t="str">
        <f t="shared" si="1"/>
        <v>01</v>
      </c>
      <c r="K22" s="150">
        <v>1</v>
      </c>
      <c r="L22" s="118"/>
      <c r="M22" s="113"/>
      <c r="N22" s="113"/>
      <c r="O22" s="113"/>
      <c r="P22" s="113"/>
      <c r="Q22" s="114"/>
      <c r="R22" s="117"/>
      <c r="S22" s="115"/>
      <c r="T22" s="115"/>
      <c r="U22" s="115"/>
      <c r="V22" s="115"/>
      <c r="W22" s="116"/>
      <c r="X22" s="118"/>
      <c r="Y22" s="113"/>
      <c r="Z22" s="113"/>
      <c r="AA22" s="113"/>
      <c r="AB22" s="113"/>
      <c r="AC22" s="114"/>
      <c r="AD22" s="117"/>
      <c r="AE22" s="115"/>
      <c r="AF22" s="115"/>
      <c r="AG22" s="115"/>
      <c r="AH22" s="115"/>
      <c r="AI22" s="116"/>
      <c r="AJ22" s="118"/>
      <c r="AK22" s="113"/>
      <c r="AL22" s="113"/>
      <c r="AM22" s="113"/>
      <c r="AN22" s="113"/>
      <c r="AO22" s="114"/>
      <c r="AP22" s="117"/>
      <c r="AQ22" s="115"/>
      <c r="AR22" s="115"/>
      <c r="AS22" s="115"/>
      <c r="AT22" s="115"/>
      <c r="AU22" s="116"/>
      <c r="AV22" s="118"/>
      <c r="AW22" s="113"/>
      <c r="AX22" s="113"/>
      <c r="AY22" s="113"/>
      <c r="AZ22" s="113"/>
      <c r="BA22" s="114"/>
      <c r="BB22" s="119">
        <f t="shared" si="2"/>
        <v>0</v>
      </c>
      <c r="BC22" s="120">
        <f t="shared" si="2"/>
        <v>0</v>
      </c>
      <c r="BD22" s="120">
        <f t="shared" si="2"/>
        <v>0</v>
      </c>
      <c r="BE22" s="120">
        <f t="shared" si="2"/>
        <v>0</v>
      </c>
      <c r="BF22" s="120">
        <f t="shared" si="2"/>
        <v>0</v>
      </c>
      <c r="BG22" s="154">
        <f t="shared" si="2"/>
        <v>0</v>
      </c>
      <c r="BH22" s="123">
        <f>SUM(TimeSheet3413[[#This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4"/>
        <v>x</v>
      </c>
      <c r="B23" s="316" t="s">
        <v>101</v>
      </c>
      <c r="C23" s="316" t="s">
        <v>4123</v>
      </c>
      <c r="D23" s="265"/>
      <c r="E23" s="316" t="s">
        <v>3210</v>
      </c>
      <c r="F23" s="110" t="str">
        <f t="shared" si="0"/>
        <v>1245</v>
      </c>
      <c r="G23" s="110" t="s">
        <v>102</v>
      </c>
      <c r="H23" s="110" t="s">
        <v>102</v>
      </c>
      <c r="I23" s="139">
        <v>1</v>
      </c>
      <c r="J23" s="153" t="str">
        <f t="shared" si="1"/>
        <v>01</v>
      </c>
      <c r="K23" s="150">
        <v>1</v>
      </c>
      <c r="L23" s="118"/>
      <c r="M23" s="113"/>
      <c r="N23" s="113"/>
      <c r="O23" s="113"/>
      <c r="P23" s="113"/>
      <c r="Q23" s="114"/>
      <c r="R23" s="117"/>
      <c r="S23" s="115"/>
      <c r="T23" s="115"/>
      <c r="U23" s="115"/>
      <c r="V23" s="115"/>
      <c r="W23" s="116"/>
      <c r="X23" s="118"/>
      <c r="Y23" s="113"/>
      <c r="Z23" s="113"/>
      <c r="AA23" s="113"/>
      <c r="AB23" s="113"/>
      <c r="AC23" s="114"/>
      <c r="AD23" s="117"/>
      <c r="AE23" s="115"/>
      <c r="AF23" s="115"/>
      <c r="AG23" s="115"/>
      <c r="AH23" s="115"/>
      <c r="AI23" s="116"/>
      <c r="AJ23" s="118"/>
      <c r="AK23" s="113"/>
      <c r="AL23" s="113"/>
      <c r="AM23" s="113"/>
      <c r="AN23" s="113"/>
      <c r="AO23" s="114"/>
      <c r="AP23" s="117"/>
      <c r="AQ23" s="115"/>
      <c r="AR23" s="115"/>
      <c r="AS23" s="115"/>
      <c r="AT23" s="115"/>
      <c r="AU23" s="116"/>
      <c r="AV23" s="118"/>
      <c r="AW23" s="113"/>
      <c r="AX23" s="113"/>
      <c r="AY23" s="113"/>
      <c r="AZ23" s="113"/>
      <c r="BA23" s="114"/>
      <c r="BB23" s="119">
        <f t="shared" si="2"/>
        <v>0</v>
      </c>
      <c r="BC23" s="120">
        <f t="shared" si="2"/>
        <v>0</v>
      </c>
      <c r="BD23" s="120">
        <f t="shared" si="2"/>
        <v>0</v>
      </c>
      <c r="BE23" s="120">
        <f t="shared" si="2"/>
        <v>0</v>
      </c>
      <c r="BF23" s="120">
        <f t="shared" si="2"/>
        <v>0</v>
      </c>
      <c r="BG23" s="154">
        <f t="shared" si="2"/>
        <v>0</v>
      </c>
      <c r="BH23" s="123">
        <f>SUM(TimeSheet3413[[#This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54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8">
        <f>SUBTOTAL(109,TimeSheet3413[RT1])</f>
        <v>8</v>
      </c>
      <c r="M24" s="359">
        <f>SUBTOTAL(109,TimeSheet3413[OT1])</f>
        <v>0</v>
      </c>
      <c r="N24" s="359">
        <f>SUBTOTAL(109,TimeSheet3413[DT1])</f>
        <v>2</v>
      </c>
      <c r="O24" s="359">
        <f>SUBTOTAL(109,TimeSheet3413[PD1])</f>
        <v>3</v>
      </c>
      <c r="P24" s="359">
        <f>SUBTOTAL(109,TimeSheet3413[4D1])</f>
        <v>2</v>
      </c>
      <c r="Q24" s="360">
        <f>SUBTOTAL(109,TimeSheet3413[4A1])</f>
        <v>1</v>
      </c>
      <c r="R24" s="361">
        <f>SUBTOTAL(109,TimeSheet3413[RT2])</f>
        <v>8</v>
      </c>
      <c r="S24" s="362">
        <f>SUBTOTAL(109,TimeSheet3413[OT2])</f>
        <v>0</v>
      </c>
      <c r="T24" s="362">
        <f>SUBTOTAL(109,TimeSheet3413[DT2])</f>
        <v>2</v>
      </c>
      <c r="U24" s="362">
        <f>SUBTOTAL(109,TimeSheet3413[PD2])</f>
        <v>3</v>
      </c>
      <c r="V24" s="362">
        <f>SUBTOTAL(109,TimeSheet3413[4D2])</f>
        <v>2</v>
      </c>
      <c r="W24" s="363">
        <f>SUBTOTAL(109,TimeSheet3413[4A2])</f>
        <v>1</v>
      </c>
      <c r="X24" s="358">
        <f>SUBTOTAL(109,TimeSheet3413[RT3])</f>
        <v>8</v>
      </c>
      <c r="Y24" s="359">
        <f>SUBTOTAL(109,TimeSheet3413[OT3])</f>
        <v>0</v>
      </c>
      <c r="Z24" s="359">
        <f>SUBTOTAL(109,TimeSheet3413[DT3])</f>
        <v>2</v>
      </c>
      <c r="AA24" s="359">
        <f>SUBTOTAL(109,TimeSheet3413[PD3])</f>
        <v>3</v>
      </c>
      <c r="AB24" s="359">
        <f>SUBTOTAL(109,TimeSheet3413[4D3])</f>
        <v>2</v>
      </c>
      <c r="AC24" s="360">
        <f>SUBTOTAL(109,TimeSheet3413[4A3])</f>
        <v>1</v>
      </c>
      <c r="AD24" s="361">
        <f>SUBTOTAL(109,TimeSheet3413[RT4])</f>
        <v>8</v>
      </c>
      <c r="AE24" s="362">
        <f>SUBTOTAL(109,TimeSheet3413[OT4])</f>
        <v>0</v>
      </c>
      <c r="AF24" s="362">
        <f>SUBTOTAL(109,TimeSheet3413[DT4])</f>
        <v>2</v>
      </c>
      <c r="AG24" s="362">
        <f>SUBTOTAL(109,TimeSheet3413[PD4])</f>
        <v>3</v>
      </c>
      <c r="AH24" s="362">
        <f>SUBTOTAL(109,TimeSheet3413[4D4])</f>
        <v>2</v>
      </c>
      <c r="AI24" s="363">
        <f>SUBTOTAL(109,TimeSheet3413[4A4])</f>
        <v>1</v>
      </c>
      <c r="AJ24" s="358">
        <f>SUBTOTAL(109,TimeSheet3413[RT5])</f>
        <v>8</v>
      </c>
      <c r="AK24" s="359">
        <f>SUBTOTAL(109,TimeSheet3413[OT5])</f>
        <v>0</v>
      </c>
      <c r="AL24" s="359">
        <f>SUBTOTAL(109,TimeSheet3413[DT5])</f>
        <v>2</v>
      </c>
      <c r="AM24" s="359">
        <f>SUBTOTAL(109,TimeSheet3413[PD5])</f>
        <v>3</v>
      </c>
      <c r="AN24" s="359">
        <f>SUBTOTAL(109,TimeSheet3413[4D5])</f>
        <v>2</v>
      </c>
      <c r="AO24" s="360">
        <f>SUBTOTAL(109,TimeSheet3413[4A5])</f>
        <v>1</v>
      </c>
      <c r="AP24" s="361">
        <f>SUBTOTAL(109,TimeSheet3413[RT6])</f>
        <v>0</v>
      </c>
      <c r="AQ24" s="362">
        <f>SUBTOTAL(109,TimeSheet3413[OT6])</f>
        <v>0</v>
      </c>
      <c r="AR24" s="362">
        <f>SUBTOTAL(109,TimeSheet3413[DT6])</f>
        <v>10</v>
      </c>
      <c r="AS24" s="362">
        <f>SUBTOTAL(109,TimeSheet3413[PD6])</f>
        <v>3</v>
      </c>
      <c r="AT24" s="362">
        <f>SUBTOTAL(109,TimeSheet3413[4D6])</f>
        <v>2</v>
      </c>
      <c r="AU24" s="363">
        <f>SUBTOTAL(109,TimeSheet3413[4A6])</f>
        <v>1</v>
      </c>
      <c r="AV24" s="358">
        <f>SUBTOTAL(109,TimeSheet3413[RT7])</f>
        <v>0</v>
      </c>
      <c r="AW24" s="359">
        <f>SUBTOTAL(109,TimeSheet3413[OT7])</f>
        <v>0</v>
      </c>
      <c r="AX24" s="359">
        <f>SUBTOTAL(109,TimeSheet3413[DT7])</f>
        <v>10</v>
      </c>
      <c r="AY24" s="359">
        <f>SUBTOTAL(109,TimeSheet3413[PD7])</f>
        <v>3</v>
      </c>
      <c r="AZ24" s="359">
        <f>SUBTOTAL(109,TimeSheet3413[4D7])</f>
        <v>2</v>
      </c>
      <c r="BA24" s="360">
        <f>SUBTOTAL(109,TimeSheet3413[4A7])</f>
        <v>1</v>
      </c>
      <c r="BB24" s="364">
        <f>SUBTOTAL(109,TimeSheet3413[1])</f>
        <v>40</v>
      </c>
      <c r="BC24" s="315">
        <f>SUBTOTAL(109,TimeSheet3413[3])</f>
        <v>0</v>
      </c>
      <c r="BD24" s="365">
        <f>SUBTOTAL(109,TimeSheet3413[2])</f>
        <v>30</v>
      </c>
      <c r="BE24" s="365">
        <f>SUBTOTAL(109,TimeSheet3413[4])</f>
        <v>21</v>
      </c>
      <c r="BF24" s="365">
        <f>SUBTOTAL(109,TimeSheet3413[4D])</f>
        <v>14</v>
      </c>
      <c r="BG24" s="366">
        <f>SUBTOTAL(109,TimeSheet3413[4A])</f>
        <v>7</v>
      </c>
      <c r="BH24" s="367">
        <f>SUBTOTAL(109,TimeSheet3413[Total])-SUM(TimeSheet3413[[#Totals],[RT1]:[4A7]])</f>
        <v>0</v>
      </c>
      <c r="BI24" s="368"/>
      <c r="BJ24" s="369"/>
      <c r="BK24" s="369"/>
      <c r="BL24" s="369"/>
      <c r="BM24" s="369"/>
      <c r="BN24" s="370"/>
      <c r="BO24" s="368"/>
      <c r="BP24" s="369"/>
      <c r="BQ24" s="369"/>
      <c r="BR24" s="369"/>
      <c r="BS24" s="369"/>
      <c r="BT24" s="370"/>
      <c r="BU24" s="368"/>
      <c r="BV24" s="369"/>
      <c r="BW24" s="369"/>
      <c r="BX24" s="369"/>
      <c r="BY24" s="369"/>
      <c r="BZ24" s="370"/>
      <c r="CA24" s="368"/>
      <c r="CB24" s="369"/>
      <c r="CC24" s="369"/>
      <c r="CD24" s="369"/>
      <c r="CE24" s="369"/>
      <c r="CF24" s="370"/>
      <c r="CG24" s="368"/>
      <c r="CH24" s="369"/>
      <c r="CI24" s="369"/>
      <c r="CJ24" s="369"/>
      <c r="CK24" s="369"/>
      <c r="CL24" s="370"/>
      <c r="CM24" s="368"/>
      <c r="CN24" s="369"/>
      <c r="CO24" s="369"/>
      <c r="CP24" s="369"/>
      <c r="CQ24" s="369"/>
      <c r="CR24" s="370"/>
      <c r="CS24" s="368"/>
      <c r="CT24" s="369"/>
      <c r="CU24" s="369"/>
      <c r="CV24" s="369"/>
      <c r="CW24" s="369"/>
      <c r="CX24" s="370"/>
    </row>
    <row r="25" spans="1:102" ht="39" customHeight="1" x14ac:dyDescent="0.4">
      <c r="A25" s="173"/>
      <c r="B25" s="28" t="s">
        <v>356</v>
      </c>
      <c r="C25" s="28"/>
      <c r="D25" s="28"/>
      <c r="E25" s="28"/>
      <c r="L25" s="229"/>
      <c r="M25" s="228"/>
      <c r="N25" s="228"/>
      <c r="O25" s="228"/>
      <c r="P25" s="228"/>
      <c r="Q25" s="228"/>
      <c r="R25" s="229"/>
      <c r="S25" s="228"/>
      <c r="T25" s="228"/>
      <c r="U25" s="228"/>
      <c r="V25" s="228"/>
      <c r="W25" s="228"/>
      <c r="X25" s="230"/>
      <c r="AL25" s="204"/>
      <c r="AM25" s="204"/>
      <c r="AN25" s="204"/>
      <c r="AO25" s="204"/>
      <c r="AP25" s="204"/>
      <c r="AQ25" s="204"/>
      <c r="AR25" s="204"/>
      <c r="AS25" s="204"/>
      <c r="BB25" s="256"/>
      <c r="BC25" s="236"/>
      <c r="BD25" s="256"/>
      <c r="BE25" s="256"/>
      <c r="BF25" s="236"/>
    </row>
    <row r="26" spans="1:102" ht="39" customHeight="1" x14ac:dyDescent="0.4">
      <c r="A26" s="174" t="str">
        <f>IF(ISBLANK('Job Details'!A5),"",'Job Details'!A5)</f>
        <v xml:space="preserve">Hours </v>
      </c>
      <c r="B26" s="175"/>
      <c r="C26" s="176" t="str">
        <f>IF(ISBLANK('Job Details'!B5),"",'Job Details'!B5)</f>
        <v>8ST, then everything else DT</v>
      </c>
      <c r="D26" s="174" t="str">
        <f>IF(ISBLANK('Job Details'!C5),"",'Job Details'!C5)</f>
        <v/>
      </c>
      <c r="E26" s="177" t="str">
        <f>IF(ISBLANK('Job Details'!D5),"",'Job Details'!D5)</f>
        <v/>
      </c>
      <c r="F26" s="178" t="str">
        <f>IF(ISBLANK('Job Details'!E5),"",'Job Details'!E5)</f>
        <v/>
      </c>
      <c r="G26"/>
      <c r="H26"/>
      <c r="BB26" s="256"/>
      <c r="BC26" s="256"/>
      <c r="BD26" s="256"/>
      <c r="BE26" s="256"/>
      <c r="BF26" s="256"/>
      <c r="BG26" s="252"/>
      <c r="BH26" s="252"/>
    </row>
    <row r="27" spans="1:102" ht="39" customHeight="1" x14ac:dyDescent="0.5">
      <c r="A27" s="179" t="str">
        <f>IF(ISBLANK('Job Details'!A6),"",'Job Details'!A6)</f>
        <v>PD</v>
      </c>
      <c r="B27" s="180"/>
      <c r="C27" s="181" t="str">
        <f>IF(ISBLANK('Job Details'!B6),"",'Job Details'!B6)</f>
        <v>$50/day (must work 4 hours or until noon, whichever is later)</v>
      </c>
      <c r="D27" s="182" t="str">
        <f>IF(ISBLANK('Job Details'!C6),"",'Job Details'!C6)</f>
        <v/>
      </c>
      <c r="E27" s="181" t="str">
        <f>IF(ISBLANK('Job Details'!D6),"",'Job Details'!D6)</f>
        <v/>
      </c>
      <c r="F27" s="183" t="str">
        <f>IF(ISBLANK('Job Details'!E6),"",'Job Details'!E6)</f>
        <v/>
      </c>
      <c r="G27"/>
      <c r="H27"/>
      <c r="W27" s="254"/>
      <c r="X27" s="254"/>
      <c r="Y27" s="254"/>
      <c r="Z27" s="254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  <c r="BE27" s="252"/>
      <c r="BF27" s="252"/>
      <c r="BG27" s="252"/>
      <c r="BH27" s="252"/>
    </row>
    <row r="28" spans="1:102" ht="39" customHeight="1" x14ac:dyDescent="0.5">
      <c r="A28" s="179" t="str">
        <f>IF(ISBLANK('Job Details'!A7),"",'Job Details'!A7)</f>
        <v>Meal</v>
      </c>
      <c r="B28" s="180"/>
      <c r="C28" s="181" t="str">
        <f>IF(ISBLANK('Job Details'!B7),"",'Job Details'!B7)</f>
        <v>$15 after 10.5 hours (then after every 4.5 hours)</v>
      </c>
      <c r="D28" s="179" t="str">
        <f>IF(ISBLANK('Job Details'!C7),"",'Job Details'!C7)</f>
        <v/>
      </c>
      <c r="E28" s="181" t="str">
        <f>IF(ISBLANK('Job Details'!D7),"",'Job Details'!D7)</f>
        <v/>
      </c>
      <c r="F28" s="183" t="str">
        <f>IF(ISBLANK('Job Details'!E7),"",'Job Details'!E7)</f>
        <v/>
      </c>
      <c r="G28"/>
      <c r="H28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4">
      <c r="A29" s="184" t="str">
        <f>IF(ISBLANK('Job Details'!A8),"",'Job Details'!A8)</f>
        <v>In Lieu</v>
      </c>
      <c r="B29" s="185"/>
      <c r="C29" s="186" t="str">
        <f>IF(ISBLANK('Job Details'!B8),"",'Job Details'!B8)</f>
        <v>0.5DT after 10.5 hours (then after every 4.5 hours)</v>
      </c>
      <c r="D29" s="179" t="str">
        <f>IF(ISBLANK('Job Details'!C8),"",'Job Details'!C8)</f>
        <v/>
      </c>
      <c r="E29" s="181" t="str">
        <f>IF(ISBLANK('Job Details'!D8),"",'Job Details'!D8)</f>
        <v/>
      </c>
      <c r="F29" s="187" t="str">
        <f>IF(ISBLANK('Job Details'!E8),"",'Job Details'!E8)</f>
        <v/>
      </c>
      <c r="G29"/>
      <c r="H29"/>
    </row>
    <row r="30" spans="1:102" ht="39" customHeight="1" x14ac:dyDescent="0.4">
      <c r="A30" s="188" t="str">
        <f>IF(ISBLANK('Job Details'!A9),"",'Job Details'!A9)</f>
        <v>Job Details</v>
      </c>
      <c r="B30" s="175"/>
      <c r="C30" s="189" t="str">
        <f>IF(ISBLANK('Job Details'!B9),"",'Job Details'!B9)</f>
        <v/>
      </c>
      <c r="D30" s="190" t="str">
        <f>IF(ISBLANK('Job Details'!C9),"",'Job Details'!C9)</f>
        <v/>
      </c>
      <c r="E30" s="176" t="str">
        <f>IF(ISBLANK('Job Details'!D9),"",'Job Details'!D9)</f>
        <v/>
      </c>
      <c r="F30" s="183" t="str">
        <f>IF(ISBLANK('Job Details'!E9),"",'Job Details'!E9)</f>
        <v/>
      </c>
      <c r="G30"/>
      <c r="H30"/>
    </row>
    <row r="31" spans="1:102" ht="39" customHeight="1" x14ac:dyDescent="0.4">
      <c r="A31" s="179" t="str">
        <f>IF(ISBLANK('Job Details'!A10),"",'Job Details'!A10)</f>
        <v>Extra</v>
      </c>
      <c r="B31" s="180"/>
      <c r="C31" s="181" t="str">
        <f>IF(ISBLANK('Job Details'!B10),"",'Job Details'!B10)</f>
        <v>Phase</v>
      </c>
      <c r="D31" s="191" t="str">
        <f>IF(ISBLANK('Job Details'!C10),"",'Job Details'!C10)</f>
        <v>Phase Description</v>
      </c>
      <c r="E31" s="181" t="str">
        <f>IF(ISBLANK('Job Details'!D10),"",'Job Details'!D10)</f>
        <v>Category</v>
      </c>
      <c r="F31" s="187" t="str">
        <f>IF(ISBLANK('Job Details'!E10),"",'Job Details'!E10)</f>
        <v>Description</v>
      </c>
      <c r="G31"/>
      <c r="H31"/>
    </row>
    <row r="32" spans="1:102" ht="39" customHeight="1" x14ac:dyDescent="0.4">
      <c r="A32" s="184" t="str">
        <f>IF(ISBLANK('Job Details'!A11),"",'Job Details'!A11)</f>
        <v/>
      </c>
      <c r="B32" s="185"/>
      <c r="C32" s="186" t="str">
        <f>IF(ISBLANK('Job Details'!B11),"",'Job Details'!B11)</f>
        <v>1-001</v>
      </c>
      <c r="D32" s="192" t="str">
        <f>IF(ISBLANK('Job Details'!C11),"",'Job Details'!C11)</f>
        <v>Project Superintendent (Hrs)</v>
      </c>
      <c r="E32" s="186" t="str">
        <f>IF(ISBLANK('Job Details'!D11),"",'Job Details'!D11)</f>
        <v>DT</v>
      </c>
      <c r="F32" s="193" t="str">
        <f>IF(ISBLANK('Job Details'!E11),"",'Job Details'!E11)</f>
        <v>Double Time - Jobs</v>
      </c>
      <c r="G32"/>
      <c r="H32"/>
    </row>
    <row r="33" spans="7:8" ht="39" customHeight="1" x14ac:dyDescent="0.3">
      <c r="G33"/>
      <c r="H33"/>
    </row>
  </sheetData>
  <sheetProtection formatCells="0" formatColumns="0" formatRows="0" insertColumns="0" insertRows="0" deleteColumns="0" deleteRows="0" selectLockedCells="1"/>
  <mergeCells count="77">
    <mergeCell ref="CS11:CX11"/>
    <mergeCell ref="BI10:CX10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  <mergeCell ref="BB9:BG9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AV8:BA8"/>
    <mergeCell ref="L9:Q9"/>
    <mergeCell ref="R9:W9"/>
    <mergeCell ref="X9:AC9"/>
    <mergeCell ref="AD9:AI9"/>
    <mergeCell ref="AJ9:AO9"/>
    <mergeCell ref="AP9:AU9"/>
    <mergeCell ref="AV9:BA9"/>
    <mergeCell ref="L8:Q8"/>
    <mergeCell ref="R8:W8"/>
    <mergeCell ref="X8:AC8"/>
    <mergeCell ref="AD8:AI8"/>
    <mergeCell ref="AJ8:AO8"/>
    <mergeCell ref="AP8:AU8"/>
    <mergeCell ref="AV6:BA6"/>
    <mergeCell ref="L7:Q7"/>
    <mergeCell ref="R7:W7"/>
    <mergeCell ref="X7:AC7"/>
    <mergeCell ref="AD7:AI7"/>
    <mergeCell ref="AJ7:AO7"/>
    <mergeCell ref="AP7:AU7"/>
    <mergeCell ref="AV7:BA7"/>
    <mergeCell ref="L6:Q6"/>
    <mergeCell ref="R6:W6"/>
    <mergeCell ref="X6:AC6"/>
    <mergeCell ref="AD6:AI6"/>
    <mergeCell ref="AJ6:AO6"/>
    <mergeCell ref="AP6:AU6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R4:W4"/>
    <mergeCell ref="X4:AC4"/>
    <mergeCell ref="AD4:AI4"/>
    <mergeCell ref="AJ4:AO4"/>
    <mergeCell ref="AP4:AU4"/>
    <mergeCell ref="BB1:BG1"/>
    <mergeCell ref="L3:Q3"/>
    <mergeCell ref="R3:W3"/>
    <mergeCell ref="X3:AC3"/>
    <mergeCell ref="AD3:AI3"/>
    <mergeCell ref="AJ3:AO3"/>
    <mergeCell ref="AP3:AU3"/>
    <mergeCell ref="AV3:BA3"/>
  </mergeCells>
  <conditionalFormatting sqref="D3 A22:A23">
    <cfRule type="expression" dxfId="624" priority="560">
      <formula>ISBLANK(A3)</formula>
    </cfRule>
  </conditionalFormatting>
  <conditionalFormatting sqref="A1:K1">
    <cfRule type="expression" dxfId="623" priority="558">
      <formula>$A$1="Input Employee Number"</formula>
    </cfRule>
  </conditionalFormatting>
  <conditionalFormatting sqref="BB1:BG1">
    <cfRule type="expression" dxfId="622" priority="557">
      <formula>ISBLANK(BB1)</formula>
    </cfRule>
  </conditionalFormatting>
  <conditionalFormatting sqref="BH24">
    <cfRule type="expression" dxfId="621" priority="555">
      <formula>$BH24&lt;&gt;0</formula>
    </cfRule>
    <cfRule type="expression" dxfId="620" priority="556">
      <formula>$BH24=0</formula>
    </cfRule>
  </conditionalFormatting>
  <conditionalFormatting sqref="L11:BG11">
    <cfRule type="expression" dxfId="619" priority="554">
      <formula>L11&lt;&gt;0</formula>
    </cfRule>
  </conditionalFormatting>
  <conditionalFormatting sqref="E24:H24 G13:H23 F13:F21">
    <cfRule type="expression" dxfId="618" priority="553">
      <formula>AND($BH13&lt;&gt;0,ISBLANK(E13))</formula>
    </cfRule>
  </conditionalFormatting>
  <conditionalFormatting sqref="B2">
    <cfRule type="cellIs" dxfId="617" priority="552" operator="equal">
      <formula>0</formula>
    </cfRule>
  </conditionalFormatting>
  <conditionalFormatting sqref="B3">
    <cfRule type="containsBlanks" dxfId="616" priority="551">
      <formula>LEN(TRIM(B3))=0</formula>
    </cfRule>
  </conditionalFormatting>
  <conditionalFormatting sqref="D3 A22:A23">
    <cfRule type="cellIs" dxfId="615" priority="559" operator="equal">
      <formula>"x"</formula>
    </cfRule>
  </conditionalFormatting>
  <conditionalFormatting sqref="B4">
    <cfRule type="containsBlanks" dxfId="614" priority="550">
      <formula>LEN(TRIM(B4))=0</formula>
    </cfRule>
  </conditionalFormatting>
  <conditionalFormatting sqref="C24">
    <cfRule type="expression" dxfId="613" priority="561">
      <formula>AND($C24=0,BH24&lt;&gt;0)</formula>
    </cfRule>
  </conditionalFormatting>
  <conditionalFormatting sqref="E16">
    <cfRule type="expression" dxfId="612" priority="471">
      <formula>AND($BH16&lt;&gt;0,ISBLANK(E16))</formula>
    </cfRule>
  </conditionalFormatting>
  <conditionalFormatting sqref="E16 E18 E20 E22">
    <cfRule type="expression" dxfId="611" priority="470">
      <formula>AND($C16&gt;0,ISBLANK($E16))</formula>
    </cfRule>
  </conditionalFormatting>
  <conditionalFormatting sqref="E18 E20 E22">
    <cfRule type="expression" dxfId="610" priority="465">
      <formula>AND($BH18&lt;&gt;0,ISBLANK(E18))</formula>
    </cfRule>
  </conditionalFormatting>
  <conditionalFormatting sqref="C22">
    <cfRule type="expression" dxfId="609" priority="387">
      <formula>AND($BH22&lt;&gt;0,ISBLANK(C22))</formula>
    </cfRule>
  </conditionalFormatting>
  <conditionalFormatting sqref="C22">
    <cfRule type="expression" dxfId="608" priority="386">
      <formula>AND($C22&gt;0,ISBLANK($E22))</formula>
    </cfRule>
  </conditionalFormatting>
  <conditionalFormatting sqref="E14">
    <cfRule type="expression" dxfId="607" priority="383">
      <formula>AND($BH14&lt;&gt;0,ISBLANK(E14))</formula>
    </cfRule>
  </conditionalFormatting>
  <conditionalFormatting sqref="E14">
    <cfRule type="expression" dxfId="606" priority="382">
      <formula>AND($BH14&lt;&gt;0,ISBLANK(E14))</formula>
    </cfRule>
  </conditionalFormatting>
  <conditionalFormatting sqref="E14">
    <cfRule type="expression" dxfId="605" priority="381">
      <formula>AND($C14&gt;0,ISBLANK($E14))</formula>
    </cfRule>
  </conditionalFormatting>
  <conditionalFormatting sqref="C16">
    <cfRule type="expression" dxfId="604" priority="374">
      <formula>AND($BH16&lt;&gt;0,ISBLANK(C16))</formula>
    </cfRule>
  </conditionalFormatting>
  <conditionalFormatting sqref="C16">
    <cfRule type="expression" dxfId="603" priority="373">
      <formula>AND($C16&gt;0,ISBLANK($E16))</formula>
    </cfRule>
  </conditionalFormatting>
  <conditionalFormatting sqref="A13:A21">
    <cfRule type="expression" dxfId="602" priority="305">
      <formula>ISBLANK(A13)</formula>
    </cfRule>
  </conditionalFormatting>
  <conditionalFormatting sqref="A13:A21">
    <cfRule type="cellIs" dxfId="601" priority="304" operator="equal">
      <formula>"x"</formula>
    </cfRule>
  </conditionalFormatting>
  <conditionalFormatting sqref="E14">
    <cfRule type="expression" dxfId="600" priority="232">
      <formula>AND($BH14&lt;&gt;0,ISBLANK(E14))</formula>
    </cfRule>
  </conditionalFormatting>
  <conditionalFormatting sqref="E14">
    <cfRule type="expression" dxfId="599" priority="231">
      <formula>AND($C14&gt;0,ISBLANK($E14))</formula>
    </cfRule>
  </conditionalFormatting>
  <conditionalFormatting sqref="B17">
    <cfRule type="expression" dxfId="598" priority="180">
      <formula>AND($BH17&lt;&gt;0,ISBLANK(B17))</formula>
    </cfRule>
  </conditionalFormatting>
  <conditionalFormatting sqref="B17">
    <cfRule type="expression" dxfId="597" priority="179">
      <formula>AND($C17&gt;0,ISBLANK($E17))</formula>
    </cfRule>
  </conditionalFormatting>
  <conditionalFormatting sqref="E17">
    <cfRule type="expression" dxfId="596" priority="176">
      <formula>AND($BH17&lt;&gt;0,ISBLANK(E17))</formula>
    </cfRule>
  </conditionalFormatting>
  <conditionalFormatting sqref="E17">
    <cfRule type="expression" dxfId="595" priority="175">
      <formula>AND($C17&gt;0,ISBLANK($E17))</formula>
    </cfRule>
  </conditionalFormatting>
  <conditionalFormatting sqref="B19">
    <cfRule type="expression" dxfId="594" priority="172">
      <formula>AND($BH19&lt;&gt;0,ISBLANK(B19))</formula>
    </cfRule>
  </conditionalFormatting>
  <conditionalFormatting sqref="B19">
    <cfRule type="expression" dxfId="593" priority="171">
      <formula>AND($C19&gt;0,ISBLANK($E19))</formula>
    </cfRule>
  </conditionalFormatting>
  <conditionalFormatting sqref="B13">
    <cfRule type="expression" dxfId="592" priority="168">
      <formula>AND($BH13&lt;&gt;0,ISBLANK(B13))</formula>
    </cfRule>
  </conditionalFormatting>
  <conditionalFormatting sqref="B13">
    <cfRule type="expression" dxfId="591" priority="167">
      <formula>AND($C13&gt;0,ISBLANK($E13))</formula>
    </cfRule>
  </conditionalFormatting>
  <conditionalFormatting sqref="B21">
    <cfRule type="expression" dxfId="590" priority="139">
      <formula>AND($BH21&lt;&gt;0,ISBLANK(B21))</formula>
    </cfRule>
  </conditionalFormatting>
  <conditionalFormatting sqref="B21">
    <cfRule type="expression" dxfId="589" priority="138">
      <formula>AND($C21&gt;0,ISBLANK($E21))</formula>
    </cfRule>
  </conditionalFormatting>
  <conditionalFormatting sqref="E21">
    <cfRule type="expression" dxfId="588" priority="137">
      <formula>AND($BH21&lt;&gt;0,ISBLANK(E21))</formula>
    </cfRule>
  </conditionalFormatting>
  <conditionalFormatting sqref="E21">
    <cfRule type="expression" dxfId="587" priority="136">
      <formula>AND($C21&gt;0,ISBLANK($E21))</formula>
    </cfRule>
  </conditionalFormatting>
  <conditionalFormatting sqref="E19">
    <cfRule type="expression" dxfId="586" priority="135">
      <formula>AND($BH19&lt;&gt;0,ISBLANK(E19))</formula>
    </cfRule>
  </conditionalFormatting>
  <conditionalFormatting sqref="E19">
    <cfRule type="expression" dxfId="585" priority="134">
      <formula>AND($C19&gt;0,ISBLANK($E19))</formula>
    </cfRule>
  </conditionalFormatting>
  <conditionalFormatting sqref="B23">
    <cfRule type="expression" dxfId="584" priority="85">
      <formula>AND($BH23&lt;&gt;0,ISBLANK(B23))</formula>
    </cfRule>
  </conditionalFormatting>
  <conditionalFormatting sqref="B23">
    <cfRule type="expression" dxfId="583" priority="84">
      <formula>AND($C23&gt;0,ISBLANK($E23))</formula>
    </cfRule>
  </conditionalFormatting>
  <conditionalFormatting sqref="E23">
    <cfRule type="expression" dxfId="582" priority="83">
      <formula>AND($BH23&lt;&gt;0,ISBLANK(E23))</formula>
    </cfRule>
  </conditionalFormatting>
  <conditionalFormatting sqref="E23">
    <cfRule type="expression" dxfId="581" priority="82">
      <formula>AND($C23&gt;0,ISBLANK($E23))</formula>
    </cfRule>
  </conditionalFormatting>
  <conditionalFormatting sqref="C23">
    <cfRule type="expression" dxfId="580" priority="81">
      <formula>AND($BH23&lt;&gt;0,ISBLANK(C23))</formula>
    </cfRule>
  </conditionalFormatting>
  <conditionalFormatting sqref="C23">
    <cfRule type="expression" dxfId="579" priority="80">
      <formula>AND($C23&gt;0,ISBLANK($E23))</formula>
    </cfRule>
  </conditionalFormatting>
  <conditionalFormatting sqref="E15">
    <cfRule type="expression" dxfId="578" priority="79">
      <formula>AND($BH15&lt;&gt;0,ISBLANK(E15))</formula>
    </cfRule>
  </conditionalFormatting>
  <conditionalFormatting sqref="E15">
    <cfRule type="expression" dxfId="577" priority="78">
      <formula>AND($C15&gt;0,ISBLANK($E15))</formula>
    </cfRule>
  </conditionalFormatting>
  <conditionalFormatting sqref="C13">
    <cfRule type="expression" dxfId="576" priority="75">
      <formula>AND($BH13&lt;&gt;0,ISBLANK(C13))</formula>
    </cfRule>
  </conditionalFormatting>
  <conditionalFormatting sqref="C13">
    <cfRule type="expression" dxfId="575" priority="74">
      <formula>AND($C13&gt;0,ISBLANK($E13))</formula>
    </cfRule>
  </conditionalFormatting>
  <conditionalFormatting sqref="E13">
    <cfRule type="expression" dxfId="574" priority="73">
      <formula>AND($BH13&lt;&gt;0,ISBLANK(E13))</formula>
    </cfRule>
  </conditionalFormatting>
  <conditionalFormatting sqref="E13">
    <cfRule type="expression" dxfId="573" priority="72">
      <formula>AND($C13&gt;0,ISBLANK($E13))</formula>
    </cfRule>
  </conditionalFormatting>
  <conditionalFormatting sqref="C17">
    <cfRule type="expression" dxfId="572" priority="69">
      <formula>AND($BH17&lt;&gt;0,ISBLANK(C17))</formula>
    </cfRule>
  </conditionalFormatting>
  <conditionalFormatting sqref="C17">
    <cfRule type="expression" dxfId="571" priority="62">
      <formula>AND($BH17&lt;&gt;0,ISBLANK(C17))</formula>
    </cfRule>
  </conditionalFormatting>
  <conditionalFormatting sqref="C17">
    <cfRule type="expression" dxfId="570" priority="71">
      <formula>AND($BH17&lt;&gt;0,ISBLANK(C17))</formula>
    </cfRule>
  </conditionalFormatting>
  <conditionalFormatting sqref="C17">
    <cfRule type="expression" dxfId="569" priority="70">
      <formula>AND($C17&gt;0,ISBLANK($E17))</formula>
    </cfRule>
  </conditionalFormatting>
  <conditionalFormatting sqref="C17">
    <cfRule type="expression" dxfId="568" priority="66">
      <formula>AND($BH17&lt;&gt;0,ISBLANK(C17))</formula>
    </cfRule>
  </conditionalFormatting>
  <conditionalFormatting sqref="C17">
    <cfRule type="expression" dxfId="567" priority="65">
      <formula>AND($C17&gt;0,ISBLANK($E17))</formula>
    </cfRule>
  </conditionalFormatting>
  <conditionalFormatting sqref="C17">
    <cfRule type="expression" dxfId="566" priority="68">
      <formula>AND($BH17&lt;&gt;0,ISBLANK(C17))</formula>
    </cfRule>
  </conditionalFormatting>
  <conditionalFormatting sqref="C17">
    <cfRule type="expression" dxfId="565" priority="67">
      <formula>AND($C17&gt;0,ISBLANK($E17))</formula>
    </cfRule>
  </conditionalFormatting>
  <conditionalFormatting sqref="C17">
    <cfRule type="expression" dxfId="564" priority="64">
      <formula>AND($BH17&lt;&gt;0,ISBLANK(C17))</formula>
    </cfRule>
  </conditionalFormatting>
  <conditionalFormatting sqref="C17">
    <cfRule type="expression" dxfId="563" priority="63">
      <formula>AND($C17&gt;0,ISBLANK($E17))</formula>
    </cfRule>
  </conditionalFormatting>
  <conditionalFormatting sqref="C15">
    <cfRule type="expression" dxfId="562" priority="40">
      <formula>AND($BH15&lt;&gt;0,ISBLANK(C15))</formula>
    </cfRule>
  </conditionalFormatting>
  <conditionalFormatting sqref="C15">
    <cfRule type="expression" dxfId="561" priority="39">
      <formula>AND($C15&gt;0,ISBLANK($E15))</formula>
    </cfRule>
  </conditionalFormatting>
  <conditionalFormatting sqref="C15">
    <cfRule type="expression" dxfId="560" priority="35">
      <formula>AND($BH15&lt;&gt;0,ISBLANK(C15))</formula>
    </cfRule>
  </conditionalFormatting>
  <conditionalFormatting sqref="C15">
    <cfRule type="expression" dxfId="559" priority="34">
      <formula>AND($C15&gt;0,ISBLANK($E15))</formula>
    </cfRule>
  </conditionalFormatting>
  <conditionalFormatting sqref="C15">
    <cfRule type="expression" dxfId="558" priority="38">
      <formula>AND($BH15&lt;&gt;0,ISBLANK(C15))</formula>
    </cfRule>
  </conditionalFormatting>
  <conditionalFormatting sqref="C15">
    <cfRule type="expression" dxfId="557" priority="37">
      <formula>AND($BH15&lt;&gt;0,ISBLANK(C15))</formula>
    </cfRule>
  </conditionalFormatting>
  <conditionalFormatting sqref="C15">
    <cfRule type="expression" dxfId="556" priority="36">
      <formula>AND($C15&gt;0,ISBLANK($E15))</formula>
    </cfRule>
  </conditionalFormatting>
  <conditionalFormatting sqref="C15">
    <cfRule type="expression" dxfId="555" priority="33">
      <formula>AND($BH15&lt;&gt;0,ISBLANK(C15))</formula>
    </cfRule>
  </conditionalFormatting>
  <conditionalFormatting sqref="C15">
    <cfRule type="expression" dxfId="554" priority="32">
      <formula>AND($C15&gt;0,ISBLANK($E15))</formula>
    </cfRule>
  </conditionalFormatting>
  <conditionalFormatting sqref="C15">
    <cfRule type="expression" dxfId="553" priority="31">
      <formula>AND($BH15&lt;&gt;0,ISBLANK(C15))</formula>
    </cfRule>
  </conditionalFormatting>
  <conditionalFormatting sqref="Q12">
    <cfRule type="expression" dxfId="552" priority="19">
      <formula>AND(L$9&gt;10.5,Q$24=0)</formula>
    </cfRule>
  </conditionalFormatting>
  <conditionalFormatting sqref="P12">
    <cfRule type="expression" dxfId="551" priority="20">
      <formula>AND(L$9&gt;10.5,P$24=0)</formula>
    </cfRule>
  </conditionalFormatting>
  <conditionalFormatting sqref="O12">
    <cfRule type="expression" dxfId="550" priority="21">
      <formula>AND(L$10&gt;0,O$24=0)</formula>
    </cfRule>
  </conditionalFormatting>
  <conditionalFormatting sqref="W12">
    <cfRule type="expression" dxfId="549" priority="17">
      <formula>AND(R$9&gt;10.5,W$24=0)</formula>
    </cfRule>
  </conditionalFormatting>
  <conditionalFormatting sqref="V12">
    <cfRule type="expression" dxfId="548" priority="18">
      <formula>AND(R$9&gt;10.5,V$24=0)</formula>
    </cfRule>
  </conditionalFormatting>
  <conditionalFormatting sqref="U12">
    <cfRule type="expression" dxfId="547" priority="16">
      <formula>AND(R$10&gt;0,U$24=0)</formula>
    </cfRule>
  </conditionalFormatting>
  <conditionalFormatting sqref="AC12">
    <cfRule type="expression" dxfId="546" priority="13">
      <formula>AND(X$9&gt;10.5,AC$24=0)</formula>
    </cfRule>
  </conditionalFormatting>
  <conditionalFormatting sqref="AB12">
    <cfRule type="expression" dxfId="545" priority="14">
      <formula>AND(X$9&gt;10.5,AB$24=0)</formula>
    </cfRule>
  </conditionalFormatting>
  <conditionalFormatting sqref="AA12">
    <cfRule type="expression" dxfId="544" priority="15">
      <formula>AND(X$10&gt;0,AA$24=0)</formula>
    </cfRule>
  </conditionalFormatting>
  <conditionalFormatting sqref="AI12">
    <cfRule type="expression" dxfId="543" priority="11">
      <formula>AND(AD$9&gt;10.5,AI$24=0)</formula>
    </cfRule>
  </conditionalFormatting>
  <conditionalFormatting sqref="AH12">
    <cfRule type="expression" dxfId="542" priority="12">
      <formula>AND(AD$9&gt;10.5,AH$24=0)</formula>
    </cfRule>
  </conditionalFormatting>
  <conditionalFormatting sqref="AG12">
    <cfRule type="expression" dxfId="541" priority="10">
      <formula>AND(AD$10&gt;0,AG$24=0)</formula>
    </cfRule>
  </conditionalFormatting>
  <conditionalFormatting sqref="AO12">
    <cfRule type="expression" dxfId="540" priority="7">
      <formula>AND(AJ$9&gt;10.5,AO$24=0)</formula>
    </cfRule>
  </conditionalFormatting>
  <conditionalFormatting sqref="AN12">
    <cfRule type="expression" dxfId="539" priority="8">
      <formula>AND(AJ$9&gt;10.5,AN$24=0)</formula>
    </cfRule>
  </conditionalFormatting>
  <conditionalFormatting sqref="AM12">
    <cfRule type="expression" dxfId="538" priority="9">
      <formula>AND(AJ$10&gt;0,AM$24=0)</formula>
    </cfRule>
  </conditionalFormatting>
  <conditionalFormatting sqref="AU12">
    <cfRule type="expression" dxfId="537" priority="5">
      <formula>AND(AP$9&gt;10.5,AU$24=0)</formula>
    </cfRule>
  </conditionalFormatting>
  <conditionalFormatting sqref="AT12">
    <cfRule type="expression" dxfId="536" priority="6">
      <formula>AND(AP$9&gt;10.5,AT$24=0)</formula>
    </cfRule>
  </conditionalFormatting>
  <conditionalFormatting sqref="AS12">
    <cfRule type="expression" dxfId="535" priority="4">
      <formula>AND(AP$10&gt;0,AS$24=0)</formula>
    </cfRule>
  </conditionalFormatting>
  <conditionalFormatting sqref="BA12">
    <cfRule type="expression" dxfId="534" priority="1">
      <formula>AND(AV$9&gt;10.5,BA$24=0)</formula>
    </cfRule>
  </conditionalFormatting>
  <conditionalFormatting sqref="AZ12">
    <cfRule type="expression" dxfId="533" priority="2">
      <formula>AND(AV$9&gt;10.5,AZ$24=0)</formula>
    </cfRule>
  </conditionalFormatting>
  <conditionalFormatting sqref="AY12">
    <cfRule type="expression" dxfId="532" priority="3">
      <formula>AND(AV$10&gt;0,AY$24=0)</formula>
    </cfRule>
  </conditionalFormatting>
  <dataValidations count="2">
    <dataValidation allowBlank="1" showInputMessage="1" showErrorMessage="1" sqref="E13:H23" xr:uid="{00000000-0002-0000-0D00-000000000000}"/>
    <dataValidation type="textLength" allowBlank="1" showInputMessage="1" showErrorMessage="1" errorTitle="Digits" error="The EE# must be between 4 ad 5 digits" sqref="B2" xr:uid="{00000000-0002-0000-0D00-000001000000}">
      <formula1>4</formula1>
      <formula2>5</formula2>
    </dataValidation>
  </dataValidations>
  <pageMargins left="0.25" right="0.25" top="0.75" bottom="0.75" header="0.3" footer="0.3"/>
  <pageSetup paperSize="5" scale="2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2000000}">
          <x14:formula1>
            <xm:f>'G:\PR AR\Weekly Payroll Files\1California\[California WE 02 23 19.xlsx]Job List'!#REF!</xm:f>
          </x14:formula1>
          <xm:sqref>C22</xm:sqref>
        </x14:dataValidation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D00-000003000000}">
          <x14:formula1>
            <xm:f>'Job List'!$A:$A</xm:f>
          </x14:formula1>
          <xm:sqref>C23 C18 C16 C20:C21 C13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>
    <tabColor rgb="FF002060"/>
    <pageSetUpPr fitToPage="1"/>
  </sheetPr>
  <dimension ref="A1:CX33"/>
  <sheetViews>
    <sheetView showGridLines="0" zoomScale="48" zoomScaleNormal="48" zoomScaleSheetLayoutView="38" workbookViewId="0">
      <pane xSplit="3" ySplit="12" topLeftCell="D13" activePane="bottomRight" state="frozen"/>
      <selection activeCell="L13" sqref="L13:AY21"/>
      <selection pane="topRight" activeCell="L13" sqref="L13:AY21"/>
      <selection pane="bottomLeft" activeCell="L13" sqref="L13:AY21"/>
      <selection pane="bottomRight" activeCell="L12" sqref="L12:BG12"/>
    </sheetView>
  </sheetViews>
  <sheetFormatPr defaultColWidth="8.85546875" defaultRowHeight="39" customHeight="1" x14ac:dyDescent="0.3"/>
  <cols>
    <col min="1" max="1" width="16.5703125" style="270" customWidth="1"/>
    <col min="2" max="2" width="18" style="1" customWidth="1"/>
    <col min="3" max="3" width="23.7109375" style="1" bestFit="1" customWidth="1"/>
    <col min="4" max="4" width="14.5703125" style="1" customWidth="1"/>
    <col min="5" max="5" width="16.140625" style="1" customWidth="1"/>
    <col min="6" max="6" width="17.85546875" style="1" customWidth="1"/>
    <col min="7" max="7" width="14.42578125" style="1" bestFit="1" customWidth="1"/>
    <col min="8" max="8" width="8.42578125" style="1" customWidth="1"/>
    <col min="9" max="9" width="11.28515625" style="270" customWidth="1"/>
    <col min="10" max="11" width="11.28515625" style="1" customWidth="1"/>
    <col min="12" max="12" width="10.140625" style="1" customWidth="1"/>
    <col min="13" max="13" width="6.7109375" style="1" customWidth="1"/>
    <col min="14" max="14" width="7.85546875" style="1" customWidth="1"/>
    <col min="15" max="17" width="6.7109375" style="1" customWidth="1"/>
    <col min="18" max="18" width="7.5703125" style="1" customWidth="1"/>
    <col min="19" max="24" width="6.7109375" style="1" customWidth="1"/>
    <col min="25" max="26" width="7" style="1" bestFit="1" customWidth="1"/>
    <col min="27" max="27" width="8.140625" style="1" bestFit="1" customWidth="1"/>
    <col min="28" max="28" width="7.5703125" style="1" bestFit="1" customWidth="1"/>
    <col min="29" max="29" width="7.85546875" style="1" customWidth="1"/>
    <col min="30" max="31" width="8.140625" style="1" bestFit="1" customWidth="1"/>
    <col min="32" max="32" width="7" style="1" bestFit="1" customWidth="1"/>
    <col min="33" max="33" width="7.85546875" style="1" bestFit="1" customWidth="1"/>
    <col min="34" max="34" width="8.140625" style="1" bestFit="1" customWidth="1"/>
    <col min="35" max="35" width="7.85546875" style="1" bestFit="1" customWidth="1"/>
    <col min="36" max="36" width="8.140625" style="1" bestFit="1" customWidth="1"/>
    <col min="37" max="37" width="6.7109375" style="1" customWidth="1"/>
    <col min="38" max="38" width="7.28515625" style="1" customWidth="1"/>
    <col min="39" max="39" width="7.85546875" style="1" customWidth="1"/>
    <col min="40" max="40" width="6.7109375" style="1" customWidth="1"/>
    <col min="41" max="41" width="8.42578125" style="1" customWidth="1"/>
    <col min="42" max="43" width="6.7109375" style="1" customWidth="1"/>
    <col min="44" max="44" width="7.85546875" style="1" customWidth="1"/>
    <col min="45" max="49" width="6.7109375" style="1" customWidth="1"/>
    <col min="50" max="50" width="9.28515625" style="1" customWidth="1"/>
    <col min="51" max="53" width="6.7109375" style="1" customWidth="1"/>
    <col min="54" max="54" width="12.7109375" style="1" bestFit="1" customWidth="1"/>
    <col min="55" max="55" width="8.5703125" style="1" customWidth="1"/>
    <col min="56" max="56" width="8.85546875" style="1" customWidth="1"/>
    <col min="57" max="60" width="8.5703125" style="1" customWidth="1"/>
    <col min="61" max="61" width="6.28515625" style="1" customWidth="1"/>
    <col min="62" max="103" width="6.140625" style="1" customWidth="1"/>
    <col min="104" max="104" width="8.85546875" style="1" customWidth="1"/>
    <col min="105" max="16384" width="8.85546875" style="1"/>
  </cols>
  <sheetData>
    <row r="1" spans="1:102" s="17" customFormat="1" ht="33" customHeight="1" thickBot="1" x14ac:dyDescent="0.4">
      <c r="A1" s="142" t="str">
        <f>IF(ISNA(VLOOKUP($B$2,[13]Employees!$B:$H,2,FALSE)),"Input Employee Number",VLOOKUP($B$2,[13]Employees!$B:$H,2,FALSE))</f>
        <v>Covey; Lawrence Peter</v>
      </c>
      <c r="B1" s="143"/>
      <c r="C1" s="143"/>
      <c r="D1" s="143"/>
      <c r="E1" s="143"/>
      <c r="F1" s="143" t="s">
        <v>529</v>
      </c>
      <c r="G1" s="143"/>
      <c r="H1" s="143"/>
      <c r="I1" s="143"/>
      <c r="J1" s="143"/>
      <c r="K1" s="144"/>
      <c r="L1" s="145"/>
      <c r="M1" s="146"/>
      <c r="N1" s="146"/>
      <c r="O1" s="146"/>
      <c r="P1" s="146"/>
      <c r="Q1" s="146"/>
      <c r="R1" s="146"/>
      <c r="S1" s="146"/>
      <c r="T1" s="147"/>
      <c r="U1" s="147"/>
      <c r="V1" s="147"/>
      <c r="W1" s="147"/>
      <c r="X1" s="147"/>
      <c r="Y1" s="147"/>
      <c r="Z1" s="147"/>
      <c r="AA1" s="147"/>
      <c r="AB1" s="147" t="s">
        <v>657</v>
      </c>
      <c r="AC1" s="147"/>
      <c r="AD1" s="148"/>
      <c r="AE1" s="148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6"/>
      <c r="AW1" s="147"/>
      <c r="AX1" s="146"/>
      <c r="AY1" s="147"/>
      <c r="AZ1" s="147"/>
      <c r="BA1" s="149" t="s">
        <v>18</v>
      </c>
      <c r="BB1" s="421">
        <v>44569</v>
      </c>
      <c r="BC1" s="422"/>
      <c r="BD1" s="422"/>
      <c r="BE1" s="422"/>
      <c r="BF1" s="422"/>
      <c r="BG1" s="423"/>
      <c r="BH1" s="54"/>
    </row>
    <row r="2" spans="1:102" ht="33" customHeight="1" thickBot="1" x14ac:dyDescent="0.35">
      <c r="A2" s="47" t="s">
        <v>17</v>
      </c>
      <c r="B2" s="198">
        <v>3045</v>
      </c>
      <c r="C2" s="49" t="s">
        <v>430</v>
      </c>
      <c r="D2" s="50"/>
      <c r="E2" s="55"/>
      <c r="F2" s="55"/>
      <c r="G2" s="55"/>
      <c r="H2" s="55"/>
      <c r="I2" s="133"/>
      <c r="J2" s="55"/>
      <c r="K2" s="56"/>
      <c r="L2" s="57"/>
      <c r="M2" s="58"/>
      <c r="N2" s="58"/>
      <c r="O2" s="58"/>
      <c r="P2" s="58"/>
      <c r="Q2" s="59"/>
      <c r="R2" s="60"/>
      <c r="S2" s="61"/>
      <c r="T2" s="61"/>
      <c r="U2" s="61"/>
      <c r="V2" s="61"/>
      <c r="W2" s="62"/>
      <c r="X2" s="57"/>
      <c r="Y2" s="58"/>
      <c r="Z2" s="58"/>
      <c r="AA2" s="58"/>
      <c r="AB2" s="58"/>
      <c r="AC2" s="59"/>
      <c r="AD2" s="60"/>
      <c r="AE2" s="61"/>
      <c r="AF2" s="61"/>
      <c r="AG2" s="61"/>
      <c r="AH2" s="61"/>
      <c r="AI2" s="62"/>
      <c r="AJ2" s="57"/>
      <c r="AK2" s="58"/>
      <c r="AL2" s="58"/>
      <c r="AM2" s="58"/>
      <c r="AN2" s="58"/>
      <c r="AO2" s="59"/>
      <c r="AP2" s="60"/>
      <c r="AQ2" s="61"/>
      <c r="AR2" s="61"/>
      <c r="AS2" s="61"/>
      <c r="AT2" s="61"/>
      <c r="AU2" s="62"/>
      <c r="AV2" s="57"/>
      <c r="AW2" s="58"/>
      <c r="AX2" s="58"/>
      <c r="AY2" s="58"/>
      <c r="AZ2" s="58"/>
      <c r="BA2" s="59"/>
      <c r="BB2" s="63"/>
      <c r="BC2" s="64"/>
      <c r="BD2" s="65"/>
      <c r="BE2" s="64"/>
      <c r="BF2" s="64"/>
      <c r="BG2" s="66"/>
      <c r="BH2" s="50"/>
    </row>
    <row r="3" spans="1:102" ht="50.25" customHeight="1" thickBot="1" x14ac:dyDescent="0.35">
      <c r="A3" s="51" t="s">
        <v>334</v>
      </c>
      <c r="B3" s="48" t="str">
        <f>IF(ISNA(VLOOKUP($B$2,[13]Employees!$B:$H,4,FALSE)),"",VLOOKUP($B$2,[13]Employees!$B:$H,4,FALSE))</f>
        <v>IBEWOUT</v>
      </c>
      <c r="C3" s="52" t="s">
        <v>335</v>
      </c>
      <c r="D3" s="48" t="s">
        <v>423</v>
      </c>
      <c r="E3" s="50"/>
      <c r="F3" s="67"/>
      <c r="G3" s="67"/>
      <c r="H3" s="67"/>
      <c r="I3" s="67"/>
      <c r="J3" s="67"/>
      <c r="K3" s="68"/>
      <c r="L3" s="424">
        <f>BB1-5</f>
        <v>44564</v>
      </c>
      <c r="M3" s="425"/>
      <c r="N3" s="425"/>
      <c r="O3" s="425"/>
      <c r="P3" s="425"/>
      <c r="Q3" s="426"/>
      <c r="R3" s="427">
        <f>BB1-4</f>
        <v>44565</v>
      </c>
      <c r="S3" s="428"/>
      <c r="T3" s="428"/>
      <c r="U3" s="428"/>
      <c r="V3" s="428"/>
      <c r="W3" s="429"/>
      <c r="X3" s="424">
        <f>BB1-3</f>
        <v>44566</v>
      </c>
      <c r="Y3" s="425"/>
      <c r="Z3" s="425"/>
      <c r="AA3" s="425"/>
      <c r="AB3" s="425"/>
      <c r="AC3" s="426"/>
      <c r="AD3" s="427">
        <f>BB1-2</f>
        <v>44567</v>
      </c>
      <c r="AE3" s="428"/>
      <c r="AF3" s="428"/>
      <c r="AG3" s="428"/>
      <c r="AH3" s="428"/>
      <c r="AI3" s="429"/>
      <c r="AJ3" s="424">
        <f>BB1-1</f>
        <v>44568</v>
      </c>
      <c r="AK3" s="425"/>
      <c r="AL3" s="425"/>
      <c r="AM3" s="425"/>
      <c r="AN3" s="425"/>
      <c r="AO3" s="426"/>
      <c r="AP3" s="427">
        <f>BB1-0</f>
        <v>44569</v>
      </c>
      <c r="AQ3" s="428"/>
      <c r="AR3" s="428"/>
      <c r="AS3" s="428"/>
      <c r="AT3" s="428"/>
      <c r="AU3" s="429"/>
      <c r="AV3" s="424">
        <f>BB1-6</f>
        <v>44563</v>
      </c>
      <c r="AW3" s="425"/>
      <c r="AX3" s="425"/>
      <c r="AY3" s="425"/>
      <c r="AZ3" s="425"/>
      <c r="BA3" s="426"/>
      <c r="BB3" s="69"/>
      <c r="BC3" s="70"/>
      <c r="BD3" s="70"/>
      <c r="BE3" s="70"/>
      <c r="BF3" s="70"/>
      <c r="BG3" s="71"/>
      <c r="BH3" s="50"/>
    </row>
    <row r="4" spans="1:102" ht="49.5" customHeight="1" thickBot="1" x14ac:dyDescent="0.35">
      <c r="A4" s="53" t="s">
        <v>118</v>
      </c>
      <c r="B4" s="48" t="str">
        <f>IF(ISNA(VLOOKUP($B$2,[13]Employees!$B:$H,5,FALSE)),"",VLOOKUP($B$2,[13]Employees!$B:$H,5,FALSE))</f>
        <v>1245</v>
      </c>
      <c r="D4" s="226"/>
      <c r="E4" s="226"/>
      <c r="F4" s="226"/>
      <c r="G4" s="226"/>
      <c r="H4" s="226"/>
      <c r="I4" s="226"/>
      <c r="J4" s="226"/>
      <c r="K4" s="308"/>
      <c r="L4" s="418" t="s">
        <v>16</v>
      </c>
      <c r="M4" s="419"/>
      <c r="N4" s="419"/>
      <c r="O4" s="419"/>
      <c r="P4" s="419"/>
      <c r="Q4" s="420"/>
      <c r="R4" s="418" t="s">
        <v>15</v>
      </c>
      <c r="S4" s="419"/>
      <c r="T4" s="419"/>
      <c r="U4" s="419"/>
      <c r="V4" s="419"/>
      <c r="W4" s="420"/>
      <c r="X4" s="418" t="s">
        <v>14</v>
      </c>
      <c r="Y4" s="419"/>
      <c r="Z4" s="419"/>
      <c r="AA4" s="419"/>
      <c r="AB4" s="419"/>
      <c r="AC4" s="420"/>
      <c r="AD4" s="418" t="s">
        <v>13</v>
      </c>
      <c r="AE4" s="419"/>
      <c r="AF4" s="419"/>
      <c r="AG4" s="419"/>
      <c r="AH4" s="419"/>
      <c r="AI4" s="420"/>
      <c r="AJ4" s="418" t="s">
        <v>12</v>
      </c>
      <c r="AK4" s="419"/>
      <c r="AL4" s="419"/>
      <c r="AM4" s="419"/>
      <c r="AN4" s="419"/>
      <c r="AO4" s="420"/>
      <c r="AP4" s="418" t="s">
        <v>11</v>
      </c>
      <c r="AQ4" s="419"/>
      <c r="AR4" s="419"/>
      <c r="AS4" s="419"/>
      <c r="AT4" s="419"/>
      <c r="AU4" s="420"/>
      <c r="AV4" s="418" t="s">
        <v>10</v>
      </c>
      <c r="AW4" s="419"/>
      <c r="AX4" s="419"/>
      <c r="AY4" s="419"/>
      <c r="AZ4" s="419"/>
      <c r="BA4" s="420"/>
      <c r="BB4" s="418" t="s">
        <v>9</v>
      </c>
      <c r="BC4" s="419"/>
      <c r="BD4" s="419"/>
      <c r="BE4" s="419"/>
      <c r="BF4" s="419"/>
      <c r="BG4" s="420"/>
      <c r="BH4" s="50"/>
    </row>
    <row r="5" spans="1:102" ht="32.25" customHeight="1" x14ac:dyDescent="0.3">
      <c r="A5" s="72"/>
      <c r="B5" s="74"/>
      <c r="C5" s="73"/>
      <c r="D5" s="75"/>
      <c r="E5" s="75"/>
      <c r="F5" s="75"/>
      <c r="G5" s="75"/>
      <c r="H5" s="75"/>
      <c r="I5" s="134"/>
      <c r="J5" s="134"/>
      <c r="K5" s="76" t="s">
        <v>8</v>
      </c>
      <c r="L5" s="415"/>
      <c r="M5" s="416"/>
      <c r="N5" s="416"/>
      <c r="O5" s="416"/>
      <c r="P5" s="416"/>
      <c r="Q5" s="417"/>
      <c r="R5" s="415"/>
      <c r="S5" s="416"/>
      <c r="T5" s="416"/>
      <c r="U5" s="416"/>
      <c r="V5" s="416"/>
      <c r="W5" s="417"/>
      <c r="X5" s="415"/>
      <c r="Y5" s="416"/>
      <c r="Z5" s="416"/>
      <c r="AA5" s="416"/>
      <c r="AB5" s="416"/>
      <c r="AC5" s="417"/>
      <c r="AD5" s="415"/>
      <c r="AE5" s="416"/>
      <c r="AF5" s="416"/>
      <c r="AG5" s="416"/>
      <c r="AH5" s="416"/>
      <c r="AI5" s="417"/>
      <c r="AJ5" s="415"/>
      <c r="AK5" s="416"/>
      <c r="AL5" s="416"/>
      <c r="AM5" s="416"/>
      <c r="AN5" s="416"/>
      <c r="AO5" s="417"/>
      <c r="AP5" s="415"/>
      <c r="AQ5" s="416"/>
      <c r="AR5" s="416"/>
      <c r="AS5" s="416"/>
      <c r="AT5" s="416"/>
      <c r="AU5" s="417"/>
      <c r="AV5" s="415"/>
      <c r="AW5" s="416"/>
      <c r="AX5" s="416"/>
      <c r="AY5" s="416"/>
      <c r="AZ5" s="416"/>
      <c r="BA5" s="417"/>
      <c r="BB5" s="77"/>
      <c r="BC5" s="78"/>
      <c r="BD5" s="78"/>
      <c r="BE5" s="78"/>
      <c r="BF5" s="78"/>
      <c r="BG5" s="79"/>
      <c r="BH5" s="50"/>
    </row>
    <row r="6" spans="1:102" ht="32.25" customHeight="1" x14ac:dyDescent="0.3">
      <c r="A6" s="338" t="s">
        <v>4430</v>
      </c>
      <c r="B6" s="339"/>
      <c r="C6" s="339"/>
      <c r="D6" s="336"/>
      <c r="E6" s="337"/>
      <c r="F6" s="337"/>
      <c r="G6" s="83"/>
      <c r="H6" s="83"/>
      <c r="I6" s="130"/>
      <c r="J6" s="130"/>
      <c r="K6" s="84" t="s">
        <v>7</v>
      </c>
      <c r="L6" s="415"/>
      <c r="M6" s="416"/>
      <c r="N6" s="416"/>
      <c r="O6" s="416"/>
      <c r="P6" s="416"/>
      <c r="Q6" s="417"/>
      <c r="R6" s="415"/>
      <c r="S6" s="416"/>
      <c r="T6" s="416"/>
      <c r="U6" s="416"/>
      <c r="V6" s="416"/>
      <c r="W6" s="417"/>
      <c r="X6" s="415"/>
      <c r="Y6" s="416"/>
      <c r="Z6" s="416"/>
      <c r="AA6" s="416"/>
      <c r="AB6" s="416"/>
      <c r="AC6" s="417"/>
      <c r="AD6" s="415"/>
      <c r="AE6" s="416"/>
      <c r="AF6" s="416"/>
      <c r="AG6" s="416"/>
      <c r="AH6" s="416"/>
      <c r="AI6" s="417"/>
      <c r="AJ6" s="415"/>
      <c r="AK6" s="416"/>
      <c r="AL6" s="416"/>
      <c r="AM6" s="416"/>
      <c r="AN6" s="416"/>
      <c r="AO6" s="417"/>
      <c r="AP6" s="415"/>
      <c r="AQ6" s="416"/>
      <c r="AR6" s="416"/>
      <c r="AS6" s="416"/>
      <c r="AT6" s="416"/>
      <c r="AU6" s="417"/>
      <c r="AV6" s="415"/>
      <c r="AW6" s="416"/>
      <c r="AX6" s="416"/>
      <c r="AY6" s="416"/>
      <c r="AZ6" s="416"/>
      <c r="BA6" s="417"/>
      <c r="BB6" s="77"/>
      <c r="BC6" s="78"/>
      <c r="BD6" s="78"/>
      <c r="BE6" s="78"/>
      <c r="BF6" s="78"/>
      <c r="BG6" s="79"/>
      <c r="BH6" s="50"/>
    </row>
    <row r="7" spans="1:102" ht="32.25" customHeight="1" x14ac:dyDescent="0.3">
      <c r="A7" s="307"/>
      <c r="B7" s="306"/>
      <c r="C7" s="306"/>
      <c r="D7" s="82"/>
      <c r="E7" s="83"/>
      <c r="F7" s="83"/>
      <c r="G7" s="83"/>
      <c r="H7" s="83"/>
      <c r="I7" s="130"/>
      <c r="J7" s="130"/>
      <c r="K7" s="84" t="s">
        <v>6</v>
      </c>
      <c r="L7" s="415"/>
      <c r="M7" s="416"/>
      <c r="N7" s="416"/>
      <c r="O7" s="416"/>
      <c r="P7" s="416"/>
      <c r="Q7" s="417"/>
      <c r="R7" s="415"/>
      <c r="S7" s="416"/>
      <c r="T7" s="416"/>
      <c r="U7" s="416"/>
      <c r="V7" s="416"/>
      <c r="W7" s="417"/>
      <c r="X7" s="415"/>
      <c r="Y7" s="416"/>
      <c r="Z7" s="416"/>
      <c r="AA7" s="416"/>
      <c r="AB7" s="416"/>
      <c r="AC7" s="417"/>
      <c r="AD7" s="415"/>
      <c r="AE7" s="416"/>
      <c r="AF7" s="416"/>
      <c r="AG7" s="416"/>
      <c r="AH7" s="416"/>
      <c r="AI7" s="417"/>
      <c r="AJ7" s="415"/>
      <c r="AK7" s="416"/>
      <c r="AL7" s="416"/>
      <c r="AM7" s="416"/>
      <c r="AN7" s="416"/>
      <c r="AO7" s="417"/>
      <c r="AP7" s="415"/>
      <c r="AQ7" s="416"/>
      <c r="AR7" s="416"/>
      <c r="AS7" s="416"/>
      <c r="AT7" s="416"/>
      <c r="AU7" s="417"/>
      <c r="AV7" s="415"/>
      <c r="AW7" s="416"/>
      <c r="AX7" s="416"/>
      <c r="AY7" s="416"/>
      <c r="AZ7" s="416"/>
      <c r="BA7" s="417"/>
      <c r="BB7" s="77"/>
      <c r="BC7" s="78"/>
      <c r="BD7" s="78"/>
      <c r="BE7" s="78"/>
      <c r="BF7" s="78"/>
      <c r="BG7" s="79"/>
      <c r="BH7" s="50"/>
    </row>
    <row r="8" spans="1:102" ht="32.25" customHeight="1" thickBot="1" x14ac:dyDescent="0.35">
      <c r="A8" s="80"/>
      <c r="B8" s="81"/>
      <c r="C8" s="81"/>
      <c r="D8" s="82"/>
      <c r="E8" s="82"/>
      <c r="F8" s="82"/>
      <c r="G8" s="82"/>
      <c r="H8" s="82"/>
      <c r="I8" s="131"/>
      <c r="J8" s="131"/>
      <c r="K8" s="85" t="s">
        <v>5</v>
      </c>
      <c r="L8" s="415"/>
      <c r="M8" s="416"/>
      <c r="N8" s="416"/>
      <c r="O8" s="416"/>
      <c r="P8" s="416"/>
      <c r="Q8" s="417"/>
      <c r="R8" s="415"/>
      <c r="S8" s="416"/>
      <c r="T8" s="416"/>
      <c r="U8" s="416"/>
      <c r="V8" s="416"/>
      <c r="W8" s="417"/>
      <c r="X8" s="415"/>
      <c r="Y8" s="416"/>
      <c r="Z8" s="416"/>
      <c r="AA8" s="416"/>
      <c r="AB8" s="416"/>
      <c r="AC8" s="417"/>
      <c r="AD8" s="415"/>
      <c r="AE8" s="416"/>
      <c r="AF8" s="416"/>
      <c r="AG8" s="416"/>
      <c r="AH8" s="416"/>
      <c r="AI8" s="417"/>
      <c r="AJ8" s="415"/>
      <c r="AK8" s="416"/>
      <c r="AL8" s="416"/>
      <c r="AM8" s="416"/>
      <c r="AN8" s="416"/>
      <c r="AO8" s="417"/>
      <c r="AP8" s="415"/>
      <c r="AQ8" s="416"/>
      <c r="AR8" s="416"/>
      <c r="AS8" s="416"/>
      <c r="AT8" s="416"/>
      <c r="AU8" s="417"/>
      <c r="AV8" s="415"/>
      <c r="AW8" s="416"/>
      <c r="AX8" s="416"/>
      <c r="AY8" s="416"/>
      <c r="AZ8" s="416"/>
      <c r="BA8" s="417"/>
      <c r="BB8" s="77"/>
      <c r="BC8" s="78"/>
      <c r="BD8" s="78"/>
      <c r="BE8" s="78"/>
      <c r="BF8" s="78"/>
      <c r="BG8" s="79"/>
      <c r="BH8" s="50"/>
    </row>
    <row r="9" spans="1:102" ht="32.25" customHeight="1" thickBot="1" x14ac:dyDescent="0.55000000000000004">
      <c r="A9" s="80"/>
      <c r="B9" s="81"/>
      <c r="C9" s="81"/>
      <c r="D9" s="82"/>
      <c r="E9" s="86"/>
      <c r="F9" s="86"/>
      <c r="G9" s="86"/>
      <c r="H9" s="86"/>
      <c r="I9" s="131"/>
      <c r="J9" s="131"/>
      <c r="K9" s="85" t="s">
        <v>4</v>
      </c>
      <c r="L9" s="400">
        <f>IF(AND(L5&gt;=0,L8&gt;=0),(L6-L5+L8-L7)*24,0)</f>
        <v>0</v>
      </c>
      <c r="M9" s="401"/>
      <c r="N9" s="401"/>
      <c r="O9" s="401"/>
      <c r="P9" s="401"/>
      <c r="Q9" s="402"/>
      <c r="R9" s="400">
        <f>IF(AND(R5&gt;=0,R8&gt;=0),(R6-R5+R8-R7)*24,0)</f>
        <v>0</v>
      </c>
      <c r="S9" s="401"/>
      <c r="T9" s="401"/>
      <c r="U9" s="401"/>
      <c r="V9" s="401"/>
      <c r="W9" s="402"/>
      <c r="X9" s="400">
        <f>IF(AND(X5&gt;=0,X8&gt;=0),(X6-X5+X8-X7)*24,0)</f>
        <v>0</v>
      </c>
      <c r="Y9" s="401"/>
      <c r="Z9" s="401"/>
      <c r="AA9" s="401"/>
      <c r="AB9" s="401"/>
      <c r="AC9" s="402"/>
      <c r="AD9" s="400">
        <f>IF(AND(AD5&gt;=0,AD8&gt;=0),(AD6-AD5+AD8-AD7)*24,0)</f>
        <v>0</v>
      </c>
      <c r="AE9" s="401"/>
      <c r="AF9" s="401"/>
      <c r="AG9" s="401"/>
      <c r="AH9" s="401"/>
      <c r="AI9" s="402"/>
      <c r="AJ9" s="400">
        <f>IF(AND(AJ5&gt;=0,AJ8&gt;=0),(AJ6-AJ5+AJ8-AJ7)*24,0)</f>
        <v>0</v>
      </c>
      <c r="AK9" s="401"/>
      <c r="AL9" s="401"/>
      <c r="AM9" s="401"/>
      <c r="AN9" s="401"/>
      <c r="AO9" s="402"/>
      <c r="AP9" s="400">
        <f>IF(AND(AP5&gt;=0,AP8&gt;=0),(AP6-AP5+AP8-AP7)*24,0)</f>
        <v>0</v>
      </c>
      <c r="AQ9" s="401"/>
      <c r="AR9" s="401"/>
      <c r="AS9" s="401"/>
      <c r="AT9" s="401"/>
      <c r="AU9" s="402"/>
      <c r="AV9" s="400">
        <f>IF(AND(AV5&gt;=0,AV8&gt;=0),(AV6-AV5+AV8-AV7)*24,0)</f>
        <v>0</v>
      </c>
      <c r="AW9" s="401"/>
      <c r="AX9" s="401"/>
      <c r="AY9" s="401"/>
      <c r="AZ9" s="401"/>
      <c r="BA9" s="402"/>
      <c r="BB9" s="400">
        <f>SUM(L9:BA9)</f>
        <v>0</v>
      </c>
      <c r="BC9" s="401"/>
      <c r="BD9" s="401"/>
      <c r="BE9" s="401"/>
      <c r="BF9" s="401"/>
      <c r="BG9" s="402"/>
      <c r="BH9" s="50"/>
      <c r="BI9" s="403" t="s">
        <v>647</v>
      </c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5"/>
    </row>
    <row r="10" spans="1:102" ht="32.25" customHeight="1" thickBot="1" x14ac:dyDescent="0.35">
      <c r="A10" s="80"/>
      <c r="B10" s="81"/>
      <c r="C10" s="81"/>
      <c r="D10" s="87"/>
      <c r="E10" s="87"/>
      <c r="F10" s="87"/>
      <c r="G10" s="87"/>
      <c r="H10" s="87"/>
      <c r="I10" s="135"/>
      <c r="J10" s="135"/>
      <c r="K10" s="88" t="s">
        <v>3</v>
      </c>
      <c r="L10" s="406">
        <f>L24+M24+N24</f>
        <v>0</v>
      </c>
      <c r="M10" s="407"/>
      <c r="N10" s="407"/>
      <c r="O10" s="407"/>
      <c r="P10" s="407"/>
      <c r="Q10" s="408"/>
      <c r="R10" s="406">
        <f>R24+S24+T24</f>
        <v>0</v>
      </c>
      <c r="S10" s="407"/>
      <c r="T10" s="407"/>
      <c r="U10" s="407"/>
      <c r="V10" s="407"/>
      <c r="W10" s="408"/>
      <c r="X10" s="406">
        <f>X24+Y24+Z24</f>
        <v>0</v>
      </c>
      <c r="Y10" s="407"/>
      <c r="Z10" s="407"/>
      <c r="AA10" s="407"/>
      <c r="AB10" s="407"/>
      <c r="AC10" s="408"/>
      <c r="AD10" s="406">
        <f>AD24+AE24+AF24</f>
        <v>0</v>
      </c>
      <c r="AE10" s="407"/>
      <c r="AF10" s="407"/>
      <c r="AG10" s="407"/>
      <c r="AH10" s="407"/>
      <c r="AI10" s="408"/>
      <c r="AJ10" s="406">
        <f>AJ24+AK24+AL24</f>
        <v>0</v>
      </c>
      <c r="AK10" s="407"/>
      <c r="AL10" s="407"/>
      <c r="AM10" s="407"/>
      <c r="AN10" s="407"/>
      <c r="AO10" s="408"/>
      <c r="AP10" s="406">
        <f>AP24+AQ24+AR24</f>
        <v>0</v>
      </c>
      <c r="AQ10" s="407"/>
      <c r="AR10" s="407"/>
      <c r="AS10" s="407"/>
      <c r="AT10" s="407"/>
      <c r="AU10" s="408"/>
      <c r="AV10" s="409">
        <f>AV24+AW24+AX24</f>
        <v>0</v>
      </c>
      <c r="AW10" s="410"/>
      <c r="AX10" s="410"/>
      <c r="AY10" s="410"/>
      <c r="AZ10" s="410"/>
      <c r="BA10" s="411"/>
      <c r="BB10" s="412">
        <f>SUM(L10:BA10)</f>
        <v>0</v>
      </c>
      <c r="BC10" s="413"/>
      <c r="BD10" s="413"/>
      <c r="BE10" s="413"/>
      <c r="BF10" s="413"/>
      <c r="BG10" s="414"/>
      <c r="BH10" s="50"/>
      <c r="BI10" s="391" t="s">
        <v>431</v>
      </c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3"/>
    </row>
    <row r="11" spans="1:102" ht="39" customHeight="1" thickBot="1" x14ac:dyDescent="0.35">
      <c r="A11" s="89"/>
      <c r="B11" s="90"/>
      <c r="C11" s="141" t="s">
        <v>631</v>
      </c>
      <c r="D11" s="91"/>
      <c r="E11" s="92"/>
      <c r="F11" s="92"/>
      <c r="G11" s="92"/>
      <c r="H11" s="92"/>
      <c r="I11" s="132"/>
      <c r="J11" s="132"/>
      <c r="K11" s="93" t="s">
        <v>19</v>
      </c>
      <c r="L11" s="394">
        <f>L9-L10</f>
        <v>0</v>
      </c>
      <c r="M11" s="395"/>
      <c r="N11" s="395"/>
      <c r="O11" s="395"/>
      <c r="P11" s="395"/>
      <c r="Q11" s="396"/>
      <c r="R11" s="394">
        <f>R9-R10</f>
        <v>0</v>
      </c>
      <c r="S11" s="395"/>
      <c r="T11" s="395"/>
      <c r="U11" s="395"/>
      <c r="V11" s="395"/>
      <c r="W11" s="396"/>
      <c r="X11" s="394">
        <f>X9-X10</f>
        <v>0</v>
      </c>
      <c r="Y11" s="395"/>
      <c r="Z11" s="395"/>
      <c r="AA11" s="395"/>
      <c r="AB11" s="395"/>
      <c r="AC11" s="396"/>
      <c r="AD11" s="394">
        <f>AD9-AD10</f>
        <v>0</v>
      </c>
      <c r="AE11" s="395"/>
      <c r="AF11" s="395"/>
      <c r="AG11" s="395"/>
      <c r="AH11" s="395"/>
      <c r="AI11" s="396"/>
      <c r="AJ11" s="397">
        <f>AJ9-AJ10</f>
        <v>0</v>
      </c>
      <c r="AK11" s="398"/>
      <c r="AL11" s="398"/>
      <c r="AM11" s="398"/>
      <c r="AN11" s="398"/>
      <c r="AO11" s="399"/>
      <c r="AP11" s="394">
        <f>AP9-AP10</f>
        <v>0</v>
      </c>
      <c r="AQ11" s="395"/>
      <c r="AR11" s="395"/>
      <c r="AS11" s="395"/>
      <c r="AT11" s="395"/>
      <c r="AU11" s="396"/>
      <c r="AV11" s="394">
        <f>AV9-AV10</f>
        <v>0</v>
      </c>
      <c r="AW11" s="395"/>
      <c r="AX11" s="395"/>
      <c r="AY11" s="395"/>
      <c r="AZ11" s="395"/>
      <c r="BA11" s="396"/>
      <c r="BB11" s="394">
        <f>BB9-BB10</f>
        <v>0</v>
      </c>
      <c r="BC11" s="395"/>
      <c r="BD11" s="395"/>
      <c r="BE11" s="395"/>
      <c r="BF11" s="395"/>
      <c r="BG11" s="396"/>
      <c r="BH11" s="129"/>
      <c r="BI11" s="388">
        <f>L3</f>
        <v>44564</v>
      </c>
      <c r="BJ11" s="389"/>
      <c r="BK11" s="389"/>
      <c r="BL11" s="389"/>
      <c r="BM11" s="389"/>
      <c r="BN11" s="390"/>
      <c r="BO11" s="388">
        <f>R3</f>
        <v>44565</v>
      </c>
      <c r="BP11" s="389"/>
      <c r="BQ11" s="389"/>
      <c r="BR11" s="389"/>
      <c r="BS11" s="389"/>
      <c r="BT11" s="390"/>
      <c r="BU11" s="388">
        <f>X3</f>
        <v>44566</v>
      </c>
      <c r="BV11" s="389"/>
      <c r="BW11" s="389"/>
      <c r="BX11" s="389"/>
      <c r="BY11" s="389"/>
      <c r="BZ11" s="390"/>
      <c r="CA11" s="388">
        <f>AD3</f>
        <v>44567</v>
      </c>
      <c r="CB11" s="389"/>
      <c r="CC11" s="389"/>
      <c r="CD11" s="389"/>
      <c r="CE11" s="389"/>
      <c r="CF11" s="390"/>
      <c r="CG11" s="388">
        <f>AJ3</f>
        <v>44568</v>
      </c>
      <c r="CH11" s="389"/>
      <c r="CI11" s="389"/>
      <c r="CJ11" s="389"/>
      <c r="CK11" s="389"/>
      <c r="CL11" s="390"/>
      <c r="CM11" s="388">
        <f>AP3</f>
        <v>44569</v>
      </c>
      <c r="CN11" s="389"/>
      <c r="CO11" s="389"/>
      <c r="CP11" s="389"/>
      <c r="CQ11" s="389"/>
      <c r="CR11" s="390"/>
      <c r="CS11" s="388">
        <f>AV3</f>
        <v>44563</v>
      </c>
      <c r="CT11" s="389"/>
      <c r="CU11" s="389"/>
      <c r="CV11" s="389"/>
      <c r="CW11" s="389"/>
      <c r="CX11" s="390"/>
    </row>
    <row r="12" spans="1:102" s="2" customFormat="1" ht="39" customHeight="1" x14ac:dyDescent="0.3">
      <c r="A12" s="94" t="s">
        <v>335</v>
      </c>
      <c r="B12" s="95" t="s">
        <v>658</v>
      </c>
      <c r="C12" s="96" t="s">
        <v>2</v>
      </c>
      <c r="D12" s="96" t="s">
        <v>427</v>
      </c>
      <c r="E12" s="95" t="s">
        <v>428</v>
      </c>
      <c r="F12" s="95" t="s">
        <v>429</v>
      </c>
      <c r="G12" s="95" t="s">
        <v>659</v>
      </c>
      <c r="H12" s="95" t="s">
        <v>660</v>
      </c>
      <c r="I12" s="136" t="s">
        <v>517</v>
      </c>
      <c r="J12" s="152" t="s">
        <v>646</v>
      </c>
      <c r="K12" s="137" t="s">
        <v>518</v>
      </c>
      <c r="L12" s="97" t="s">
        <v>30</v>
      </c>
      <c r="M12" s="98" t="s">
        <v>31</v>
      </c>
      <c r="N12" s="98" t="s">
        <v>32</v>
      </c>
      <c r="O12" s="99" t="s">
        <v>33</v>
      </c>
      <c r="P12" s="99" t="s">
        <v>34</v>
      </c>
      <c r="Q12" s="100" t="s">
        <v>35</v>
      </c>
      <c r="R12" s="101" t="s">
        <v>36</v>
      </c>
      <c r="S12" s="102" t="s">
        <v>37</v>
      </c>
      <c r="T12" s="102" t="s">
        <v>38</v>
      </c>
      <c r="U12" s="103" t="s">
        <v>39</v>
      </c>
      <c r="V12" s="103" t="s">
        <v>40</v>
      </c>
      <c r="W12" s="104" t="s">
        <v>41</v>
      </c>
      <c r="X12" s="97" t="s">
        <v>42</v>
      </c>
      <c r="Y12" s="98" t="s">
        <v>43</v>
      </c>
      <c r="Z12" s="98" t="s">
        <v>44</v>
      </c>
      <c r="AA12" s="99" t="s">
        <v>45</v>
      </c>
      <c r="AB12" s="99" t="s">
        <v>46</v>
      </c>
      <c r="AC12" s="100" t="s">
        <v>47</v>
      </c>
      <c r="AD12" s="101" t="s">
        <v>48</v>
      </c>
      <c r="AE12" s="102" t="s">
        <v>49</v>
      </c>
      <c r="AF12" s="102" t="s">
        <v>50</v>
      </c>
      <c r="AG12" s="103" t="s">
        <v>51</v>
      </c>
      <c r="AH12" s="103" t="s">
        <v>52</v>
      </c>
      <c r="AI12" s="104" t="s">
        <v>53</v>
      </c>
      <c r="AJ12" s="97" t="s">
        <v>54</v>
      </c>
      <c r="AK12" s="98" t="s">
        <v>55</v>
      </c>
      <c r="AL12" s="98" t="s">
        <v>56</v>
      </c>
      <c r="AM12" s="99" t="s">
        <v>57</v>
      </c>
      <c r="AN12" s="99" t="s">
        <v>58</v>
      </c>
      <c r="AO12" s="100" t="s">
        <v>59</v>
      </c>
      <c r="AP12" s="101" t="s">
        <v>60</v>
      </c>
      <c r="AQ12" s="102" t="s">
        <v>61</v>
      </c>
      <c r="AR12" s="102" t="s">
        <v>62</v>
      </c>
      <c r="AS12" s="103" t="s">
        <v>63</v>
      </c>
      <c r="AT12" s="103" t="s">
        <v>64</v>
      </c>
      <c r="AU12" s="104" t="s">
        <v>65</v>
      </c>
      <c r="AV12" s="97" t="s">
        <v>66</v>
      </c>
      <c r="AW12" s="98" t="s">
        <v>67</v>
      </c>
      <c r="AX12" s="98" t="s">
        <v>68</v>
      </c>
      <c r="AY12" s="99" t="s">
        <v>69</v>
      </c>
      <c r="AZ12" s="99" t="s">
        <v>70</v>
      </c>
      <c r="BA12" s="100" t="s">
        <v>71</v>
      </c>
      <c r="BB12" s="305" t="s">
        <v>72</v>
      </c>
      <c r="BC12" s="243" t="s">
        <v>73</v>
      </c>
      <c r="BD12" s="243" t="s">
        <v>74</v>
      </c>
      <c r="BE12" s="304" t="s">
        <v>75</v>
      </c>
      <c r="BF12" s="304" t="s">
        <v>76</v>
      </c>
      <c r="BG12" s="303" t="s">
        <v>77</v>
      </c>
      <c r="BH12" s="122" t="s">
        <v>78</v>
      </c>
      <c r="BI12" s="124" t="s">
        <v>432</v>
      </c>
      <c r="BJ12" s="121" t="s">
        <v>433</v>
      </c>
      <c r="BK12" s="121" t="s">
        <v>434</v>
      </c>
      <c r="BL12" s="151" t="s">
        <v>633</v>
      </c>
      <c r="BM12" s="151" t="s">
        <v>632</v>
      </c>
      <c r="BN12" s="125" t="s">
        <v>435</v>
      </c>
      <c r="BO12" s="124" t="s">
        <v>436</v>
      </c>
      <c r="BP12" s="121" t="s">
        <v>437</v>
      </c>
      <c r="BQ12" s="121" t="s">
        <v>438</v>
      </c>
      <c r="BR12" s="151" t="s">
        <v>635</v>
      </c>
      <c r="BS12" s="151" t="s">
        <v>634</v>
      </c>
      <c r="BT12" s="125" t="s">
        <v>439</v>
      </c>
      <c r="BU12" s="124" t="s">
        <v>440</v>
      </c>
      <c r="BV12" s="121" t="s">
        <v>441</v>
      </c>
      <c r="BW12" s="121" t="s">
        <v>442</v>
      </c>
      <c r="BX12" s="151" t="s">
        <v>637</v>
      </c>
      <c r="BY12" s="151" t="s">
        <v>636</v>
      </c>
      <c r="BZ12" s="125" t="s">
        <v>443</v>
      </c>
      <c r="CA12" s="124" t="s">
        <v>444</v>
      </c>
      <c r="CB12" s="121" t="s">
        <v>445</v>
      </c>
      <c r="CC12" s="121" t="s">
        <v>446</v>
      </c>
      <c r="CD12" s="151" t="s">
        <v>639</v>
      </c>
      <c r="CE12" s="151" t="s">
        <v>638</v>
      </c>
      <c r="CF12" s="125" t="s">
        <v>447</v>
      </c>
      <c r="CG12" s="124" t="s">
        <v>448</v>
      </c>
      <c r="CH12" s="121" t="s">
        <v>449</v>
      </c>
      <c r="CI12" s="121" t="s">
        <v>450</v>
      </c>
      <c r="CJ12" s="151" t="s">
        <v>645</v>
      </c>
      <c r="CK12" s="151" t="s">
        <v>644</v>
      </c>
      <c r="CL12" s="125" t="s">
        <v>451</v>
      </c>
      <c r="CM12" s="124" t="s">
        <v>452</v>
      </c>
      <c r="CN12" s="121" t="s">
        <v>453</v>
      </c>
      <c r="CO12" s="121" t="s">
        <v>454</v>
      </c>
      <c r="CP12" s="151" t="s">
        <v>641</v>
      </c>
      <c r="CQ12" s="151" t="s">
        <v>640</v>
      </c>
      <c r="CR12" s="125" t="s">
        <v>455</v>
      </c>
      <c r="CS12" s="124" t="s">
        <v>456</v>
      </c>
      <c r="CT12" s="121" t="s">
        <v>457</v>
      </c>
      <c r="CU12" s="121" t="s">
        <v>458</v>
      </c>
      <c r="CV12" s="151" t="s">
        <v>643</v>
      </c>
      <c r="CW12" s="151" t="s">
        <v>642</v>
      </c>
      <c r="CX12" s="125" t="s">
        <v>459</v>
      </c>
    </row>
    <row r="13" spans="1:102" ht="39" customHeight="1" x14ac:dyDescent="0.3">
      <c r="A13" s="109" t="str">
        <f t="shared" ref="A13:A23" si="0">IF(ISBLANK(C13),"",IF(ISBLANK($D$3),"",$D$3))</f>
        <v>x</v>
      </c>
      <c r="B13" s="276" t="s">
        <v>101</v>
      </c>
      <c r="C13" s="316" t="s">
        <v>3374</v>
      </c>
      <c r="D13" s="199"/>
      <c r="E13" s="276" t="s">
        <v>731</v>
      </c>
      <c r="F13" s="276" t="str">
        <f t="shared" ref="F13:F21" si="1">IF(ISBLANK($B$4),"",$B$4)</f>
        <v>1245</v>
      </c>
      <c r="G13" s="276" t="s">
        <v>102</v>
      </c>
      <c r="H13" s="276" t="s">
        <v>102</v>
      </c>
      <c r="I13" s="139">
        <v>1</v>
      </c>
      <c r="J13" s="153" t="str">
        <f>IF($K13=0,"",IF($K13&lt;10,"0"&amp;$K13,$K13))</f>
        <v>01</v>
      </c>
      <c r="K13" s="150">
        <v>1</v>
      </c>
      <c r="L13" s="263"/>
      <c r="M13" s="258"/>
      <c r="N13" s="258"/>
      <c r="O13" s="258"/>
      <c r="P13" s="258"/>
      <c r="Q13" s="259"/>
      <c r="R13" s="262"/>
      <c r="S13" s="260"/>
      <c r="T13" s="260"/>
      <c r="U13" s="260"/>
      <c r="V13" s="260"/>
      <c r="W13" s="261"/>
      <c r="X13" s="302"/>
      <c r="Y13" s="301"/>
      <c r="Z13" s="301"/>
      <c r="AA13" s="301"/>
      <c r="AB13" s="301"/>
      <c r="AC13" s="259"/>
      <c r="AD13" s="262"/>
      <c r="AE13" s="260"/>
      <c r="AF13" s="260"/>
      <c r="AG13" s="260"/>
      <c r="AH13" s="260"/>
      <c r="AI13" s="261"/>
      <c r="AJ13" s="263"/>
      <c r="AK13" s="258"/>
      <c r="AL13" s="258"/>
      <c r="AM13" s="258"/>
      <c r="AN13" s="258"/>
      <c r="AO13" s="259"/>
      <c r="AP13" s="262"/>
      <c r="AQ13" s="260"/>
      <c r="AR13" s="260"/>
      <c r="AS13" s="260"/>
      <c r="AT13" s="260"/>
      <c r="AU13" s="261"/>
      <c r="AV13" s="263"/>
      <c r="AW13" s="258"/>
      <c r="AX13" s="258"/>
      <c r="AY13" s="258"/>
      <c r="AZ13" s="258"/>
      <c r="BA13" s="259"/>
      <c r="BB13" s="119">
        <f t="shared" ref="BB13:BB23" si="2">SUM(AV13,AP13,AJ13,AD13,X13,R13,L13)</f>
        <v>0</v>
      </c>
      <c r="BC13" s="120">
        <f t="shared" ref="BC13:BC23" si="3">SUM(AW13,AQ13,AK13,AE13,Y13,S13,M13)</f>
        <v>0</v>
      </c>
      <c r="BD13" s="120">
        <f t="shared" ref="BD13:BD23" si="4">SUM(AX13,AR13,AL13,AF13,Z13,T13,N13)</f>
        <v>0</v>
      </c>
      <c r="BE13" s="120">
        <f t="shared" ref="BE13:BE23" si="5">SUM(AY13,AS13,AM13,AG13,AA13,U13,O13)</f>
        <v>0</v>
      </c>
      <c r="BF13" s="120">
        <f t="shared" ref="BF13:BF23" si="6">SUM(AZ13,AT13,AN13,AH13,AB13,V13,P13)</f>
        <v>0</v>
      </c>
      <c r="BG13" s="154">
        <f t="shared" ref="BG13:BG23" si="7">SUM(BA13,AU13,AO13,AI13,AC13,W13,Q13)</f>
        <v>0</v>
      </c>
      <c r="BH13" s="123">
        <f>SUM(TimeSheet347536192444018281322354750220515659613035363650515317116122135[[#This Row],[1]:[4A]])</f>
        <v>0</v>
      </c>
      <c r="BI13" s="126">
        <f>IF(AND(NOT(ISBLANK($C13)),NOT(ISBLANK($E13)),$A13="x"),IF(L13=0,0,[2]!TSImport("PRTime","","Time_NINE","","Date",$BI$11,"Employee",$B$2,"JCJob",$C13,"JCExtra",$D13,"JCCostCode",$E13,"WCCode",$B13,"WCState",$G13,"State",$H13,"PayID",$BB$12,"Units",L13,"UnionID",$B$3,"UnionLocal",$F13,"UnionClass",$I13,"CertifiedClass",$J13)),0)</f>
        <v>0</v>
      </c>
      <c r="BJ13" s="127">
        <f>IF(AND(NOT(ISBLANK($C13)),NOT(ISBLANK($E13)),$A13="x"),IF(M13=0,0,[2]!TSImport("PRTime","","Time_NINE","","Date",$BI$11,"Employee",$B$2,"JCJob",$C13,"JCExtra",$D13,"JCCostCode",$E13,"WCCode",$B13,"WCState",$G13,"State",$H13,"PayID",$BC$12,"Units",M13,"UnionID",$B$3,"UnionLocal",$F13,"UnionClass",$I13,"CertifiedClass",$J13)),0)</f>
        <v>0</v>
      </c>
      <c r="BK13" s="127">
        <f>IF(AND(NOT(ISBLANK($C13)),NOT(ISBLANK($E13)),$A13="x"),IF(N13=0,0,[2]!TSImport("PRTime","","Time_NINE","","Date",$BI$11,"Employee",$B$2,"JCJob",$C13,"JCExtra",$D13,"JCCostCode",$E13,"WCCode",$B13,"WCState",$G13,"State",$H13,"PayID",$BD$12,"Units",N13,"UnionID",$B$3,"UnionLocal",$F13,"UnionClass",$I13,"CertifiedClass",$J13)),0)</f>
        <v>0</v>
      </c>
      <c r="BL13" s="127">
        <f>IF(AND(NOT(ISBLANK($C13)),NOT(ISBLANK($E13)),$A13="x"),IF(O13=0,0,[2]!TSImport("PRTime","","Time_NINE","","Date",$BI$11,"Employee",$B$2,"JCJob",$C13,"JCExtra",$D13,"JCCostCode",$E13,"WCCode",$B13,"WCState",$G13,"State",$H13,"PayID",$BE$12,"Units",O13,"UnionID",$B$3,"UnionLocal",$F13,"UnionClass",$I13,"CertifiedClass",$J13)),0)</f>
        <v>0</v>
      </c>
      <c r="BM13" s="127">
        <f>IF(AND(NOT(ISBLANK($C13)),NOT(ISBLANK($E13)),$A13="x"),IF(P13=0,0,[2]!TSImport("PRTime","","Time_NINE","","Date",$BI$11,"Employee",$B$2,"JCJob",$C13,"JCExtra",$D13,"JCCostCode",$E13,"WCCode",$B13,"WCState",$G13,"State",$H13,"PayID",$BF$12,"Units",P13,"UnionID",$B$3,"UnionLocal",$F13,"UnionClass",$I13,"CertifiedClass",$J13)),0)</f>
        <v>0</v>
      </c>
      <c r="BN13" s="128">
        <f>IF(AND(NOT(ISBLANK($C13)),NOT(ISBLANK($E13)),$A13="x"),IF(Q13=0,0,[2]!TSImport("PRTime","","Time_NINE","","Date",$BI$11,"Employee",$B$2,"JCJob",$C13,"JCExtra",$D13,"JCCostCode",$E13,"WCCode",$B13,"WCState",$G13,"State",$H13,"PayID",$BG$12,"Units",Q13,"UnionID",$B$3,"UnionLocal",$F13,"UnionClass",$I13,"CertifiedClass",$J13)),0)</f>
        <v>0</v>
      </c>
      <c r="BO13" s="126">
        <f>IF(AND(NOT(ISBLANK($C13)),NOT(ISBLANK($E13)),$A13="x"),IF(R13=0,0,[2]!TSImport("PRTime","","Time_NINE","","Date",$BO$11,"Employee",$B$2,"JCJob",$C13,"JCExtra",$D13,"JCCostCode",$E13,"WCCode",$B13,"WCState",$G13,"State",$H13,"PayID",$BB$12,"Units",R13,"UnionID",$B$3,"UnionLocal",$F13,"UnionClass",$I13,"CertifiedClass",$J13)),0)</f>
        <v>0</v>
      </c>
      <c r="BP13" s="127">
        <f>IF(AND(NOT(ISBLANK($C13)),NOT(ISBLANK($E13)),$A13="x"),IF(S13=0,0,[2]!TSImport("PRTime","","Time_NINE","","Date",$BO$11,"Employee",$B$2,"JCJob",$C13,"JCExtra",$D13,"JCCostCode",$E13,"WCCode",$B13,"WCState",$G13,"State",$H13,"PayID",$BC$12,"Units",S13,"UnionID",$B$3,"UnionLocal",$F13,"UnionClass",$I13,"CertifiedClass",$J13)),0)</f>
        <v>0</v>
      </c>
      <c r="BQ13" s="127">
        <f>IF(AND(NOT(ISBLANK($C13)),NOT(ISBLANK($E13)),$A13="x"),IF(T13=0,0,[2]!TSImport("PRTime","","Time_NINE","","Date",$BO$11,"Employee",$B$2,"JCJob",$C13,"JCExtra",$D13,"JCCostCode",$E13,"WCCode",$B13,"WCState",$G13,"State",$H13,"PayID",$BD$12,"Units",T13,"UnionID",$B$3,"UnionLocal",$F13,"UnionClass",$I13,"CertifiedClass",$J13)),0)</f>
        <v>0</v>
      </c>
      <c r="BR13" s="127">
        <f>IF(AND(NOT(ISBLANK($C13)),NOT(ISBLANK($E13)),$A13="x"),IF(U13=0,0,[2]!TSImport("PRTime","","Time_NINE","","Date",$BO$11,"Employee",$B$2,"JCJob",$C13,"JCExtra",$D13,"JCCostCode",$E13,"WCCode",$B13,"WCState",$G13,"State",$H13,"PayID",$BE$12,"Units",U13,"UnionID",$B$3,"UnionLocal",$F13,"UnionClass",$I13,"CertifiedClass",$J13)),0)</f>
        <v>0</v>
      </c>
      <c r="BS13" s="127">
        <f>IF(AND(NOT(ISBLANK($C13)),NOT(ISBLANK($E13)),$A13="x"),IF(V13=0,0,[2]!TSImport("PRTime","","Time_NINE","","Date",$BO$11,"Employee",$B$2,"JCJob",$C13,"JCExtra",$D13,"JCCostCode",$E13,"WCCode",$B13,"WCState",$G13,"State",$H13,"PayID",$BF$12,"Units",V13,"UnionID",$B$3,"UnionLocal",$F13,"UnionClass",$I13,"CertifiedClass",$J13)),0)</f>
        <v>0</v>
      </c>
      <c r="BT13" s="128">
        <f>IF(AND(NOT(ISBLANK($C13)),NOT(ISBLANK($E13)),$A13="x"),IF(W13=0,0,[2]!TSImport("PRTime","","Time_NINE","","Date",$BO$11,"Employee",$B$2,"JCJob",$C13,"JCExtra",$D13,"JCCostCode",$E13,"WCCode",$B13,"WCState",$G13,"State",$H13,"PayID",$BG$12,"Units",W13,"UnionID",$B$3,"UnionLocal",$F13,"UnionClass",$I13,"CertifiedClass",$J13)),0)</f>
        <v>0</v>
      </c>
      <c r="BU13" s="126">
        <f>IF(AND(NOT(ISBLANK($C13)),NOT(ISBLANK($E13)),$A13="x"),IF(X13=0,0,[2]!TSImport("PRTime","","Time_NINE","","Date",$BU$11,"Employee",$B$2,"JCJob",$C13,"JCExtra",$D13,"JCCostCode",$E13,"WCCode",$B13,"WCState",$G13,"State",$H13,"PayID",$BB$12,"Units",X13,"UnionID",$B$3,"UnionLocal",$F13,"UnionClass",$I13,"CertifiedClass",$J13)),0)</f>
        <v>0</v>
      </c>
      <c r="BV13" s="127">
        <f>IF(AND(NOT(ISBLANK($C13)),NOT(ISBLANK($E13)),$A13="x"),IF(Y13=0,0,[2]!TSImport("PRTime","","Time_NINE","","Date",$BU$11,"Employee",$B$2,"JCJob",$C13,"JCExtra",$D13,"JCCostCode",$E13,"WCCode",$B13,"WCState",$G13,"State",$H13,"PayID",$BC$12,"Units",Y13,"UnionID",$B$3,"UnionLocal",$F13,"UnionClass",$I13,"CertifiedClass",$J13)),0)</f>
        <v>0</v>
      </c>
      <c r="BW13" s="127">
        <f>IF(AND(NOT(ISBLANK($C13)),NOT(ISBLANK($E13)),$A13="x"),IF(Z13=0,0,[2]!TSImport("PRTime","","Time_NINE","","Date",$BU$11,"Employee",$B$2,"JCJob",$C13,"JCExtra",$D13,"JCCostCode",$E13,"WCCode",$B13,"WCState",$G13,"State",$H13,"PayID",$BD$12,"Units",Z13,"UnionID",$B$3,"UnionLocal",$F13,"UnionClass",$I13,"CertifiedClass",$J13)),0)</f>
        <v>0</v>
      </c>
      <c r="BX13" s="127">
        <f>IF(AND(NOT(ISBLANK($C13)),NOT(ISBLANK($E13)),$A13="x"),IF(AA13=0,0,[2]!TSImport("PRTime","","Time_NINE","","Date",$BU$11,"Employee",$B$2,"JCJob",$C13,"JCExtra",$D13,"JCCostCode",$E13,"WCCode",$B13,"WCState",$G13,"State",$H13,"PayID",$BE$12,"Units",AA13,"UnionID",$B$3,"UnionLocal",$F13,"UnionClass",$I13,"CertifiedClass",$J13)),0)</f>
        <v>0</v>
      </c>
      <c r="BY13" s="127">
        <f>IF(AND(NOT(ISBLANK($C13)),NOT(ISBLANK($E13)),$A13="x"),IF(AB13=0,0,[2]!TSImport("PRTime","","Time_NINE","","Date",$BU$11,"Employee",$B$2,"JCJob",$C13,"JCExtra",$D13,"JCCostCode",$E13,"WCCode",$B13,"WCState",$G13,"State",$H13,"PayID",$BF$12,"Units",AB13,"UnionID",$B$3,"UnionLocal",$F13,"UnionClass",$I13,"CertifiedClass",$J13)),0)</f>
        <v>0</v>
      </c>
      <c r="BZ13" s="128">
        <f>IF(AND(NOT(ISBLANK($C13)),NOT(ISBLANK($E13)),$A13="x"),IF(AC13=0,0,[2]!TSImport("PRTime","","Time_NINE","","Date",$BU$11,"Employee",$B$2,"JCJob",$C13,"JCExtra",$D13,"JCCostCode",$E13,"WCCode",$B13,"WCState",$G13,"State",$H13,"PayID",$BG$12,"Units",AC13,"UnionID",$B$3,"UnionLocal",$F13,"UnionClass",$I13,"CertifiedClass",$J13)),0)</f>
        <v>0</v>
      </c>
      <c r="CA13" s="126">
        <f>IF(AND(NOT(ISBLANK($C13)),NOT(ISBLANK($E13)),$A13="x"),IF(AD13=0,0,[2]!TSImport("PRTime","","Time_NINE","","Date",$CA$11,"Employee",$B$2,"JCJob",$C13,"JCExtra",$D13,"JCCostCode",$E13,"WCCode",$B13,"WCState",$G13,"State",$H13,"PayID",$BB$12,"Units",AD13,"UnionID",$B$3,"UnionLocal",$F13,"UnionClass",$I13,"CertifiedClass",$J13)),0)</f>
        <v>0</v>
      </c>
      <c r="CB13" s="127">
        <f>IF(AND(NOT(ISBLANK($C13)),NOT(ISBLANK($E13)),$A13="x"),IF(AE13=0,0,[2]!TSImport("PRTime","","Time_NINE","","Date",$CA$11,"Employee",$B$2,"JCJob",$C13,"JCExtra",$D13,"JCCostCode",$E13,"WCCode",$B13,"WCState",$G13,"State",$H13,"PayID",$BC$12,"Units",AE13,"UnionID",$B$3,"UnionLocal",$F13,"UnionClass",$I13,"CertifiedClass",$J13)),0)</f>
        <v>0</v>
      </c>
      <c r="CC13" s="127">
        <f>IF(AND(NOT(ISBLANK($C13)),NOT(ISBLANK($E13)),$A13="x"),IF(AF13=0,0,[2]!TSImport("PRTime","","Time_NINE","","Date",$CA$11,"Employee",$B$2,"JCJob",$C13,"JCExtra",$D13,"JCCostCode",$E13,"WCCode",$B13,"WCState",$G13,"State",$H13,"PayID",$BD$12,"Units",AF13,"UnionID",$B$3,"UnionLocal",$F13,"UnionClass",$I13,"CertifiedClass",$J13)),0)</f>
        <v>0</v>
      </c>
      <c r="CD13" s="127">
        <f>IF(AND(NOT(ISBLANK($C13)),NOT(ISBLANK($E13)),$A13="x"),IF(AG13=0,0,[2]!TSImport("PRTime","","Time_NINE","","Date",$CA$11,"Employee",$B$2,"JCJob",$C13,"JCExtra",$D13,"JCCostCode",$E13,"WCCode",$B13,"WCState",$G13,"State",$H13,"PayID",$BE$12,"Units",AG13,"UnionID",$B$3,"UnionLocal",$F13,"UnionClass",$I13,"CertifiedClass",$J13)),0)</f>
        <v>0</v>
      </c>
      <c r="CE13" s="127">
        <f>IF(AND(NOT(ISBLANK($C13)),NOT(ISBLANK($E13)),$A13="x"),IF(AH13=0,0,[2]!TSImport("PRTime","","Time_NINE","","Date",$CA$11,"Employee",$B$2,"JCJob",$C13,"JCExtra",$D13,"JCCostCode",$E13,"WCCode",$B13,"WCState",$G13,"State",$H13,"PayID",$BF$12,"Units",AH13,"UnionID",$B$3,"UnionLocal",$F13,"UnionClass",$I13,"CertifiedClass",$J13)),0)</f>
        <v>0</v>
      </c>
      <c r="CF13" s="128">
        <f>IF(AND(NOT(ISBLANK($C13)),NOT(ISBLANK($E13)),$A13="x"),IF(AI13=0,0,[2]!TSImport("PRTime","","Time_NINE","","Date",$CA$11,"Employee",$B$2,"JCJob",$C13,"JCExtra",$D13,"JCCostCode",$E13,"WCCode",$B13,"WCState",$G13,"State",$H13,"PayID",$BG$12,"Units",AI13,"UnionID",$B$3,"UnionLocal",$F13,"UnionClass",$I13,"CertifiedClass",$J13)),0)</f>
        <v>0</v>
      </c>
      <c r="CG13" s="126">
        <f>IF(AND(NOT(ISBLANK($C13)),NOT(ISBLANK($E13)),$A13="x"),IF(AJ13=0,0,[2]!TSImport("PRTime","","Time_NINE","","Date",$CG$11,"Employee",$B$2,"JCJob",$C13,"JCExtra",$D13,"JCCostCode",$E13,"WCCode",$B13,"WCState",$G13,"State",$H13,"PayID",$BB$12,"Units",AJ13,"UnionID",$B$3,"UnionLocal",$F13,"UnionClass",$I13,"CertifiedClass",$J13)),0)</f>
        <v>0</v>
      </c>
      <c r="CH13" s="127">
        <f>IF(AND(NOT(ISBLANK($C13)),NOT(ISBLANK($E13)),$A13="x"),IF(AK13=0,0,[2]!TSImport("PRTime","","Time_NINE","","Date",$CG$11,"Employee",$B$2,"JCJob",$C13,"JCExtra",$D13,"JCCostCode",$E13,"WCCode",$B13,"WCState",$G13,"State",$H13,"PayID",$BC$12,"Units",AK13,"UnionID",$B$3,"UnionLocal",$F13,"UnionClass",$I13,"CertifiedClass",$J13)),0)</f>
        <v>0</v>
      </c>
      <c r="CI13" s="127">
        <f>IF(AND(NOT(ISBLANK($C13)),NOT(ISBLANK($E13)),$A13="x"),IF(AL13=0,0,[2]!TSImport("PRTime","","Time_NINE","","Date",$CG$11,"Employee",$B$2,"JCJob",$C13,"JCExtra",$D13,"JCCostCode",$E13,"WCCode",$B13,"WCState",$G13,"State",$H13,"PayID",$BD$12,"Units",AL13,"UnionID",$B$3,"UnionLocal",$F13,"UnionClass",$I13,"CertifiedClass",$J13)),0)</f>
        <v>0</v>
      </c>
      <c r="CJ13" s="127">
        <f>IF(AND(NOT(ISBLANK($C13)),NOT(ISBLANK($E13)),$A13="x"),IF(AM13=0,0,[2]!TSImport("PRTime","","Time_NINE","","Date",$CG$11,"Employee",$B$2,"JCJob",$C13,"JCExtra",$D13,"JCCostCode",$E13,"WCCode",$B13,"WCState",$G13,"State",$H13,"PayID",$BE$12,"Units",AM13,"UnionID",$B$3,"UnionLocal",$F13,"UnionClass",$I13,"CertifiedClass",$J13)),0)</f>
        <v>0</v>
      </c>
      <c r="CK13" s="127">
        <f>IF(AND(NOT(ISBLANK($C13)),NOT(ISBLANK($E13)),$A13="x"),IF(AN13=0,0,[2]!TSImport("PRTime","","Time_NINE","","Date",$CG$11,"Employee",$B$2,"JCJob",$C13,"JCExtra",$D13,"JCCostCode",$E13,"WCCode",$B13,"WCState",$G13,"State",$H13,"PayID",$BF$12,"Units",AN13,"UnionID",$B$3,"UnionLocal",$F13,"UnionClass",$I13,"CertifiedClass",$J13)),0)</f>
        <v>0</v>
      </c>
      <c r="CL13" s="128">
        <f>IF(AND(NOT(ISBLANK($C13)),NOT(ISBLANK($E13)),$A13="x"),IF(AO13=0,0,[2]!TSImport("PRTime","","Time_NINE","","Date",$CG$11,"Employee",$B$2,"JCJob",$C13,"JCExtra",$D13,"JCCostCode",$E13,"WCCode",$B13,"WCState",$G13,"State",$H13,"PayID",$BG$12,"Units",AO13,"UnionID",$B$3,"UnionLocal",$F13,"UnionClass",$I13,"CertifiedClass",$J13)),0)</f>
        <v>0</v>
      </c>
      <c r="CM13" s="126">
        <f>IF(AND(NOT(ISBLANK($C13)),NOT(ISBLANK($E13)),$A13="x"),IF(AP13=0,0,[2]!TSImport("PRTime","","Time_NINE","","Date",$CM$11,"Employee",$B$2,"JCJob",$C13,"JCExtra",$D13,"JCCostCode",$E13,"WCCode",$B13,"WCState",$G13,"State",$H13,"PayID",$BB$12,"Units",AP13,"UnionID",$B$3,"UnionLocal",$F13,"UnionClass",$I13,"CertifiedClass",$J13)),0)</f>
        <v>0</v>
      </c>
      <c r="CN13" s="127">
        <f>IF(AND(NOT(ISBLANK($C13)),NOT(ISBLANK($E13)),$A13="x"),IF(AQ13=0,0,[2]!TSImport("PRTime","","Time_NINE","","Date",$CM$11,"Employee",$B$2,"JCJob",$C13,"JCExtra",$D13,"JCCostCode",$E13,"WCCode",$B13,"WCState",$G13,"State",$H13,"PayID",$BC$12,"Units",AQ13,"UnionID",$B$3,"UnionLocal",$F13,"UnionClass",$I13,"CertifiedClass",$J13)),0)</f>
        <v>0</v>
      </c>
      <c r="CO13" s="127">
        <f>IF(AND(NOT(ISBLANK($C13)),NOT(ISBLANK($E13)),$A13="x"),IF(AR13=0,0,[2]!TSImport("PRTime","","Time_NINE","","Date",$CM$11,"Employee",$B$2,"JCJob",$C13,"JCExtra",$D13,"JCCostCode",$E13,"WCCode",$B13,"WCState",$G13,"State",$H13,"PayID",$BD$12,"Units",AR13,"UnionID",$B$3,"UnionLocal",$F13,"UnionClass",$I13,"CertifiedClass",$J13)),0)</f>
        <v>0</v>
      </c>
      <c r="CP13" s="127">
        <f>IF(AND(NOT(ISBLANK($C13)),NOT(ISBLANK($E13)),$A13="x"),IF(AS13=0,0,[2]!TSImport("PRTime","","Time_NINE","","Date",$CM$11,"Employee",$B$2,"JCJob",$C13,"JCExtra",$D13,"JCCostCode",$E13,"WCCode",$B13,"WCState",$G13,"State",$H13,"PayID",$BE$12,"Units",AS13,"UnionID",$B$3,"UnionLocal",$F13,"UnionClass",$I13,"CertifiedClass",$J13)),0)</f>
        <v>0</v>
      </c>
      <c r="CQ13" s="127">
        <f>IF(AND(NOT(ISBLANK($C13)),NOT(ISBLANK($E13)),$A13="x"),IF(AT13=0,0,[2]!TSImport("PRTime","","Time_NINE","","Date",$CM$11,"Employee",$B$2,"JCJob",$C13,"JCExtra",$D13,"JCCostCode",$E13,"WCCode",$B13,"WCState",$G13,"State",$H13,"PayID",$BF$12,"Units",AT13,"UnionID",$B$3,"UnionLocal",$F13,"UnionClass",$I13,"CertifiedClass",$J13)),0)</f>
        <v>0</v>
      </c>
      <c r="CR13" s="128">
        <f>IF(AND(NOT(ISBLANK($C13)),NOT(ISBLANK($E13)),$A13="x"),IF(AU13=0,0,[2]!TSImport("PRTime","","Time_NINE","","Date",$CM$11,"Employee",$B$2,"JCJob",$C13,"JCExtra",$D13,"JCCostCode",$E13,"WCCode",$B13,"WCState",$G13,"State",$H13,"PayID",$BG$12,"Units",AU13,"UnionID",$B$3,"UnionLocal",$F13,"UnionClass",$I13,"CertifiedClass",$J13)),0)</f>
        <v>0</v>
      </c>
      <c r="CS13" s="126">
        <f>IF(AND(NOT(ISBLANK($C13)),NOT(ISBLANK($E13)),$A13="x"),IF(AV13=0,0,[2]!TSImport("PRTime","","Time_NINE","","Date",$CS$11,"Employee",$B$2,"JCJob",$C13,"JCExtra",$D13,"JCCostCode",$E13,"WCCode",$B13,"WCState",$G13,"State",$H13,"PayID",$BB$12,"Units",AV13,"UnionID",$B$3,"UnionLocal",$F13,"UnionClass",$I13,"CertifiedClass",$J13)),0)</f>
        <v>0</v>
      </c>
      <c r="CT13" s="127">
        <f>IF(AND(NOT(ISBLANK($C13)),NOT(ISBLANK($E13)),$A13="x"),IF(AW13=0,0,[2]!TSImport("PRTime","","Time_NINE","","Date",$CS$11,"Employee",$B$2,"JCJob",$C13,"JCExtra",$D13,"JCCostCode",$E13,"WCCode",$B13,"WCState",$G13,"State",$H13,"PayID",$BC$12,"Units",AW13,"UnionID",$B$3,"UnionLocal",$F13,"UnionClass",$I13,"CertifiedClass",$J13)),0)</f>
        <v>0</v>
      </c>
      <c r="CU13" s="127">
        <f>IF(AND(NOT(ISBLANK($C13)),NOT(ISBLANK($E13)),$A13="x"),IF(AX13=0,0,[2]!TSImport("PRTime","","Time_NINE","","Date",$CS$11,"Employee",$B$2,"JCJob",$C13,"JCExtra",$D13,"JCCostCode",$E13,"WCCode",$B13,"WCState",$G13,"State",$H13,"PayID",$BD$12,"Units",AX13,"UnionID",$B$3,"UnionLocal",$F13,"UnionClass",$I13,"CertifiedClass",$J13)),0)</f>
        <v>0</v>
      </c>
      <c r="CV13" s="127">
        <f>IF(AND(NOT(ISBLANK($C13)),NOT(ISBLANK($E13)),$A13="x"),IF(AY13=0,0,[2]!TSImport("PRTime","","Time_NINE","","Date",$CS$11,"Employee",$B$2,"JCJob",$C13,"JCExtra",$D13,"JCCostCode",$E13,"WCCode",$B13,"WCState",$G13,"State",$H13,"PayID",$BE$12,"Units",AY13,"UnionID",$B$3,"UnionLocal",$F13,"UnionClass",$I13,"CertifiedClass",$J13)),0)</f>
        <v>0</v>
      </c>
      <c r="CW13" s="127">
        <f>IF(AND(NOT(ISBLANK($C13)),NOT(ISBLANK($E13)),$A13="x"),IF(AZ13=0,0,[2]!TSImport("PRTime","","Time_NINE","","Date",$CS$11,"Employee",$B$2,"JCJob",$C13,"JCExtra",$D13,"JCCostCode",$E13,"WCCode",$B13,"WCState",$G13,"State",$H13,"PayID",$BF$12,"Units",AZ13,"UnionID",$B$3,"UnionLocal",$F13,"UnionClass",$I13,"CertifiedClass",$J13)),0)</f>
        <v>0</v>
      </c>
      <c r="CX13" s="128">
        <f>IF(AND(NOT(ISBLANK($C13)),NOT(ISBLANK($E13)),$A13="x"),IF(BA13=0,0,[2]!TSImport("PRTime","","Time_NINE","","Date",$CS$11,"Employee",$B$2,"JCJob",$C13,"JCExtra",$D13,"JCCostCode",$E13,"WCCode",$B13,"WCState",$G13,"State",$H13,"PayID",$BG$12,"Units",BA13,"UnionID",$B$3,"UnionLocal",$F13,"UnionClass",$I13,"CertifiedClass",$J13)),0)</f>
        <v>0</v>
      </c>
    </row>
    <row r="14" spans="1:102" ht="39" customHeight="1" x14ac:dyDescent="0.3">
      <c r="A14" s="109" t="str">
        <f t="shared" si="0"/>
        <v/>
      </c>
      <c r="B14" s="276" t="s">
        <v>101</v>
      </c>
      <c r="C14" s="276"/>
      <c r="D14" s="277"/>
      <c r="E14" s="276"/>
      <c r="F14" s="276" t="str">
        <f t="shared" si="1"/>
        <v>1245</v>
      </c>
      <c r="G14" s="276" t="s">
        <v>102</v>
      </c>
      <c r="H14" s="276" t="s">
        <v>102</v>
      </c>
      <c r="I14" s="139">
        <v>1</v>
      </c>
      <c r="J14" s="153" t="str">
        <f t="shared" ref="J14:J21" si="8">IF($K14=0,"",IF($K14&lt;10,"0"&amp;$K14,$K14))</f>
        <v>01</v>
      </c>
      <c r="K14" s="150">
        <v>1</v>
      </c>
      <c r="L14" s="263"/>
      <c r="M14" s="258"/>
      <c r="N14" s="258"/>
      <c r="O14" s="258"/>
      <c r="P14" s="258"/>
      <c r="Q14" s="259"/>
      <c r="R14" s="262"/>
      <c r="S14" s="260"/>
      <c r="T14" s="260"/>
      <c r="U14" s="260"/>
      <c r="V14" s="260"/>
      <c r="W14" s="261"/>
      <c r="X14" s="263"/>
      <c r="Y14" s="258"/>
      <c r="Z14" s="258"/>
      <c r="AA14" s="258"/>
      <c r="AB14" s="258"/>
      <c r="AC14" s="259"/>
      <c r="AD14" s="262"/>
      <c r="AE14" s="260"/>
      <c r="AF14" s="260"/>
      <c r="AG14" s="260"/>
      <c r="AH14" s="260"/>
      <c r="AI14" s="261"/>
      <c r="AJ14" s="263"/>
      <c r="AK14" s="258"/>
      <c r="AL14" s="258"/>
      <c r="AM14" s="258"/>
      <c r="AN14" s="258"/>
      <c r="AO14" s="259"/>
      <c r="AP14" s="262"/>
      <c r="AQ14" s="260"/>
      <c r="AR14" s="260"/>
      <c r="AS14" s="260"/>
      <c r="AT14" s="260"/>
      <c r="AU14" s="261"/>
      <c r="AV14" s="263"/>
      <c r="AW14" s="258"/>
      <c r="AX14" s="258"/>
      <c r="AY14" s="258"/>
      <c r="AZ14" s="258"/>
      <c r="BA14" s="259"/>
      <c r="BB14" s="119">
        <f t="shared" si="2"/>
        <v>0</v>
      </c>
      <c r="BC14" s="120">
        <f t="shared" si="3"/>
        <v>0</v>
      </c>
      <c r="BD14" s="120">
        <f t="shared" si="4"/>
        <v>0</v>
      </c>
      <c r="BE14" s="120">
        <f t="shared" si="5"/>
        <v>0</v>
      </c>
      <c r="BF14" s="120">
        <f t="shared" si="6"/>
        <v>0</v>
      </c>
      <c r="BG14" s="154">
        <f t="shared" si="7"/>
        <v>0</v>
      </c>
      <c r="BH14" s="123">
        <f>SUM(TimeSheet347536192444018281322354750220515659613035363650515317116122135[[#This Row],[1]:[4A]])</f>
        <v>0</v>
      </c>
      <c r="BI14" s="126">
        <f>IF(AND(NOT(ISBLANK($C14)),NOT(ISBLANK($E14)),$A14="x"),IF(L14=0,0,[2]!TSImport("PRTime","","Time_NINE","","Date",$BI$11,"Employee",$B$2,"JCJob",$C14,"JCExtra",$D14,"JCCostCode",$E14,"WCCode",$B14,"WCState",$G14,"State",$H14,"PayID",$BB$12,"Units",L14,"UnionID",$B$3,"UnionLocal",$F14,"UnionClass",$I14,"CertifiedClass",$J14)),0)</f>
        <v>0</v>
      </c>
      <c r="BJ14" s="127">
        <f>IF(AND(NOT(ISBLANK($C14)),NOT(ISBLANK($E14)),$A14="x"),IF(M14=0,0,[2]!TSImport("PRTime","","Time_NINE","","Date",$BI$11,"Employee",$B$2,"JCJob",$C14,"JCExtra",$D14,"JCCostCode",$E14,"WCCode",$B14,"WCState",$G14,"State",$H14,"PayID",$BC$12,"Units",M14,"UnionID",$B$3,"UnionLocal",$F14,"UnionClass",$I14,"CertifiedClass",$J14)),0)</f>
        <v>0</v>
      </c>
      <c r="BK14" s="127">
        <f>IF(AND(NOT(ISBLANK($C14)),NOT(ISBLANK($E14)),$A14="x"),IF(N14=0,0,[2]!TSImport("PRTime","","Time_NINE","","Date",$BI$11,"Employee",$B$2,"JCJob",$C14,"JCExtra",$D14,"JCCostCode",$E14,"WCCode",$B14,"WCState",$G14,"State",$H14,"PayID",$BD$12,"Units",N14,"UnionID",$B$3,"UnionLocal",$F14,"UnionClass",$I14,"CertifiedClass",$J14)),0)</f>
        <v>0</v>
      </c>
      <c r="BL14" s="127">
        <f>IF(AND(NOT(ISBLANK($C14)),NOT(ISBLANK($E14)),$A14="x"),IF(O14=0,0,[2]!TSImport("PRTime","","Time_NINE","","Date",$BI$11,"Employee",$B$2,"JCJob",$C14,"JCExtra",$D14,"JCCostCode",$E14,"WCCode",$B14,"WCState",$G14,"State",$H14,"PayID",$BE$12,"Units",O14,"UnionID",$B$3,"UnionLocal",$F14,"UnionClass",$I14,"CertifiedClass",$J14)),0)</f>
        <v>0</v>
      </c>
      <c r="BM14" s="127">
        <f>IF(AND(NOT(ISBLANK($C14)),NOT(ISBLANK($E14)),$A14="x"),IF(P14=0,0,[2]!TSImport("PRTime","","Time_NINE","","Date",$BI$11,"Employee",$B$2,"JCJob",$C14,"JCExtra",$D14,"JCCostCode",$E14,"WCCode",$B14,"WCState",$G14,"State",$H14,"PayID",$BF$12,"Units",P14,"UnionID",$B$3,"UnionLocal",$F14,"UnionClass",$I14,"CertifiedClass",$J14)),0)</f>
        <v>0</v>
      </c>
      <c r="BN14" s="128">
        <f>IF(AND(NOT(ISBLANK($C14)),NOT(ISBLANK($E14)),$A14="x"),IF(Q14=0,0,[2]!TSImport("PRTime","","Time_NINE","","Date",$BI$11,"Employee",$B$2,"JCJob",$C14,"JCExtra",$D14,"JCCostCode",$E14,"WCCode",$B14,"WCState",$G14,"State",$H14,"PayID",$BG$12,"Units",Q14,"UnionID",$B$3,"UnionLocal",$F14,"UnionClass",$I14,"CertifiedClass",$J14)),0)</f>
        <v>0</v>
      </c>
      <c r="BO14" s="126">
        <f>IF(AND(NOT(ISBLANK($C14)),NOT(ISBLANK($E14)),$A14="x"),IF(R14=0,0,[2]!TSImport("PRTime","","Time_NINE","","Date",$BO$11,"Employee",$B$2,"JCJob",$C14,"JCExtra",$D14,"JCCostCode",$E14,"WCCode",$B14,"WCState",$G14,"State",$H14,"PayID",$BB$12,"Units",R14,"UnionID",$B$3,"UnionLocal",$F14,"UnionClass",$I14,"CertifiedClass",$J14)),0)</f>
        <v>0</v>
      </c>
      <c r="BP14" s="127">
        <f>IF(AND(NOT(ISBLANK($C14)),NOT(ISBLANK($E14)),$A14="x"),IF(S14=0,0,[2]!TSImport("PRTime","","Time_NINE","","Date",$BO$11,"Employee",$B$2,"JCJob",$C14,"JCExtra",$D14,"JCCostCode",$E14,"WCCode",$B14,"WCState",$G14,"State",$H14,"PayID",$BC$12,"Units",S14,"UnionID",$B$3,"UnionLocal",$F14,"UnionClass",$I14,"CertifiedClass",$J14)),0)</f>
        <v>0</v>
      </c>
      <c r="BQ14" s="127">
        <f>IF(AND(NOT(ISBLANK($C14)),NOT(ISBLANK($E14)),$A14="x"),IF(T14=0,0,[2]!TSImport("PRTime","","Time_NINE","","Date",$BO$11,"Employee",$B$2,"JCJob",$C14,"JCExtra",$D14,"JCCostCode",$E14,"WCCode",$B14,"WCState",$G14,"State",$H14,"PayID",$BD$12,"Units",T14,"UnionID",$B$3,"UnionLocal",$F14,"UnionClass",$I14,"CertifiedClass",$J14)),0)</f>
        <v>0</v>
      </c>
      <c r="BR14" s="127">
        <f>IF(AND(NOT(ISBLANK($C14)),NOT(ISBLANK($E14)),$A14="x"),IF(U14=0,0,[2]!TSImport("PRTime","","Time_NINE","","Date",$BO$11,"Employee",$B$2,"JCJob",$C14,"JCExtra",$D14,"JCCostCode",$E14,"WCCode",$B14,"WCState",$G14,"State",$H14,"PayID",$BE$12,"Units",U14,"UnionID",$B$3,"UnionLocal",$F14,"UnionClass",$I14,"CertifiedClass",$J14)),0)</f>
        <v>0</v>
      </c>
      <c r="BS14" s="127">
        <f>IF(AND(NOT(ISBLANK($C14)),NOT(ISBLANK($E14)),$A14="x"),IF(V14=0,0,[2]!TSImport("PRTime","","Time_NINE","","Date",$BO$11,"Employee",$B$2,"JCJob",$C14,"JCExtra",$D14,"JCCostCode",$E14,"WCCode",$B14,"WCState",$G14,"State",$H14,"PayID",$BF$12,"Units",V14,"UnionID",$B$3,"UnionLocal",$F14,"UnionClass",$I14,"CertifiedClass",$J14)),0)</f>
        <v>0</v>
      </c>
      <c r="BT14" s="128">
        <f>IF(AND(NOT(ISBLANK($C14)),NOT(ISBLANK($E14)),$A14="x"),IF(W14=0,0,[2]!TSImport("PRTime","","Time_NINE","","Date",$BO$11,"Employee",$B$2,"JCJob",$C14,"JCExtra",$D14,"JCCostCode",$E14,"WCCode",$B14,"WCState",$G14,"State",$H14,"PayID",$BG$12,"Units",W14,"UnionID",$B$3,"UnionLocal",$F14,"UnionClass",$I14,"CertifiedClass",$J14)),0)</f>
        <v>0</v>
      </c>
      <c r="BU14" s="126">
        <f>IF(AND(NOT(ISBLANK($C14)),NOT(ISBLANK($E14)),$A14="x"),IF(X14=0,0,[2]!TSImport("PRTime","","Time_NINE","","Date",$BU$11,"Employee",$B$2,"JCJob",$C14,"JCExtra",$D14,"JCCostCode",$E14,"WCCode",$B14,"WCState",$G14,"State",$H14,"PayID",$BB$12,"Units",X14,"UnionID",$B$3,"UnionLocal",$F14,"UnionClass",$I14,"CertifiedClass",$J14)),0)</f>
        <v>0</v>
      </c>
      <c r="BV14" s="127">
        <f>IF(AND(NOT(ISBLANK($C14)),NOT(ISBLANK($E14)),$A14="x"),IF(Y14=0,0,[2]!TSImport("PRTime","","Time_NINE","","Date",$BU$11,"Employee",$B$2,"JCJob",$C14,"JCExtra",$D14,"JCCostCode",$E14,"WCCode",$B14,"WCState",$G14,"State",$H14,"PayID",$BC$12,"Units",Y14,"UnionID",$B$3,"UnionLocal",$F14,"UnionClass",$I14,"CertifiedClass",$J14)),0)</f>
        <v>0</v>
      </c>
      <c r="BW14" s="127">
        <f>IF(AND(NOT(ISBLANK($C14)),NOT(ISBLANK($E14)),$A14="x"),IF(Z14=0,0,[2]!TSImport("PRTime","","Time_NINE","","Date",$BU$11,"Employee",$B$2,"JCJob",$C14,"JCExtra",$D14,"JCCostCode",$E14,"WCCode",$B14,"WCState",$G14,"State",$H14,"PayID",$BD$12,"Units",Z14,"UnionID",$B$3,"UnionLocal",$F14,"UnionClass",$I14,"CertifiedClass",$J14)),0)</f>
        <v>0</v>
      </c>
      <c r="BX14" s="127">
        <f>IF(AND(NOT(ISBLANK($C14)),NOT(ISBLANK($E14)),$A14="x"),IF(AA14=0,0,[2]!TSImport("PRTime","","Time_NINE","","Date",$BU$11,"Employee",$B$2,"JCJob",$C14,"JCExtra",$D14,"JCCostCode",$E14,"WCCode",$B14,"WCState",$G14,"State",$H14,"PayID",$BE$12,"Units",AA14,"UnionID",$B$3,"UnionLocal",$F14,"UnionClass",$I14,"CertifiedClass",$J14)),0)</f>
        <v>0</v>
      </c>
      <c r="BY14" s="127">
        <f>IF(AND(NOT(ISBLANK($C14)),NOT(ISBLANK($E14)),$A14="x"),IF(AB14=0,0,[2]!TSImport("PRTime","","Time_NINE","","Date",$BU$11,"Employee",$B$2,"JCJob",$C14,"JCExtra",$D14,"JCCostCode",$E14,"WCCode",$B14,"WCState",$G14,"State",$H14,"PayID",$BF$12,"Units",AB14,"UnionID",$B$3,"UnionLocal",$F14,"UnionClass",$I14,"CertifiedClass",$J14)),0)</f>
        <v>0</v>
      </c>
      <c r="BZ14" s="128">
        <f>IF(AND(NOT(ISBLANK($C14)),NOT(ISBLANK($E14)),$A14="x"),IF(AC14=0,0,[2]!TSImport("PRTime","","Time_NINE","","Date",$BU$11,"Employee",$B$2,"JCJob",$C14,"JCExtra",$D14,"JCCostCode",$E14,"WCCode",$B14,"WCState",$G14,"State",$H14,"PayID",$BG$12,"Units",AC14,"UnionID",$B$3,"UnionLocal",$F14,"UnionClass",$I14,"CertifiedClass",$J14)),0)</f>
        <v>0</v>
      </c>
      <c r="CA14" s="126">
        <f>IF(AND(NOT(ISBLANK($C14)),NOT(ISBLANK($E14)),$A14="x"),IF(AD14=0,0,[2]!TSImport("PRTime","","Time_NINE","","Date",$CA$11,"Employee",$B$2,"JCJob",$C14,"JCExtra",$D14,"JCCostCode",$E14,"WCCode",$B14,"WCState",$G14,"State",$H14,"PayID",$BB$12,"Units",AD14,"UnionID",$B$3,"UnionLocal",$F14,"UnionClass",$I14,"CertifiedClass",$J14)),0)</f>
        <v>0</v>
      </c>
      <c r="CB14" s="127">
        <f>IF(AND(NOT(ISBLANK($C14)),NOT(ISBLANK($E14)),$A14="x"),IF(AE14=0,0,[2]!TSImport("PRTime","","Time_NINE","","Date",$CA$11,"Employee",$B$2,"JCJob",$C14,"JCExtra",$D14,"JCCostCode",$E14,"WCCode",$B14,"WCState",$G14,"State",$H14,"PayID",$BC$12,"Units",AE14,"UnionID",$B$3,"UnionLocal",$F14,"UnionClass",$I14,"CertifiedClass",$J14)),0)</f>
        <v>0</v>
      </c>
      <c r="CC14" s="127">
        <f>IF(AND(NOT(ISBLANK($C14)),NOT(ISBLANK($E14)),$A14="x"),IF(AF14=0,0,[2]!TSImport("PRTime","","Time_NINE","","Date",$CA$11,"Employee",$B$2,"JCJob",$C14,"JCExtra",$D14,"JCCostCode",$E14,"WCCode",$B14,"WCState",$G14,"State",$H14,"PayID",$BD$12,"Units",AF14,"UnionID",$B$3,"UnionLocal",$F14,"UnionClass",$I14,"CertifiedClass",$J14)),0)</f>
        <v>0</v>
      </c>
      <c r="CD14" s="127">
        <f>IF(AND(NOT(ISBLANK($C14)),NOT(ISBLANK($E14)),$A14="x"),IF(AG14=0,0,[2]!TSImport("PRTime","","Time_NINE","","Date",$CA$11,"Employee",$B$2,"JCJob",$C14,"JCExtra",$D14,"JCCostCode",$E14,"WCCode",$B14,"WCState",$G14,"State",$H14,"PayID",$BE$12,"Units",AG14,"UnionID",$B$3,"UnionLocal",$F14,"UnionClass",$I14,"CertifiedClass",$J14)),0)</f>
        <v>0</v>
      </c>
      <c r="CE14" s="127">
        <f>IF(AND(NOT(ISBLANK($C14)),NOT(ISBLANK($E14)),$A14="x"),IF(AH14=0,0,[2]!TSImport("PRTime","","Time_NINE","","Date",$CA$11,"Employee",$B$2,"JCJob",$C14,"JCExtra",$D14,"JCCostCode",$E14,"WCCode",$B14,"WCState",$G14,"State",$H14,"PayID",$BF$12,"Units",AH14,"UnionID",$B$3,"UnionLocal",$F14,"UnionClass",$I14,"CertifiedClass",$J14)),0)</f>
        <v>0</v>
      </c>
      <c r="CF14" s="128">
        <f>IF(AND(NOT(ISBLANK($C14)),NOT(ISBLANK($E14)),$A14="x"),IF(AI14=0,0,[2]!TSImport("PRTime","","Time_NINE","","Date",$CA$11,"Employee",$B$2,"JCJob",$C14,"JCExtra",$D14,"JCCostCode",$E14,"WCCode",$B14,"WCState",$G14,"State",$H14,"PayID",$BG$12,"Units",AI14,"UnionID",$B$3,"UnionLocal",$F14,"UnionClass",$I14,"CertifiedClass",$J14)),0)</f>
        <v>0</v>
      </c>
      <c r="CG14" s="126">
        <f>IF(AND(NOT(ISBLANK($C14)),NOT(ISBLANK($E14)),$A14="x"),IF(AJ14=0,0,[2]!TSImport("PRTime","","Time_NINE","","Date",$CG$11,"Employee",$B$2,"JCJob",$C14,"JCExtra",$D14,"JCCostCode",$E14,"WCCode",$B14,"WCState",$G14,"State",$H14,"PayID",$BB$12,"Units",AJ14,"UnionID",$B$3,"UnionLocal",$F14,"UnionClass",$I14,"CertifiedClass",$J14)),0)</f>
        <v>0</v>
      </c>
      <c r="CH14" s="127">
        <f>IF(AND(NOT(ISBLANK($C14)),NOT(ISBLANK($E14)),$A14="x"),IF(AK14=0,0,[2]!TSImport("PRTime","","Time_NINE","","Date",$CG$11,"Employee",$B$2,"JCJob",$C14,"JCExtra",$D14,"JCCostCode",$E14,"WCCode",$B14,"WCState",$G14,"State",$H14,"PayID",$BC$12,"Units",AK14,"UnionID",$B$3,"UnionLocal",$F14,"UnionClass",$I14,"CertifiedClass",$J14)),0)</f>
        <v>0</v>
      </c>
      <c r="CI14" s="127">
        <f>IF(AND(NOT(ISBLANK($C14)),NOT(ISBLANK($E14)),$A14="x"),IF(AL14=0,0,[2]!TSImport("PRTime","","Time_NINE","","Date",$CG$11,"Employee",$B$2,"JCJob",$C14,"JCExtra",$D14,"JCCostCode",$E14,"WCCode",$B14,"WCState",$G14,"State",$H14,"PayID",$BD$12,"Units",AL14,"UnionID",$B$3,"UnionLocal",$F14,"UnionClass",$I14,"CertifiedClass",$J14)),0)</f>
        <v>0</v>
      </c>
      <c r="CJ14" s="127">
        <f>IF(AND(NOT(ISBLANK($C14)),NOT(ISBLANK($E14)),$A14="x"),IF(AM14=0,0,[2]!TSImport("PRTime","","Time_NINE","","Date",$CG$11,"Employee",$B$2,"JCJob",$C14,"JCExtra",$D14,"JCCostCode",$E14,"WCCode",$B14,"WCState",$G14,"State",$H14,"PayID",$BE$12,"Units",AM14,"UnionID",$B$3,"UnionLocal",$F14,"UnionClass",$I14,"CertifiedClass",$J14)),0)</f>
        <v>0</v>
      </c>
      <c r="CK14" s="127">
        <f>IF(AND(NOT(ISBLANK($C14)),NOT(ISBLANK($E14)),$A14="x"),IF(AN14=0,0,[2]!TSImport("PRTime","","Time_NINE","","Date",$CG$11,"Employee",$B$2,"JCJob",$C14,"JCExtra",$D14,"JCCostCode",$E14,"WCCode",$B14,"WCState",$G14,"State",$H14,"PayID",$BF$12,"Units",AN14,"UnionID",$B$3,"UnionLocal",$F14,"UnionClass",$I14,"CertifiedClass",$J14)),0)</f>
        <v>0</v>
      </c>
      <c r="CL14" s="128">
        <f>IF(AND(NOT(ISBLANK($C14)),NOT(ISBLANK($E14)),$A14="x"),IF(AO14=0,0,[2]!TSImport("PRTime","","Time_NINE","","Date",$CG$11,"Employee",$B$2,"JCJob",$C14,"JCExtra",$D14,"JCCostCode",$E14,"WCCode",$B14,"WCState",$G14,"State",$H14,"PayID",$BG$12,"Units",AO14,"UnionID",$B$3,"UnionLocal",$F14,"UnionClass",$I14,"CertifiedClass",$J14)),0)</f>
        <v>0</v>
      </c>
      <c r="CM14" s="126">
        <f>IF(AND(NOT(ISBLANK($C14)),NOT(ISBLANK($E14)),$A14="x"),IF(AP14=0,0,[2]!TSImport("PRTime","","Time_NINE","","Date",$CM$11,"Employee",$B$2,"JCJob",$C14,"JCExtra",$D14,"JCCostCode",$E14,"WCCode",$B14,"WCState",$G14,"State",$H14,"PayID",$BB$12,"Units",AP14,"UnionID",$B$3,"UnionLocal",$F14,"UnionClass",$I14,"CertifiedClass",$J14)),0)</f>
        <v>0</v>
      </c>
      <c r="CN14" s="127">
        <f>IF(AND(NOT(ISBLANK($C14)),NOT(ISBLANK($E14)),$A14="x"),IF(AQ14=0,0,[2]!TSImport("PRTime","","Time_NINE","","Date",$CM$11,"Employee",$B$2,"JCJob",$C14,"JCExtra",$D14,"JCCostCode",$E14,"WCCode",$B14,"WCState",$G14,"State",$H14,"PayID",$BC$12,"Units",AQ14,"UnionID",$B$3,"UnionLocal",$F14,"UnionClass",$I14,"CertifiedClass",$J14)),0)</f>
        <v>0</v>
      </c>
      <c r="CO14" s="127">
        <f>IF(AND(NOT(ISBLANK($C14)),NOT(ISBLANK($E14)),$A14="x"),IF(AR14=0,0,[2]!TSImport("PRTime","","Time_NINE","","Date",$CM$11,"Employee",$B$2,"JCJob",$C14,"JCExtra",$D14,"JCCostCode",$E14,"WCCode",$B14,"WCState",$G14,"State",$H14,"PayID",$BD$12,"Units",AR14,"UnionID",$B$3,"UnionLocal",$F14,"UnionClass",$I14,"CertifiedClass",$J14)),0)</f>
        <v>0</v>
      </c>
      <c r="CP14" s="127">
        <f>IF(AND(NOT(ISBLANK($C14)),NOT(ISBLANK($E14)),$A14="x"),IF(AS14=0,0,[2]!TSImport("PRTime","","Time_NINE","","Date",$CM$11,"Employee",$B$2,"JCJob",$C14,"JCExtra",$D14,"JCCostCode",$E14,"WCCode",$B14,"WCState",$G14,"State",$H14,"PayID",$BE$12,"Units",AS14,"UnionID",$B$3,"UnionLocal",$F14,"UnionClass",$I14,"CertifiedClass",$J14)),0)</f>
        <v>0</v>
      </c>
      <c r="CQ14" s="127">
        <f>IF(AND(NOT(ISBLANK($C14)),NOT(ISBLANK($E14)),$A14="x"),IF(AT14=0,0,[2]!TSImport("PRTime","","Time_NINE","","Date",$CM$11,"Employee",$B$2,"JCJob",$C14,"JCExtra",$D14,"JCCostCode",$E14,"WCCode",$B14,"WCState",$G14,"State",$H14,"PayID",$BF$12,"Units",AT14,"UnionID",$B$3,"UnionLocal",$F14,"UnionClass",$I14,"CertifiedClass",$J14)),0)</f>
        <v>0</v>
      </c>
      <c r="CR14" s="128">
        <f>IF(AND(NOT(ISBLANK($C14)),NOT(ISBLANK($E14)),$A14="x"),IF(AU14=0,0,[2]!TSImport("PRTime","","Time_NINE","","Date",$CM$11,"Employee",$B$2,"JCJob",$C14,"JCExtra",$D14,"JCCostCode",$E14,"WCCode",$B14,"WCState",$G14,"State",$H14,"PayID",$BG$12,"Units",AU14,"UnionID",$B$3,"UnionLocal",$F14,"UnionClass",$I14,"CertifiedClass",$J14)),0)</f>
        <v>0</v>
      </c>
      <c r="CS14" s="126">
        <f>IF(AND(NOT(ISBLANK($C14)),NOT(ISBLANK($E14)),$A14="x"),IF(AV14=0,0,[2]!TSImport("PRTime","","Time_NINE","","Date",$CS$11,"Employee",$B$2,"JCJob",$C14,"JCExtra",$D14,"JCCostCode",$E14,"WCCode",$B14,"WCState",$G14,"State",$H14,"PayID",$BB$12,"Units",AV14,"UnionID",$B$3,"UnionLocal",$F14,"UnionClass",$I14,"CertifiedClass",$J14)),0)</f>
        <v>0</v>
      </c>
      <c r="CT14" s="127">
        <f>IF(AND(NOT(ISBLANK($C14)),NOT(ISBLANK($E14)),$A14="x"),IF(AW14=0,0,[2]!TSImport("PRTime","","Time_NINE","","Date",$CS$11,"Employee",$B$2,"JCJob",$C14,"JCExtra",$D14,"JCCostCode",$E14,"WCCode",$B14,"WCState",$G14,"State",$H14,"PayID",$BC$12,"Units",AW14,"UnionID",$B$3,"UnionLocal",$F14,"UnionClass",$I14,"CertifiedClass",$J14)),0)</f>
        <v>0</v>
      </c>
      <c r="CU14" s="127">
        <f>IF(AND(NOT(ISBLANK($C14)),NOT(ISBLANK($E14)),$A14="x"),IF(AX14=0,0,[2]!TSImport("PRTime","","Time_NINE","","Date",$CS$11,"Employee",$B$2,"JCJob",$C14,"JCExtra",$D14,"JCCostCode",$E14,"WCCode",$B14,"WCState",$G14,"State",$H14,"PayID",$BD$12,"Units",AX14,"UnionID",$B$3,"UnionLocal",$F14,"UnionClass",$I14,"CertifiedClass",$J14)),0)</f>
        <v>0</v>
      </c>
      <c r="CV14" s="127">
        <f>IF(AND(NOT(ISBLANK($C14)),NOT(ISBLANK($E14)),$A14="x"),IF(AY14=0,0,[2]!TSImport("PRTime","","Time_NINE","","Date",$CS$11,"Employee",$B$2,"JCJob",$C14,"JCExtra",$D14,"JCCostCode",$E14,"WCCode",$B14,"WCState",$G14,"State",$H14,"PayID",$BE$12,"Units",AY14,"UnionID",$B$3,"UnionLocal",$F14,"UnionClass",$I14,"CertifiedClass",$J14)),0)</f>
        <v>0</v>
      </c>
      <c r="CW14" s="127">
        <f>IF(AND(NOT(ISBLANK($C14)),NOT(ISBLANK($E14)),$A14="x"),IF(AZ14=0,0,[2]!TSImport("PRTime","","Time_NINE","","Date",$CS$11,"Employee",$B$2,"JCJob",$C14,"JCExtra",$D14,"JCCostCode",$E14,"WCCode",$B14,"WCState",$G14,"State",$H14,"PayID",$BF$12,"Units",AZ14,"UnionID",$B$3,"UnionLocal",$F14,"UnionClass",$I14,"CertifiedClass",$J14)),0)</f>
        <v>0</v>
      </c>
      <c r="CX14" s="128">
        <f>IF(AND(NOT(ISBLANK($C14)),NOT(ISBLANK($E14)),$A14="x"),IF(BA14=0,0,[2]!TSImport("PRTime","","Time_NINE","","Date",$CS$11,"Employee",$B$2,"JCJob",$C14,"JCExtra",$D14,"JCCostCode",$E14,"WCCode",$B14,"WCState",$G14,"State",$H14,"PayID",$BG$12,"Units",BA14,"UnionID",$B$3,"UnionLocal",$F14,"UnionClass",$I14,"CertifiedClass",$J14)),0)</f>
        <v>0</v>
      </c>
    </row>
    <row r="15" spans="1:102" ht="39" customHeight="1" x14ac:dyDescent="0.3">
      <c r="A15" s="109" t="str">
        <f t="shared" si="0"/>
        <v>x</v>
      </c>
      <c r="B15" s="276" t="s">
        <v>101</v>
      </c>
      <c r="C15" s="316" t="s">
        <v>3076</v>
      </c>
      <c r="D15" s="241"/>
      <c r="E15" s="242" t="s">
        <v>731</v>
      </c>
      <c r="F15" s="276" t="str">
        <f t="shared" si="1"/>
        <v>1245</v>
      </c>
      <c r="G15" s="276" t="s">
        <v>102</v>
      </c>
      <c r="H15" s="276" t="s">
        <v>102</v>
      </c>
      <c r="I15" s="139">
        <v>1</v>
      </c>
      <c r="J15" s="153" t="str">
        <f t="shared" si="8"/>
        <v>01</v>
      </c>
      <c r="K15" s="150">
        <v>1</v>
      </c>
      <c r="L15" s="263"/>
      <c r="M15" s="258"/>
      <c r="N15" s="258"/>
      <c r="O15" s="258"/>
      <c r="P15" s="258"/>
      <c r="Q15" s="259"/>
      <c r="R15" s="262"/>
      <c r="S15" s="260"/>
      <c r="T15" s="260"/>
      <c r="U15" s="260"/>
      <c r="V15" s="260"/>
      <c r="W15" s="261"/>
      <c r="X15" s="263"/>
      <c r="Y15" s="258"/>
      <c r="Z15" s="258"/>
      <c r="AA15" s="258"/>
      <c r="AB15" s="258"/>
      <c r="AC15" s="259"/>
      <c r="AD15" s="262"/>
      <c r="AE15" s="260"/>
      <c r="AF15" s="260"/>
      <c r="AG15" s="260"/>
      <c r="AH15" s="260"/>
      <c r="AI15" s="261"/>
      <c r="AJ15" s="263"/>
      <c r="AK15" s="258"/>
      <c r="AL15" s="258"/>
      <c r="AM15" s="258"/>
      <c r="AN15" s="258"/>
      <c r="AO15" s="259"/>
      <c r="AP15" s="262"/>
      <c r="AQ15" s="260"/>
      <c r="AR15" s="260"/>
      <c r="AS15" s="260"/>
      <c r="AT15" s="260"/>
      <c r="AU15" s="261"/>
      <c r="AV15" s="263"/>
      <c r="AW15" s="258"/>
      <c r="AX15" s="258"/>
      <c r="AY15" s="258"/>
      <c r="AZ15" s="258"/>
      <c r="BA15" s="259"/>
      <c r="BB15" s="119">
        <f t="shared" si="2"/>
        <v>0</v>
      </c>
      <c r="BC15" s="120">
        <f t="shared" si="3"/>
        <v>0</v>
      </c>
      <c r="BD15" s="120">
        <f t="shared" si="4"/>
        <v>0</v>
      </c>
      <c r="BE15" s="120">
        <f t="shared" si="5"/>
        <v>0</v>
      </c>
      <c r="BF15" s="120">
        <f t="shared" si="6"/>
        <v>0</v>
      </c>
      <c r="BG15" s="154">
        <f t="shared" si="7"/>
        <v>0</v>
      </c>
      <c r="BH15" s="123">
        <f>SUM(TimeSheet347536192444018281322354750220515659613035363650515317116122135[[#This Row],[1]:[4A]])</f>
        <v>0</v>
      </c>
      <c r="BI15" s="126">
        <f>IF(AND(NOT(ISBLANK($C15)),NOT(ISBLANK($E15)),$A15="x"),IF(L15=0,0,[2]!TSImport("PRTime","","Time_NINE","","Date",$BI$11,"Employee",$B$2,"JCJob",$C15,"JCExtra",$D15,"JCCostCode",$E15,"WCCode",$B15,"WCState",$G15,"State",$H15,"PayID",$BB$12,"Units",L15,"UnionID",$B$3,"UnionLocal",$F15,"UnionClass",$I15,"CertifiedClass",$J15)),0)</f>
        <v>0</v>
      </c>
      <c r="BJ15" s="127">
        <f>IF(AND(NOT(ISBLANK($C15)),NOT(ISBLANK($E15)),$A15="x"),IF(M15=0,0,[2]!TSImport("PRTime","","Time_NINE","","Date",$BI$11,"Employee",$B$2,"JCJob",$C15,"JCExtra",$D15,"JCCostCode",$E15,"WCCode",$B15,"WCState",$G15,"State",$H15,"PayID",$BC$12,"Units",M15,"UnionID",$B$3,"UnionLocal",$F15,"UnionClass",$I15,"CertifiedClass",$J15)),0)</f>
        <v>0</v>
      </c>
      <c r="BK15" s="127">
        <f>IF(AND(NOT(ISBLANK($C15)),NOT(ISBLANK($E15)),$A15="x"),IF(N15=0,0,[2]!TSImport("PRTime","","Time_NINE","","Date",$BI$11,"Employee",$B$2,"JCJob",$C15,"JCExtra",$D15,"JCCostCode",$E15,"WCCode",$B15,"WCState",$G15,"State",$H15,"PayID",$BD$12,"Units",N15,"UnionID",$B$3,"UnionLocal",$F15,"UnionClass",$I15,"CertifiedClass",$J15)),0)</f>
        <v>0</v>
      </c>
      <c r="BL15" s="127">
        <f>IF(AND(NOT(ISBLANK($C15)),NOT(ISBLANK($E15)),$A15="x"),IF(O15=0,0,[2]!TSImport("PRTime","","Time_NINE","","Date",$BI$11,"Employee",$B$2,"JCJob",$C15,"JCExtra",$D15,"JCCostCode",$E15,"WCCode",$B15,"WCState",$G15,"State",$H15,"PayID",$BE$12,"Units",O15,"UnionID",$B$3,"UnionLocal",$F15,"UnionClass",$I15,"CertifiedClass",$J15)),0)</f>
        <v>0</v>
      </c>
      <c r="BM15" s="127">
        <f>IF(AND(NOT(ISBLANK($C15)),NOT(ISBLANK($E15)),$A15="x"),IF(P15=0,0,[2]!TSImport("PRTime","","Time_NINE","","Date",$BI$11,"Employee",$B$2,"JCJob",$C15,"JCExtra",$D15,"JCCostCode",$E15,"WCCode",$B15,"WCState",$G15,"State",$H15,"PayID",$BF$12,"Units",P15,"UnionID",$B$3,"UnionLocal",$F15,"UnionClass",$I15,"CertifiedClass",$J15)),0)</f>
        <v>0</v>
      </c>
      <c r="BN15" s="128">
        <f>IF(AND(NOT(ISBLANK($C15)),NOT(ISBLANK($E15)),$A15="x"),IF(Q15=0,0,[2]!TSImport("PRTime","","Time_NINE","","Date",$BI$11,"Employee",$B$2,"JCJob",$C15,"JCExtra",$D15,"JCCostCode",$E15,"WCCode",$B15,"WCState",$G15,"State",$H15,"PayID",$BG$12,"Units",Q15,"UnionID",$B$3,"UnionLocal",$F15,"UnionClass",$I15,"CertifiedClass",$J15)),0)</f>
        <v>0</v>
      </c>
      <c r="BO15" s="126">
        <f>IF(AND(NOT(ISBLANK($C15)),NOT(ISBLANK($E15)),$A15="x"),IF(R15=0,0,[2]!TSImport("PRTime","","Time_NINE","","Date",$BO$11,"Employee",$B$2,"JCJob",$C15,"JCExtra",$D15,"JCCostCode",$E15,"WCCode",$B15,"WCState",$G15,"State",$H15,"PayID",$BB$12,"Units",R15,"UnionID",$B$3,"UnionLocal",$F15,"UnionClass",$I15,"CertifiedClass",$J15)),0)</f>
        <v>0</v>
      </c>
      <c r="BP15" s="127">
        <f>IF(AND(NOT(ISBLANK($C15)),NOT(ISBLANK($E15)),$A15="x"),IF(S15=0,0,[2]!TSImport("PRTime","","Time_NINE","","Date",$BO$11,"Employee",$B$2,"JCJob",$C15,"JCExtra",$D15,"JCCostCode",$E15,"WCCode",$B15,"WCState",$G15,"State",$H15,"PayID",$BC$12,"Units",S15,"UnionID",$B$3,"UnionLocal",$F15,"UnionClass",$I15,"CertifiedClass",$J15)),0)</f>
        <v>0</v>
      </c>
      <c r="BQ15" s="127">
        <f>IF(AND(NOT(ISBLANK($C15)),NOT(ISBLANK($E15)),$A15="x"),IF(T15=0,0,[2]!TSImport("PRTime","","Time_NINE","","Date",$BO$11,"Employee",$B$2,"JCJob",$C15,"JCExtra",$D15,"JCCostCode",$E15,"WCCode",$B15,"WCState",$G15,"State",$H15,"PayID",$BD$12,"Units",T15,"UnionID",$B$3,"UnionLocal",$F15,"UnionClass",$I15,"CertifiedClass",$J15)),0)</f>
        <v>0</v>
      </c>
      <c r="BR15" s="127">
        <f>IF(AND(NOT(ISBLANK($C15)),NOT(ISBLANK($E15)),$A15="x"),IF(U15=0,0,[2]!TSImport("PRTime","","Time_NINE","","Date",$BO$11,"Employee",$B$2,"JCJob",$C15,"JCExtra",$D15,"JCCostCode",$E15,"WCCode",$B15,"WCState",$G15,"State",$H15,"PayID",$BE$12,"Units",U15,"UnionID",$B$3,"UnionLocal",$F15,"UnionClass",$I15,"CertifiedClass",$J15)),0)</f>
        <v>0</v>
      </c>
      <c r="BS15" s="127">
        <f>IF(AND(NOT(ISBLANK($C15)),NOT(ISBLANK($E15)),$A15="x"),IF(V15=0,0,[2]!TSImport("PRTime","","Time_NINE","","Date",$BO$11,"Employee",$B$2,"JCJob",$C15,"JCExtra",$D15,"JCCostCode",$E15,"WCCode",$B15,"WCState",$G15,"State",$H15,"PayID",$BF$12,"Units",V15,"UnionID",$B$3,"UnionLocal",$F15,"UnionClass",$I15,"CertifiedClass",$J15)),0)</f>
        <v>0</v>
      </c>
      <c r="BT15" s="128">
        <f>IF(AND(NOT(ISBLANK($C15)),NOT(ISBLANK($E15)),$A15="x"),IF(W15=0,0,[2]!TSImport("PRTime","","Time_NINE","","Date",$BO$11,"Employee",$B$2,"JCJob",$C15,"JCExtra",$D15,"JCCostCode",$E15,"WCCode",$B15,"WCState",$G15,"State",$H15,"PayID",$BG$12,"Units",W15,"UnionID",$B$3,"UnionLocal",$F15,"UnionClass",$I15,"CertifiedClass",$J15)),0)</f>
        <v>0</v>
      </c>
      <c r="BU15" s="126">
        <f>IF(AND(NOT(ISBLANK($C15)),NOT(ISBLANK($E15)),$A15="x"),IF(X15=0,0,[2]!TSImport("PRTime","","Time_NINE","","Date",$BU$11,"Employee",$B$2,"JCJob",$C15,"JCExtra",$D15,"JCCostCode",$E15,"WCCode",$B15,"WCState",$G15,"State",$H15,"PayID",$BB$12,"Units",X15,"UnionID",$B$3,"UnionLocal",$F15,"UnionClass",$I15,"CertifiedClass",$J15)),0)</f>
        <v>0</v>
      </c>
      <c r="BV15" s="127">
        <f>IF(AND(NOT(ISBLANK($C15)),NOT(ISBLANK($E15)),$A15="x"),IF(Y15=0,0,[2]!TSImport("PRTime","","Time_NINE","","Date",$BU$11,"Employee",$B$2,"JCJob",$C15,"JCExtra",$D15,"JCCostCode",$E15,"WCCode",$B15,"WCState",$G15,"State",$H15,"PayID",$BC$12,"Units",Y15,"UnionID",$B$3,"UnionLocal",$F15,"UnionClass",$I15,"CertifiedClass",$J15)),0)</f>
        <v>0</v>
      </c>
      <c r="BW15" s="127">
        <f>IF(AND(NOT(ISBLANK($C15)),NOT(ISBLANK($E15)),$A15="x"),IF(Z15=0,0,[2]!TSImport("PRTime","","Time_NINE","","Date",$BU$11,"Employee",$B$2,"JCJob",$C15,"JCExtra",$D15,"JCCostCode",$E15,"WCCode",$B15,"WCState",$G15,"State",$H15,"PayID",$BD$12,"Units",Z15,"UnionID",$B$3,"UnionLocal",$F15,"UnionClass",$I15,"CertifiedClass",$J15)),0)</f>
        <v>0</v>
      </c>
      <c r="BX15" s="127">
        <f>IF(AND(NOT(ISBLANK($C15)),NOT(ISBLANK($E15)),$A15="x"),IF(AA15=0,0,[2]!TSImport("PRTime","","Time_NINE","","Date",$BU$11,"Employee",$B$2,"JCJob",$C15,"JCExtra",$D15,"JCCostCode",$E15,"WCCode",$B15,"WCState",$G15,"State",$H15,"PayID",$BE$12,"Units",AA15,"UnionID",$B$3,"UnionLocal",$F15,"UnionClass",$I15,"CertifiedClass",$J15)),0)</f>
        <v>0</v>
      </c>
      <c r="BY15" s="127">
        <f>IF(AND(NOT(ISBLANK($C15)),NOT(ISBLANK($E15)),$A15="x"),IF(AB15=0,0,[2]!TSImport("PRTime","","Time_NINE","","Date",$BU$11,"Employee",$B$2,"JCJob",$C15,"JCExtra",$D15,"JCCostCode",$E15,"WCCode",$B15,"WCState",$G15,"State",$H15,"PayID",$BF$12,"Units",AB15,"UnionID",$B$3,"UnionLocal",$F15,"UnionClass",$I15,"CertifiedClass",$J15)),0)</f>
        <v>0</v>
      </c>
      <c r="BZ15" s="128">
        <f>IF(AND(NOT(ISBLANK($C15)),NOT(ISBLANK($E15)),$A15="x"),IF(AC15=0,0,[2]!TSImport("PRTime","","Time_NINE","","Date",$BU$11,"Employee",$B$2,"JCJob",$C15,"JCExtra",$D15,"JCCostCode",$E15,"WCCode",$B15,"WCState",$G15,"State",$H15,"PayID",$BG$12,"Units",AC15,"UnionID",$B$3,"UnionLocal",$F15,"UnionClass",$I15,"CertifiedClass",$J15)),0)</f>
        <v>0</v>
      </c>
      <c r="CA15" s="126">
        <f>IF(AND(NOT(ISBLANK($C15)),NOT(ISBLANK($E15)),$A15="x"),IF(AD15=0,0,[2]!TSImport("PRTime","","Time_NINE","","Date",$CA$11,"Employee",$B$2,"JCJob",$C15,"JCExtra",$D15,"JCCostCode",$E15,"WCCode",$B15,"WCState",$G15,"State",$H15,"PayID",$BB$12,"Units",AD15,"UnionID",$B$3,"UnionLocal",$F15,"UnionClass",$I15,"CertifiedClass",$J15)),0)</f>
        <v>0</v>
      </c>
      <c r="CB15" s="127">
        <f>IF(AND(NOT(ISBLANK($C15)),NOT(ISBLANK($E15)),$A15="x"),IF(AE15=0,0,[2]!TSImport("PRTime","","Time_NINE","","Date",$CA$11,"Employee",$B$2,"JCJob",$C15,"JCExtra",$D15,"JCCostCode",$E15,"WCCode",$B15,"WCState",$G15,"State",$H15,"PayID",$BC$12,"Units",AE15,"UnionID",$B$3,"UnionLocal",$F15,"UnionClass",$I15,"CertifiedClass",$J15)),0)</f>
        <v>0</v>
      </c>
      <c r="CC15" s="127">
        <f>IF(AND(NOT(ISBLANK($C15)),NOT(ISBLANK($E15)),$A15="x"),IF(AF15=0,0,[2]!TSImport("PRTime","","Time_NINE","","Date",$CA$11,"Employee",$B$2,"JCJob",$C15,"JCExtra",$D15,"JCCostCode",$E15,"WCCode",$B15,"WCState",$G15,"State",$H15,"PayID",$BD$12,"Units",AF15,"UnionID",$B$3,"UnionLocal",$F15,"UnionClass",$I15,"CertifiedClass",$J15)),0)</f>
        <v>0</v>
      </c>
      <c r="CD15" s="127">
        <f>IF(AND(NOT(ISBLANK($C15)),NOT(ISBLANK($E15)),$A15="x"),IF(AG15=0,0,[2]!TSImport("PRTime","","Time_NINE","","Date",$CA$11,"Employee",$B$2,"JCJob",$C15,"JCExtra",$D15,"JCCostCode",$E15,"WCCode",$B15,"WCState",$G15,"State",$H15,"PayID",$BE$12,"Units",AG15,"UnionID",$B$3,"UnionLocal",$F15,"UnionClass",$I15,"CertifiedClass",$J15)),0)</f>
        <v>0</v>
      </c>
      <c r="CE15" s="127">
        <f>IF(AND(NOT(ISBLANK($C15)),NOT(ISBLANK($E15)),$A15="x"),IF(AH15=0,0,[2]!TSImport("PRTime","","Time_NINE","","Date",$CA$11,"Employee",$B$2,"JCJob",$C15,"JCExtra",$D15,"JCCostCode",$E15,"WCCode",$B15,"WCState",$G15,"State",$H15,"PayID",$BF$12,"Units",AH15,"UnionID",$B$3,"UnionLocal",$F15,"UnionClass",$I15,"CertifiedClass",$J15)),0)</f>
        <v>0</v>
      </c>
      <c r="CF15" s="128">
        <f>IF(AND(NOT(ISBLANK($C15)),NOT(ISBLANK($E15)),$A15="x"),IF(AI15=0,0,[2]!TSImport("PRTime","","Time_NINE","","Date",$CA$11,"Employee",$B$2,"JCJob",$C15,"JCExtra",$D15,"JCCostCode",$E15,"WCCode",$B15,"WCState",$G15,"State",$H15,"PayID",$BG$12,"Units",AI15,"UnionID",$B$3,"UnionLocal",$F15,"UnionClass",$I15,"CertifiedClass",$J15)),0)</f>
        <v>0</v>
      </c>
      <c r="CG15" s="126">
        <f>IF(AND(NOT(ISBLANK($C15)),NOT(ISBLANK($E15)),$A15="x"),IF(AJ15=0,0,[2]!TSImport("PRTime","","Time_NINE","","Date",$CG$11,"Employee",$B$2,"JCJob",$C15,"JCExtra",$D15,"JCCostCode",$E15,"WCCode",$B15,"WCState",$G15,"State",$H15,"PayID",$BB$12,"Units",AJ15,"UnionID",$B$3,"UnionLocal",$F15,"UnionClass",$I15,"CertifiedClass",$J15)),0)</f>
        <v>0</v>
      </c>
      <c r="CH15" s="127">
        <f>IF(AND(NOT(ISBLANK($C15)),NOT(ISBLANK($E15)),$A15="x"),IF(AK15=0,0,[2]!TSImport("PRTime","","Time_NINE","","Date",$CG$11,"Employee",$B$2,"JCJob",$C15,"JCExtra",$D15,"JCCostCode",$E15,"WCCode",$B15,"WCState",$G15,"State",$H15,"PayID",$BC$12,"Units",AK15,"UnionID",$B$3,"UnionLocal",$F15,"UnionClass",$I15,"CertifiedClass",$J15)),0)</f>
        <v>0</v>
      </c>
      <c r="CI15" s="127">
        <f>IF(AND(NOT(ISBLANK($C15)),NOT(ISBLANK($E15)),$A15="x"),IF(AL15=0,0,[2]!TSImport("PRTime","","Time_NINE","","Date",$CG$11,"Employee",$B$2,"JCJob",$C15,"JCExtra",$D15,"JCCostCode",$E15,"WCCode",$B15,"WCState",$G15,"State",$H15,"PayID",$BD$12,"Units",AL15,"UnionID",$B$3,"UnionLocal",$F15,"UnionClass",$I15,"CertifiedClass",$J15)),0)</f>
        <v>0</v>
      </c>
      <c r="CJ15" s="127">
        <f>IF(AND(NOT(ISBLANK($C15)),NOT(ISBLANK($E15)),$A15="x"),IF(AM15=0,0,[2]!TSImport("PRTime","","Time_NINE","","Date",$CG$11,"Employee",$B$2,"JCJob",$C15,"JCExtra",$D15,"JCCostCode",$E15,"WCCode",$B15,"WCState",$G15,"State",$H15,"PayID",$BE$12,"Units",AM15,"UnionID",$B$3,"UnionLocal",$F15,"UnionClass",$I15,"CertifiedClass",$J15)),0)</f>
        <v>0</v>
      </c>
      <c r="CK15" s="127">
        <f>IF(AND(NOT(ISBLANK($C15)),NOT(ISBLANK($E15)),$A15="x"),IF(AN15=0,0,[2]!TSImport("PRTime","","Time_NINE","","Date",$CG$11,"Employee",$B$2,"JCJob",$C15,"JCExtra",$D15,"JCCostCode",$E15,"WCCode",$B15,"WCState",$G15,"State",$H15,"PayID",$BF$12,"Units",AN15,"UnionID",$B$3,"UnionLocal",$F15,"UnionClass",$I15,"CertifiedClass",$J15)),0)</f>
        <v>0</v>
      </c>
      <c r="CL15" s="128">
        <f>IF(AND(NOT(ISBLANK($C15)),NOT(ISBLANK($E15)),$A15="x"),IF(AO15=0,0,[2]!TSImport("PRTime","","Time_NINE","","Date",$CG$11,"Employee",$B$2,"JCJob",$C15,"JCExtra",$D15,"JCCostCode",$E15,"WCCode",$B15,"WCState",$G15,"State",$H15,"PayID",$BG$12,"Units",AO15,"UnionID",$B$3,"UnionLocal",$F15,"UnionClass",$I15,"CertifiedClass",$J15)),0)</f>
        <v>0</v>
      </c>
      <c r="CM15" s="126">
        <f>IF(AND(NOT(ISBLANK($C15)),NOT(ISBLANK($E15)),$A15="x"),IF(AP15=0,0,[2]!TSImport("PRTime","","Time_NINE","","Date",$CM$11,"Employee",$B$2,"JCJob",$C15,"JCExtra",$D15,"JCCostCode",$E15,"WCCode",$B15,"WCState",$G15,"State",$H15,"PayID",$BB$12,"Units",AP15,"UnionID",$B$3,"UnionLocal",$F15,"UnionClass",$I15,"CertifiedClass",$J15)),0)</f>
        <v>0</v>
      </c>
      <c r="CN15" s="127">
        <f>IF(AND(NOT(ISBLANK($C15)),NOT(ISBLANK($E15)),$A15="x"),IF(AQ15=0,0,[2]!TSImport("PRTime","","Time_NINE","","Date",$CM$11,"Employee",$B$2,"JCJob",$C15,"JCExtra",$D15,"JCCostCode",$E15,"WCCode",$B15,"WCState",$G15,"State",$H15,"PayID",$BC$12,"Units",AQ15,"UnionID",$B$3,"UnionLocal",$F15,"UnionClass",$I15,"CertifiedClass",$J15)),0)</f>
        <v>0</v>
      </c>
      <c r="CO15" s="127">
        <f>IF(AND(NOT(ISBLANK($C15)),NOT(ISBLANK($E15)),$A15="x"),IF(AR15=0,0,[2]!TSImport("PRTime","","Time_NINE","","Date",$CM$11,"Employee",$B$2,"JCJob",$C15,"JCExtra",$D15,"JCCostCode",$E15,"WCCode",$B15,"WCState",$G15,"State",$H15,"PayID",$BD$12,"Units",AR15,"UnionID",$B$3,"UnionLocal",$F15,"UnionClass",$I15,"CertifiedClass",$J15)),0)</f>
        <v>0</v>
      </c>
      <c r="CP15" s="127">
        <f>IF(AND(NOT(ISBLANK($C15)),NOT(ISBLANK($E15)),$A15="x"),IF(AS15=0,0,[2]!TSImport("PRTime","","Time_NINE","","Date",$CM$11,"Employee",$B$2,"JCJob",$C15,"JCExtra",$D15,"JCCostCode",$E15,"WCCode",$B15,"WCState",$G15,"State",$H15,"PayID",$BE$12,"Units",AS15,"UnionID",$B$3,"UnionLocal",$F15,"UnionClass",$I15,"CertifiedClass",$J15)),0)</f>
        <v>0</v>
      </c>
      <c r="CQ15" s="127">
        <f>IF(AND(NOT(ISBLANK($C15)),NOT(ISBLANK($E15)),$A15="x"),IF(AT15=0,0,[2]!TSImport("PRTime","","Time_NINE","","Date",$CM$11,"Employee",$B$2,"JCJob",$C15,"JCExtra",$D15,"JCCostCode",$E15,"WCCode",$B15,"WCState",$G15,"State",$H15,"PayID",$BF$12,"Units",AT15,"UnionID",$B$3,"UnionLocal",$F15,"UnionClass",$I15,"CertifiedClass",$J15)),0)</f>
        <v>0</v>
      </c>
      <c r="CR15" s="128">
        <f>IF(AND(NOT(ISBLANK($C15)),NOT(ISBLANK($E15)),$A15="x"),IF(AU15=0,0,[2]!TSImport("PRTime","","Time_NINE","","Date",$CM$11,"Employee",$B$2,"JCJob",$C15,"JCExtra",$D15,"JCCostCode",$E15,"WCCode",$B15,"WCState",$G15,"State",$H15,"PayID",$BG$12,"Units",AU15,"UnionID",$B$3,"UnionLocal",$F15,"UnionClass",$I15,"CertifiedClass",$J15)),0)</f>
        <v>0</v>
      </c>
      <c r="CS15" s="126">
        <f>IF(AND(NOT(ISBLANK($C15)),NOT(ISBLANK($E15)),$A15="x"),IF(AV15=0,0,[2]!TSImport("PRTime","","Time_NINE","","Date",$CS$11,"Employee",$B$2,"JCJob",$C15,"JCExtra",$D15,"JCCostCode",$E15,"WCCode",$B15,"WCState",$G15,"State",$H15,"PayID",$BB$12,"Units",AV15,"UnionID",$B$3,"UnionLocal",$F15,"UnionClass",$I15,"CertifiedClass",$J15)),0)</f>
        <v>0</v>
      </c>
      <c r="CT15" s="127">
        <f>IF(AND(NOT(ISBLANK($C15)),NOT(ISBLANK($E15)),$A15="x"),IF(AW15=0,0,[2]!TSImport("PRTime","","Time_NINE","","Date",$CS$11,"Employee",$B$2,"JCJob",$C15,"JCExtra",$D15,"JCCostCode",$E15,"WCCode",$B15,"WCState",$G15,"State",$H15,"PayID",$BC$12,"Units",AW15,"UnionID",$B$3,"UnionLocal",$F15,"UnionClass",$I15,"CertifiedClass",$J15)),0)</f>
        <v>0</v>
      </c>
      <c r="CU15" s="127">
        <f>IF(AND(NOT(ISBLANK($C15)),NOT(ISBLANK($E15)),$A15="x"),IF(AX15=0,0,[2]!TSImport("PRTime","","Time_NINE","","Date",$CS$11,"Employee",$B$2,"JCJob",$C15,"JCExtra",$D15,"JCCostCode",$E15,"WCCode",$B15,"WCState",$G15,"State",$H15,"PayID",$BD$12,"Units",AX15,"UnionID",$B$3,"UnionLocal",$F15,"UnionClass",$I15,"CertifiedClass",$J15)),0)</f>
        <v>0</v>
      </c>
      <c r="CV15" s="127">
        <f>IF(AND(NOT(ISBLANK($C15)),NOT(ISBLANK($E15)),$A15="x"),IF(AY15=0,0,[2]!TSImport("PRTime","","Time_NINE","","Date",$CS$11,"Employee",$B$2,"JCJob",$C15,"JCExtra",$D15,"JCCostCode",$E15,"WCCode",$B15,"WCState",$G15,"State",$H15,"PayID",$BE$12,"Units",AY15,"UnionID",$B$3,"UnionLocal",$F15,"UnionClass",$I15,"CertifiedClass",$J15)),0)</f>
        <v>0</v>
      </c>
      <c r="CW15" s="127">
        <f>IF(AND(NOT(ISBLANK($C15)),NOT(ISBLANK($E15)),$A15="x"),IF(AZ15=0,0,[2]!TSImport("PRTime","","Time_NINE","","Date",$CS$11,"Employee",$B$2,"JCJob",$C15,"JCExtra",$D15,"JCCostCode",$E15,"WCCode",$B15,"WCState",$G15,"State",$H15,"PayID",$BF$12,"Units",AZ15,"UnionID",$B$3,"UnionLocal",$F15,"UnionClass",$I15,"CertifiedClass",$J15)),0)</f>
        <v>0</v>
      </c>
      <c r="CX15" s="128">
        <f>IF(AND(NOT(ISBLANK($C15)),NOT(ISBLANK($E15)),$A15="x"),IF(BA15=0,0,[2]!TSImport("PRTime","","Time_NINE","","Date",$CS$11,"Employee",$B$2,"JCJob",$C15,"JCExtra",$D15,"JCCostCode",$E15,"WCCode",$B15,"WCState",$G15,"State",$H15,"PayID",$BG$12,"Units",BA15,"UnionID",$B$3,"UnionLocal",$F15,"UnionClass",$I15,"CertifiedClass",$J15)),0)</f>
        <v>0</v>
      </c>
    </row>
    <row r="16" spans="1:102" ht="39" customHeight="1" x14ac:dyDescent="0.3">
      <c r="A16" s="109" t="str">
        <f t="shared" si="0"/>
        <v/>
      </c>
      <c r="B16" s="276" t="s">
        <v>101</v>
      </c>
      <c r="C16" s="276"/>
      <c r="D16" s="277"/>
      <c r="E16" s="276"/>
      <c r="F16" s="276" t="str">
        <f t="shared" si="1"/>
        <v>1245</v>
      </c>
      <c r="G16" s="276" t="s">
        <v>102</v>
      </c>
      <c r="H16" s="276" t="s">
        <v>102</v>
      </c>
      <c r="I16" s="139">
        <v>1</v>
      </c>
      <c r="J16" s="153" t="str">
        <f t="shared" si="8"/>
        <v>01</v>
      </c>
      <c r="K16" s="150">
        <v>1</v>
      </c>
      <c r="L16" s="263"/>
      <c r="M16" s="258"/>
      <c r="N16" s="258"/>
      <c r="O16" s="258"/>
      <c r="P16" s="258"/>
      <c r="Q16" s="259"/>
      <c r="R16" s="262"/>
      <c r="S16" s="260"/>
      <c r="T16" s="260"/>
      <c r="U16" s="260"/>
      <c r="V16" s="260"/>
      <c r="W16" s="261"/>
      <c r="X16" s="263"/>
      <c r="Y16" s="258"/>
      <c r="Z16" s="258"/>
      <c r="AA16" s="258"/>
      <c r="AB16" s="258"/>
      <c r="AC16" s="259"/>
      <c r="AD16" s="262"/>
      <c r="AE16" s="260"/>
      <c r="AF16" s="260"/>
      <c r="AG16" s="260"/>
      <c r="AH16" s="260"/>
      <c r="AI16" s="261"/>
      <c r="AJ16" s="263"/>
      <c r="AK16" s="258"/>
      <c r="AL16" s="258"/>
      <c r="AM16" s="258"/>
      <c r="AN16" s="258"/>
      <c r="AO16" s="259"/>
      <c r="AP16" s="262"/>
      <c r="AQ16" s="260"/>
      <c r="AR16" s="260"/>
      <c r="AS16" s="260"/>
      <c r="AT16" s="260"/>
      <c r="AU16" s="261"/>
      <c r="AV16" s="263"/>
      <c r="AW16" s="258"/>
      <c r="AX16" s="258"/>
      <c r="AY16" s="258"/>
      <c r="AZ16" s="258"/>
      <c r="BA16" s="259"/>
      <c r="BB16" s="119">
        <f t="shared" si="2"/>
        <v>0</v>
      </c>
      <c r="BC16" s="120">
        <f t="shared" si="3"/>
        <v>0</v>
      </c>
      <c r="BD16" s="120">
        <f t="shared" si="4"/>
        <v>0</v>
      </c>
      <c r="BE16" s="120">
        <f t="shared" si="5"/>
        <v>0</v>
      </c>
      <c r="BF16" s="120">
        <f t="shared" si="6"/>
        <v>0</v>
      </c>
      <c r="BG16" s="154">
        <f t="shared" si="7"/>
        <v>0</v>
      </c>
      <c r="BH16" s="123">
        <f>SUM(TimeSheet347536192444018281322354750220515659613035363650515317116122135[[#This Row],[1]:[4A]])</f>
        <v>0</v>
      </c>
      <c r="BI16" s="126">
        <f>IF(AND(NOT(ISBLANK($C16)),NOT(ISBLANK($E16)),$A16="x"),IF(L16=0,0,[2]!TSImport("PRTime","","Time_NINE","","Date",$BI$11,"Employee",$B$2,"JCJob",$C16,"JCExtra",$D16,"JCCostCode",$E16,"WCCode",$B16,"WCState",$G16,"State",$H16,"PayID",$BB$12,"Units",L16,"UnionID",$B$3,"UnionLocal",$F16,"UnionClass",$I16,"CertifiedClass",$J16)),0)</f>
        <v>0</v>
      </c>
      <c r="BJ16" s="127">
        <f>IF(AND(NOT(ISBLANK($C16)),NOT(ISBLANK($E16)),$A16="x"),IF(M16=0,0,[2]!TSImport("PRTime","","Time_NINE","","Date",$BI$11,"Employee",$B$2,"JCJob",$C16,"JCExtra",$D16,"JCCostCode",$E16,"WCCode",$B16,"WCState",$G16,"State",$H16,"PayID",$BC$12,"Units",M16,"UnionID",$B$3,"UnionLocal",$F16,"UnionClass",$I16,"CertifiedClass",$J16)),0)</f>
        <v>0</v>
      </c>
      <c r="BK16" s="127">
        <f>IF(AND(NOT(ISBLANK($C16)),NOT(ISBLANK($E16)),$A16="x"),IF(N16=0,0,[2]!TSImport("PRTime","","Time_NINE","","Date",$BI$11,"Employee",$B$2,"JCJob",$C16,"JCExtra",$D16,"JCCostCode",$E16,"WCCode",$B16,"WCState",$G16,"State",$H16,"PayID",$BD$12,"Units",N16,"UnionID",$B$3,"UnionLocal",$F16,"UnionClass",$I16,"CertifiedClass",$J16)),0)</f>
        <v>0</v>
      </c>
      <c r="BL16" s="127">
        <f>IF(AND(NOT(ISBLANK($C16)),NOT(ISBLANK($E16)),$A16="x"),IF(O16=0,0,[2]!TSImport("PRTime","","Time_NINE","","Date",$BI$11,"Employee",$B$2,"JCJob",$C16,"JCExtra",$D16,"JCCostCode",$E16,"WCCode",$B16,"WCState",$G16,"State",$H16,"PayID",$BE$12,"Units",O16,"UnionID",$B$3,"UnionLocal",$F16,"UnionClass",$I16,"CertifiedClass",$J16)),0)</f>
        <v>0</v>
      </c>
      <c r="BM16" s="127">
        <f>IF(AND(NOT(ISBLANK($C16)),NOT(ISBLANK($E16)),$A16="x"),IF(P16=0,0,[2]!TSImport("PRTime","","Time_NINE","","Date",$BI$11,"Employee",$B$2,"JCJob",$C16,"JCExtra",$D16,"JCCostCode",$E16,"WCCode",$B16,"WCState",$G16,"State",$H16,"PayID",$BF$12,"Units",P16,"UnionID",$B$3,"UnionLocal",$F16,"UnionClass",$I16,"CertifiedClass",$J16)),0)</f>
        <v>0</v>
      </c>
      <c r="BN16" s="128">
        <f>IF(AND(NOT(ISBLANK($C16)),NOT(ISBLANK($E16)),$A16="x"),IF(Q16=0,0,[2]!TSImport("PRTime","","Time_NINE","","Date",$BI$11,"Employee",$B$2,"JCJob",$C16,"JCExtra",$D16,"JCCostCode",$E16,"WCCode",$B16,"WCState",$G16,"State",$H16,"PayID",$BG$12,"Units",Q16,"UnionID",$B$3,"UnionLocal",$F16,"UnionClass",$I16,"CertifiedClass",$J16)),0)</f>
        <v>0</v>
      </c>
      <c r="BO16" s="126">
        <f>IF(AND(NOT(ISBLANK($C16)),NOT(ISBLANK($E16)),$A16="x"),IF(R16=0,0,[2]!TSImport("PRTime","","Time_NINE","","Date",$BO$11,"Employee",$B$2,"JCJob",$C16,"JCExtra",$D16,"JCCostCode",$E16,"WCCode",$B16,"WCState",$G16,"State",$H16,"PayID",$BB$12,"Units",R16,"UnionID",$B$3,"UnionLocal",$F16,"UnionClass",$I16,"CertifiedClass",$J16)),0)</f>
        <v>0</v>
      </c>
      <c r="BP16" s="127">
        <f>IF(AND(NOT(ISBLANK($C16)),NOT(ISBLANK($E16)),$A16="x"),IF(S16=0,0,[2]!TSImport("PRTime","","Time_NINE","","Date",$BO$11,"Employee",$B$2,"JCJob",$C16,"JCExtra",$D16,"JCCostCode",$E16,"WCCode",$B16,"WCState",$G16,"State",$H16,"PayID",$BC$12,"Units",S16,"UnionID",$B$3,"UnionLocal",$F16,"UnionClass",$I16,"CertifiedClass",$J16)),0)</f>
        <v>0</v>
      </c>
      <c r="BQ16" s="127">
        <f>IF(AND(NOT(ISBLANK($C16)),NOT(ISBLANK($E16)),$A16="x"),IF(T16=0,0,[2]!TSImport("PRTime","","Time_NINE","","Date",$BO$11,"Employee",$B$2,"JCJob",$C16,"JCExtra",$D16,"JCCostCode",$E16,"WCCode",$B16,"WCState",$G16,"State",$H16,"PayID",$BD$12,"Units",T16,"UnionID",$B$3,"UnionLocal",$F16,"UnionClass",$I16,"CertifiedClass",$J16)),0)</f>
        <v>0</v>
      </c>
      <c r="BR16" s="127">
        <f>IF(AND(NOT(ISBLANK($C16)),NOT(ISBLANK($E16)),$A16="x"),IF(U16=0,0,[2]!TSImport("PRTime","","Time_NINE","","Date",$BO$11,"Employee",$B$2,"JCJob",$C16,"JCExtra",$D16,"JCCostCode",$E16,"WCCode",$B16,"WCState",$G16,"State",$H16,"PayID",$BE$12,"Units",U16,"UnionID",$B$3,"UnionLocal",$F16,"UnionClass",$I16,"CertifiedClass",$J16)),0)</f>
        <v>0</v>
      </c>
      <c r="BS16" s="127">
        <f>IF(AND(NOT(ISBLANK($C16)),NOT(ISBLANK($E16)),$A16="x"),IF(V16=0,0,[2]!TSImport("PRTime","","Time_NINE","","Date",$BO$11,"Employee",$B$2,"JCJob",$C16,"JCExtra",$D16,"JCCostCode",$E16,"WCCode",$B16,"WCState",$G16,"State",$H16,"PayID",$BF$12,"Units",V16,"UnionID",$B$3,"UnionLocal",$F16,"UnionClass",$I16,"CertifiedClass",$J16)),0)</f>
        <v>0</v>
      </c>
      <c r="BT16" s="128">
        <f>IF(AND(NOT(ISBLANK($C16)),NOT(ISBLANK($E16)),$A16="x"),IF(W16=0,0,[2]!TSImport("PRTime","","Time_NINE","","Date",$BO$11,"Employee",$B$2,"JCJob",$C16,"JCExtra",$D16,"JCCostCode",$E16,"WCCode",$B16,"WCState",$G16,"State",$H16,"PayID",$BG$12,"Units",W16,"UnionID",$B$3,"UnionLocal",$F16,"UnionClass",$I16,"CertifiedClass",$J16)),0)</f>
        <v>0</v>
      </c>
      <c r="BU16" s="126">
        <f>IF(AND(NOT(ISBLANK($C16)),NOT(ISBLANK($E16)),$A16="x"),IF(X16=0,0,[2]!TSImport("PRTime","","Time_NINE","","Date",$BU$11,"Employee",$B$2,"JCJob",$C16,"JCExtra",$D16,"JCCostCode",$E16,"WCCode",$B16,"WCState",$G16,"State",$H16,"PayID",$BB$12,"Units",X16,"UnionID",$B$3,"UnionLocal",$F16,"UnionClass",$I16,"CertifiedClass",$J16)),0)</f>
        <v>0</v>
      </c>
      <c r="BV16" s="127">
        <f>IF(AND(NOT(ISBLANK($C16)),NOT(ISBLANK($E16)),$A16="x"),IF(Y16=0,0,[2]!TSImport("PRTime","","Time_NINE","","Date",$BU$11,"Employee",$B$2,"JCJob",$C16,"JCExtra",$D16,"JCCostCode",$E16,"WCCode",$B16,"WCState",$G16,"State",$H16,"PayID",$BC$12,"Units",Y16,"UnionID",$B$3,"UnionLocal",$F16,"UnionClass",$I16,"CertifiedClass",$J16)),0)</f>
        <v>0</v>
      </c>
      <c r="BW16" s="127">
        <f>IF(AND(NOT(ISBLANK($C16)),NOT(ISBLANK($E16)),$A16="x"),IF(Z16=0,0,[2]!TSImport("PRTime","","Time_NINE","","Date",$BU$11,"Employee",$B$2,"JCJob",$C16,"JCExtra",$D16,"JCCostCode",$E16,"WCCode",$B16,"WCState",$G16,"State",$H16,"PayID",$BD$12,"Units",Z16,"UnionID",$B$3,"UnionLocal",$F16,"UnionClass",$I16,"CertifiedClass",$J16)),0)</f>
        <v>0</v>
      </c>
      <c r="BX16" s="127">
        <f>IF(AND(NOT(ISBLANK($C16)),NOT(ISBLANK($E16)),$A16="x"),IF(AA16=0,0,[2]!TSImport("PRTime","","Time_NINE","","Date",$BU$11,"Employee",$B$2,"JCJob",$C16,"JCExtra",$D16,"JCCostCode",$E16,"WCCode",$B16,"WCState",$G16,"State",$H16,"PayID",$BE$12,"Units",AA16,"UnionID",$B$3,"UnionLocal",$F16,"UnionClass",$I16,"CertifiedClass",$J16)),0)</f>
        <v>0</v>
      </c>
      <c r="BY16" s="127">
        <f>IF(AND(NOT(ISBLANK($C16)),NOT(ISBLANK($E16)),$A16="x"),IF(AB16=0,0,[2]!TSImport("PRTime","","Time_NINE","","Date",$BU$11,"Employee",$B$2,"JCJob",$C16,"JCExtra",$D16,"JCCostCode",$E16,"WCCode",$B16,"WCState",$G16,"State",$H16,"PayID",$BF$12,"Units",AB16,"UnionID",$B$3,"UnionLocal",$F16,"UnionClass",$I16,"CertifiedClass",$J16)),0)</f>
        <v>0</v>
      </c>
      <c r="BZ16" s="128">
        <f>IF(AND(NOT(ISBLANK($C16)),NOT(ISBLANK($E16)),$A16="x"),IF(AC16=0,0,[2]!TSImport("PRTime","","Time_NINE","","Date",$BU$11,"Employee",$B$2,"JCJob",$C16,"JCExtra",$D16,"JCCostCode",$E16,"WCCode",$B16,"WCState",$G16,"State",$H16,"PayID",$BG$12,"Units",AC16,"UnionID",$B$3,"UnionLocal",$F16,"UnionClass",$I16,"CertifiedClass",$J16)),0)</f>
        <v>0</v>
      </c>
      <c r="CA16" s="126">
        <f>IF(AND(NOT(ISBLANK($C16)),NOT(ISBLANK($E16)),$A16="x"),IF(AD16=0,0,[2]!TSImport("PRTime","","Time_NINE","","Date",$CA$11,"Employee",$B$2,"JCJob",$C16,"JCExtra",$D16,"JCCostCode",$E16,"WCCode",$B16,"WCState",$G16,"State",$H16,"PayID",$BB$12,"Units",AD16,"UnionID",$B$3,"UnionLocal",$F16,"UnionClass",$I16,"CertifiedClass",$J16)),0)</f>
        <v>0</v>
      </c>
      <c r="CB16" s="127">
        <f>IF(AND(NOT(ISBLANK($C16)),NOT(ISBLANK($E16)),$A16="x"),IF(AE16=0,0,[2]!TSImport("PRTime","","Time_NINE","","Date",$CA$11,"Employee",$B$2,"JCJob",$C16,"JCExtra",$D16,"JCCostCode",$E16,"WCCode",$B16,"WCState",$G16,"State",$H16,"PayID",$BC$12,"Units",AE16,"UnionID",$B$3,"UnionLocal",$F16,"UnionClass",$I16,"CertifiedClass",$J16)),0)</f>
        <v>0</v>
      </c>
      <c r="CC16" s="127">
        <f>IF(AND(NOT(ISBLANK($C16)),NOT(ISBLANK($E16)),$A16="x"),IF(AF16=0,0,[2]!TSImport("PRTime","","Time_NINE","","Date",$CA$11,"Employee",$B$2,"JCJob",$C16,"JCExtra",$D16,"JCCostCode",$E16,"WCCode",$B16,"WCState",$G16,"State",$H16,"PayID",$BD$12,"Units",AF16,"UnionID",$B$3,"UnionLocal",$F16,"UnionClass",$I16,"CertifiedClass",$J16)),0)</f>
        <v>0</v>
      </c>
      <c r="CD16" s="127">
        <f>IF(AND(NOT(ISBLANK($C16)),NOT(ISBLANK($E16)),$A16="x"),IF(AG16=0,0,[2]!TSImport("PRTime","","Time_NINE","","Date",$CA$11,"Employee",$B$2,"JCJob",$C16,"JCExtra",$D16,"JCCostCode",$E16,"WCCode",$B16,"WCState",$G16,"State",$H16,"PayID",$BE$12,"Units",AG16,"UnionID",$B$3,"UnionLocal",$F16,"UnionClass",$I16,"CertifiedClass",$J16)),0)</f>
        <v>0</v>
      </c>
      <c r="CE16" s="127">
        <f>IF(AND(NOT(ISBLANK($C16)),NOT(ISBLANK($E16)),$A16="x"),IF(AH16=0,0,[2]!TSImport("PRTime","","Time_NINE","","Date",$CA$11,"Employee",$B$2,"JCJob",$C16,"JCExtra",$D16,"JCCostCode",$E16,"WCCode",$B16,"WCState",$G16,"State",$H16,"PayID",$BF$12,"Units",AH16,"UnionID",$B$3,"UnionLocal",$F16,"UnionClass",$I16,"CertifiedClass",$J16)),0)</f>
        <v>0</v>
      </c>
      <c r="CF16" s="128">
        <f>IF(AND(NOT(ISBLANK($C16)),NOT(ISBLANK($E16)),$A16="x"),IF(AI16=0,0,[2]!TSImport("PRTime","","Time_NINE","","Date",$CA$11,"Employee",$B$2,"JCJob",$C16,"JCExtra",$D16,"JCCostCode",$E16,"WCCode",$B16,"WCState",$G16,"State",$H16,"PayID",$BG$12,"Units",AI16,"UnionID",$B$3,"UnionLocal",$F16,"UnionClass",$I16,"CertifiedClass",$J16)),0)</f>
        <v>0</v>
      </c>
      <c r="CG16" s="126">
        <f>IF(AND(NOT(ISBLANK($C16)),NOT(ISBLANK($E16)),$A16="x"),IF(AJ16=0,0,[2]!TSImport("PRTime","","Time_NINE","","Date",$CG$11,"Employee",$B$2,"JCJob",$C16,"JCExtra",$D16,"JCCostCode",$E16,"WCCode",$B16,"WCState",$G16,"State",$H16,"PayID",$BB$12,"Units",AJ16,"UnionID",$B$3,"UnionLocal",$F16,"UnionClass",$I16,"CertifiedClass",$J16)),0)</f>
        <v>0</v>
      </c>
      <c r="CH16" s="127">
        <f>IF(AND(NOT(ISBLANK($C16)),NOT(ISBLANK($E16)),$A16="x"),IF(AK16=0,0,[2]!TSImport("PRTime","","Time_NINE","","Date",$CG$11,"Employee",$B$2,"JCJob",$C16,"JCExtra",$D16,"JCCostCode",$E16,"WCCode",$B16,"WCState",$G16,"State",$H16,"PayID",$BC$12,"Units",AK16,"UnionID",$B$3,"UnionLocal",$F16,"UnionClass",$I16,"CertifiedClass",$J16)),0)</f>
        <v>0</v>
      </c>
      <c r="CI16" s="127">
        <f>IF(AND(NOT(ISBLANK($C16)),NOT(ISBLANK($E16)),$A16="x"),IF(AL16=0,0,[2]!TSImport("PRTime","","Time_NINE","","Date",$CG$11,"Employee",$B$2,"JCJob",$C16,"JCExtra",$D16,"JCCostCode",$E16,"WCCode",$B16,"WCState",$G16,"State",$H16,"PayID",$BD$12,"Units",AL16,"UnionID",$B$3,"UnionLocal",$F16,"UnionClass",$I16,"CertifiedClass",$J16)),0)</f>
        <v>0</v>
      </c>
      <c r="CJ16" s="127">
        <f>IF(AND(NOT(ISBLANK($C16)),NOT(ISBLANK($E16)),$A16="x"),IF(AM16=0,0,[2]!TSImport("PRTime","","Time_NINE","","Date",$CG$11,"Employee",$B$2,"JCJob",$C16,"JCExtra",$D16,"JCCostCode",$E16,"WCCode",$B16,"WCState",$G16,"State",$H16,"PayID",$BE$12,"Units",AM16,"UnionID",$B$3,"UnionLocal",$F16,"UnionClass",$I16,"CertifiedClass",$J16)),0)</f>
        <v>0</v>
      </c>
      <c r="CK16" s="127">
        <f>IF(AND(NOT(ISBLANK($C16)),NOT(ISBLANK($E16)),$A16="x"),IF(AN16=0,0,[2]!TSImport("PRTime","","Time_NINE","","Date",$CG$11,"Employee",$B$2,"JCJob",$C16,"JCExtra",$D16,"JCCostCode",$E16,"WCCode",$B16,"WCState",$G16,"State",$H16,"PayID",$BF$12,"Units",AN16,"UnionID",$B$3,"UnionLocal",$F16,"UnionClass",$I16,"CertifiedClass",$J16)),0)</f>
        <v>0</v>
      </c>
      <c r="CL16" s="128">
        <f>IF(AND(NOT(ISBLANK($C16)),NOT(ISBLANK($E16)),$A16="x"),IF(AO16=0,0,[2]!TSImport("PRTime","","Time_NINE","","Date",$CG$11,"Employee",$B$2,"JCJob",$C16,"JCExtra",$D16,"JCCostCode",$E16,"WCCode",$B16,"WCState",$G16,"State",$H16,"PayID",$BG$12,"Units",AO16,"UnionID",$B$3,"UnionLocal",$F16,"UnionClass",$I16,"CertifiedClass",$J16)),0)</f>
        <v>0</v>
      </c>
      <c r="CM16" s="126">
        <f>IF(AND(NOT(ISBLANK($C16)),NOT(ISBLANK($E16)),$A16="x"),IF(AP16=0,0,[2]!TSImport("PRTime","","Time_NINE","","Date",$CM$11,"Employee",$B$2,"JCJob",$C16,"JCExtra",$D16,"JCCostCode",$E16,"WCCode",$B16,"WCState",$G16,"State",$H16,"PayID",$BB$12,"Units",AP16,"UnionID",$B$3,"UnionLocal",$F16,"UnionClass",$I16,"CertifiedClass",$J16)),0)</f>
        <v>0</v>
      </c>
      <c r="CN16" s="127">
        <f>IF(AND(NOT(ISBLANK($C16)),NOT(ISBLANK($E16)),$A16="x"),IF(AQ16=0,0,[2]!TSImport("PRTime","","Time_NINE","","Date",$CM$11,"Employee",$B$2,"JCJob",$C16,"JCExtra",$D16,"JCCostCode",$E16,"WCCode",$B16,"WCState",$G16,"State",$H16,"PayID",$BC$12,"Units",AQ16,"UnionID",$B$3,"UnionLocal",$F16,"UnionClass",$I16,"CertifiedClass",$J16)),0)</f>
        <v>0</v>
      </c>
      <c r="CO16" s="127">
        <f>IF(AND(NOT(ISBLANK($C16)),NOT(ISBLANK($E16)),$A16="x"),IF(AR16=0,0,[2]!TSImport("PRTime","","Time_NINE","","Date",$CM$11,"Employee",$B$2,"JCJob",$C16,"JCExtra",$D16,"JCCostCode",$E16,"WCCode",$B16,"WCState",$G16,"State",$H16,"PayID",$BD$12,"Units",AR16,"UnionID",$B$3,"UnionLocal",$F16,"UnionClass",$I16,"CertifiedClass",$J16)),0)</f>
        <v>0</v>
      </c>
      <c r="CP16" s="127">
        <f>IF(AND(NOT(ISBLANK($C16)),NOT(ISBLANK($E16)),$A16="x"),IF(AS16=0,0,[2]!TSImport("PRTime","","Time_NINE","","Date",$CM$11,"Employee",$B$2,"JCJob",$C16,"JCExtra",$D16,"JCCostCode",$E16,"WCCode",$B16,"WCState",$G16,"State",$H16,"PayID",$BE$12,"Units",AS16,"UnionID",$B$3,"UnionLocal",$F16,"UnionClass",$I16,"CertifiedClass",$J16)),0)</f>
        <v>0</v>
      </c>
      <c r="CQ16" s="127">
        <f>IF(AND(NOT(ISBLANK($C16)),NOT(ISBLANK($E16)),$A16="x"),IF(AT16=0,0,[2]!TSImport("PRTime","","Time_NINE","","Date",$CM$11,"Employee",$B$2,"JCJob",$C16,"JCExtra",$D16,"JCCostCode",$E16,"WCCode",$B16,"WCState",$G16,"State",$H16,"PayID",$BF$12,"Units",AT16,"UnionID",$B$3,"UnionLocal",$F16,"UnionClass",$I16,"CertifiedClass",$J16)),0)</f>
        <v>0</v>
      </c>
      <c r="CR16" s="128">
        <f>IF(AND(NOT(ISBLANK($C16)),NOT(ISBLANK($E16)),$A16="x"),IF(AU16=0,0,[2]!TSImport("PRTime","","Time_NINE","","Date",$CM$11,"Employee",$B$2,"JCJob",$C16,"JCExtra",$D16,"JCCostCode",$E16,"WCCode",$B16,"WCState",$G16,"State",$H16,"PayID",$BG$12,"Units",AU16,"UnionID",$B$3,"UnionLocal",$F16,"UnionClass",$I16,"CertifiedClass",$J16)),0)</f>
        <v>0</v>
      </c>
      <c r="CS16" s="126">
        <f>IF(AND(NOT(ISBLANK($C16)),NOT(ISBLANK($E16)),$A16="x"),IF(AV16=0,0,[2]!TSImport("PRTime","","Time_NINE","","Date",$CS$11,"Employee",$B$2,"JCJob",$C16,"JCExtra",$D16,"JCCostCode",$E16,"WCCode",$B16,"WCState",$G16,"State",$H16,"PayID",$BB$12,"Units",AV16,"UnionID",$B$3,"UnionLocal",$F16,"UnionClass",$I16,"CertifiedClass",$J16)),0)</f>
        <v>0</v>
      </c>
      <c r="CT16" s="127">
        <f>IF(AND(NOT(ISBLANK($C16)),NOT(ISBLANK($E16)),$A16="x"),IF(AW16=0,0,[2]!TSImport("PRTime","","Time_NINE","","Date",$CS$11,"Employee",$B$2,"JCJob",$C16,"JCExtra",$D16,"JCCostCode",$E16,"WCCode",$B16,"WCState",$G16,"State",$H16,"PayID",$BC$12,"Units",AW16,"UnionID",$B$3,"UnionLocal",$F16,"UnionClass",$I16,"CertifiedClass",$J16)),0)</f>
        <v>0</v>
      </c>
      <c r="CU16" s="127">
        <f>IF(AND(NOT(ISBLANK($C16)),NOT(ISBLANK($E16)),$A16="x"),IF(AX16=0,0,[2]!TSImport("PRTime","","Time_NINE","","Date",$CS$11,"Employee",$B$2,"JCJob",$C16,"JCExtra",$D16,"JCCostCode",$E16,"WCCode",$B16,"WCState",$G16,"State",$H16,"PayID",$BD$12,"Units",AX16,"UnionID",$B$3,"UnionLocal",$F16,"UnionClass",$I16,"CertifiedClass",$J16)),0)</f>
        <v>0</v>
      </c>
      <c r="CV16" s="127">
        <f>IF(AND(NOT(ISBLANK($C16)),NOT(ISBLANK($E16)),$A16="x"),IF(AY16=0,0,[2]!TSImport("PRTime","","Time_NINE","","Date",$CS$11,"Employee",$B$2,"JCJob",$C16,"JCExtra",$D16,"JCCostCode",$E16,"WCCode",$B16,"WCState",$G16,"State",$H16,"PayID",$BE$12,"Units",AY16,"UnionID",$B$3,"UnionLocal",$F16,"UnionClass",$I16,"CertifiedClass",$J16)),0)</f>
        <v>0</v>
      </c>
      <c r="CW16" s="127">
        <f>IF(AND(NOT(ISBLANK($C16)),NOT(ISBLANK($E16)),$A16="x"),IF(AZ16=0,0,[2]!TSImport("PRTime","","Time_NINE","","Date",$CS$11,"Employee",$B$2,"JCJob",$C16,"JCExtra",$D16,"JCCostCode",$E16,"WCCode",$B16,"WCState",$G16,"State",$H16,"PayID",$BF$12,"Units",AZ16,"UnionID",$B$3,"UnionLocal",$F16,"UnionClass",$I16,"CertifiedClass",$J16)),0)</f>
        <v>0</v>
      </c>
      <c r="CX16" s="128">
        <f>IF(AND(NOT(ISBLANK($C16)),NOT(ISBLANK($E16)),$A16="x"),IF(BA16=0,0,[2]!TSImport("PRTime","","Time_NINE","","Date",$CS$11,"Employee",$B$2,"JCJob",$C16,"JCExtra",$D16,"JCCostCode",$E16,"WCCode",$B16,"WCState",$G16,"State",$H16,"PayID",$BG$12,"Units",BA16,"UnionID",$B$3,"UnionLocal",$F16,"UnionClass",$I16,"CertifiedClass",$J16)),0)</f>
        <v>0</v>
      </c>
    </row>
    <row r="17" spans="1:102" ht="39" customHeight="1" x14ac:dyDescent="0.3">
      <c r="A17" s="109" t="str">
        <f t="shared" si="0"/>
        <v>x</v>
      </c>
      <c r="B17" s="276" t="s">
        <v>101</v>
      </c>
      <c r="C17" s="312" t="s">
        <v>3846</v>
      </c>
      <c r="D17" s="313"/>
      <c r="E17" s="314" t="s">
        <v>731</v>
      </c>
      <c r="F17" s="276" t="str">
        <f t="shared" si="1"/>
        <v>1245</v>
      </c>
      <c r="G17" s="276" t="s">
        <v>102</v>
      </c>
      <c r="H17" s="276" t="s">
        <v>102</v>
      </c>
      <c r="I17" s="139">
        <v>1</v>
      </c>
      <c r="J17" s="153" t="str">
        <f t="shared" si="8"/>
        <v>01</v>
      </c>
      <c r="K17" s="150">
        <v>1</v>
      </c>
      <c r="L17" s="263"/>
      <c r="M17" s="258"/>
      <c r="N17" s="258"/>
      <c r="O17" s="258"/>
      <c r="P17" s="258"/>
      <c r="Q17" s="259"/>
      <c r="R17" s="262"/>
      <c r="S17" s="260"/>
      <c r="T17" s="260"/>
      <c r="U17" s="260"/>
      <c r="V17" s="260"/>
      <c r="W17" s="261"/>
      <c r="X17" s="263"/>
      <c r="Y17" s="258"/>
      <c r="Z17" s="258"/>
      <c r="AA17" s="258"/>
      <c r="AB17" s="258"/>
      <c r="AC17" s="259"/>
      <c r="AD17" s="262"/>
      <c r="AE17" s="260"/>
      <c r="AF17" s="260"/>
      <c r="AG17" s="260"/>
      <c r="AH17" s="260"/>
      <c r="AI17" s="261"/>
      <c r="AJ17" s="263"/>
      <c r="AK17" s="258"/>
      <c r="AL17" s="258"/>
      <c r="AM17" s="258"/>
      <c r="AN17" s="258"/>
      <c r="AO17" s="259"/>
      <c r="AP17" s="262"/>
      <c r="AQ17" s="260"/>
      <c r="AR17" s="260"/>
      <c r="AS17" s="260"/>
      <c r="AT17" s="260"/>
      <c r="AU17" s="261"/>
      <c r="AV17" s="263"/>
      <c r="AW17" s="258"/>
      <c r="AX17" s="258"/>
      <c r="AY17" s="258"/>
      <c r="AZ17" s="258"/>
      <c r="BA17" s="259"/>
      <c r="BB17" s="119">
        <f t="shared" si="2"/>
        <v>0</v>
      </c>
      <c r="BC17" s="120">
        <f t="shared" si="3"/>
        <v>0</v>
      </c>
      <c r="BD17" s="120">
        <f t="shared" si="4"/>
        <v>0</v>
      </c>
      <c r="BE17" s="120">
        <f t="shared" si="5"/>
        <v>0</v>
      </c>
      <c r="BF17" s="120">
        <f t="shared" si="6"/>
        <v>0</v>
      </c>
      <c r="BG17" s="154">
        <f t="shared" si="7"/>
        <v>0</v>
      </c>
      <c r="BH17" s="123">
        <f>SUM(TimeSheet347536192444018281322354750220515659613035363650515317116122135[[#This Row],[1]:[4A]])</f>
        <v>0</v>
      </c>
      <c r="BI17" s="126">
        <f>IF(AND(NOT(ISBLANK($C17)),NOT(ISBLANK($E17)),$A17="x"),IF(L17=0,0,[2]!TSImport("PRTime","","Time_NINE","","Date",$BI$11,"Employee",$B$2,"JCJob",$C17,"JCExtra",$D17,"JCCostCode",$E17,"WCCode",$B17,"WCState",$G17,"State",$H17,"PayID",$BB$12,"Units",L17,"UnionID",$B$3,"UnionLocal",$F17,"UnionClass",$I17,"CertifiedClass",$J17)),0)</f>
        <v>0</v>
      </c>
      <c r="BJ17" s="127">
        <f>IF(AND(NOT(ISBLANK($C17)),NOT(ISBLANK($E17)),$A17="x"),IF(M17=0,0,[2]!TSImport("PRTime","","Time_NINE","","Date",$BI$11,"Employee",$B$2,"JCJob",$C17,"JCExtra",$D17,"JCCostCode",$E17,"WCCode",$B17,"WCState",$G17,"State",$H17,"PayID",$BC$12,"Units",M17,"UnionID",$B$3,"UnionLocal",$F17,"UnionClass",$I17,"CertifiedClass",$J17)),0)</f>
        <v>0</v>
      </c>
      <c r="BK17" s="127">
        <f>IF(AND(NOT(ISBLANK($C17)),NOT(ISBLANK($E17)),$A17="x"),IF(N17=0,0,[2]!TSImport("PRTime","","Time_NINE","","Date",$BI$11,"Employee",$B$2,"JCJob",$C17,"JCExtra",$D17,"JCCostCode",$E17,"WCCode",$B17,"WCState",$G17,"State",$H17,"PayID",$BD$12,"Units",N17,"UnionID",$B$3,"UnionLocal",$F17,"UnionClass",$I17,"CertifiedClass",$J17)),0)</f>
        <v>0</v>
      </c>
      <c r="BL17" s="127">
        <f>IF(AND(NOT(ISBLANK($C17)),NOT(ISBLANK($E17)),$A17="x"),IF(O17=0,0,[2]!TSImport("PRTime","","Time_NINE","","Date",$BI$11,"Employee",$B$2,"JCJob",$C17,"JCExtra",$D17,"JCCostCode",$E17,"WCCode",$B17,"WCState",$G17,"State",$H17,"PayID",$BE$12,"Units",O17,"UnionID",$B$3,"UnionLocal",$F17,"UnionClass",$I17,"CertifiedClass",$J17)),0)</f>
        <v>0</v>
      </c>
      <c r="BM17" s="127">
        <f>IF(AND(NOT(ISBLANK($C17)),NOT(ISBLANK($E17)),$A17="x"),IF(P17=0,0,[2]!TSImport("PRTime","","Time_NINE","","Date",$BI$11,"Employee",$B$2,"JCJob",$C17,"JCExtra",$D17,"JCCostCode",$E17,"WCCode",$B17,"WCState",$G17,"State",$H17,"PayID",$BF$12,"Units",P17,"UnionID",$B$3,"UnionLocal",$F17,"UnionClass",$I17,"CertifiedClass",$J17)),0)</f>
        <v>0</v>
      </c>
      <c r="BN17" s="128">
        <f>IF(AND(NOT(ISBLANK($C17)),NOT(ISBLANK($E17)),$A17="x"),IF(Q17=0,0,[2]!TSImport("PRTime","","Time_NINE","","Date",$BI$11,"Employee",$B$2,"JCJob",$C17,"JCExtra",$D17,"JCCostCode",$E17,"WCCode",$B17,"WCState",$G17,"State",$H17,"PayID",$BG$12,"Units",Q17,"UnionID",$B$3,"UnionLocal",$F17,"UnionClass",$I17,"CertifiedClass",$J17)),0)</f>
        <v>0</v>
      </c>
      <c r="BO17" s="126">
        <f>IF(AND(NOT(ISBLANK($C17)),NOT(ISBLANK($E17)),$A17="x"),IF(R17=0,0,[2]!TSImport("PRTime","","Time_NINE","","Date",$BO$11,"Employee",$B$2,"JCJob",$C17,"JCExtra",$D17,"JCCostCode",$E17,"WCCode",$B17,"WCState",$G17,"State",$H17,"PayID",$BB$12,"Units",R17,"UnionID",$B$3,"UnionLocal",$F17,"UnionClass",$I17,"CertifiedClass",$J17)),0)</f>
        <v>0</v>
      </c>
      <c r="BP17" s="127">
        <f>IF(AND(NOT(ISBLANK($C17)),NOT(ISBLANK($E17)),$A17="x"),IF(S17=0,0,[2]!TSImport("PRTime","","Time_NINE","","Date",$BO$11,"Employee",$B$2,"JCJob",$C17,"JCExtra",$D17,"JCCostCode",$E17,"WCCode",$B17,"WCState",$G17,"State",$H17,"PayID",$BC$12,"Units",S17,"UnionID",$B$3,"UnionLocal",$F17,"UnionClass",$I17,"CertifiedClass",$J17)),0)</f>
        <v>0</v>
      </c>
      <c r="BQ17" s="127">
        <f>IF(AND(NOT(ISBLANK($C17)),NOT(ISBLANK($E17)),$A17="x"),IF(T17=0,0,[2]!TSImport("PRTime","","Time_NINE","","Date",$BO$11,"Employee",$B$2,"JCJob",$C17,"JCExtra",$D17,"JCCostCode",$E17,"WCCode",$B17,"WCState",$G17,"State",$H17,"PayID",$BD$12,"Units",T17,"UnionID",$B$3,"UnionLocal",$F17,"UnionClass",$I17,"CertifiedClass",$J17)),0)</f>
        <v>0</v>
      </c>
      <c r="BR17" s="127">
        <f>IF(AND(NOT(ISBLANK($C17)),NOT(ISBLANK($E17)),$A17="x"),IF(U17=0,0,[2]!TSImport("PRTime","","Time_NINE","","Date",$BO$11,"Employee",$B$2,"JCJob",$C17,"JCExtra",$D17,"JCCostCode",$E17,"WCCode",$B17,"WCState",$G17,"State",$H17,"PayID",$BE$12,"Units",U17,"UnionID",$B$3,"UnionLocal",$F17,"UnionClass",$I17,"CertifiedClass",$J17)),0)</f>
        <v>0</v>
      </c>
      <c r="BS17" s="127">
        <f>IF(AND(NOT(ISBLANK($C17)),NOT(ISBLANK($E17)),$A17="x"),IF(V17=0,0,[2]!TSImport("PRTime","","Time_NINE","","Date",$BO$11,"Employee",$B$2,"JCJob",$C17,"JCExtra",$D17,"JCCostCode",$E17,"WCCode",$B17,"WCState",$G17,"State",$H17,"PayID",$BF$12,"Units",V17,"UnionID",$B$3,"UnionLocal",$F17,"UnionClass",$I17,"CertifiedClass",$J17)),0)</f>
        <v>0</v>
      </c>
      <c r="BT17" s="128">
        <f>IF(AND(NOT(ISBLANK($C17)),NOT(ISBLANK($E17)),$A17="x"),IF(W17=0,0,[2]!TSImport("PRTime","","Time_NINE","","Date",$BO$11,"Employee",$B$2,"JCJob",$C17,"JCExtra",$D17,"JCCostCode",$E17,"WCCode",$B17,"WCState",$G17,"State",$H17,"PayID",$BG$12,"Units",W17,"UnionID",$B$3,"UnionLocal",$F17,"UnionClass",$I17,"CertifiedClass",$J17)),0)</f>
        <v>0</v>
      </c>
      <c r="BU17" s="126">
        <f>IF(AND(NOT(ISBLANK($C17)),NOT(ISBLANK($E17)),$A17="x"),IF(X17=0,0,[2]!TSImport("PRTime","","Time_NINE","","Date",$BU$11,"Employee",$B$2,"JCJob",$C17,"JCExtra",$D17,"JCCostCode",$E17,"WCCode",$B17,"WCState",$G17,"State",$H17,"PayID",$BB$12,"Units",X17,"UnionID",$B$3,"UnionLocal",$F17,"UnionClass",$I17,"CertifiedClass",$J17)),0)</f>
        <v>0</v>
      </c>
      <c r="BV17" s="127">
        <f>IF(AND(NOT(ISBLANK($C17)),NOT(ISBLANK($E17)),$A17="x"),IF(Y17=0,0,[2]!TSImport("PRTime","","Time_NINE","","Date",$BU$11,"Employee",$B$2,"JCJob",$C17,"JCExtra",$D17,"JCCostCode",$E17,"WCCode",$B17,"WCState",$G17,"State",$H17,"PayID",$BC$12,"Units",Y17,"UnionID",$B$3,"UnionLocal",$F17,"UnionClass",$I17,"CertifiedClass",$J17)),0)</f>
        <v>0</v>
      </c>
      <c r="BW17" s="127">
        <f>IF(AND(NOT(ISBLANK($C17)),NOT(ISBLANK($E17)),$A17="x"),IF(Z17=0,0,[2]!TSImport("PRTime","","Time_NINE","","Date",$BU$11,"Employee",$B$2,"JCJob",$C17,"JCExtra",$D17,"JCCostCode",$E17,"WCCode",$B17,"WCState",$G17,"State",$H17,"PayID",$BD$12,"Units",Z17,"UnionID",$B$3,"UnionLocal",$F17,"UnionClass",$I17,"CertifiedClass",$J17)),0)</f>
        <v>0</v>
      </c>
      <c r="BX17" s="127">
        <f>IF(AND(NOT(ISBLANK($C17)),NOT(ISBLANK($E17)),$A17="x"),IF(AA17=0,0,[2]!TSImport("PRTime","","Time_NINE","","Date",$BU$11,"Employee",$B$2,"JCJob",$C17,"JCExtra",$D17,"JCCostCode",$E17,"WCCode",$B17,"WCState",$G17,"State",$H17,"PayID",$BE$12,"Units",AA17,"UnionID",$B$3,"UnionLocal",$F17,"UnionClass",$I17,"CertifiedClass",$J17)),0)</f>
        <v>0</v>
      </c>
      <c r="BY17" s="127">
        <f>IF(AND(NOT(ISBLANK($C17)),NOT(ISBLANK($E17)),$A17="x"),IF(AB17=0,0,[2]!TSImport("PRTime","","Time_NINE","","Date",$BU$11,"Employee",$B$2,"JCJob",$C17,"JCExtra",$D17,"JCCostCode",$E17,"WCCode",$B17,"WCState",$G17,"State",$H17,"PayID",$BF$12,"Units",AB17,"UnionID",$B$3,"UnionLocal",$F17,"UnionClass",$I17,"CertifiedClass",$J17)),0)</f>
        <v>0</v>
      </c>
      <c r="BZ17" s="128">
        <f>IF(AND(NOT(ISBLANK($C17)),NOT(ISBLANK($E17)),$A17="x"),IF(AC17=0,0,[2]!TSImport("PRTime","","Time_NINE","","Date",$BU$11,"Employee",$B$2,"JCJob",$C17,"JCExtra",$D17,"JCCostCode",$E17,"WCCode",$B17,"WCState",$G17,"State",$H17,"PayID",$BG$12,"Units",AC17,"UnionID",$B$3,"UnionLocal",$F17,"UnionClass",$I17,"CertifiedClass",$J17)),0)</f>
        <v>0</v>
      </c>
      <c r="CA17" s="126">
        <f>IF(AND(NOT(ISBLANK($C17)),NOT(ISBLANK($E17)),$A17="x"),IF(AD17=0,0,[2]!TSImport("PRTime","","Time_NINE","","Date",$CA$11,"Employee",$B$2,"JCJob",$C17,"JCExtra",$D17,"JCCostCode",$E17,"WCCode",$B17,"WCState",$G17,"State",$H17,"PayID",$BB$12,"Units",AD17,"UnionID",$B$3,"UnionLocal",$F17,"UnionClass",$I17,"CertifiedClass",$J17)),0)</f>
        <v>0</v>
      </c>
      <c r="CB17" s="127">
        <f>IF(AND(NOT(ISBLANK($C17)),NOT(ISBLANK($E17)),$A17="x"),IF(AE17=0,0,[2]!TSImport("PRTime","","Time_NINE","","Date",$CA$11,"Employee",$B$2,"JCJob",$C17,"JCExtra",$D17,"JCCostCode",$E17,"WCCode",$B17,"WCState",$G17,"State",$H17,"PayID",$BC$12,"Units",AE17,"UnionID",$B$3,"UnionLocal",$F17,"UnionClass",$I17,"CertifiedClass",$J17)),0)</f>
        <v>0</v>
      </c>
      <c r="CC17" s="127">
        <f>IF(AND(NOT(ISBLANK($C17)),NOT(ISBLANK($E17)),$A17="x"),IF(AF17=0,0,[2]!TSImport("PRTime","","Time_NINE","","Date",$CA$11,"Employee",$B$2,"JCJob",$C17,"JCExtra",$D17,"JCCostCode",$E17,"WCCode",$B17,"WCState",$G17,"State",$H17,"PayID",$BD$12,"Units",AF17,"UnionID",$B$3,"UnionLocal",$F17,"UnionClass",$I17,"CertifiedClass",$J17)),0)</f>
        <v>0</v>
      </c>
      <c r="CD17" s="127">
        <f>IF(AND(NOT(ISBLANK($C17)),NOT(ISBLANK($E17)),$A17="x"),IF(AG17=0,0,[2]!TSImport("PRTime","","Time_NINE","","Date",$CA$11,"Employee",$B$2,"JCJob",$C17,"JCExtra",$D17,"JCCostCode",$E17,"WCCode",$B17,"WCState",$G17,"State",$H17,"PayID",$BE$12,"Units",AG17,"UnionID",$B$3,"UnionLocal",$F17,"UnionClass",$I17,"CertifiedClass",$J17)),0)</f>
        <v>0</v>
      </c>
      <c r="CE17" s="127">
        <f>IF(AND(NOT(ISBLANK($C17)),NOT(ISBLANK($E17)),$A17="x"),IF(AH17=0,0,[2]!TSImport("PRTime","","Time_NINE","","Date",$CA$11,"Employee",$B$2,"JCJob",$C17,"JCExtra",$D17,"JCCostCode",$E17,"WCCode",$B17,"WCState",$G17,"State",$H17,"PayID",$BF$12,"Units",AH17,"UnionID",$B$3,"UnionLocal",$F17,"UnionClass",$I17,"CertifiedClass",$J17)),0)</f>
        <v>0</v>
      </c>
      <c r="CF17" s="128">
        <f>IF(AND(NOT(ISBLANK($C17)),NOT(ISBLANK($E17)),$A17="x"),IF(AI17=0,0,[2]!TSImport("PRTime","","Time_NINE","","Date",$CA$11,"Employee",$B$2,"JCJob",$C17,"JCExtra",$D17,"JCCostCode",$E17,"WCCode",$B17,"WCState",$G17,"State",$H17,"PayID",$BG$12,"Units",AI17,"UnionID",$B$3,"UnionLocal",$F17,"UnionClass",$I17,"CertifiedClass",$J17)),0)</f>
        <v>0</v>
      </c>
      <c r="CG17" s="126">
        <f>IF(AND(NOT(ISBLANK($C17)),NOT(ISBLANK($E17)),$A17="x"),IF(AJ17=0,0,[2]!TSImport("PRTime","","Time_NINE","","Date",$CG$11,"Employee",$B$2,"JCJob",$C17,"JCExtra",$D17,"JCCostCode",$E17,"WCCode",$B17,"WCState",$G17,"State",$H17,"PayID",$BB$12,"Units",AJ17,"UnionID",$B$3,"UnionLocal",$F17,"UnionClass",$I17,"CertifiedClass",$J17)),0)</f>
        <v>0</v>
      </c>
      <c r="CH17" s="127">
        <f>IF(AND(NOT(ISBLANK($C17)),NOT(ISBLANK($E17)),$A17="x"),IF(AK17=0,0,[2]!TSImport("PRTime","","Time_NINE","","Date",$CG$11,"Employee",$B$2,"JCJob",$C17,"JCExtra",$D17,"JCCostCode",$E17,"WCCode",$B17,"WCState",$G17,"State",$H17,"PayID",$BC$12,"Units",AK17,"UnionID",$B$3,"UnionLocal",$F17,"UnionClass",$I17,"CertifiedClass",$J17)),0)</f>
        <v>0</v>
      </c>
      <c r="CI17" s="127">
        <f>IF(AND(NOT(ISBLANK($C17)),NOT(ISBLANK($E17)),$A17="x"),IF(AL17=0,0,[2]!TSImport("PRTime","","Time_NINE","","Date",$CG$11,"Employee",$B$2,"JCJob",$C17,"JCExtra",$D17,"JCCostCode",$E17,"WCCode",$B17,"WCState",$G17,"State",$H17,"PayID",$BD$12,"Units",AL17,"UnionID",$B$3,"UnionLocal",$F17,"UnionClass",$I17,"CertifiedClass",$J17)),0)</f>
        <v>0</v>
      </c>
      <c r="CJ17" s="127">
        <f>IF(AND(NOT(ISBLANK($C17)),NOT(ISBLANK($E17)),$A17="x"),IF(AM17=0,0,[2]!TSImport("PRTime","","Time_NINE","","Date",$CG$11,"Employee",$B$2,"JCJob",$C17,"JCExtra",$D17,"JCCostCode",$E17,"WCCode",$B17,"WCState",$G17,"State",$H17,"PayID",$BE$12,"Units",AM17,"UnionID",$B$3,"UnionLocal",$F17,"UnionClass",$I17,"CertifiedClass",$J17)),0)</f>
        <v>0</v>
      </c>
      <c r="CK17" s="127">
        <f>IF(AND(NOT(ISBLANK($C17)),NOT(ISBLANK($E17)),$A17="x"),IF(AN17=0,0,[2]!TSImport("PRTime","","Time_NINE","","Date",$CG$11,"Employee",$B$2,"JCJob",$C17,"JCExtra",$D17,"JCCostCode",$E17,"WCCode",$B17,"WCState",$G17,"State",$H17,"PayID",$BF$12,"Units",AN17,"UnionID",$B$3,"UnionLocal",$F17,"UnionClass",$I17,"CertifiedClass",$J17)),0)</f>
        <v>0</v>
      </c>
      <c r="CL17" s="128">
        <f>IF(AND(NOT(ISBLANK($C17)),NOT(ISBLANK($E17)),$A17="x"),IF(AO17=0,0,[2]!TSImport("PRTime","","Time_NINE","","Date",$CG$11,"Employee",$B$2,"JCJob",$C17,"JCExtra",$D17,"JCCostCode",$E17,"WCCode",$B17,"WCState",$G17,"State",$H17,"PayID",$BG$12,"Units",AO17,"UnionID",$B$3,"UnionLocal",$F17,"UnionClass",$I17,"CertifiedClass",$J17)),0)</f>
        <v>0</v>
      </c>
      <c r="CM17" s="126">
        <f>IF(AND(NOT(ISBLANK($C17)),NOT(ISBLANK($E17)),$A17="x"),IF(AP17=0,0,[2]!TSImport("PRTime","","Time_NINE","","Date",$CM$11,"Employee",$B$2,"JCJob",$C17,"JCExtra",$D17,"JCCostCode",$E17,"WCCode",$B17,"WCState",$G17,"State",$H17,"PayID",$BB$12,"Units",AP17,"UnionID",$B$3,"UnionLocal",$F17,"UnionClass",$I17,"CertifiedClass",$J17)),0)</f>
        <v>0</v>
      </c>
      <c r="CN17" s="127">
        <f>IF(AND(NOT(ISBLANK($C17)),NOT(ISBLANK($E17)),$A17="x"),IF(AQ17=0,0,[2]!TSImport("PRTime","","Time_NINE","","Date",$CM$11,"Employee",$B$2,"JCJob",$C17,"JCExtra",$D17,"JCCostCode",$E17,"WCCode",$B17,"WCState",$G17,"State",$H17,"PayID",$BC$12,"Units",AQ17,"UnionID",$B$3,"UnionLocal",$F17,"UnionClass",$I17,"CertifiedClass",$J17)),0)</f>
        <v>0</v>
      </c>
      <c r="CO17" s="127">
        <f>IF(AND(NOT(ISBLANK($C17)),NOT(ISBLANK($E17)),$A17="x"),IF(AR17=0,0,[2]!TSImport("PRTime","","Time_NINE","","Date",$CM$11,"Employee",$B$2,"JCJob",$C17,"JCExtra",$D17,"JCCostCode",$E17,"WCCode",$B17,"WCState",$G17,"State",$H17,"PayID",$BD$12,"Units",AR17,"UnionID",$B$3,"UnionLocal",$F17,"UnionClass",$I17,"CertifiedClass",$J17)),0)</f>
        <v>0</v>
      </c>
      <c r="CP17" s="127">
        <f>IF(AND(NOT(ISBLANK($C17)),NOT(ISBLANK($E17)),$A17="x"),IF(AS17=0,0,[2]!TSImport("PRTime","","Time_NINE","","Date",$CM$11,"Employee",$B$2,"JCJob",$C17,"JCExtra",$D17,"JCCostCode",$E17,"WCCode",$B17,"WCState",$G17,"State",$H17,"PayID",$BE$12,"Units",AS17,"UnionID",$B$3,"UnionLocal",$F17,"UnionClass",$I17,"CertifiedClass",$J17)),0)</f>
        <v>0</v>
      </c>
      <c r="CQ17" s="127">
        <f>IF(AND(NOT(ISBLANK($C17)),NOT(ISBLANK($E17)),$A17="x"),IF(AT17=0,0,[2]!TSImport("PRTime","","Time_NINE","","Date",$CM$11,"Employee",$B$2,"JCJob",$C17,"JCExtra",$D17,"JCCostCode",$E17,"WCCode",$B17,"WCState",$G17,"State",$H17,"PayID",$BF$12,"Units",AT17,"UnionID",$B$3,"UnionLocal",$F17,"UnionClass",$I17,"CertifiedClass",$J17)),0)</f>
        <v>0</v>
      </c>
      <c r="CR17" s="128">
        <f>IF(AND(NOT(ISBLANK($C17)),NOT(ISBLANK($E17)),$A17="x"),IF(AU17=0,0,[2]!TSImport("PRTime","","Time_NINE","","Date",$CM$11,"Employee",$B$2,"JCJob",$C17,"JCExtra",$D17,"JCCostCode",$E17,"WCCode",$B17,"WCState",$G17,"State",$H17,"PayID",$BG$12,"Units",AU17,"UnionID",$B$3,"UnionLocal",$F17,"UnionClass",$I17,"CertifiedClass",$J17)),0)</f>
        <v>0</v>
      </c>
      <c r="CS17" s="126">
        <f>IF(AND(NOT(ISBLANK($C17)),NOT(ISBLANK($E17)),$A17="x"),IF(AV17=0,0,[2]!TSImport("PRTime","","Time_NINE","","Date",$CS$11,"Employee",$B$2,"JCJob",$C17,"JCExtra",$D17,"JCCostCode",$E17,"WCCode",$B17,"WCState",$G17,"State",$H17,"PayID",$BB$12,"Units",AV17,"UnionID",$B$3,"UnionLocal",$F17,"UnionClass",$I17,"CertifiedClass",$J17)),0)</f>
        <v>0</v>
      </c>
      <c r="CT17" s="127">
        <f>IF(AND(NOT(ISBLANK($C17)),NOT(ISBLANK($E17)),$A17="x"),IF(AW17=0,0,[2]!TSImport("PRTime","","Time_NINE","","Date",$CS$11,"Employee",$B$2,"JCJob",$C17,"JCExtra",$D17,"JCCostCode",$E17,"WCCode",$B17,"WCState",$G17,"State",$H17,"PayID",$BC$12,"Units",AW17,"UnionID",$B$3,"UnionLocal",$F17,"UnionClass",$I17,"CertifiedClass",$J17)),0)</f>
        <v>0</v>
      </c>
      <c r="CU17" s="127">
        <f>IF(AND(NOT(ISBLANK($C17)),NOT(ISBLANK($E17)),$A17="x"),IF(AX17=0,0,[2]!TSImport("PRTime","","Time_NINE","","Date",$CS$11,"Employee",$B$2,"JCJob",$C17,"JCExtra",$D17,"JCCostCode",$E17,"WCCode",$B17,"WCState",$G17,"State",$H17,"PayID",$BD$12,"Units",AX17,"UnionID",$B$3,"UnionLocal",$F17,"UnionClass",$I17,"CertifiedClass",$J17)),0)</f>
        <v>0</v>
      </c>
      <c r="CV17" s="127">
        <f>IF(AND(NOT(ISBLANK($C17)),NOT(ISBLANK($E17)),$A17="x"),IF(AY17=0,0,[2]!TSImport("PRTime","","Time_NINE","","Date",$CS$11,"Employee",$B$2,"JCJob",$C17,"JCExtra",$D17,"JCCostCode",$E17,"WCCode",$B17,"WCState",$G17,"State",$H17,"PayID",$BE$12,"Units",AY17,"UnionID",$B$3,"UnionLocal",$F17,"UnionClass",$I17,"CertifiedClass",$J17)),0)</f>
        <v>0</v>
      </c>
      <c r="CW17" s="127">
        <f>IF(AND(NOT(ISBLANK($C17)),NOT(ISBLANK($E17)),$A17="x"),IF(AZ17=0,0,[2]!TSImport("PRTime","","Time_NINE","","Date",$CS$11,"Employee",$B$2,"JCJob",$C17,"JCExtra",$D17,"JCCostCode",$E17,"WCCode",$B17,"WCState",$G17,"State",$H17,"PayID",$BF$12,"Units",AZ17,"UnionID",$B$3,"UnionLocal",$F17,"UnionClass",$I17,"CertifiedClass",$J17)),0)</f>
        <v>0</v>
      </c>
      <c r="CX17" s="128">
        <f>IF(AND(NOT(ISBLANK($C17)),NOT(ISBLANK($E17)),$A17="x"),IF(BA17=0,0,[2]!TSImport("PRTime","","Time_NINE","","Date",$CS$11,"Employee",$B$2,"JCJob",$C17,"JCExtra",$D17,"JCCostCode",$E17,"WCCode",$B17,"WCState",$G17,"State",$H17,"PayID",$BG$12,"Units",BA17,"UnionID",$B$3,"UnionLocal",$F17,"UnionClass",$I17,"CertifiedClass",$J17)),0)</f>
        <v>0</v>
      </c>
    </row>
    <row r="18" spans="1:102" ht="39" customHeight="1" x14ac:dyDescent="0.3">
      <c r="A18" s="109" t="str">
        <f t="shared" si="0"/>
        <v/>
      </c>
      <c r="B18" s="276" t="s">
        <v>101</v>
      </c>
      <c r="C18" s="111"/>
      <c r="D18" s="277"/>
      <c r="E18" s="276"/>
      <c r="F18" s="276" t="str">
        <f t="shared" si="1"/>
        <v>1245</v>
      </c>
      <c r="G18" s="276" t="s">
        <v>102</v>
      </c>
      <c r="H18" s="276" t="s">
        <v>102</v>
      </c>
      <c r="I18" s="139">
        <v>1</v>
      </c>
      <c r="J18" s="153" t="str">
        <f t="shared" si="8"/>
        <v>01</v>
      </c>
      <c r="K18" s="150">
        <v>1</v>
      </c>
      <c r="L18" s="263"/>
      <c r="M18" s="258"/>
      <c r="N18" s="258"/>
      <c r="O18" s="258"/>
      <c r="P18" s="258"/>
      <c r="Q18" s="259"/>
      <c r="R18" s="262"/>
      <c r="S18" s="260"/>
      <c r="T18" s="260"/>
      <c r="U18" s="260"/>
      <c r="V18" s="260"/>
      <c r="W18" s="261"/>
      <c r="X18" s="263"/>
      <c r="Y18" s="258"/>
      <c r="Z18" s="258"/>
      <c r="AA18" s="258"/>
      <c r="AB18" s="258"/>
      <c r="AC18" s="259"/>
      <c r="AD18" s="262"/>
      <c r="AE18" s="260"/>
      <c r="AF18" s="260"/>
      <c r="AG18" s="260"/>
      <c r="AH18" s="260"/>
      <c r="AI18" s="261"/>
      <c r="AJ18" s="263"/>
      <c r="AK18" s="258"/>
      <c r="AL18" s="258"/>
      <c r="AM18" s="258"/>
      <c r="AN18" s="258"/>
      <c r="AO18" s="259"/>
      <c r="AP18" s="238"/>
      <c r="AQ18" s="202"/>
      <c r="AR18" s="202"/>
      <c r="AS18" s="202"/>
      <c r="AT18" s="202"/>
      <c r="AU18" s="203"/>
      <c r="AV18" s="263"/>
      <c r="AW18" s="258"/>
      <c r="AX18" s="258"/>
      <c r="AY18" s="258"/>
      <c r="AZ18" s="258"/>
      <c r="BA18" s="259"/>
      <c r="BB18" s="119">
        <f t="shared" si="2"/>
        <v>0</v>
      </c>
      <c r="BC18" s="120">
        <f t="shared" si="3"/>
        <v>0</v>
      </c>
      <c r="BD18" s="120">
        <f t="shared" si="4"/>
        <v>0</v>
      </c>
      <c r="BE18" s="120">
        <f t="shared" si="5"/>
        <v>0</v>
      </c>
      <c r="BF18" s="120">
        <f t="shared" si="6"/>
        <v>0</v>
      </c>
      <c r="BG18" s="154">
        <f t="shared" si="7"/>
        <v>0</v>
      </c>
      <c r="BH18" s="123">
        <f>SUM(TimeSheet347536192444018281322354750220515659613035363650515317116122135[[#This Row],[1]:[4A]])</f>
        <v>0</v>
      </c>
      <c r="BI18" s="126">
        <f>IF(AND(NOT(ISBLANK($C18)),NOT(ISBLANK($E18)),$A18="x"),IF(L18=0,0,[2]!TSImport("PRTime","","Time_NINE","","Date",$BI$11,"Employee",$B$2,"JCJob",$C18,"JCExtra",$D18,"JCCostCode",$E18,"WCCode",$B18,"WCState",$G18,"State",$H18,"PayID",$BB$12,"Units",L18,"UnionID",$B$3,"UnionLocal",$F18,"UnionClass",$I18,"CertifiedClass",$J18)),0)</f>
        <v>0</v>
      </c>
      <c r="BJ18" s="127">
        <f>IF(AND(NOT(ISBLANK($C18)),NOT(ISBLANK($E18)),$A18="x"),IF(M18=0,0,[2]!TSImport("PRTime","","Time_NINE","","Date",$BI$11,"Employee",$B$2,"JCJob",$C18,"JCExtra",$D18,"JCCostCode",$E18,"WCCode",$B18,"WCState",$G18,"State",$H18,"PayID",$BC$12,"Units",M18,"UnionID",$B$3,"UnionLocal",$F18,"UnionClass",$I18,"CertifiedClass",$J18)),0)</f>
        <v>0</v>
      </c>
      <c r="BK18" s="127">
        <f>IF(AND(NOT(ISBLANK($C18)),NOT(ISBLANK($E18)),$A18="x"),IF(N18=0,0,[2]!TSImport("PRTime","","Time_NINE","","Date",$BI$11,"Employee",$B$2,"JCJob",$C18,"JCExtra",$D18,"JCCostCode",$E18,"WCCode",$B18,"WCState",$G18,"State",$H18,"PayID",$BD$12,"Units",N18,"UnionID",$B$3,"UnionLocal",$F18,"UnionClass",$I18,"CertifiedClass",$J18)),0)</f>
        <v>0</v>
      </c>
      <c r="BL18" s="127">
        <f>IF(AND(NOT(ISBLANK($C18)),NOT(ISBLANK($E18)),$A18="x"),IF(O18=0,0,[2]!TSImport("PRTime","","Time_NINE","","Date",$BI$11,"Employee",$B$2,"JCJob",$C18,"JCExtra",$D18,"JCCostCode",$E18,"WCCode",$B18,"WCState",$G18,"State",$H18,"PayID",$BE$12,"Units",O18,"UnionID",$B$3,"UnionLocal",$F18,"UnionClass",$I18,"CertifiedClass",$J18)),0)</f>
        <v>0</v>
      </c>
      <c r="BM18" s="127">
        <f>IF(AND(NOT(ISBLANK($C18)),NOT(ISBLANK($E18)),$A18="x"),IF(P18=0,0,[2]!TSImport("PRTime","","Time_NINE","","Date",$BI$11,"Employee",$B$2,"JCJob",$C18,"JCExtra",$D18,"JCCostCode",$E18,"WCCode",$B18,"WCState",$G18,"State",$H18,"PayID",$BF$12,"Units",P18,"UnionID",$B$3,"UnionLocal",$F18,"UnionClass",$I18,"CertifiedClass",$J18)),0)</f>
        <v>0</v>
      </c>
      <c r="BN18" s="128">
        <f>IF(AND(NOT(ISBLANK($C18)),NOT(ISBLANK($E18)),$A18="x"),IF(Q18=0,0,[2]!TSImport("PRTime","","Time_NINE","","Date",$BI$11,"Employee",$B$2,"JCJob",$C18,"JCExtra",$D18,"JCCostCode",$E18,"WCCode",$B18,"WCState",$G18,"State",$H18,"PayID",$BG$12,"Units",Q18,"UnionID",$B$3,"UnionLocal",$F18,"UnionClass",$I18,"CertifiedClass",$J18)),0)</f>
        <v>0</v>
      </c>
      <c r="BO18" s="126">
        <f>IF(AND(NOT(ISBLANK($C18)),NOT(ISBLANK($E18)),$A18="x"),IF(R18=0,0,[2]!TSImport("PRTime","","Time_NINE","","Date",$BO$11,"Employee",$B$2,"JCJob",$C18,"JCExtra",$D18,"JCCostCode",$E18,"WCCode",$B18,"WCState",$G18,"State",$H18,"PayID",$BB$12,"Units",R18,"UnionID",$B$3,"UnionLocal",$F18,"UnionClass",$I18,"CertifiedClass",$J18)),0)</f>
        <v>0</v>
      </c>
      <c r="BP18" s="127">
        <f>IF(AND(NOT(ISBLANK($C18)),NOT(ISBLANK($E18)),$A18="x"),IF(S18=0,0,[2]!TSImport("PRTime","","Time_NINE","","Date",$BO$11,"Employee",$B$2,"JCJob",$C18,"JCExtra",$D18,"JCCostCode",$E18,"WCCode",$B18,"WCState",$G18,"State",$H18,"PayID",$BC$12,"Units",S18,"UnionID",$B$3,"UnionLocal",$F18,"UnionClass",$I18,"CertifiedClass",$J18)),0)</f>
        <v>0</v>
      </c>
      <c r="BQ18" s="127">
        <f>IF(AND(NOT(ISBLANK($C18)),NOT(ISBLANK($E18)),$A18="x"),IF(T18=0,0,[2]!TSImport("PRTime","","Time_NINE","","Date",$BO$11,"Employee",$B$2,"JCJob",$C18,"JCExtra",$D18,"JCCostCode",$E18,"WCCode",$B18,"WCState",$G18,"State",$H18,"PayID",$BD$12,"Units",T18,"UnionID",$B$3,"UnionLocal",$F18,"UnionClass",$I18,"CertifiedClass",$J18)),0)</f>
        <v>0</v>
      </c>
      <c r="BR18" s="127">
        <f>IF(AND(NOT(ISBLANK($C18)),NOT(ISBLANK($E18)),$A18="x"),IF(U18=0,0,[2]!TSImport("PRTime","","Time_NINE","","Date",$BO$11,"Employee",$B$2,"JCJob",$C18,"JCExtra",$D18,"JCCostCode",$E18,"WCCode",$B18,"WCState",$G18,"State",$H18,"PayID",$BE$12,"Units",U18,"UnionID",$B$3,"UnionLocal",$F18,"UnionClass",$I18,"CertifiedClass",$J18)),0)</f>
        <v>0</v>
      </c>
      <c r="BS18" s="127">
        <f>IF(AND(NOT(ISBLANK($C18)),NOT(ISBLANK($E18)),$A18="x"),IF(V18=0,0,[2]!TSImport("PRTime","","Time_NINE","","Date",$BO$11,"Employee",$B$2,"JCJob",$C18,"JCExtra",$D18,"JCCostCode",$E18,"WCCode",$B18,"WCState",$G18,"State",$H18,"PayID",$BF$12,"Units",V18,"UnionID",$B$3,"UnionLocal",$F18,"UnionClass",$I18,"CertifiedClass",$J18)),0)</f>
        <v>0</v>
      </c>
      <c r="BT18" s="128">
        <f>IF(AND(NOT(ISBLANK($C18)),NOT(ISBLANK($E18)),$A18="x"),IF(W18=0,0,[2]!TSImport("PRTime","","Time_NINE","","Date",$BO$11,"Employee",$B$2,"JCJob",$C18,"JCExtra",$D18,"JCCostCode",$E18,"WCCode",$B18,"WCState",$G18,"State",$H18,"PayID",$BG$12,"Units",W18,"UnionID",$B$3,"UnionLocal",$F18,"UnionClass",$I18,"CertifiedClass",$J18)),0)</f>
        <v>0</v>
      </c>
      <c r="BU18" s="126">
        <f>IF(AND(NOT(ISBLANK($C18)),NOT(ISBLANK($E18)),$A18="x"),IF(X18=0,0,[2]!TSImport("PRTime","","Time_NINE","","Date",$BU$11,"Employee",$B$2,"JCJob",$C18,"JCExtra",$D18,"JCCostCode",$E18,"WCCode",$B18,"WCState",$G18,"State",$H18,"PayID",$BB$12,"Units",X18,"UnionID",$B$3,"UnionLocal",$F18,"UnionClass",$I18,"CertifiedClass",$J18)),0)</f>
        <v>0</v>
      </c>
      <c r="BV18" s="127">
        <f>IF(AND(NOT(ISBLANK($C18)),NOT(ISBLANK($E18)),$A18="x"),IF(Y18=0,0,[2]!TSImport("PRTime","","Time_NINE","","Date",$BU$11,"Employee",$B$2,"JCJob",$C18,"JCExtra",$D18,"JCCostCode",$E18,"WCCode",$B18,"WCState",$G18,"State",$H18,"PayID",$BC$12,"Units",Y18,"UnionID",$B$3,"UnionLocal",$F18,"UnionClass",$I18,"CertifiedClass",$J18)),0)</f>
        <v>0</v>
      </c>
      <c r="BW18" s="127">
        <f>IF(AND(NOT(ISBLANK($C18)),NOT(ISBLANK($E18)),$A18="x"),IF(Z18=0,0,[2]!TSImport("PRTime","","Time_NINE","","Date",$BU$11,"Employee",$B$2,"JCJob",$C18,"JCExtra",$D18,"JCCostCode",$E18,"WCCode",$B18,"WCState",$G18,"State",$H18,"PayID",$BD$12,"Units",Z18,"UnionID",$B$3,"UnionLocal",$F18,"UnionClass",$I18,"CertifiedClass",$J18)),0)</f>
        <v>0</v>
      </c>
      <c r="BX18" s="127">
        <f>IF(AND(NOT(ISBLANK($C18)),NOT(ISBLANK($E18)),$A18="x"),IF(AA18=0,0,[2]!TSImport("PRTime","","Time_NINE","","Date",$BU$11,"Employee",$B$2,"JCJob",$C18,"JCExtra",$D18,"JCCostCode",$E18,"WCCode",$B18,"WCState",$G18,"State",$H18,"PayID",$BE$12,"Units",AA18,"UnionID",$B$3,"UnionLocal",$F18,"UnionClass",$I18,"CertifiedClass",$J18)),0)</f>
        <v>0</v>
      </c>
      <c r="BY18" s="127">
        <f>IF(AND(NOT(ISBLANK($C18)),NOT(ISBLANK($E18)),$A18="x"),IF(AB18=0,0,[2]!TSImport("PRTime","","Time_NINE","","Date",$BU$11,"Employee",$B$2,"JCJob",$C18,"JCExtra",$D18,"JCCostCode",$E18,"WCCode",$B18,"WCState",$G18,"State",$H18,"PayID",$BF$12,"Units",AB18,"UnionID",$B$3,"UnionLocal",$F18,"UnionClass",$I18,"CertifiedClass",$J18)),0)</f>
        <v>0</v>
      </c>
      <c r="BZ18" s="128">
        <f>IF(AND(NOT(ISBLANK($C18)),NOT(ISBLANK($E18)),$A18="x"),IF(AC18=0,0,[2]!TSImport("PRTime","","Time_NINE","","Date",$BU$11,"Employee",$B$2,"JCJob",$C18,"JCExtra",$D18,"JCCostCode",$E18,"WCCode",$B18,"WCState",$G18,"State",$H18,"PayID",$BG$12,"Units",AC18,"UnionID",$B$3,"UnionLocal",$F18,"UnionClass",$I18,"CertifiedClass",$J18)),0)</f>
        <v>0</v>
      </c>
      <c r="CA18" s="126">
        <f>IF(AND(NOT(ISBLANK($C18)),NOT(ISBLANK($E18)),$A18="x"),IF(AD18=0,0,[2]!TSImport("PRTime","","Time_NINE","","Date",$CA$11,"Employee",$B$2,"JCJob",$C18,"JCExtra",$D18,"JCCostCode",$E18,"WCCode",$B18,"WCState",$G18,"State",$H18,"PayID",$BB$12,"Units",AD18,"UnionID",$B$3,"UnionLocal",$F18,"UnionClass",$I18,"CertifiedClass",$J18)),0)</f>
        <v>0</v>
      </c>
      <c r="CB18" s="127">
        <f>IF(AND(NOT(ISBLANK($C18)),NOT(ISBLANK($E18)),$A18="x"),IF(AE18=0,0,[2]!TSImport("PRTime","","Time_NINE","","Date",$CA$11,"Employee",$B$2,"JCJob",$C18,"JCExtra",$D18,"JCCostCode",$E18,"WCCode",$B18,"WCState",$G18,"State",$H18,"PayID",$BC$12,"Units",AE18,"UnionID",$B$3,"UnionLocal",$F18,"UnionClass",$I18,"CertifiedClass",$J18)),0)</f>
        <v>0</v>
      </c>
      <c r="CC18" s="127">
        <f>IF(AND(NOT(ISBLANK($C18)),NOT(ISBLANK($E18)),$A18="x"),IF(AF18=0,0,[2]!TSImport("PRTime","","Time_NINE","","Date",$CA$11,"Employee",$B$2,"JCJob",$C18,"JCExtra",$D18,"JCCostCode",$E18,"WCCode",$B18,"WCState",$G18,"State",$H18,"PayID",$BD$12,"Units",AF18,"UnionID",$B$3,"UnionLocal",$F18,"UnionClass",$I18,"CertifiedClass",$J18)),0)</f>
        <v>0</v>
      </c>
      <c r="CD18" s="127">
        <f>IF(AND(NOT(ISBLANK($C18)),NOT(ISBLANK($E18)),$A18="x"),IF(AG18=0,0,[2]!TSImport("PRTime","","Time_NINE","","Date",$CA$11,"Employee",$B$2,"JCJob",$C18,"JCExtra",$D18,"JCCostCode",$E18,"WCCode",$B18,"WCState",$G18,"State",$H18,"PayID",$BE$12,"Units",AG18,"UnionID",$B$3,"UnionLocal",$F18,"UnionClass",$I18,"CertifiedClass",$J18)),0)</f>
        <v>0</v>
      </c>
      <c r="CE18" s="127">
        <f>IF(AND(NOT(ISBLANK($C18)),NOT(ISBLANK($E18)),$A18="x"),IF(AH18=0,0,[2]!TSImport("PRTime","","Time_NINE","","Date",$CA$11,"Employee",$B$2,"JCJob",$C18,"JCExtra",$D18,"JCCostCode",$E18,"WCCode",$B18,"WCState",$G18,"State",$H18,"PayID",$BF$12,"Units",AH18,"UnionID",$B$3,"UnionLocal",$F18,"UnionClass",$I18,"CertifiedClass",$J18)),0)</f>
        <v>0</v>
      </c>
      <c r="CF18" s="128">
        <f>IF(AND(NOT(ISBLANK($C18)),NOT(ISBLANK($E18)),$A18="x"),IF(AI18=0,0,[2]!TSImport("PRTime","","Time_NINE","","Date",$CA$11,"Employee",$B$2,"JCJob",$C18,"JCExtra",$D18,"JCCostCode",$E18,"WCCode",$B18,"WCState",$G18,"State",$H18,"PayID",$BG$12,"Units",AI18,"UnionID",$B$3,"UnionLocal",$F18,"UnionClass",$I18,"CertifiedClass",$J18)),0)</f>
        <v>0</v>
      </c>
      <c r="CG18" s="126">
        <f>IF(AND(NOT(ISBLANK($C18)),NOT(ISBLANK($E18)),$A18="x"),IF(AJ18=0,0,[2]!TSImport("PRTime","","Time_NINE","","Date",$CG$11,"Employee",$B$2,"JCJob",$C18,"JCExtra",$D18,"JCCostCode",$E18,"WCCode",$B18,"WCState",$G18,"State",$H18,"PayID",$BB$12,"Units",AJ18,"UnionID",$B$3,"UnionLocal",$F18,"UnionClass",$I18,"CertifiedClass",$J18)),0)</f>
        <v>0</v>
      </c>
      <c r="CH18" s="127">
        <f>IF(AND(NOT(ISBLANK($C18)),NOT(ISBLANK($E18)),$A18="x"),IF(AK18=0,0,[2]!TSImport("PRTime","","Time_NINE","","Date",$CG$11,"Employee",$B$2,"JCJob",$C18,"JCExtra",$D18,"JCCostCode",$E18,"WCCode",$B18,"WCState",$G18,"State",$H18,"PayID",$BC$12,"Units",AK18,"UnionID",$B$3,"UnionLocal",$F18,"UnionClass",$I18,"CertifiedClass",$J18)),0)</f>
        <v>0</v>
      </c>
      <c r="CI18" s="127">
        <f>IF(AND(NOT(ISBLANK($C18)),NOT(ISBLANK($E18)),$A18="x"),IF(AL18=0,0,[2]!TSImport("PRTime","","Time_NINE","","Date",$CG$11,"Employee",$B$2,"JCJob",$C18,"JCExtra",$D18,"JCCostCode",$E18,"WCCode",$B18,"WCState",$G18,"State",$H18,"PayID",$BD$12,"Units",AL18,"UnionID",$B$3,"UnionLocal",$F18,"UnionClass",$I18,"CertifiedClass",$J18)),0)</f>
        <v>0</v>
      </c>
      <c r="CJ18" s="127">
        <f>IF(AND(NOT(ISBLANK($C18)),NOT(ISBLANK($E18)),$A18="x"),IF(AM18=0,0,[2]!TSImport("PRTime","","Time_NINE","","Date",$CG$11,"Employee",$B$2,"JCJob",$C18,"JCExtra",$D18,"JCCostCode",$E18,"WCCode",$B18,"WCState",$G18,"State",$H18,"PayID",$BE$12,"Units",AM18,"UnionID",$B$3,"UnionLocal",$F18,"UnionClass",$I18,"CertifiedClass",$J18)),0)</f>
        <v>0</v>
      </c>
      <c r="CK18" s="127">
        <f>IF(AND(NOT(ISBLANK($C18)),NOT(ISBLANK($E18)),$A18="x"),IF(AN18=0,0,[2]!TSImport("PRTime","","Time_NINE","","Date",$CG$11,"Employee",$B$2,"JCJob",$C18,"JCExtra",$D18,"JCCostCode",$E18,"WCCode",$B18,"WCState",$G18,"State",$H18,"PayID",$BF$12,"Units",AN18,"UnionID",$B$3,"UnionLocal",$F18,"UnionClass",$I18,"CertifiedClass",$J18)),0)</f>
        <v>0</v>
      </c>
      <c r="CL18" s="128">
        <f>IF(AND(NOT(ISBLANK($C18)),NOT(ISBLANK($E18)),$A18="x"),IF(AO18=0,0,[2]!TSImport("PRTime","","Time_NINE","","Date",$CG$11,"Employee",$B$2,"JCJob",$C18,"JCExtra",$D18,"JCCostCode",$E18,"WCCode",$B18,"WCState",$G18,"State",$H18,"PayID",$BG$12,"Units",AO18,"UnionID",$B$3,"UnionLocal",$F18,"UnionClass",$I18,"CertifiedClass",$J18)),0)</f>
        <v>0</v>
      </c>
      <c r="CM18" s="126">
        <f>IF(AND(NOT(ISBLANK($C18)),NOT(ISBLANK($E18)),$A18="x"),IF(AP18=0,0,[2]!TSImport("PRTime","","Time_NINE","","Date",$CM$11,"Employee",$B$2,"JCJob",$C18,"JCExtra",$D18,"JCCostCode",$E18,"WCCode",$B18,"WCState",$G18,"State",$H18,"PayID",$BB$12,"Units",AP18,"UnionID",$B$3,"UnionLocal",$F18,"UnionClass",$I18,"CertifiedClass",$J18)),0)</f>
        <v>0</v>
      </c>
      <c r="CN18" s="127">
        <f>IF(AND(NOT(ISBLANK($C18)),NOT(ISBLANK($E18)),$A18="x"),IF(AQ18=0,0,[2]!TSImport("PRTime","","Time_NINE","","Date",$CM$11,"Employee",$B$2,"JCJob",$C18,"JCExtra",$D18,"JCCostCode",$E18,"WCCode",$B18,"WCState",$G18,"State",$H18,"PayID",$BC$12,"Units",AQ18,"UnionID",$B$3,"UnionLocal",$F18,"UnionClass",$I18,"CertifiedClass",$J18)),0)</f>
        <v>0</v>
      </c>
      <c r="CO18" s="127">
        <f>IF(AND(NOT(ISBLANK($C18)),NOT(ISBLANK($E18)),$A18="x"),IF(AR18=0,0,[2]!TSImport("PRTime","","Time_NINE","","Date",$CM$11,"Employee",$B$2,"JCJob",$C18,"JCExtra",$D18,"JCCostCode",$E18,"WCCode",$B18,"WCState",$G18,"State",$H18,"PayID",$BD$12,"Units",AR18,"UnionID",$B$3,"UnionLocal",$F18,"UnionClass",$I18,"CertifiedClass",$J18)),0)</f>
        <v>0</v>
      </c>
      <c r="CP18" s="127">
        <f>IF(AND(NOT(ISBLANK($C18)),NOT(ISBLANK($E18)),$A18="x"),IF(AS18=0,0,[2]!TSImport("PRTime","","Time_NINE","","Date",$CM$11,"Employee",$B$2,"JCJob",$C18,"JCExtra",$D18,"JCCostCode",$E18,"WCCode",$B18,"WCState",$G18,"State",$H18,"PayID",$BE$12,"Units",AS18,"UnionID",$B$3,"UnionLocal",$F18,"UnionClass",$I18,"CertifiedClass",$J18)),0)</f>
        <v>0</v>
      </c>
      <c r="CQ18" s="127">
        <f>IF(AND(NOT(ISBLANK($C18)),NOT(ISBLANK($E18)),$A18="x"),IF(AT18=0,0,[2]!TSImport("PRTime","","Time_NINE","","Date",$CM$11,"Employee",$B$2,"JCJob",$C18,"JCExtra",$D18,"JCCostCode",$E18,"WCCode",$B18,"WCState",$G18,"State",$H18,"PayID",$BF$12,"Units",AT18,"UnionID",$B$3,"UnionLocal",$F18,"UnionClass",$I18,"CertifiedClass",$J18)),0)</f>
        <v>0</v>
      </c>
      <c r="CR18" s="128">
        <f>IF(AND(NOT(ISBLANK($C18)),NOT(ISBLANK($E18)),$A18="x"),IF(AU18=0,0,[2]!TSImport("PRTime","","Time_NINE","","Date",$CM$11,"Employee",$B$2,"JCJob",$C18,"JCExtra",$D18,"JCCostCode",$E18,"WCCode",$B18,"WCState",$G18,"State",$H18,"PayID",$BG$12,"Units",AU18,"UnionID",$B$3,"UnionLocal",$F18,"UnionClass",$I18,"CertifiedClass",$J18)),0)</f>
        <v>0</v>
      </c>
      <c r="CS18" s="126">
        <f>IF(AND(NOT(ISBLANK($C18)),NOT(ISBLANK($E18)),$A18="x"),IF(AV18=0,0,[2]!TSImport("PRTime","","Time_NINE","","Date",$CS$11,"Employee",$B$2,"JCJob",$C18,"JCExtra",$D18,"JCCostCode",$E18,"WCCode",$B18,"WCState",$G18,"State",$H18,"PayID",$BB$12,"Units",AV18,"UnionID",$B$3,"UnionLocal",$F18,"UnionClass",$I18,"CertifiedClass",$J18)),0)</f>
        <v>0</v>
      </c>
      <c r="CT18" s="127">
        <f>IF(AND(NOT(ISBLANK($C18)),NOT(ISBLANK($E18)),$A18="x"),IF(AW18=0,0,[2]!TSImport("PRTime","","Time_NINE","","Date",$CS$11,"Employee",$B$2,"JCJob",$C18,"JCExtra",$D18,"JCCostCode",$E18,"WCCode",$B18,"WCState",$G18,"State",$H18,"PayID",$BC$12,"Units",AW18,"UnionID",$B$3,"UnionLocal",$F18,"UnionClass",$I18,"CertifiedClass",$J18)),0)</f>
        <v>0</v>
      </c>
      <c r="CU18" s="127">
        <f>IF(AND(NOT(ISBLANK($C18)),NOT(ISBLANK($E18)),$A18="x"),IF(AX18=0,0,[2]!TSImport("PRTime","","Time_NINE","","Date",$CS$11,"Employee",$B$2,"JCJob",$C18,"JCExtra",$D18,"JCCostCode",$E18,"WCCode",$B18,"WCState",$G18,"State",$H18,"PayID",$BD$12,"Units",AX18,"UnionID",$B$3,"UnionLocal",$F18,"UnionClass",$I18,"CertifiedClass",$J18)),0)</f>
        <v>0</v>
      </c>
      <c r="CV18" s="127">
        <f>IF(AND(NOT(ISBLANK($C18)),NOT(ISBLANK($E18)),$A18="x"),IF(AY18=0,0,[2]!TSImport("PRTime","","Time_NINE","","Date",$CS$11,"Employee",$B$2,"JCJob",$C18,"JCExtra",$D18,"JCCostCode",$E18,"WCCode",$B18,"WCState",$G18,"State",$H18,"PayID",$BE$12,"Units",AY18,"UnionID",$B$3,"UnionLocal",$F18,"UnionClass",$I18,"CertifiedClass",$J18)),0)</f>
        <v>0</v>
      </c>
      <c r="CW18" s="127">
        <f>IF(AND(NOT(ISBLANK($C18)),NOT(ISBLANK($E18)),$A18="x"),IF(AZ18=0,0,[2]!TSImport("PRTime","","Time_NINE","","Date",$CS$11,"Employee",$B$2,"JCJob",$C18,"JCExtra",$D18,"JCCostCode",$E18,"WCCode",$B18,"WCState",$G18,"State",$H18,"PayID",$BF$12,"Units",AZ18,"UnionID",$B$3,"UnionLocal",$F18,"UnionClass",$I18,"CertifiedClass",$J18)),0)</f>
        <v>0</v>
      </c>
      <c r="CX18" s="128">
        <f>IF(AND(NOT(ISBLANK($C18)),NOT(ISBLANK($E18)),$A18="x"),IF(BA18=0,0,[2]!TSImport("PRTime","","Time_NINE","","Date",$CS$11,"Employee",$B$2,"JCJob",$C18,"JCExtra",$D18,"JCCostCode",$E18,"WCCode",$B18,"WCState",$G18,"State",$H18,"PayID",$BG$12,"Units",BA18,"UnionID",$B$3,"UnionLocal",$F18,"UnionClass",$I18,"CertifiedClass",$J18)),0)</f>
        <v>0</v>
      </c>
    </row>
    <row r="19" spans="1:102" ht="39" customHeight="1" x14ac:dyDescent="0.3">
      <c r="A19" s="109" t="str">
        <f>IF(ISBLANK(#REF!),"",IF(ISBLANK($D$3),"",$D$3))</f>
        <v>x</v>
      </c>
      <c r="B19" s="276" t="s">
        <v>101</v>
      </c>
      <c r="C19" s="276"/>
      <c r="D19" s="241"/>
      <c r="E19" s="242"/>
      <c r="F19" s="276" t="str">
        <f t="shared" si="1"/>
        <v>1245</v>
      </c>
      <c r="G19" s="276" t="s">
        <v>102</v>
      </c>
      <c r="H19" s="276" t="s">
        <v>102</v>
      </c>
      <c r="I19" s="139">
        <v>1</v>
      </c>
      <c r="J19" s="153" t="str">
        <f t="shared" si="8"/>
        <v>01</v>
      </c>
      <c r="K19" s="150">
        <v>1</v>
      </c>
      <c r="L19" s="263"/>
      <c r="M19" s="258"/>
      <c r="N19" s="258"/>
      <c r="O19" s="258"/>
      <c r="P19" s="258"/>
      <c r="Q19" s="259"/>
      <c r="R19" s="262"/>
      <c r="S19" s="260"/>
      <c r="T19" s="260"/>
      <c r="U19" s="260"/>
      <c r="V19" s="260"/>
      <c r="W19" s="261"/>
      <c r="X19" s="263"/>
      <c r="Y19" s="258"/>
      <c r="Z19" s="258"/>
      <c r="AA19" s="258"/>
      <c r="AB19" s="258"/>
      <c r="AC19" s="259"/>
      <c r="AD19" s="262"/>
      <c r="AE19" s="260"/>
      <c r="AF19" s="260"/>
      <c r="AG19" s="260"/>
      <c r="AH19" s="260"/>
      <c r="AI19" s="261"/>
      <c r="AJ19" s="263"/>
      <c r="AK19" s="201"/>
      <c r="AL19" s="258"/>
      <c r="AM19" s="258"/>
      <c r="AN19" s="258"/>
      <c r="AO19" s="259"/>
      <c r="AP19" s="262"/>
      <c r="AQ19" s="260"/>
      <c r="AR19" s="260"/>
      <c r="AS19" s="260"/>
      <c r="AT19" s="260"/>
      <c r="AU19" s="261"/>
      <c r="AV19" s="263"/>
      <c r="AW19" s="258"/>
      <c r="AX19" s="258"/>
      <c r="AY19" s="258"/>
      <c r="AZ19" s="258"/>
      <c r="BA19" s="259"/>
      <c r="BB19" s="119">
        <f t="shared" si="2"/>
        <v>0</v>
      </c>
      <c r="BC19" s="120">
        <f t="shared" si="3"/>
        <v>0</v>
      </c>
      <c r="BD19" s="120">
        <f t="shared" si="4"/>
        <v>0</v>
      </c>
      <c r="BE19" s="120">
        <f t="shared" si="5"/>
        <v>0</v>
      </c>
      <c r="BF19" s="120">
        <f t="shared" si="6"/>
        <v>0</v>
      </c>
      <c r="BG19" s="154">
        <f t="shared" si="7"/>
        <v>0</v>
      </c>
      <c r="BH19" s="123">
        <f>SUM(TimeSheet347536192444018281322354750220515659613035363650515317116122135[[#This Row],[1]:[4A]])</f>
        <v>0</v>
      </c>
      <c r="BI19" s="126">
        <f>IF(AND(NOT(ISBLANK($C19)),NOT(ISBLANK($E19)),$A19="x"),IF(L19=0,0,[2]!TSImport("PRTime","","Time_NINE","","Date",$BI$11,"Employee",$B$2,"JCJob",$C19,"JCExtra",$D19,"JCCostCode",$E19,"WCCode",$B19,"WCState",$G19,"State",$H19,"PayID",$BB$12,"Units",L19,"UnionID",$B$3,"UnionLocal",$F19,"UnionClass",$I19,"CertifiedClass",$J19)),0)</f>
        <v>0</v>
      </c>
      <c r="BJ19" s="127">
        <f>IF(AND(NOT(ISBLANK($C19)),NOT(ISBLANK($E19)),$A19="x"),IF(M19=0,0,[2]!TSImport("PRTime","","Time_NINE","","Date",$BI$11,"Employee",$B$2,"JCJob",$C19,"JCExtra",$D19,"JCCostCode",$E19,"WCCode",$B19,"WCState",$G19,"State",$H19,"PayID",$BC$12,"Units",M19,"UnionID",$B$3,"UnionLocal",$F19,"UnionClass",$I19,"CertifiedClass",$J19)),0)</f>
        <v>0</v>
      </c>
      <c r="BK19" s="127">
        <f>IF(AND(NOT(ISBLANK($C19)),NOT(ISBLANK($E19)),$A19="x"),IF(N19=0,0,[2]!TSImport("PRTime","","Time_NINE","","Date",$BI$11,"Employee",$B$2,"JCJob",$C19,"JCExtra",$D19,"JCCostCode",$E19,"WCCode",$B19,"WCState",$G19,"State",$H19,"PayID",$BD$12,"Units",N19,"UnionID",$B$3,"UnionLocal",$F19,"UnionClass",$I19,"CertifiedClass",$J19)),0)</f>
        <v>0</v>
      </c>
      <c r="BL19" s="127">
        <f>IF(AND(NOT(ISBLANK($C19)),NOT(ISBLANK($E19)),$A19="x"),IF(O19=0,0,[2]!TSImport("PRTime","","Time_NINE","","Date",$BI$11,"Employee",$B$2,"JCJob",$C19,"JCExtra",$D19,"JCCostCode",$E19,"WCCode",$B19,"WCState",$G19,"State",$H19,"PayID",$BE$12,"Units",O19,"UnionID",$B$3,"UnionLocal",$F19,"UnionClass",$I19,"CertifiedClass",$J19)),0)</f>
        <v>0</v>
      </c>
      <c r="BM19" s="127">
        <f>IF(AND(NOT(ISBLANK($C19)),NOT(ISBLANK($E19)),$A19="x"),IF(P19=0,0,[2]!TSImport("PRTime","","Time_NINE","","Date",$BI$11,"Employee",$B$2,"JCJob",$C19,"JCExtra",$D19,"JCCostCode",$E19,"WCCode",$B19,"WCState",$G19,"State",$H19,"PayID",$BF$12,"Units",P19,"UnionID",$B$3,"UnionLocal",$F19,"UnionClass",$I19,"CertifiedClass",$J19)),0)</f>
        <v>0</v>
      </c>
      <c r="BN19" s="128">
        <f>IF(AND(NOT(ISBLANK($C19)),NOT(ISBLANK($E19)),$A19="x"),IF(Q19=0,0,[2]!TSImport("PRTime","","Time_NINE","","Date",$BI$11,"Employee",$B$2,"JCJob",$C19,"JCExtra",$D19,"JCCostCode",$E19,"WCCode",$B19,"WCState",$G19,"State",$H19,"PayID",$BG$12,"Units",Q19,"UnionID",$B$3,"UnionLocal",$F19,"UnionClass",$I19,"CertifiedClass",$J19)),0)</f>
        <v>0</v>
      </c>
      <c r="BO19" s="126">
        <f>IF(AND(NOT(ISBLANK($C19)),NOT(ISBLANK($E19)),$A19="x"),IF(R19=0,0,[2]!TSImport("PRTime","","Time_NINE","","Date",$BO$11,"Employee",$B$2,"JCJob",$C19,"JCExtra",$D19,"JCCostCode",$E19,"WCCode",$B19,"WCState",$G19,"State",$H19,"PayID",$BB$12,"Units",R19,"UnionID",$B$3,"UnionLocal",$F19,"UnionClass",$I19,"CertifiedClass",$J19)),0)</f>
        <v>0</v>
      </c>
      <c r="BP19" s="127">
        <f>IF(AND(NOT(ISBLANK($C19)),NOT(ISBLANK($E19)),$A19="x"),IF(S19=0,0,[2]!TSImport("PRTime","","Time_NINE","","Date",$BO$11,"Employee",$B$2,"JCJob",$C19,"JCExtra",$D19,"JCCostCode",$E19,"WCCode",$B19,"WCState",$G19,"State",$H19,"PayID",$BC$12,"Units",S19,"UnionID",$B$3,"UnionLocal",$F19,"UnionClass",$I19,"CertifiedClass",$J19)),0)</f>
        <v>0</v>
      </c>
      <c r="BQ19" s="127">
        <f>IF(AND(NOT(ISBLANK($C19)),NOT(ISBLANK($E19)),$A19="x"),IF(T19=0,0,[2]!TSImport("PRTime","","Time_NINE","","Date",$BO$11,"Employee",$B$2,"JCJob",$C19,"JCExtra",$D19,"JCCostCode",$E19,"WCCode",$B19,"WCState",$G19,"State",$H19,"PayID",$BD$12,"Units",T19,"UnionID",$B$3,"UnionLocal",$F19,"UnionClass",$I19,"CertifiedClass",$J19)),0)</f>
        <v>0</v>
      </c>
      <c r="BR19" s="127">
        <f>IF(AND(NOT(ISBLANK($C19)),NOT(ISBLANK($E19)),$A19="x"),IF(U19=0,0,[2]!TSImport("PRTime","","Time_NINE","","Date",$BO$11,"Employee",$B$2,"JCJob",$C19,"JCExtra",$D19,"JCCostCode",$E19,"WCCode",$B19,"WCState",$G19,"State",$H19,"PayID",$BE$12,"Units",U19,"UnionID",$B$3,"UnionLocal",$F19,"UnionClass",$I19,"CertifiedClass",$J19)),0)</f>
        <v>0</v>
      </c>
      <c r="BS19" s="127">
        <f>IF(AND(NOT(ISBLANK($C19)),NOT(ISBLANK($E19)),$A19="x"),IF(V19=0,0,[2]!TSImport("PRTime","","Time_NINE","","Date",$BO$11,"Employee",$B$2,"JCJob",$C19,"JCExtra",$D19,"JCCostCode",$E19,"WCCode",$B19,"WCState",$G19,"State",$H19,"PayID",$BF$12,"Units",V19,"UnionID",$B$3,"UnionLocal",$F19,"UnionClass",$I19,"CertifiedClass",$J19)),0)</f>
        <v>0</v>
      </c>
      <c r="BT19" s="128">
        <f>IF(AND(NOT(ISBLANK($C19)),NOT(ISBLANK($E19)),$A19="x"),IF(W19=0,0,[2]!TSImport("PRTime","","Time_NINE","","Date",$BO$11,"Employee",$B$2,"JCJob",$C19,"JCExtra",$D19,"JCCostCode",$E19,"WCCode",$B19,"WCState",$G19,"State",$H19,"PayID",$BG$12,"Units",W19,"UnionID",$B$3,"UnionLocal",$F19,"UnionClass",$I19,"CertifiedClass",$J19)),0)</f>
        <v>0</v>
      </c>
      <c r="BU19" s="126">
        <f>IF(AND(NOT(ISBLANK($C19)),NOT(ISBLANK($E19)),$A19="x"),IF(X19=0,0,[2]!TSImport("PRTime","","Time_NINE","","Date",$BU$11,"Employee",$B$2,"JCJob",$C19,"JCExtra",$D19,"JCCostCode",$E19,"WCCode",$B19,"WCState",$G19,"State",$H19,"PayID",$BB$12,"Units",X19,"UnionID",$B$3,"UnionLocal",$F19,"UnionClass",$I19,"CertifiedClass",$J19)),0)</f>
        <v>0</v>
      </c>
      <c r="BV19" s="127">
        <f>IF(AND(NOT(ISBLANK($C19)),NOT(ISBLANK($E19)),$A19="x"),IF(Y19=0,0,[2]!TSImport("PRTime","","Time_NINE","","Date",$BU$11,"Employee",$B$2,"JCJob",$C19,"JCExtra",$D19,"JCCostCode",$E19,"WCCode",$B19,"WCState",$G19,"State",$H19,"PayID",$BC$12,"Units",Y19,"UnionID",$B$3,"UnionLocal",$F19,"UnionClass",$I19,"CertifiedClass",$J19)),0)</f>
        <v>0</v>
      </c>
      <c r="BW19" s="127">
        <f>IF(AND(NOT(ISBLANK($C19)),NOT(ISBLANK($E19)),$A19="x"),IF(Z19=0,0,[2]!TSImport("PRTime","","Time_NINE","","Date",$BU$11,"Employee",$B$2,"JCJob",$C19,"JCExtra",$D19,"JCCostCode",$E19,"WCCode",$B19,"WCState",$G19,"State",$H19,"PayID",$BD$12,"Units",Z19,"UnionID",$B$3,"UnionLocal",$F19,"UnionClass",$I19,"CertifiedClass",$J19)),0)</f>
        <v>0</v>
      </c>
      <c r="BX19" s="127">
        <f>IF(AND(NOT(ISBLANK($C19)),NOT(ISBLANK($E19)),$A19="x"),IF(AA19=0,0,[2]!TSImport("PRTime","","Time_NINE","","Date",$BU$11,"Employee",$B$2,"JCJob",$C19,"JCExtra",$D19,"JCCostCode",$E19,"WCCode",$B19,"WCState",$G19,"State",$H19,"PayID",$BE$12,"Units",AA19,"UnionID",$B$3,"UnionLocal",$F19,"UnionClass",$I19,"CertifiedClass",$J19)),0)</f>
        <v>0</v>
      </c>
      <c r="BY19" s="127">
        <f>IF(AND(NOT(ISBLANK($C19)),NOT(ISBLANK($E19)),$A19="x"),IF(AB19=0,0,[2]!TSImport("PRTime","","Time_NINE","","Date",$BU$11,"Employee",$B$2,"JCJob",$C19,"JCExtra",$D19,"JCCostCode",$E19,"WCCode",$B19,"WCState",$G19,"State",$H19,"PayID",$BF$12,"Units",AB19,"UnionID",$B$3,"UnionLocal",$F19,"UnionClass",$I19,"CertifiedClass",$J19)),0)</f>
        <v>0</v>
      </c>
      <c r="BZ19" s="128">
        <f>IF(AND(NOT(ISBLANK($C19)),NOT(ISBLANK($E19)),$A19="x"),IF(AC19=0,0,[2]!TSImport("PRTime","","Time_NINE","","Date",$BU$11,"Employee",$B$2,"JCJob",$C19,"JCExtra",$D19,"JCCostCode",$E19,"WCCode",$B19,"WCState",$G19,"State",$H19,"PayID",$BG$12,"Units",AC19,"UnionID",$B$3,"UnionLocal",$F19,"UnionClass",$I19,"CertifiedClass",$J19)),0)</f>
        <v>0</v>
      </c>
      <c r="CA19" s="126">
        <f>IF(AND(NOT(ISBLANK($C19)),NOT(ISBLANK($E19)),$A19="x"),IF(AD19=0,0,[2]!TSImport("PRTime","","Time_NINE","","Date",$CA$11,"Employee",$B$2,"JCJob",$C19,"JCExtra",$D19,"JCCostCode",$E19,"WCCode",$B19,"WCState",$G19,"State",$H19,"PayID",$BB$12,"Units",AD19,"UnionID",$B$3,"UnionLocal",$F19,"UnionClass",$I19,"CertifiedClass",$J19)),0)</f>
        <v>0</v>
      </c>
      <c r="CB19" s="127">
        <f>IF(AND(NOT(ISBLANK($C19)),NOT(ISBLANK($E19)),$A19="x"),IF(AE19=0,0,[2]!TSImport("PRTime","","Time_NINE","","Date",$CA$11,"Employee",$B$2,"JCJob",$C19,"JCExtra",$D19,"JCCostCode",$E19,"WCCode",$B19,"WCState",$G19,"State",$H19,"PayID",$BC$12,"Units",AE19,"UnionID",$B$3,"UnionLocal",$F19,"UnionClass",$I19,"CertifiedClass",$J19)),0)</f>
        <v>0</v>
      </c>
      <c r="CC19" s="127">
        <f>IF(AND(NOT(ISBLANK($C19)),NOT(ISBLANK($E19)),$A19="x"),IF(AF19=0,0,[2]!TSImport("PRTime","","Time_NINE","","Date",$CA$11,"Employee",$B$2,"JCJob",$C19,"JCExtra",$D19,"JCCostCode",$E19,"WCCode",$B19,"WCState",$G19,"State",$H19,"PayID",$BD$12,"Units",AF19,"UnionID",$B$3,"UnionLocal",$F19,"UnionClass",$I19,"CertifiedClass",$J19)),0)</f>
        <v>0</v>
      </c>
      <c r="CD19" s="127">
        <f>IF(AND(NOT(ISBLANK($C19)),NOT(ISBLANK($E19)),$A19="x"),IF(AG19=0,0,[2]!TSImport("PRTime","","Time_NINE","","Date",$CA$11,"Employee",$B$2,"JCJob",$C19,"JCExtra",$D19,"JCCostCode",$E19,"WCCode",$B19,"WCState",$G19,"State",$H19,"PayID",$BE$12,"Units",AG19,"UnionID",$B$3,"UnionLocal",$F19,"UnionClass",$I19,"CertifiedClass",$J19)),0)</f>
        <v>0</v>
      </c>
      <c r="CE19" s="127">
        <f>IF(AND(NOT(ISBLANK($C19)),NOT(ISBLANK($E19)),$A19="x"),IF(AH19=0,0,[2]!TSImport("PRTime","","Time_NINE","","Date",$CA$11,"Employee",$B$2,"JCJob",$C19,"JCExtra",$D19,"JCCostCode",$E19,"WCCode",$B19,"WCState",$G19,"State",$H19,"PayID",$BF$12,"Units",AH19,"UnionID",$B$3,"UnionLocal",$F19,"UnionClass",$I19,"CertifiedClass",$J19)),0)</f>
        <v>0</v>
      </c>
      <c r="CF19" s="128">
        <f>IF(AND(NOT(ISBLANK($C19)),NOT(ISBLANK($E19)),$A19="x"),IF(AI19=0,0,[2]!TSImport("PRTime","","Time_NINE","","Date",$CA$11,"Employee",$B$2,"JCJob",$C19,"JCExtra",$D19,"JCCostCode",$E19,"WCCode",$B19,"WCState",$G19,"State",$H19,"PayID",$BG$12,"Units",AI19,"UnionID",$B$3,"UnionLocal",$F19,"UnionClass",$I19,"CertifiedClass",$J19)),0)</f>
        <v>0</v>
      </c>
      <c r="CG19" s="126">
        <f>IF(AND(NOT(ISBLANK($C19)),NOT(ISBLANK($E19)),$A19="x"),IF(AJ19=0,0,[2]!TSImport("PRTime","","Time_NINE","","Date",$CG$11,"Employee",$B$2,"JCJob",$C19,"JCExtra",$D19,"JCCostCode",$E19,"WCCode",$B19,"WCState",$G19,"State",$H19,"PayID",$BB$12,"Units",AJ19,"UnionID",$B$3,"UnionLocal",$F19,"UnionClass",$I19,"CertifiedClass",$J19)),0)</f>
        <v>0</v>
      </c>
      <c r="CH19" s="127">
        <f>IF(AND(NOT(ISBLANK($C19)),NOT(ISBLANK($E19)),$A19="x"),IF(AK19=0,0,[2]!TSImport("PRTime","","Time_NINE","","Date",$CG$11,"Employee",$B$2,"JCJob",$C19,"JCExtra",$D19,"JCCostCode",$E19,"WCCode",$B19,"WCState",$G19,"State",$H19,"PayID",$BC$12,"Units",AK19,"UnionID",$B$3,"UnionLocal",$F19,"UnionClass",$I19,"CertifiedClass",$J19)),0)</f>
        <v>0</v>
      </c>
      <c r="CI19" s="127">
        <f>IF(AND(NOT(ISBLANK($C19)),NOT(ISBLANK($E19)),$A19="x"),IF(AL19=0,0,[2]!TSImport("PRTime","","Time_NINE","","Date",$CG$11,"Employee",$B$2,"JCJob",$C19,"JCExtra",$D19,"JCCostCode",$E19,"WCCode",$B19,"WCState",$G19,"State",$H19,"PayID",$BD$12,"Units",AL19,"UnionID",$B$3,"UnionLocal",$F19,"UnionClass",$I19,"CertifiedClass",$J19)),0)</f>
        <v>0</v>
      </c>
      <c r="CJ19" s="127">
        <f>IF(AND(NOT(ISBLANK($C19)),NOT(ISBLANK($E19)),$A19="x"),IF(AM19=0,0,[2]!TSImport("PRTime","","Time_NINE","","Date",$CG$11,"Employee",$B$2,"JCJob",$C19,"JCExtra",$D19,"JCCostCode",$E19,"WCCode",$B19,"WCState",$G19,"State",$H19,"PayID",$BE$12,"Units",AM19,"UnionID",$B$3,"UnionLocal",$F19,"UnionClass",$I19,"CertifiedClass",$J19)),0)</f>
        <v>0</v>
      </c>
      <c r="CK19" s="127">
        <f>IF(AND(NOT(ISBLANK($C19)),NOT(ISBLANK($E19)),$A19="x"),IF(AN19=0,0,[2]!TSImport("PRTime","","Time_NINE","","Date",$CG$11,"Employee",$B$2,"JCJob",$C19,"JCExtra",$D19,"JCCostCode",$E19,"WCCode",$B19,"WCState",$G19,"State",$H19,"PayID",$BF$12,"Units",AN19,"UnionID",$B$3,"UnionLocal",$F19,"UnionClass",$I19,"CertifiedClass",$J19)),0)</f>
        <v>0</v>
      </c>
      <c r="CL19" s="128">
        <f>IF(AND(NOT(ISBLANK($C19)),NOT(ISBLANK($E19)),$A19="x"),IF(AO19=0,0,[2]!TSImport("PRTime","","Time_NINE","","Date",$CG$11,"Employee",$B$2,"JCJob",$C19,"JCExtra",$D19,"JCCostCode",$E19,"WCCode",$B19,"WCState",$G19,"State",$H19,"PayID",$BG$12,"Units",AO19,"UnionID",$B$3,"UnionLocal",$F19,"UnionClass",$I19,"CertifiedClass",$J19)),0)</f>
        <v>0</v>
      </c>
      <c r="CM19" s="126">
        <f>IF(AND(NOT(ISBLANK($C19)),NOT(ISBLANK($E19)),$A19="x"),IF(AP19=0,0,[2]!TSImport("PRTime","","Time_NINE","","Date",$CM$11,"Employee",$B$2,"JCJob",$C19,"JCExtra",$D19,"JCCostCode",$E19,"WCCode",$B19,"WCState",$G19,"State",$H19,"PayID",$BB$12,"Units",AP19,"UnionID",$B$3,"UnionLocal",$F19,"UnionClass",$I19,"CertifiedClass",$J19)),0)</f>
        <v>0</v>
      </c>
      <c r="CN19" s="127">
        <f>IF(AND(NOT(ISBLANK($C19)),NOT(ISBLANK($E19)),$A19="x"),IF(AQ19=0,0,[2]!TSImport("PRTime","","Time_NINE","","Date",$CM$11,"Employee",$B$2,"JCJob",$C19,"JCExtra",$D19,"JCCostCode",$E19,"WCCode",$B19,"WCState",$G19,"State",$H19,"PayID",$BC$12,"Units",AQ19,"UnionID",$B$3,"UnionLocal",$F19,"UnionClass",$I19,"CertifiedClass",$J19)),0)</f>
        <v>0</v>
      </c>
      <c r="CO19" s="127">
        <f>IF(AND(NOT(ISBLANK($C19)),NOT(ISBLANK($E19)),$A19="x"),IF(AR19=0,0,[2]!TSImport("PRTime","","Time_NINE","","Date",$CM$11,"Employee",$B$2,"JCJob",$C19,"JCExtra",$D19,"JCCostCode",$E19,"WCCode",$B19,"WCState",$G19,"State",$H19,"PayID",$BD$12,"Units",AR19,"UnionID",$B$3,"UnionLocal",$F19,"UnionClass",$I19,"CertifiedClass",$J19)),0)</f>
        <v>0</v>
      </c>
      <c r="CP19" s="127">
        <f>IF(AND(NOT(ISBLANK($C19)),NOT(ISBLANK($E19)),$A19="x"),IF(AS19=0,0,[2]!TSImport("PRTime","","Time_NINE","","Date",$CM$11,"Employee",$B$2,"JCJob",$C19,"JCExtra",$D19,"JCCostCode",$E19,"WCCode",$B19,"WCState",$G19,"State",$H19,"PayID",$BE$12,"Units",AS19,"UnionID",$B$3,"UnionLocal",$F19,"UnionClass",$I19,"CertifiedClass",$J19)),0)</f>
        <v>0</v>
      </c>
      <c r="CQ19" s="127">
        <f>IF(AND(NOT(ISBLANK($C19)),NOT(ISBLANK($E19)),$A19="x"),IF(AT19=0,0,[2]!TSImport("PRTime","","Time_NINE","","Date",$CM$11,"Employee",$B$2,"JCJob",$C19,"JCExtra",$D19,"JCCostCode",$E19,"WCCode",$B19,"WCState",$G19,"State",$H19,"PayID",$BF$12,"Units",AT19,"UnionID",$B$3,"UnionLocal",$F19,"UnionClass",$I19,"CertifiedClass",$J19)),0)</f>
        <v>0</v>
      </c>
      <c r="CR19" s="128">
        <f>IF(AND(NOT(ISBLANK($C19)),NOT(ISBLANK($E19)),$A19="x"),IF(AU19=0,0,[2]!TSImport("PRTime","","Time_NINE","","Date",$CM$11,"Employee",$B$2,"JCJob",$C19,"JCExtra",$D19,"JCCostCode",$E19,"WCCode",$B19,"WCState",$G19,"State",$H19,"PayID",$BG$12,"Units",AU19,"UnionID",$B$3,"UnionLocal",$F19,"UnionClass",$I19,"CertifiedClass",$J19)),0)</f>
        <v>0</v>
      </c>
      <c r="CS19" s="126">
        <f>IF(AND(NOT(ISBLANK($C19)),NOT(ISBLANK($E19)),$A19="x"),IF(AV19=0,0,[2]!TSImport("PRTime","","Time_NINE","","Date",$CS$11,"Employee",$B$2,"JCJob",$C19,"JCExtra",$D19,"JCCostCode",$E19,"WCCode",$B19,"WCState",$G19,"State",$H19,"PayID",$BB$12,"Units",AV19,"UnionID",$B$3,"UnionLocal",$F19,"UnionClass",$I19,"CertifiedClass",$J19)),0)</f>
        <v>0</v>
      </c>
      <c r="CT19" s="127">
        <f>IF(AND(NOT(ISBLANK($C19)),NOT(ISBLANK($E19)),$A19="x"),IF(AW19=0,0,[2]!TSImport("PRTime","","Time_NINE","","Date",$CS$11,"Employee",$B$2,"JCJob",$C19,"JCExtra",$D19,"JCCostCode",$E19,"WCCode",$B19,"WCState",$G19,"State",$H19,"PayID",$BC$12,"Units",AW19,"UnionID",$B$3,"UnionLocal",$F19,"UnionClass",$I19,"CertifiedClass",$J19)),0)</f>
        <v>0</v>
      </c>
      <c r="CU19" s="127">
        <f>IF(AND(NOT(ISBLANK($C19)),NOT(ISBLANK($E19)),$A19="x"),IF(AX19=0,0,[2]!TSImport("PRTime","","Time_NINE","","Date",$CS$11,"Employee",$B$2,"JCJob",$C19,"JCExtra",$D19,"JCCostCode",$E19,"WCCode",$B19,"WCState",$G19,"State",$H19,"PayID",$BD$12,"Units",AX19,"UnionID",$B$3,"UnionLocal",$F19,"UnionClass",$I19,"CertifiedClass",$J19)),0)</f>
        <v>0</v>
      </c>
      <c r="CV19" s="127">
        <f>IF(AND(NOT(ISBLANK($C19)),NOT(ISBLANK($E19)),$A19="x"),IF(AY19=0,0,[2]!TSImport("PRTime","","Time_NINE","","Date",$CS$11,"Employee",$B$2,"JCJob",$C19,"JCExtra",$D19,"JCCostCode",$E19,"WCCode",$B19,"WCState",$G19,"State",$H19,"PayID",$BE$12,"Units",AY19,"UnionID",$B$3,"UnionLocal",$F19,"UnionClass",$I19,"CertifiedClass",$J19)),0)</f>
        <v>0</v>
      </c>
      <c r="CW19" s="127">
        <f>IF(AND(NOT(ISBLANK($C19)),NOT(ISBLANK($E19)),$A19="x"),IF(AZ19=0,0,[2]!TSImport("PRTime","","Time_NINE","","Date",$CS$11,"Employee",$B$2,"JCJob",$C19,"JCExtra",$D19,"JCCostCode",$E19,"WCCode",$B19,"WCState",$G19,"State",$H19,"PayID",$BF$12,"Units",AZ19,"UnionID",$B$3,"UnionLocal",$F19,"UnionClass",$I19,"CertifiedClass",$J19)),0)</f>
        <v>0</v>
      </c>
      <c r="CX19" s="128">
        <f>IF(AND(NOT(ISBLANK($C19)),NOT(ISBLANK($E19)),$A19="x"),IF(BA19=0,0,[2]!TSImport("PRTime","","Time_NINE","","Date",$CS$11,"Employee",$B$2,"JCJob",$C19,"JCExtra",$D19,"JCCostCode",$E19,"WCCode",$B19,"WCState",$G19,"State",$H19,"PayID",$BG$12,"Units",BA19,"UnionID",$B$3,"UnionLocal",$F19,"UnionClass",$I19,"CertifiedClass",$J19)),0)</f>
        <v>0</v>
      </c>
    </row>
    <row r="20" spans="1:102" ht="39" customHeight="1" x14ac:dyDescent="0.3">
      <c r="A20" s="109" t="str">
        <f t="shared" si="0"/>
        <v/>
      </c>
      <c r="B20" s="276" t="s">
        <v>101</v>
      </c>
      <c r="C20" s="111"/>
      <c r="D20" s="277"/>
      <c r="E20" s="276"/>
      <c r="F20" s="276" t="str">
        <f t="shared" si="1"/>
        <v>1245</v>
      </c>
      <c r="G20" s="276" t="s">
        <v>102</v>
      </c>
      <c r="H20" s="276" t="s">
        <v>102</v>
      </c>
      <c r="I20" s="139">
        <v>1</v>
      </c>
      <c r="J20" s="153" t="str">
        <f t="shared" si="8"/>
        <v>01</v>
      </c>
      <c r="K20" s="150">
        <v>1</v>
      </c>
      <c r="L20" s="263"/>
      <c r="M20" s="258"/>
      <c r="N20" s="258"/>
      <c r="O20" s="258"/>
      <c r="P20" s="258"/>
      <c r="Q20" s="259"/>
      <c r="R20" s="262"/>
      <c r="S20" s="260"/>
      <c r="T20" s="260"/>
      <c r="U20" s="260"/>
      <c r="V20" s="260"/>
      <c r="W20" s="261"/>
      <c r="X20" s="263"/>
      <c r="Y20" s="258"/>
      <c r="Z20" s="258"/>
      <c r="AA20" s="258"/>
      <c r="AB20" s="258"/>
      <c r="AC20" s="259"/>
      <c r="AD20" s="262"/>
      <c r="AE20" s="260"/>
      <c r="AF20" s="260"/>
      <c r="AG20" s="260"/>
      <c r="AH20" s="260"/>
      <c r="AI20" s="261"/>
      <c r="AJ20" s="263"/>
      <c r="AK20" s="258"/>
      <c r="AL20" s="258"/>
      <c r="AM20" s="258"/>
      <c r="AN20" s="258"/>
      <c r="AO20" s="259"/>
      <c r="AP20" s="262"/>
      <c r="AQ20" s="260"/>
      <c r="AR20" s="260"/>
      <c r="AS20" s="260"/>
      <c r="AT20" s="260"/>
      <c r="AU20" s="261"/>
      <c r="AV20" s="263"/>
      <c r="AW20" s="258"/>
      <c r="AX20" s="258"/>
      <c r="AY20" s="258"/>
      <c r="AZ20" s="258"/>
      <c r="BA20" s="259"/>
      <c r="BB20" s="119">
        <f t="shared" si="2"/>
        <v>0</v>
      </c>
      <c r="BC20" s="120">
        <f t="shared" si="3"/>
        <v>0</v>
      </c>
      <c r="BD20" s="120">
        <f t="shared" si="4"/>
        <v>0</v>
      </c>
      <c r="BE20" s="120">
        <f t="shared" si="5"/>
        <v>0</v>
      </c>
      <c r="BF20" s="120">
        <f t="shared" si="6"/>
        <v>0</v>
      </c>
      <c r="BG20" s="154">
        <f t="shared" si="7"/>
        <v>0</v>
      </c>
      <c r="BH20" s="123">
        <f>SUM(TimeSheet347536192444018281322354750220515659613035363650515317116122135[[#This Row],[1]:[4A]])</f>
        <v>0</v>
      </c>
      <c r="BI20" s="126">
        <f>IF(AND(NOT(ISBLANK($C20)),NOT(ISBLANK($E20)),$A20="x"),IF(L20=0,0,[2]!TSImport("PRTime","","Time_NINE","","Date",$BI$11,"Employee",$B$2,"JCJob",$C20,"JCExtra",$D20,"JCCostCode",$E20,"WCCode",$B20,"WCState",$G20,"State",$H20,"PayID",$BB$12,"Units",L20,"UnionID",$B$3,"UnionLocal",$F20,"UnionClass",$I20,"CertifiedClass",$J20)),0)</f>
        <v>0</v>
      </c>
      <c r="BJ20" s="127">
        <f>IF(AND(NOT(ISBLANK($C20)),NOT(ISBLANK($E20)),$A20="x"),IF(M20=0,0,[2]!TSImport("PRTime","","Time_NINE","","Date",$BI$11,"Employee",$B$2,"JCJob",$C20,"JCExtra",$D20,"JCCostCode",$E20,"WCCode",$B20,"WCState",$G20,"State",$H20,"PayID",$BC$12,"Units",M20,"UnionID",$B$3,"UnionLocal",$F20,"UnionClass",$I20,"CertifiedClass",$J20)),0)</f>
        <v>0</v>
      </c>
      <c r="BK20" s="127">
        <f>IF(AND(NOT(ISBLANK($C20)),NOT(ISBLANK($E20)),$A20="x"),IF(N20=0,0,[2]!TSImport("PRTime","","Time_NINE","","Date",$BI$11,"Employee",$B$2,"JCJob",$C20,"JCExtra",$D20,"JCCostCode",$E20,"WCCode",$B20,"WCState",$G20,"State",$H20,"PayID",$BD$12,"Units",N20,"UnionID",$B$3,"UnionLocal",$F20,"UnionClass",$I20,"CertifiedClass",$J20)),0)</f>
        <v>0</v>
      </c>
      <c r="BL20" s="127">
        <f>IF(AND(NOT(ISBLANK($C20)),NOT(ISBLANK($E20)),$A20="x"),IF(O20=0,0,[2]!TSImport("PRTime","","Time_NINE","","Date",$BI$11,"Employee",$B$2,"JCJob",$C20,"JCExtra",$D20,"JCCostCode",$E20,"WCCode",$B20,"WCState",$G20,"State",$H20,"PayID",$BE$12,"Units",O20,"UnionID",$B$3,"UnionLocal",$F20,"UnionClass",$I20,"CertifiedClass",$J20)),0)</f>
        <v>0</v>
      </c>
      <c r="BM20" s="127">
        <f>IF(AND(NOT(ISBLANK($C20)),NOT(ISBLANK($E20)),$A20="x"),IF(P20=0,0,[2]!TSImport("PRTime","","Time_NINE","","Date",$BI$11,"Employee",$B$2,"JCJob",$C20,"JCExtra",$D20,"JCCostCode",$E20,"WCCode",$B20,"WCState",$G20,"State",$H20,"PayID",$BF$12,"Units",P20,"UnionID",$B$3,"UnionLocal",$F20,"UnionClass",$I20,"CertifiedClass",$J20)),0)</f>
        <v>0</v>
      </c>
      <c r="BN20" s="128">
        <f>IF(AND(NOT(ISBLANK($C20)),NOT(ISBLANK($E20)),$A20="x"),IF(Q20=0,0,[2]!TSImport("PRTime","","Time_NINE","","Date",$BI$11,"Employee",$B$2,"JCJob",$C20,"JCExtra",$D20,"JCCostCode",$E20,"WCCode",$B20,"WCState",$G20,"State",$H20,"PayID",$BG$12,"Units",Q20,"UnionID",$B$3,"UnionLocal",$F20,"UnionClass",$I20,"CertifiedClass",$J20)),0)</f>
        <v>0</v>
      </c>
      <c r="BO20" s="126">
        <f>IF(AND(NOT(ISBLANK($C20)),NOT(ISBLANK($E20)),$A20="x"),IF(R20=0,0,[2]!TSImport("PRTime","","Time_NINE","","Date",$BO$11,"Employee",$B$2,"JCJob",$C20,"JCExtra",$D20,"JCCostCode",$E20,"WCCode",$B20,"WCState",$G20,"State",$H20,"PayID",$BB$12,"Units",R20,"UnionID",$B$3,"UnionLocal",$F20,"UnionClass",$I20,"CertifiedClass",$J20)),0)</f>
        <v>0</v>
      </c>
      <c r="BP20" s="127">
        <f>IF(AND(NOT(ISBLANK($C20)),NOT(ISBLANK($E20)),$A20="x"),IF(S20=0,0,[2]!TSImport("PRTime","","Time_NINE","","Date",$BO$11,"Employee",$B$2,"JCJob",$C20,"JCExtra",$D20,"JCCostCode",$E20,"WCCode",$B20,"WCState",$G20,"State",$H20,"PayID",$BC$12,"Units",S20,"UnionID",$B$3,"UnionLocal",$F20,"UnionClass",$I20,"CertifiedClass",$J20)),0)</f>
        <v>0</v>
      </c>
      <c r="BQ20" s="127">
        <f>IF(AND(NOT(ISBLANK($C20)),NOT(ISBLANK($E20)),$A20="x"),IF(T20=0,0,[2]!TSImport("PRTime","","Time_NINE","","Date",$BO$11,"Employee",$B$2,"JCJob",$C20,"JCExtra",$D20,"JCCostCode",$E20,"WCCode",$B20,"WCState",$G20,"State",$H20,"PayID",$BD$12,"Units",T20,"UnionID",$B$3,"UnionLocal",$F20,"UnionClass",$I20,"CertifiedClass",$J20)),0)</f>
        <v>0</v>
      </c>
      <c r="BR20" s="127">
        <f>IF(AND(NOT(ISBLANK($C20)),NOT(ISBLANK($E20)),$A20="x"),IF(U20=0,0,[2]!TSImport("PRTime","","Time_NINE","","Date",$BO$11,"Employee",$B$2,"JCJob",$C20,"JCExtra",$D20,"JCCostCode",$E20,"WCCode",$B20,"WCState",$G20,"State",$H20,"PayID",$BE$12,"Units",U20,"UnionID",$B$3,"UnionLocal",$F20,"UnionClass",$I20,"CertifiedClass",$J20)),0)</f>
        <v>0</v>
      </c>
      <c r="BS20" s="127">
        <f>IF(AND(NOT(ISBLANK($C20)),NOT(ISBLANK($E20)),$A20="x"),IF(V20=0,0,[2]!TSImport("PRTime","","Time_NINE","","Date",$BO$11,"Employee",$B$2,"JCJob",$C20,"JCExtra",$D20,"JCCostCode",$E20,"WCCode",$B20,"WCState",$G20,"State",$H20,"PayID",$BF$12,"Units",V20,"UnionID",$B$3,"UnionLocal",$F20,"UnionClass",$I20,"CertifiedClass",$J20)),0)</f>
        <v>0</v>
      </c>
      <c r="BT20" s="128">
        <f>IF(AND(NOT(ISBLANK($C20)),NOT(ISBLANK($E20)),$A20="x"),IF(W20=0,0,[2]!TSImport("PRTime","","Time_NINE","","Date",$BO$11,"Employee",$B$2,"JCJob",$C20,"JCExtra",$D20,"JCCostCode",$E20,"WCCode",$B20,"WCState",$G20,"State",$H20,"PayID",$BG$12,"Units",W20,"UnionID",$B$3,"UnionLocal",$F20,"UnionClass",$I20,"CertifiedClass",$J20)),0)</f>
        <v>0</v>
      </c>
      <c r="BU20" s="126">
        <f>IF(AND(NOT(ISBLANK($C20)),NOT(ISBLANK($E20)),$A20="x"),IF(X20=0,0,[2]!TSImport("PRTime","","Time_NINE","","Date",$BU$11,"Employee",$B$2,"JCJob",$C20,"JCExtra",$D20,"JCCostCode",$E20,"WCCode",$B20,"WCState",$G20,"State",$H20,"PayID",$BB$12,"Units",X20,"UnionID",$B$3,"UnionLocal",$F20,"UnionClass",$I20,"CertifiedClass",$J20)),0)</f>
        <v>0</v>
      </c>
      <c r="BV20" s="127">
        <f>IF(AND(NOT(ISBLANK($C20)),NOT(ISBLANK($E20)),$A20="x"),IF(Y20=0,0,[2]!TSImport("PRTime","","Time_NINE","","Date",$BU$11,"Employee",$B$2,"JCJob",$C20,"JCExtra",$D20,"JCCostCode",$E20,"WCCode",$B20,"WCState",$G20,"State",$H20,"PayID",$BC$12,"Units",Y20,"UnionID",$B$3,"UnionLocal",$F20,"UnionClass",$I20,"CertifiedClass",$J20)),0)</f>
        <v>0</v>
      </c>
      <c r="BW20" s="127">
        <f>IF(AND(NOT(ISBLANK($C20)),NOT(ISBLANK($E20)),$A20="x"),IF(Z20=0,0,[2]!TSImport("PRTime","","Time_NINE","","Date",$BU$11,"Employee",$B$2,"JCJob",$C20,"JCExtra",$D20,"JCCostCode",$E20,"WCCode",$B20,"WCState",$G20,"State",$H20,"PayID",$BD$12,"Units",Z20,"UnionID",$B$3,"UnionLocal",$F20,"UnionClass",$I20,"CertifiedClass",$J20)),0)</f>
        <v>0</v>
      </c>
      <c r="BX20" s="127">
        <f>IF(AND(NOT(ISBLANK($C20)),NOT(ISBLANK($E20)),$A20="x"),IF(AA20=0,0,[2]!TSImport("PRTime","","Time_NINE","","Date",$BU$11,"Employee",$B$2,"JCJob",$C20,"JCExtra",$D20,"JCCostCode",$E20,"WCCode",$B20,"WCState",$G20,"State",$H20,"PayID",$BE$12,"Units",AA20,"UnionID",$B$3,"UnionLocal",$F20,"UnionClass",$I20,"CertifiedClass",$J20)),0)</f>
        <v>0</v>
      </c>
      <c r="BY20" s="127">
        <f>IF(AND(NOT(ISBLANK($C20)),NOT(ISBLANK($E20)),$A20="x"),IF(AB20=0,0,[2]!TSImport("PRTime","","Time_NINE","","Date",$BU$11,"Employee",$B$2,"JCJob",$C20,"JCExtra",$D20,"JCCostCode",$E20,"WCCode",$B20,"WCState",$G20,"State",$H20,"PayID",$BF$12,"Units",AB20,"UnionID",$B$3,"UnionLocal",$F20,"UnionClass",$I20,"CertifiedClass",$J20)),0)</f>
        <v>0</v>
      </c>
      <c r="BZ20" s="128">
        <f>IF(AND(NOT(ISBLANK($C20)),NOT(ISBLANK($E20)),$A20="x"),IF(AC20=0,0,[2]!TSImport("PRTime","","Time_NINE","","Date",$BU$11,"Employee",$B$2,"JCJob",$C20,"JCExtra",$D20,"JCCostCode",$E20,"WCCode",$B20,"WCState",$G20,"State",$H20,"PayID",$BG$12,"Units",AC20,"UnionID",$B$3,"UnionLocal",$F20,"UnionClass",$I20,"CertifiedClass",$J20)),0)</f>
        <v>0</v>
      </c>
      <c r="CA20" s="126">
        <f>IF(AND(NOT(ISBLANK($C20)),NOT(ISBLANK($E20)),$A20="x"),IF(AD20=0,0,[2]!TSImport("PRTime","","Time_NINE","","Date",$CA$11,"Employee",$B$2,"JCJob",$C20,"JCExtra",$D20,"JCCostCode",$E20,"WCCode",$B20,"WCState",$G20,"State",$H20,"PayID",$BB$12,"Units",AD20,"UnionID",$B$3,"UnionLocal",$F20,"UnionClass",$I20,"CertifiedClass",$J20)),0)</f>
        <v>0</v>
      </c>
      <c r="CB20" s="127">
        <f>IF(AND(NOT(ISBLANK($C20)),NOT(ISBLANK($E20)),$A20="x"),IF(AE20=0,0,[2]!TSImport("PRTime","","Time_NINE","","Date",$CA$11,"Employee",$B$2,"JCJob",$C20,"JCExtra",$D20,"JCCostCode",$E20,"WCCode",$B20,"WCState",$G20,"State",$H20,"PayID",$BC$12,"Units",AE20,"UnionID",$B$3,"UnionLocal",$F20,"UnionClass",$I20,"CertifiedClass",$J20)),0)</f>
        <v>0</v>
      </c>
      <c r="CC20" s="127">
        <f>IF(AND(NOT(ISBLANK($C20)),NOT(ISBLANK($E20)),$A20="x"),IF(AF20=0,0,[2]!TSImport("PRTime","","Time_NINE","","Date",$CA$11,"Employee",$B$2,"JCJob",$C20,"JCExtra",$D20,"JCCostCode",$E20,"WCCode",$B20,"WCState",$G20,"State",$H20,"PayID",$BD$12,"Units",AF20,"UnionID",$B$3,"UnionLocal",$F20,"UnionClass",$I20,"CertifiedClass",$J20)),0)</f>
        <v>0</v>
      </c>
      <c r="CD20" s="127">
        <f>IF(AND(NOT(ISBLANK($C20)),NOT(ISBLANK($E20)),$A20="x"),IF(AG20=0,0,[2]!TSImport("PRTime","","Time_NINE","","Date",$CA$11,"Employee",$B$2,"JCJob",$C20,"JCExtra",$D20,"JCCostCode",$E20,"WCCode",$B20,"WCState",$G20,"State",$H20,"PayID",$BE$12,"Units",AG20,"UnionID",$B$3,"UnionLocal",$F20,"UnionClass",$I20,"CertifiedClass",$J20)),0)</f>
        <v>0</v>
      </c>
      <c r="CE20" s="127">
        <f>IF(AND(NOT(ISBLANK($C20)),NOT(ISBLANK($E20)),$A20="x"),IF(AH20=0,0,[2]!TSImport("PRTime","","Time_NINE","","Date",$CA$11,"Employee",$B$2,"JCJob",$C20,"JCExtra",$D20,"JCCostCode",$E20,"WCCode",$B20,"WCState",$G20,"State",$H20,"PayID",$BF$12,"Units",AH20,"UnionID",$B$3,"UnionLocal",$F20,"UnionClass",$I20,"CertifiedClass",$J20)),0)</f>
        <v>0</v>
      </c>
      <c r="CF20" s="128">
        <f>IF(AND(NOT(ISBLANK($C20)),NOT(ISBLANK($E20)),$A20="x"),IF(AI20=0,0,[2]!TSImport("PRTime","","Time_NINE","","Date",$CA$11,"Employee",$B$2,"JCJob",$C20,"JCExtra",$D20,"JCCostCode",$E20,"WCCode",$B20,"WCState",$G20,"State",$H20,"PayID",$BG$12,"Units",AI20,"UnionID",$B$3,"UnionLocal",$F20,"UnionClass",$I20,"CertifiedClass",$J20)),0)</f>
        <v>0</v>
      </c>
      <c r="CG20" s="126">
        <f>IF(AND(NOT(ISBLANK($C20)),NOT(ISBLANK($E20)),$A20="x"),IF(AJ20=0,0,[2]!TSImport("PRTime","","Time_NINE","","Date",$CG$11,"Employee",$B$2,"JCJob",$C20,"JCExtra",$D20,"JCCostCode",$E20,"WCCode",$B20,"WCState",$G20,"State",$H20,"PayID",$BB$12,"Units",AJ20,"UnionID",$B$3,"UnionLocal",$F20,"UnionClass",$I20,"CertifiedClass",$J20)),0)</f>
        <v>0</v>
      </c>
      <c r="CH20" s="127">
        <f>IF(AND(NOT(ISBLANK($C20)),NOT(ISBLANK($E20)),$A20="x"),IF(AK20=0,0,[2]!TSImport("PRTime","","Time_NINE","","Date",$CG$11,"Employee",$B$2,"JCJob",$C20,"JCExtra",$D20,"JCCostCode",$E20,"WCCode",$B20,"WCState",$G20,"State",$H20,"PayID",$BC$12,"Units",AK20,"UnionID",$B$3,"UnionLocal",$F20,"UnionClass",$I20,"CertifiedClass",$J20)),0)</f>
        <v>0</v>
      </c>
      <c r="CI20" s="127">
        <f>IF(AND(NOT(ISBLANK($C20)),NOT(ISBLANK($E20)),$A20="x"),IF(AL20=0,0,[2]!TSImport("PRTime","","Time_NINE","","Date",$CG$11,"Employee",$B$2,"JCJob",$C20,"JCExtra",$D20,"JCCostCode",$E20,"WCCode",$B20,"WCState",$G20,"State",$H20,"PayID",$BD$12,"Units",AL20,"UnionID",$B$3,"UnionLocal",$F20,"UnionClass",$I20,"CertifiedClass",$J20)),0)</f>
        <v>0</v>
      </c>
      <c r="CJ20" s="127">
        <f>IF(AND(NOT(ISBLANK($C20)),NOT(ISBLANK($E20)),$A20="x"),IF(AM20=0,0,[2]!TSImport("PRTime","","Time_NINE","","Date",$CG$11,"Employee",$B$2,"JCJob",$C20,"JCExtra",$D20,"JCCostCode",$E20,"WCCode",$B20,"WCState",$G20,"State",$H20,"PayID",$BE$12,"Units",AM20,"UnionID",$B$3,"UnionLocal",$F20,"UnionClass",$I20,"CertifiedClass",$J20)),0)</f>
        <v>0</v>
      </c>
      <c r="CK20" s="127">
        <f>IF(AND(NOT(ISBLANK($C20)),NOT(ISBLANK($E20)),$A20="x"),IF(AN20=0,0,[2]!TSImport("PRTime","","Time_NINE","","Date",$CG$11,"Employee",$B$2,"JCJob",$C20,"JCExtra",$D20,"JCCostCode",$E20,"WCCode",$B20,"WCState",$G20,"State",$H20,"PayID",$BF$12,"Units",AN20,"UnionID",$B$3,"UnionLocal",$F20,"UnionClass",$I20,"CertifiedClass",$J20)),0)</f>
        <v>0</v>
      </c>
      <c r="CL20" s="128">
        <f>IF(AND(NOT(ISBLANK($C20)),NOT(ISBLANK($E20)),$A20="x"),IF(AO20=0,0,[2]!TSImport("PRTime","","Time_NINE","","Date",$CG$11,"Employee",$B$2,"JCJob",$C20,"JCExtra",$D20,"JCCostCode",$E20,"WCCode",$B20,"WCState",$G20,"State",$H20,"PayID",$BG$12,"Units",AO20,"UnionID",$B$3,"UnionLocal",$F20,"UnionClass",$I20,"CertifiedClass",$J20)),0)</f>
        <v>0</v>
      </c>
      <c r="CM20" s="126">
        <f>IF(AND(NOT(ISBLANK($C20)),NOT(ISBLANK($E20)),$A20="x"),IF(AP20=0,0,[2]!TSImport("PRTime","","Time_NINE","","Date",$CM$11,"Employee",$B$2,"JCJob",$C20,"JCExtra",$D20,"JCCostCode",$E20,"WCCode",$B20,"WCState",$G20,"State",$H20,"PayID",$BB$12,"Units",AP20,"UnionID",$B$3,"UnionLocal",$F20,"UnionClass",$I20,"CertifiedClass",$J20)),0)</f>
        <v>0</v>
      </c>
      <c r="CN20" s="127">
        <f>IF(AND(NOT(ISBLANK($C20)),NOT(ISBLANK($E20)),$A20="x"),IF(AQ20=0,0,[2]!TSImport("PRTime","","Time_NINE","","Date",$CM$11,"Employee",$B$2,"JCJob",$C20,"JCExtra",$D20,"JCCostCode",$E20,"WCCode",$B20,"WCState",$G20,"State",$H20,"PayID",$BC$12,"Units",AQ20,"UnionID",$B$3,"UnionLocal",$F20,"UnionClass",$I20,"CertifiedClass",$J20)),0)</f>
        <v>0</v>
      </c>
      <c r="CO20" s="127">
        <f>IF(AND(NOT(ISBLANK($C20)),NOT(ISBLANK($E20)),$A20="x"),IF(AR20=0,0,[2]!TSImport("PRTime","","Time_NINE","","Date",$CM$11,"Employee",$B$2,"JCJob",$C20,"JCExtra",$D20,"JCCostCode",$E20,"WCCode",$B20,"WCState",$G20,"State",$H20,"PayID",$BD$12,"Units",AR20,"UnionID",$B$3,"UnionLocal",$F20,"UnionClass",$I20,"CertifiedClass",$J20)),0)</f>
        <v>0</v>
      </c>
      <c r="CP20" s="127">
        <f>IF(AND(NOT(ISBLANK($C20)),NOT(ISBLANK($E20)),$A20="x"),IF(AS20=0,0,[2]!TSImport("PRTime","","Time_NINE","","Date",$CM$11,"Employee",$B$2,"JCJob",$C20,"JCExtra",$D20,"JCCostCode",$E20,"WCCode",$B20,"WCState",$G20,"State",$H20,"PayID",$BE$12,"Units",AS20,"UnionID",$B$3,"UnionLocal",$F20,"UnionClass",$I20,"CertifiedClass",$J20)),0)</f>
        <v>0</v>
      </c>
      <c r="CQ20" s="127">
        <f>IF(AND(NOT(ISBLANK($C20)),NOT(ISBLANK($E20)),$A20="x"),IF(AT20=0,0,[2]!TSImport("PRTime","","Time_NINE","","Date",$CM$11,"Employee",$B$2,"JCJob",$C20,"JCExtra",$D20,"JCCostCode",$E20,"WCCode",$B20,"WCState",$G20,"State",$H20,"PayID",$BF$12,"Units",AT20,"UnionID",$B$3,"UnionLocal",$F20,"UnionClass",$I20,"CertifiedClass",$J20)),0)</f>
        <v>0</v>
      </c>
      <c r="CR20" s="128">
        <f>IF(AND(NOT(ISBLANK($C20)),NOT(ISBLANK($E20)),$A20="x"),IF(AU20=0,0,[2]!TSImport("PRTime","","Time_NINE","","Date",$CM$11,"Employee",$B$2,"JCJob",$C20,"JCExtra",$D20,"JCCostCode",$E20,"WCCode",$B20,"WCState",$G20,"State",$H20,"PayID",$BG$12,"Units",AU20,"UnionID",$B$3,"UnionLocal",$F20,"UnionClass",$I20,"CertifiedClass",$J20)),0)</f>
        <v>0</v>
      </c>
      <c r="CS20" s="126">
        <f>IF(AND(NOT(ISBLANK($C20)),NOT(ISBLANK($E20)),$A20="x"),IF(AV20=0,0,[2]!TSImport("PRTime","","Time_NINE","","Date",$CS$11,"Employee",$B$2,"JCJob",$C20,"JCExtra",$D20,"JCCostCode",$E20,"WCCode",$B20,"WCState",$G20,"State",$H20,"PayID",$BB$12,"Units",AV20,"UnionID",$B$3,"UnionLocal",$F20,"UnionClass",$I20,"CertifiedClass",$J20)),0)</f>
        <v>0</v>
      </c>
      <c r="CT20" s="127">
        <f>IF(AND(NOT(ISBLANK($C20)),NOT(ISBLANK($E20)),$A20="x"),IF(AW20=0,0,[2]!TSImport("PRTime","","Time_NINE","","Date",$CS$11,"Employee",$B$2,"JCJob",$C20,"JCExtra",$D20,"JCCostCode",$E20,"WCCode",$B20,"WCState",$G20,"State",$H20,"PayID",$BC$12,"Units",AW20,"UnionID",$B$3,"UnionLocal",$F20,"UnionClass",$I20,"CertifiedClass",$J20)),0)</f>
        <v>0</v>
      </c>
      <c r="CU20" s="127">
        <f>IF(AND(NOT(ISBLANK($C20)),NOT(ISBLANK($E20)),$A20="x"),IF(AX20=0,0,[2]!TSImport("PRTime","","Time_NINE","","Date",$CS$11,"Employee",$B$2,"JCJob",$C20,"JCExtra",$D20,"JCCostCode",$E20,"WCCode",$B20,"WCState",$G20,"State",$H20,"PayID",$BD$12,"Units",AX20,"UnionID",$B$3,"UnionLocal",$F20,"UnionClass",$I20,"CertifiedClass",$J20)),0)</f>
        <v>0</v>
      </c>
      <c r="CV20" s="127">
        <f>IF(AND(NOT(ISBLANK($C20)),NOT(ISBLANK($E20)),$A20="x"),IF(AY20=0,0,[2]!TSImport("PRTime","","Time_NINE","","Date",$CS$11,"Employee",$B$2,"JCJob",$C20,"JCExtra",$D20,"JCCostCode",$E20,"WCCode",$B20,"WCState",$G20,"State",$H20,"PayID",$BE$12,"Units",AY20,"UnionID",$B$3,"UnionLocal",$F20,"UnionClass",$I20,"CertifiedClass",$J20)),0)</f>
        <v>0</v>
      </c>
      <c r="CW20" s="127">
        <f>IF(AND(NOT(ISBLANK($C20)),NOT(ISBLANK($E20)),$A20="x"),IF(AZ20=0,0,[2]!TSImport("PRTime","","Time_NINE","","Date",$CS$11,"Employee",$B$2,"JCJob",$C20,"JCExtra",$D20,"JCCostCode",$E20,"WCCode",$B20,"WCState",$G20,"State",$H20,"PayID",$BF$12,"Units",AZ20,"UnionID",$B$3,"UnionLocal",$F20,"UnionClass",$I20,"CertifiedClass",$J20)),0)</f>
        <v>0</v>
      </c>
      <c r="CX20" s="128">
        <f>IF(AND(NOT(ISBLANK($C20)),NOT(ISBLANK($E20)),$A20="x"),IF(BA20=0,0,[2]!TSImport("PRTime","","Time_NINE","","Date",$CS$11,"Employee",$B$2,"JCJob",$C20,"JCExtra",$D20,"JCCostCode",$E20,"WCCode",$B20,"WCState",$G20,"State",$H20,"PayID",$BG$12,"Units",BA20,"UnionID",$B$3,"UnionLocal",$F20,"UnionClass",$I20,"CertifiedClass",$J20)),0)</f>
        <v>0</v>
      </c>
    </row>
    <row r="21" spans="1:102" ht="39" customHeight="1" x14ac:dyDescent="0.3">
      <c r="A21" s="109" t="str">
        <f t="shared" si="0"/>
        <v/>
      </c>
      <c r="B21" s="276" t="s">
        <v>101</v>
      </c>
      <c r="C21" s="276"/>
      <c r="D21" s="277"/>
      <c r="E21" s="276"/>
      <c r="F21" s="276" t="str">
        <f t="shared" si="1"/>
        <v>1245</v>
      </c>
      <c r="G21" s="276" t="s">
        <v>102</v>
      </c>
      <c r="H21" s="276" t="s">
        <v>102</v>
      </c>
      <c r="I21" s="139">
        <v>1</v>
      </c>
      <c r="J21" s="153" t="str">
        <f t="shared" si="8"/>
        <v>01</v>
      </c>
      <c r="K21" s="150">
        <v>1</v>
      </c>
      <c r="L21" s="200"/>
      <c r="M21" s="201"/>
      <c r="N21" s="201"/>
      <c r="O21" s="201"/>
      <c r="P21" s="201"/>
      <c r="Q21" s="237"/>
      <c r="R21" s="238"/>
      <c r="S21" s="202"/>
      <c r="T21" s="202"/>
      <c r="U21" s="202"/>
      <c r="V21" s="202"/>
      <c r="W21" s="203"/>
      <c r="X21" s="200"/>
      <c r="Y21" s="201"/>
      <c r="Z21" s="201"/>
      <c r="AA21" s="201"/>
      <c r="AB21" s="201"/>
      <c r="AC21" s="237"/>
      <c r="AD21" s="238"/>
      <c r="AE21" s="202"/>
      <c r="AF21" s="202"/>
      <c r="AG21" s="202"/>
      <c r="AH21" s="202"/>
      <c r="AI21" s="203"/>
      <c r="AJ21" s="200"/>
      <c r="AK21" s="201"/>
      <c r="AL21" s="201"/>
      <c r="AM21" s="201"/>
      <c r="AN21" s="201"/>
      <c r="AO21" s="237"/>
      <c r="AP21" s="238"/>
      <c r="AQ21" s="202"/>
      <c r="AR21" s="260"/>
      <c r="AS21" s="260"/>
      <c r="AT21" s="202"/>
      <c r="AU21" s="203"/>
      <c r="AV21" s="200"/>
      <c r="AW21" s="201"/>
      <c r="AX21" s="258"/>
      <c r="AY21" s="258"/>
      <c r="AZ21" s="258"/>
      <c r="BA21" s="259"/>
      <c r="BB21" s="119">
        <f t="shared" si="2"/>
        <v>0</v>
      </c>
      <c r="BC21" s="120">
        <f t="shared" si="3"/>
        <v>0</v>
      </c>
      <c r="BD21" s="120">
        <f t="shared" si="4"/>
        <v>0</v>
      </c>
      <c r="BE21" s="120">
        <f t="shared" si="5"/>
        <v>0</v>
      </c>
      <c r="BF21" s="120">
        <f t="shared" si="6"/>
        <v>0</v>
      </c>
      <c r="BG21" s="154">
        <f t="shared" si="7"/>
        <v>0</v>
      </c>
      <c r="BH21" s="123">
        <f>SUM(TimeSheet347536192444018281322354750220515659613035363650515317116122135[[#This Row],[1]:[4A]])</f>
        <v>0</v>
      </c>
      <c r="BI21" s="126">
        <f>IF(AND(NOT(ISBLANK($C21)),NOT(ISBLANK($E21)),$A21="x"),IF(L21=0,0,[2]!TSImport("PRTime","","Time_NINE","","Date",$BI$11,"Employee",$B$2,"JCJob",$C21,"JCExtra",$D21,"JCCostCode",$E21,"WCCode",$B21,"WCState",$G21,"State",$H21,"PayID",$BB$12,"Units",L21,"UnionID",$B$3,"UnionLocal",$F21,"UnionClass",$I21,"CertifiedClass",$J21)),0)</f>
        <v>0</v>
      </c>
      <c r="BJ21" s="127">
        <f>IF(AND(NOT(ISBLANK($C21)),NOT(ISBLANK($E21)),$A21="x"),IF(M21=0,0,[2]!TSImport("PRTime","","Time_NINE","","Date",$BI$11,"Employee",$B$2,"JCJob",$C21,"JCExtra",$D21,"JCCostCode",$E21,"WCCode",$B21,"WCState",$G21,"State",$H21,"PayID",$BC$12,"Units",M21,"UnionID",$B$3,"UnionLocal",$F21,"UnionClass",$I21,"CertifiedClass",$J21)),0)</f>
        <v>0</v>
      </c>
      <c r="BK21" s="127">
        <f>IF(AND(NOT(ISBLANK($C21)),NOT(ISBLANK($E21)),$A21="x"),IF(N21=0,0,[2]!TSImport("PRTime","","Time_NINE","","Date",$BI$11,"Employee",$B$2,"JCJob",$C21,"JCExtra",$D21,"JCCostCode",$E21,"WCCode",$B21,"WCState",$G21,"State",$H21,"PayID",$BD$12,"Units",N21,"UnionID",$B$3,"UnionLocal",$F21,"UnionClass",$I21,"CertifiedClass",$J21)),0)</f>
        <v>0</v>
      </c>
      <c r="BL21" s="127">
        <f>IF(AND(NOT(ISBLANK($C21)),NOT(ISBLANK($E21)),$A21="x"),IF(O21=0,0,[2]!TSImport("PRTime","","Time_NINE","","Date",$BI$11,"Employee",$B$2,"JCJob",$C21,"JCExtra",$D21,"JCCostCode",$E21,"WCCode",$B21,"WCState",$G21,"State",$H21,"PayID",$BE$12,"Units",O21,"UnionID",$B$3,"UnionLocal",$F21,"UnionClass",$I21,"CertifiedClass",$J21)),0)</f>
        <v>0</v>
      </c>
      <c r="BM21" s="127">
        <f>IF(AND(NOT(ISBLANK($C21)),NOT(ISBLANK($E21)),$A21="x"),IF(P21=0,0,[2]!TSImport("PRTime","","Time_NINE","","Date",$BI$11,"Employee",$B$2,"JCJob",$C21,"JCExtra",$D21,"JCCostCode",$E21,"WCCode",$B21,"WCState",$G21,"State",$H21,"PayID",$BF$12,"Units",P21,"UnionID",$B$3,"UnionLocal",$F21,"UnionClass",$I21,"CertifiedClass",$J21)),0)</f>
        <v>0</v>
      </c>
      <c r="BN21" s="128">
        <f>IF(AND(NOT(ISBLANK($C21)),NOT(ISBLANK($E21)),$A21="x"),IF(Q21=0,0,[2]!TSImport("PRTime","","Time_NINE","","Date",$BI$11,"Employee",$B$2,"JCJob",$C21,"JCExtra",$D21,"JCCostCode",$E21,"WCCode",$B21,"WCState",$G21,"State",$H21,"PayID",$BG$12,"Units",Q21,"UnionID",$B$3,"UnionLocal",$F21,"UnionClass",$I21,"CertifiedClass",$J21)),0)</f>
        <v>0</v>
      </c>
      <c r="BO21" s="126">
        <f>IF(AND(NOT(ISBLANK($C21)),NOT(ISBLANK($E21)),$A21="x"),IF(R21=0,0,[2]!TSImport("PRTime","","Time_NINE","","Date",$BO$11,"Employee",$B$2,"JCJob",$C21,"JCExtra",$D21,"JCCostCode",$E21,"WCCode",$B21,"WCState",$G21,"State",$H21,"PayID",$BB$12,"Units",R21,"UnionID",$B$3,"UnionLocal",$F21,"UnionClass",$I21,"CertifiedClass",$J21)),0)</f>
        <v>0</v>
      </c>
      <c r="BP21" s="127">
        <f>IF(AND(NOT(ISBLANK($C21)),NOT(ISBLANK($E21)),$A21="x"),IF(S21=0,0,[2]!TSImport("PRTime","","Time_NINE","","Date",$BO$11,"Employee",$B$2,"JCJob",$C21,"JCExtra",$D21,"JCCostCode",$E21,"WCCode",$B21,"WCState",$G21,"State",$H21,"PayID",$BC$12,"Units",S21,"UnionID",$B$3,"UnionLocal",$F21,"UnionClass",$I21,"CertifiedClass",$J21)),0)</f>
        <v>0</v>
      </c>
      <c r="BQ21" s="127">
        <f>IF(AND(NOT(ISBLANK($C21)),NOT(ISBLANK($E21)),$A21="x"),IF(T21=0,0,[2]!TSImport("PRTime","","Time_NINE","","Date",$BO$11,"Employee",$B$2,"JCJob",$C21,"JCExtra",$D21,"JCCostCode",$E21,"WCCode",$B21,"WCState",$G21,"State",$H21,"PayID",$BD$12,"Units",T21,"UnionID",$B$3,"UnionLocal",$F21,"UnionClass",$I21,"CertifiedClass",$J21)),0)</f>
        <v>0</v>
      </c>
      <c r="BR21" s="127">
        <f>IF(AND(NOT(ISBLANK($C21)),NOT(ISBLANK($E21)),$A21="x"),IF(U21=0,0,[2]!TSImport("PRTime","","Time_NINE","","Date",$BO$11,"Employee",$B$2,"JCJob",$C21,"JCExtra",$D21,"JCCostCode",$E21,"WCCode",$B21,"WCState",$G21,"State",$H21,"PayID",$BE$12,"Units",U21,"UnionID",$B$3,"UnionLocal",$F21,"UnionClass",$I21,"CertifiedClass",$J21)),0)</f>
        <v>0</v>
      </c>
      <c r="BS21" s="127">
        <f>IF(AND(NOT(ISBLANK($C21)),NOT(ISBLANK($E21)),$A21="x"),IF(V21=0,0,[2]!TSImport("PRTime","","Time_NINE","","Date",$BO$11,"Employee",$B$2,"JCJob",$C21,"JCExtra",$D21,"JCCostCode",$E21,"WCCode",$B21,"WCState",$G21,"State",$H21,"PayID",$BF$12,"Units",V21,"UnionID",$B$3,"UnionLocal",$F21,"UnionClass",$I21,"CertifiedClass",$J21)),0)</f>
        <v>0</v>
      </c>
      <c r="BT21" s="128">
        <f>IF(AND(NOT(ISBLANK($C21)),NOT(ISBLANK($E21)),$A21="x"),IF(W21=0,0,[2]!TSImport("PRTime","","Time_NINE","","Date",$BO$11,"Employee",$B$2,"JCJob",$C21,"JCExtra",$D21,"JCCostCode",$E21,"WCCode",$B21,"WCState",$G21,"State",$H21,"PayID",$BG$12,"Units",W21,"UnionID",$B$3,"UnionLocal",$F21,"UnionClass",$I21,"CertifiedClass",$J21)),0)</f>
        <v>0</v>
      </c>
      <c r="BU21" s="126">
        <f>IF(AND(NOT(ISBLANK($C21)),NOT(ISBLANK($E21)),$A21="x"),IF(X21=0,0,[2]!TSImport("PRTime","","Time_NINE","","Date",$BU$11,"Employee",$B$2,"JCJob",$C21,"JCExtra",$D21,"JCCostCode",$E21,"WCCode",$B21,"WCState",$G21,"State",$H21,"PayID",$BB$12,"Units",X21,"UnionID",$B$3,"UnionLocal",$F21,"UnionClass",$I21,"CertifiedClass",$J21)),0)</f>
        <v>0</v>
      </c>
      <c r="BV21" s="127">
        <f>IF(AND(NOT(ISBLANK($C21)),NOT(ISBLANK($E21)),$A21="x"),IF(Y21=0,0,[2]!TSImport("PRTime","","Time_NINE","","Date",$BU$11,"Employee",$B$2,"JCJob",$C21,"JCExtra",$D21,"JCCostCode",$E21,"WCCode",$B21,"WCState",$G21,"State",$H21,"PayID",$BC$12,"Units",Y21,"UnionID",$B$3,"UnionLocal",$F21,"UnionClass",$I21,"CertifiedClass",$J21)),0)</f>
        <v>0</v>
      </c>
      <c r="BW21" s="127">
        <f>IF(AND(NOT(ISBLANK($C21)),NOT(ISBLANK($E21)),$A21="x"),IF(Z21=0,0,[2]!TSImport("PRTime","","Time_NINE","","Date",$BU$11,"Employee",$B$2,"JCJob",$C21,"JCExtra",$D21,"JCCostCode",$E21,"WCCode",$B21,"WCState",$G21,"State",$H21,"PayID",$BD$12,"Units",Z21,"UnionID",$B$3,"UnionLocal",$F21,"UnionClass",$I21,"CertifiedClass",$J21)),0)</f>
        <v>0</v>
      </c>
      <c r="BX21" s="127">
        <f>IF(AND(NOT(ISBLANK($C21)),NOT(ISBLANK($E21)),$A21="x"),IF(AA21=0,0,[2]!TSImport("PRTime","","Time_NINE","","Date",$BU$11,"Employee",$B$2,"JCJob",$C21,"JCExtra",$D21,"JCCostCode",$E21,"WCCode",$B21,"WCState",$G21,"State",$H21,"PayID",$BE$12,"Units",AA21,"UnionID",$B$3,"UnionLocal",$F21,"UnionClass",$I21,"CertifiedClass",$J21)),0)</f>
        <v>0</v>
      </c>
      <c r="BY21" s="127">
        <f>IF(AND(NOT(ISBLANK($C21)),NOT(ISBLANK($E21)),$A21="x"),IF(AB21=0,0,[2]!TSImport("PRTime","","Time_NINE","","Date",$BU$11,"Employee",$B$2,"JCJob",$C21,"JCExtra",$D21,"JCCostCode",$E21,"WCCode",$B21,"WCState",$G21,"State",$H21,"PayID",$BF$12,"Units",AB21,"UnionID",$B$3,"UnionLocal",$F21,"UnionClass",$I21,"CertifiedClass",$J21)),0)</f>
        <v>0</v>
      </c>
      <c r="BZ21" s="128">
        <f>IF(AND(NOT(ISBLANK($C21)),NOT(ISBLANK($E21)),$A21="x"),IF(AC21=0,0,[2]!TSImport("PRTime","","Time_NINE","","Date",$BU$11,"Employee",$B$2,"JCJob",$C21,"JCExtra",$D21,"JCCostCode",$E21,"WCCode",$B21,"WCState",$G21,"State",$H21,"PayID",$BG$12,"Units",AC21,"UnionID",$B$3,"UnionLocal",$F21,"UnionClass",$I21,"CertifiedClass",$J21)),0)</f>
        <v>0</v>
      </c>
      <c r="CA21" s="126">
        <f>IF(AND(NOT(ISBLANK($C21)),NOT(ISBLANK($E21)),$A21="x"),IF(AD21=0,0,[2]!TSImport("PRTime","","Time_NINE","","Date",$CA$11,"Employee",$B$2,"JCJob",$C21,"JCExtra",$D21,"JCCostCode",$E21,"WCCode",$B21,"WCState",$G21,"State",$H21,"PayID",$BB$12,"Units",AD21,"UnionID",$B$3,"UnionLocal",$F21,"UnionClass",$I21,"CertifiedClass",$J21)),0)</f>
        <v>0</v>
      </c>
      <c r="CB21" s="127">
        <f>IF(AND(NOT(ISBLANK($C21)),NOT(ISBLANK($E21)),$A21="x"),IF(AE21=0,0,[2]!TSImport("PRTime","","Time_NINE","","Date",$CA$11,"Employee",$B$2,"JCJob",$C21,"JCExtra",$D21,"JCCostCode",$E21,"WCCode",$B21,"WCState",$G21,"State",$H21,"PayID",$BC$12,"Units",AE21,"UnionID",$B$3,"UnionLocal",$F21,"UnionClass",$I21,"CertifiedClass",$J21)),0)</f>
        <v>0</v>
      </c>
      <c r="CC21" s="127">
        <f>IF(AND(NOT(ISBLANK($C21)),NOT(ISBLANK($E21)),$A21="x"),IF(AF21=0,0,[2]!TSImport("PRTime","","Time_NINE","","Date",$CA$11,"Employee",$B$2,"JCJob",$C21,"JCExtra",$D21,"JCCostCode",$E21,"WCCode",$B21,"WCState",$G21,"State",$H21,"PayID",$BD$12,"Units",AF21,"UnionID",$B$3,"UnionLocal",$F21,"UnionClass",$I21,"CertifiedClass",$J21)),0)</f>
        <v>0</v>
      </c>
      <c r="CD21" s="127">
        <f>IF(AND(NOT(ISBLANK($C21)),NOT(ISBLANK($E21)),$A21="x"),IF(AG21=0,0,[2]!TSImport("PRTime","","Time_NINE","","Date",$CA$11,"Employee",$B$2,"JCJob",$C21,"JCExtra",$D21,"JCCostCode",$E21,"WCCode",$B21,"WCState",$G21,"State",$H21,"PayID",$BE$12,"Units",AG21,"UnionID",$B$3,"UnionLocal",$F21,"UnionClass",$I21,"CertifiedClass",$J21)),0)</f>
        <v>0</v>
      </c>
      <c r="CE21" s="127">
        <f>IF(AND(NOT(ISBLANK($C21)),NOT(ISBLANK($E21)),$A21="x"),IF(AH21=0,0,[2]!TSImport("PRTime","","Time_NINE","","Date",$CA$11,"Employee",$B$2,"JCJob",$C21,"JCExtra",$D21,"JCCostCode",$E21,"WCCode",$B21,"WCState",$G21,"State",$H21,"PayID",$BF$12,"Units",AH21,"UnionID",$B$3,"UnionLocal",$F21,"UnionClass",$I21,"CertifiedClass",$J21)),0)</f>
        <v>0</v>
      </c>
      <c r="CF21" s="128">
        <f>IF(AND(NOT(ISBLANK($C21)),NOT(ISBLANK($E21)),$A21="x"),IF(AI21=0,0,[2]!TSImport("PRTime","","Time_NINE","","Date",$CA$11,"Employee",$B$2,"JCJob",$C21,"JCExtra",$D21,"JCCostCode",$E21,"WCCode",$B21,"WCState",$G21,"State",$H21,"PayID",$BG$12,"Units",AI21,"UnionID",$B$3,"UnionLocal",$F21,"UnionClass",$I21,"CertifiedClass",$J21)),0)</f>
        <v>0</v>
      </c>
      <c r="CG21" s="126">
        <f>IF(AND(NOT(ISBLANK($C21)),NOT(ISBLANK($E21)),$A21="x"),IF(AJ21=0,0,[2]!TSImport("PRTime","","Time_NINE","","Date",$CG$11,"Employee",$B$2,"JCJob",$C21,"JCExtra",$D21,"JCCostCode",$E21,"WCCode",$B21,"WCState",$G21,"State",$H21,"PayID",$BB$12,"Units",AJ21,"UnionID",$B$3,"UnionLocal",$F21,"UnionClass",$I21,"CertifiedClass",$J21)),0)</f>
        <v>0</v>
      </c>
      <c r="CH21" s="127">
        <f>IF(AND(NOT(ISBLANK($C21)),NOT(ISBLANK($E21)),$A21="x"),IF(AK21=0,0,[2]!TSImport("PRTime","","Time_NINE","","Date",$CG$11,"Employee",$B$2,"JCJob",$C21,"JCExtra",$D21,"JCCostCode",$E21,"WCCode",$B21,"WCState",$G21,"State",$H21,"PayID",$BC$12,"Units",AK21,"UnionID",$B$3,"UnionLocal",$F21,"UnionClass",$I21,"CertifiedClass",$J21)),0)</f>
        <v>0</v>
      </c>
      <c r="CI21" s="127">
        <f>IF(AND(NOT(ISBLANK($C21)),NOT(ISBLANK($E21)),$A21="x"),IF(AL21=0,0,[2]!TSImport("PRTime","","Time_NINE","","Date",$CG$11,"Employee",$B$2,"JCJob",$C21,"JCExtra",$D21,"JCCostCode",$E21,"WCCode",$B21,"WCState",$G21,"State",$H21,"PayID",$BD$12,"Units",AL21,"UnionID",$B$3,"UnionLocal",$F21,"UnionClass",$I21,"CertifiedClass",$J21)),0)</f>
        <v>0</v>
      </c>
      <c r="CJ21" s="127">
        <f>IF(AND(NOT(ISBLANK($C21)),NOT(ISBLANK($E21)),$A21="x"),IF(AM21=0,0,[2]!TSImport("PRTime","","Time_NINE","","Date",$CG$11,"Employee",$B$2,"JCJob",$C21,"JCExtra",$D21,"JCCostCode",$E21,"WCCode",$B21,"WCState",$G21,"State",$H21,"PayID",$BE$12,"Units",AM21,"UnionID",$B$3,"UnionLocal",$F21,"UnionClass",$I21,"CertifiedClass",$J21)),0)</f>
        <v>0</v>
      </c>
      <c r="CK21" s="127">
        <f>IF(AND(NOT(ISBLANK($C21)),NOT(ISBLANK($E21)),$A21="x"),IF(AN21=0,0,[2]!TSImport("PRTime","","Time_NINE","","Date",$CG$11,"Employee",$B$2,"JCJob",$C21,"JCExtra",$D21,"JCCostCode",$E21,"WCCode",$B21,"WCState",$G21,"State",$H21,"PayID",$BF$12,"Units",AN21,"UnionID",$B$3,"UnionLocal",$F21,"UnionClass",$I21,"CertifiedClass",$J21)),0)</f>
        <v>0</v>
      </c>
      <c r="CL21" s="128">
        <f>IF(AND(NOT(ISBLANK($C21)),NOT(ISBLANK($E21)),$A21="x"),IF(AO21=0,0,[2]!TSImport("PRTime","","Time_NINE","","Date",$CG$11,"Employee",$B$2,"JCJob",$C21,"JCExtra",$D21,"JCCostCode",$E21,"WCCode",$B21,"WCState",$G21,"State",$H21,"PayID",$BG$12,"Units",AO21,"UnionID",$B$3,"UnionLocal",$F21,"UnionClass",$I21,"CertifiedClass",$J21)),0)</f>
        <v>0</v>
      </c>
      <c r="CM21" s="126">
        <f>IF(AND(NOT(ISBLANK($C21)),NOT(ISBLANK($E21)),$A21="x"),IF(AP21=0,0,[2]!TSImport("PRTime","","Time_NINE","","Date",$CM$11,"Employee",$B$2,"JCJob",$C21,"JCExtra",$D21,"JCCostCode",$E21,"WCCode",$B21,"WCState",$G21,"State",$H21,"PayID",$BB$12,"Units",AP21,"UnionID",$B$3,"UnionLocal",$F21,"UnionClass",$I21,"CertifiedClass",$J21)),0)</f>
        <v>0</v>
      </c>
      <c r="CN21" s="127">
        <f>IF(AND(NOT(ISBLANK($C21)),NOT(ISBLANK($E21)),$A21="x"),IF(AQ21=0,0,[2]!TSImport("PRTime","","Time_NINE","","Date",$CM$11,"Employee",$B$2,"JCJob",$C21,"JCExtra",$D21,"JCCostCode",$E21,"WCCode",$B21,"WCState",$G21,"State",$H21,"PayID",$BC$12,"Units",AQ21,"UnionID",$B$3,"UnionLocal",$F21,"UnionClass",$I21,"CertifiedClass",$J21)),0)</f>
        <v>0</v>
      </c>
      <c r="CO21" s="127">
        <f>IF(AND(NOT(ISBLANK($C21)),NOT(ISBLANK($E21)),$A21="x"),IF(AR21=0,0,[2]!TSImport("PRTime","","Time_NINE","","Date",$CM$11,"Employee",$B$2,"JCJob",$C21,"JCExtra",$D21,"JCCostCode",$E21,"WCCode",$B21,"WCState",$G21,"State",$H21,"PayID",$BD$12,"Units",AR21,"UnionID",$B$3,"UnionLocal",$F21,"UnionClass",$I21,"CertifiedClass",$J21)),0)</f>
        <v>0</v>
      </c>
      <c r="CP21" s="127">
        <f>IF(AND(NOT(ISBLANK($C21)),NOT(ISBLANK($E21)),$A21="x"),IF(AS21=0,0,[2]!TSImport("PRTime","","Time_NINE","","Date",$CM$11,"Employee",$B$2,"JCJob",$C21,"JCExtra",$D21,"JCCostCode",$E21,"WCCode",$B21,"WCState",$G21,"State",$H21,"PayID",$BE$12,"Units",AS21,"UnionID",$B$3,"UnionLocal",$F21,"UnionClass",$I21,"CertifiedClass",$J21)),0)</f>
        <v>0</v>
      </c>
      <c r="CQ21" s="127">
        <f>IF(AND(NOT(ISBLANK($C21)),NOT(ISBLANK($E21)),$A21="x"),IF(AT21=0,0,[2]!TSImport("PRTime","","Time_NINE","","Date",$CM$11,"Employee",$B$2,"JCJob",$C21,"JCExtra",$D21,"JCCostCode",$E21,"WCCode",$B21,"WCState",$G21,"State",$H21,"PayID",$BF$12,"Units",AT21,"UnionID",$B$3,"UnionLocal",$F21,"UnionClass",$I21,"CertifiedClass",$J21)),0)</f>
        <v>0</v>
      </c>
      <c r="CR21" s="128">
        <f>IF(AND(NOT(ISBLANK($C21)),NOT(ISBLANK($E21)),$A21="x"),IF(AU21=0,0,[2]!TSImport("PRTime","","Time_NINE","","Date",$CM$11,"Employee",$B$2,"JCJob",$C21,"JCExtra",$D21,"JCCostCode",$E21,"WCCode",$B21,"WCState",$G21,"State",$H21,"PayID",$BG$12,"Units",AU21,"UnionID",$B$3,"UnionLocal",$F21,"UnionClass",$I21,"CertifiedClass",$J21)),0)</f>
        <v>0</v>
      </c>
      <c r="CS21" s="126">
        <f>IF(AND(NOT(ISBLANK($C21)),NOT(ISBLANK($E21)),$A21="x"),IF(AV21=0,0,[2]!TSImport("PRTime","","Time_NINE","","Date",$CS$11,"Employee",$B$2,"JCJob",$C21,"JCExtra",$D21,"JCCostCode",$E21,"WCCode",$B21,"WCState",$G21,"State",$H21,"PayID",$BB$12,"Units",AV21,"UnionID",$B$3,"UnionLocal",$F21,"UnionClass",$I21,"CertifiedClass",$J21)),0)</f>
        <v>0</v>
      </c>
      <c r="CT21" s="127">
        <f>IF(AND(NOT(ISBLANK($C21)),NOT(ISBLANK($E21)),$A21="x"),IF(AW21=0,0,[2]!TSImport("PRTime","","Time_NINE","","Date",$CS$11,"Employee",$B$2,"JCJob",$C21,"JCExtra",$D21,"JCCostCode",$E21,"WCCode",$B21,"WCState",$G21,"State",$H21,"PayID",$BC$12,"Units",AW21,"UnionID",$B$3,"UnionLocal",$F21,"UnionClass",$I21,"CertifiedClass",$J21)),0)</f>
        <v>0</v>
      </c>
      <c r="CU21" s="127">
        <f>IF(AND(NOT(ISBLANK($C21)),NOT(ISBLANK($E21)),$A21="x"),IF(AX21=0,0,[2]!TSImport("PRTime","","Time_NINE","","Date",$CS$11,"Employee",$B$2,"JCJob",$C21,"JCExtra",$D21,"JCCostCode",$E21,"WCCode",$B21,"WCState",$G21,"State",$H21,"PayID",$BD$12,"Units",AX21,"UnionID",$B$3,"UnionLocal",$F21,"UnionClass",$I21,"CertifiedClass",$J21)),0)</f>
        <v>0</v>
      </c>
      <c r="CV21" s="127">
        <f>IF(AND(NOT(ISBLANK($C21)),NOT(ISBLANK($E21)),$A21="x"),IF(AY21=0,0,[2]!TSImport("PRTime","","Time_NINE","","Date",$CS$11,"Employee",$B$2,"JCJob",$C21,"JCExtra",$D21,"JCCostCode",$E21,"WCCode",$B21,"WCState",$G21,"State",$H21,"PayID",$BE$12,"Units",AY21,"UnionID",$B$3,"UnionLocal",$F21,"UnionClass",$I21,"CertifiedClass",$J21)),0)</f>
        <v>0</v>
      </c>
      <c r="CW21" s="127">
        <f>IF(AND(NOT(ISBLANK($C21)),NOT(ISBLANK($E21)),$A21="x"),IF(AZ21=0,0,[2]!TSImport("PRTime","","Time_NINE","","Date",$CS$11,"Employee",$B$2,"JCJob",$C21,"JCExtra",$D21,"JCCostCode",$E21,"WCCode",$B21,"WCState",$G21,"State",$H21,"PayID",$BF$12,"Units",AZ21,"UnionID",$B$3,"UnionLocal",$F21,"UnionClass",$I21,"CertifiedClass",$J21)),0)</f>
        <v>0</v>
      </c>
      <c r="CX21" s="128">
        <f>IF(AND(NOT(ISBLANK($C21)),NOT(ISBLANK($E21)),$A21="x"),IF(BA21=0,0,[2]!TSImport("PRTime","","Time_NINE","","Date",$CS$11,"Employee",$B$2,"JCJob",$C21,"JCExtra",$D21,"JCCostCode",$E21,"WCCode",$B21,"WCState",$G21,"State",$H21,"PayID",$BG$12,"Units",BA21,"UnionID",$B$3,"UnionLocal",$F21,"UnionClass",$I21,"CertifiedClass",$J21)),0)</f>
        <v>0</v>
      </c>
    </row>
    <row r="22" spans="1:102" ht="39" customHeight="1" x14ac:dyDescent="0.3">
      <c r="A22" s="109" t="str">
        <f t="shared" si="0"/>
        <v/>
      </c>
      <c r="B22" s="206"/>
      <c r="C22" s="206"/>
      <c r="D22" s="199"/>
      <c r="E22" s="206"/>
      <c r="F22" s="206"/>
      <c r="G22" s="206"/>
      <c r="H22" s="206"/>
      <c r="I22" s="249"/>
      <c r="J22" s="250"/>
      <c r="K22" s="251"/>
      <c r="L22" s="200"/>
      <c r="M22" s="201"/>
      <c r="N22" s="201"/>
      <c r="O22" s="201"/>
      <c r="P22" s="201"/>
      <c r="Q22" s="237"/>
      <c r="R22" s="238"/>
      <c r="S22" s="202"/>
      <c r="T22" s="202"/>
      <c r="U22" s="202"/>
      <c r="V22" s="202"/>
      <c r="W22" s="203"/>
      <c r="X22" s="200"/>
      <c r="Y22" s="201"/>
      <c r="Z22" s="201"/>
      <c r="AA22" s="201"/>
      <c r="AB22" s="201"/>
      <c r="AC22" s="237"/>
      <c r="AD22" s="238"/>
      <c r="AE22" s="202"/>
      <c r="AF22" s="202"/>
      <c r="AG22" s="202"/>
      <c r="AH22" s="202"/>
      <c r="AI22" s="203"/>
      <c r="AJ22" s="200"/>
      <c r="AK22" s="201"/>
      <c r="AL22" s="201"/>
      <c r="AM22" s="201"/>
      <c r="AN22" s="201"/>
      <c r="AO22" s="237"/>
      <c r="AP22" s="262"/>
      <c r="AQ22" s="260"/>
      <c r="AR22" s="260"/>
      <c r="AS22" s="260"/>
      <c r="AT22" s="260"/>
      <c r="AU22" s="261"/>
      <c r="AV22" s="263"/>
      <c r="AW22" s="258"/>
      <c r="AX22" s="258"/>
      <c r="AY22" s="258"/>
      <c r="AZ22" s="258"/>
      <c r="BA22" s="259"/>
      <c r="BB22" s="119">
        <f t="shared" si="2"/>
        <v>0</v>
      </c>
      <c r="BC22" s="120">
        <f t="shared" si="3"/>
        <v>0</v>
      </c>
      <c r="BD22" s="120">
        <f t="shared" si="4"/>
        <v>0</v>
      </c>
      <c r="BE22" s="120">
        <f t="shared" si="5"/>
        <v>0</v>
      </c>
      <c r="BF22" s="120">
        <f t="shared" si="6"/>
        <v>0</v>
      </c>
      <c r="BG22" s="154">
        <f t="shared" si="7"/>
        <v>0</v>
      </c>
      <c r="BH22" s="123">
        <f>SUM(TimeSheet347536192444018281322354750220515659613035363650515317116122135[[#This Row],[1]:[4A]])</f>
        <v>0</v>
      </c>
      <c r="BI22" s="126">
        <f>IF(AND(NOT(ISBLANK($C22)),NOT(ISBLANK($E22)),$A22="x"),IF(L22=0,0,[2]!TSImport("PRTime","","Time_NINE","","Date",$BI$11,"Employee",$B$2,"JCJob",$C22,"JCExtra",$D22,"JCCostCode",$E22,"WCCode",$B22,"WCState",$G22,"State",$H22,"PayID",$BB$12,"Units",L22,"UnionID",$B$3,"UnionLocal",$F22,"UnionClass",$I22,"CertifiedClass",$J22)),0)</f>
        <v>0</v>
      </c>
      <c r="BJ22" s="127">
        <f>IF(AND(NOT(ISBLANK($C22)),NOT(ISBLANK($E22)),$A22="x"),IF(M22=0,0,[2]!TSImport("PRTime","","Time_NINE","","Date",$BI$11,"Employee",$B$2,"JCJob",$C22,"JCExtra",$D22,"JCCostCode",$E22,"WCCode",$B22,"WCState",$G22,"State",$H22,"PayID",$BC$12,"Units",M22,"UnionID",$B$3,"UnionLocal",$F22,"UnionClass",$I22,"CertifiedClass",$J22)),0)</f>
        <v>0</v>
      </c>
      <c r="BK22" s="127">
        <f>IF(AND(NOT(ISBLANK($C22)),NOT(ISBLANK($E22)),$A22="x"),IF(N22=0,0,[2]!TSImport("PRTime","","Time_NINE","","Date",$BI$11,"Employee",$B$2,"JCJob",$C22,"JCExtra",$D22,"JCCostCode",$E22,"WCCode",$B22,"WCState",$G22,"State",$H22,"PayID",$BD$12,"Units",N22,"UnionID",$B$3,"UnionLocal",$F22,"UnionClass",$I22,"CertifiedClass",$J22)),0)</f>
        <v>0</v>
      </c>
      <c r="BL22" s="127">
        <f>IF(AND(NOT(ISBLANK($C22)),NOT(ISBLANK($E22)),$A22="x"),IF(O22=0,0,[2]!TSImport("PRTime","","Time_NINE","","Date",$BI$11,"Employee",$B$2,"JCJob",$C22,"JCExtra",$D22,"JCCostCode",$E22,"WCCode",$B22,"WCState",$G22,"State",$H22,"PayID",$BE$12,"Units",O22,"UnionID",$B$3,"UnionLocal",$F22,"UnionClass",$I22,"CertifiedClass",$J22)),0)</f>
        <v>0</v>
      </c>
      <c r="BM22" s="127">
        <f>IF(AND(NOT(ISBLANK($C22)),NOT(ISBLANK($E22)),$A22="x"),IF(P22=0,0,[2]!TSImport("PRTime","","Time_NINE","","Date",$BI$11,"Employee",$B$2,"JCJob",$C22,"JCExtra",$D22,"JCCostCode",$E22,"WCCode",$B22,"WCState",$G22,"State",$H22,"PayID",$BF$12,"Units",P22,"UnionID",$B$3,"UnionLocal",$F22,"UnionClass",$I22,"CertifiedClass",$J22)),0)</f>
        <v>0</v>
      </c>
      <c r="BN22" s="128">
        <f>IF(AND(NOT(ISBLANK($C22)),NOT(ISBLANK($E22)),$A22="x"),IF(Q22=0,0,[2]!TSImport("PRTime","","Time_NINE","","Date",$BI$11,"Employee",$B$2,"JCJob",$C22,"JCExtra",$D22,"JCCostCode",$E22,"WCCode",$B22,"WCState",$G22,"State",$H22,"PayID",$BG$12,"Units",Q22,"UnionID",$B$3,"UnionLocal",$F22,"UnionClass",$I22,"CertifiedClass",$J22)),0)</f>
        <v>0</v>
      </c>
      <c r="BO22" s="126">
        <f>IF(AND(NOT(ISBLANK($C22)),NOT(ISBLANK($E22)),$A22="x"),IF(R22=0,0,[2]!TSImport("PRTime","","Time_NINE","","Date",$BO$11,"Employee",$B$2,"JCJob",$C22,"JCExtra",$D22,"JCCostCode",$E22,"WCCode",$B22,"WCState",$G22,"State",$H22,"PayID",$BB$12,"Units",R22,"UnionID",$B$3,"UnionLocal",$F22,"UnionClass",$I22,"CertifiedClass",$J22)),0)</f>
        <v>0</v>
      </c>
      <c r="BP22" s="127">
        <f>IF(AND(NOT(ISBLANK($C22)),NOT(ISBLANK($E22)),$A22="x"),IF(S22=0,0,[2]!TSImport("PRTime","","Time_NINE","","Date",$BO$11,"Employee",$B$2,"JCJob",$C22,"JCExtra",$D22,"JCCostCode",$E22,"WCCode",$B22,"WCState",$G22,"State",$H22,"PayID",$BC$12,"Units",S22,"UnionID",$B$3,"UnionLocal",$F22,"UnionClass",$I22,"CertifiedClass",$J22)),0)</f>
        <v>0</v>
      </c>
      <c r="BQ22" s="127">
        <f>IF(AND(NOT(ISBLANK($C22)),NOT(ISBLANK($E22)),$A22="x"),IF(T22=0,0,[2]!TSImport("PRTime","","Time_NINE","","Date",$BO$11,"Employee",$B$2,"JCJob",$C22,"JCExtra",$D22,"JCCostCode",$E22,"WCCode",$B22,"WCState",$G22,"State",$H22,"PayID",$BD$12,"Units",T22,"UnionID",$B$3,"UnionLocal",$F22,"UnionClass",$I22,"CertifiedClass",$J22)),0)</f>
        <v>0</v>
      </c>
      <c r="BR22" s="127">
        <f>IF(AND(NOT(ISBLANK($C22)),NOT(ISBLANK($E22)),$A22="x"),IF(U22=0,0,[2]!TSImport("PRTime","","Time_NINE","","Date",$BO$11,"Employee",$B$2,"JCJob",$C22,"JCExtra",$D22,"JCCostCode",$E22,"WCCode",$B22,"WCState",$G22,"State",$H22,"PayID",$BE$12,"Units",U22,"UnionID",$B$3,"UnionLocal",$F22,"UnionClass",$I22,"CertifiedClass",$J22)),0)</f>
        <v>0</v>
      </c>
      <c r="BS22" s="127">
        <f>IF(AND(NOT(ISBLANK($C22)),NOT(ISBLANK($E22)),$A22="x"),IF(V22=0,0,[2]!TSImport("PRTime","","Time_NINE","","Date",$BO$11,"Employee",$B$2,"JCJob",$C22,"JCExtra",$D22,"JCCostCode",$E22,"WCCode",$B22,"WCState",$G22,"State",$H22,"PayID",$BF$12,"Units",V22,"UnionID",$B$3,"UnionLocal",$F22,"UnionClass",$I22,"CertifiedClass",$J22)),0)</f>
        <v>0</v>
      </c>
      <c r="BT22" s="128">
        <f>IF(AND(NOT(ISBLANK($C22)),NOT(ISBLANK($E22)),$A22="x"),IF(W22=0,0,[2]!TSImport("PRTime","","Time_NINE","","Date",$BO$11,"Employee",$B$2,"JCJob",$C22,"JCExtra",$D22,"JCCostCode",$E22,"WCCode",$B22,"WCState",$G22,"State",$H22,"PayID",$BG$12,"Units",W22,"UnionID",$B$3,"UnionLocal",$F22,"UnionClass",$I22,"CertifiedClass",$J22)),0)</f>
        <v>0</v>
      </c>
      <c r="BU22" s="126">
        <f>IF(AND(NOT(ISBLANK($C22)),NOT(ISBLANK($E22)),$A22="x"),IF(X22=0,0,[2]!TSImport("PRTime","","Time_NINE","","Date",$BU$11,"Employee",$B$2,"JCJob",$C22,"JCExtra",$D22,"JCCostCode",$E22,"WCCode",$B22,"WCState",$G22,"State",$H22,"PayID",$BB$12,"Units",X22,"UnionID",$B$3,"UnionLocal",$F22,"UnionClass",$I22,"CertifiedClass",$J22)),0)</f>
        <v>0</v>
      </c>
      <c r="BV22" s="127">
        <f>IF(AND(NOT(ISBLANK($C22)),NOT(ISBLANK($E22)),$A22="x"),IF(Y22=0,0,[2]!TSImport("PRTime","","Time_NINE","","Date",$BU$11,"Employee",$B$2,"JCJob",$C22,"JCExtra",$D22,"JCCostCode",$E22,"WCCode",$B22,"WCState",$G22,"State",$H22,"PayID",$BC$12,"Units",Y22,"UnionID",$B$3,"UnionLocal",$F22,"UnionClass",$I22,"CertifiedClass",$J22)),0)</f>
        <v>0</v>
      </c>
      <c r="BW22" s="127">
        <f>IF(AND(NOT(ISBLANK($C22)),NOT(ISBLANK($E22)),$A22="x"),IF(Z22=0,0,[2]!TSImport("PRTime","","Time_NINE","","Date",$BU$11,"Employee",$B$2,"JCJob",$C22,"JCExtra",$D22,"JCCostCode",$E22,"WCCode",$B22,"WCState",$G22,"State",$H22,"PayID",$BD$12,"Units",Z22,"UnionID",$B$3,"UnionLocal",$F22,"UnionClass",$I22,"CertifiedClass",$J22)),0)</f>
        <v>0</v>
      </c>
      <c r="BX22" s="127">
        <f>IF(AND(NOT(ISBLANK($C22)),NOT(ISBLANK($E22)),$A22="x"),IF(AA22=0,0,[2]!TSImport("PRTime","","Time_NINE","","Date",$BU$11,"Employee",$B$2,"JCJob",$C22,"JCExtra",$D22,"JCCostCode",$E22,"WCCode",$B22,"WCState",$G22,"State",$H22,"PayID",$BE$12,"Units",AA22,"UnionID",$B$3,"UnionLocal",$F22,"UnionClass",$I22,"CertifiedClass",$J22)),0)</f>
        <v>0</v>
      </c>
      <c r="BY22" s="127">
        <f>IF(AND(NOT(ISBLANK($C22)),NOT(ISBLANK($E22)),$A22="x"),IF(AB22=0,0,[2]!TSImport("PRTime","","Time_NINE","","Date",$BU$11,"Employee",$B$2,"JCJob",$C22,"JCExtra",$D22,"JCCostCode",$E22,"WCCode",$B22,"WCState",$G22,"State",$H22,"PayID",$BF$12,"Units",AB22,"UnionID",$B$3,"UnionLocal",$F22,"UnionClass",$I22,"CertifiedClass",$J22)),0)</f>
        <v>0</v>
      </c>
      <c r="BZ22" s="128">
        <f>IF(AND(NOT(ISBLANK($C22)),NOT(ISBLANK($E22)),$A22="x"),IF(AC22=0,0,[2]!TSImport("PRTime","","Time_NINE","","Date",$BU$11,"Employee",$B$2,"JCJob",$C22,"JCExtra",$D22,"JCCostCode",$E22,"WCCode",$B22,"WCState",$G22,"State",$H22,"PayID",$BG$12,"Units",AC22,"UnionID",$B$3,"UnionLocal",$F22,"UnionClass",$I22,"CertifiedClass",$J22)),0)</f>
        <v>0</v>
      </c>
      <c r="CA22" s="126">
        <f>IF(AND(NOT(ISBLANK($C22)),NOT(ISBLANK($E22)),$A22="x"),IF(AD22=0,0,[2]!TSImport("PRTime","","Time_NINE","","Date",$CA$11,"Employee",$B$2,"JCJob",$C22,"JCExtra",$D22,"JCCostCode",$E22,"WCCode",$B22,"WCState",$G22,"State",$H22,"PayID",$BB$12,"Units",AD22,"UnionID",$B$3,"UnionLocal",$F22,"UnionClass",$I22,"CertifiedClass",$J22)),0)</f>
        <v>0</v>
      </c>
      <c r="CB22" s="127">
        <f>IF(AND(NOT(ISBLANK($C22)),NOT(ISBLANK($E22)),$A22="x"),IF(AE22=0,0,[2]!TSImport("PRTime","","Time_NINE","","Date",$CA$11,"Employee",$B$2,"JCJob",$C22,"JCExtra",$D22,"JCCostCode",$E22,"WCCode",$B22,"WCState",$G22,"State",$H22,"PayID",$BC$12,"Units",AE22,"UnionID",$B$3,"UnionLocal",$F22,"UnionClass",$I22,"CertifiedClass",$J22)),0)</f>
        <v>0</v>
      </c>
      <c r="CC22" s="127">
        <f>IF(AND(NOT(ISBLANK($C22)),NOT(ISBLANK($E22)),$A22="x"),IF(AF22=0,0,[2]!TSImport("PRTime","","Time_NINE","","Date",$CA$11,"Employee",$B$2,"JCJob",$C22,"JCExtra",$D22,"JCCostCode",$E22,"WCCode",$B22,"WCState",$G22,"State",$H22,"PayID",$BD$12,"Units",AF22,"UnionID",$B$3,"UnionLocal",$F22,"UnionClass",$I22,"CertifiedClass",$J22)),0)</f>
        <v>0</v>
      </c>
      <c r="CD22" s="127">
        <f>IF(AND(NOT(ISBLANK($C22)),NOT(ISBLANK($E22)),$A22="x"),IF(AG22=0,0,[2]!TSImport("PRTime","","Time_NINE","","Date",$CA$11,"Employee",$B$2,"JCJob",$C22,"JCExtra",$D22,"JCCostCode",$E22,"WCCode",$B22,"WCState",$G22,"State",$H22,"PayID",$BE$12,"Units",AG22,"UnionID",$B$3,"UnionLocal",$F22,"UnionClass",$I22,"CertifiedClass",$J22)),0)</f>
        <v>0</v>
      </c>
      <c r="CE22" s="127">
        <f>IF(AND(NOT(ISBLANK($C22)),NOT(ISBLANK($E22)),$A22="x"),IF(AH22=0,0,[2]!TSImport("PRTime","","Time_NINE","","Date",$CA$11,"Employee",$B$2,"JCJob",$C22,"JCExtra",$D22,"JCCostCode",$E22,"WCCode",$B22,"WCState",$G22,"State",$H22,"PayID",$BF$12,"Units",AH22,"UnionID",$B$3,"UnionLocal",$F22,"UnionClass",$I22,"CertifiedClass",$J22)),0)</f>
        <v>0</v>
      </c>
      <c r="CF22" s="128">
        <f>IF(AND(NOT(ISBLANK($C22)),NOT(ISBLANK($E22)),$A22="x"),IF(AI22=0,0,[2]!TSImport("PRTime","","Time_NINE","","Date",$CA$11,"Employee",$B$2,"JCJob",$C22,"JCExtra",$D22,"JCCostCode",$E22,"WCCode",$B22,"WCState",$G22,"State",$H22,"PayID",$BG$12,"Units",AI22,"UnionID",$B$3,"UnionLocal",$F22,"UnionClass",$I22,"CertifiedClass",$J22)),0)</f>
        <v>0</v>
      </c>
      <c r="CG22" s="126">
        <f>IF(AND(NOT(ISBLANK($C22)),NOT(ISBLANK($E22)),$A22="x"),IF(AJ22=0,0,[2]!TSImport("PRTime","","Time_NINE","","Date",$CG$11,"Employee",$B$2,"JCJob",$C22,"JCExtra",$D22,"JCCostCode",$E22,"WCCode",$B22,"WCState",$G22,"State",$H22,"PayID",$BB$12,"Units",AJ22,"UnionID",$B$3,"UnionLocal",$F22,"UnionClass",$I22,"CertifiedClass",$J22)),0)</f>
        <v>0</v>
      </c>
      <c r="CH22" s="127">
        <f>IF(AND(NOT(ISBLANK($C22)),NOT(ISBLANK($E22)),$A22="x"),IF(AK22=0,0,[2]!TSImport("PRTime","","Time_NINE","","Date",$CG$11,"Employee",$B$2,"JCJob",$C22,"JCExtra",$D22,"JCCostCode",$E22,"WCCode",$B22,"WCState",$G22,"State",$H22,"PayID",$BC$12,"Units",AK22,"UnionID",$B$3,"UnionLocal",$F22,"UnionClass",$I22,"CertifiedClass",$J22)),0)</f>
        <v>0</v>
      </c>
      <c r="CI22" s="127">
        <f>IF(AND(NOT(ISBLANK($C22)),NOT(ISBLANK($E22)),$A22="x"),IF(AL22=0,0,[2]!TSImport("PRTime","","Time_NINE","","Date",$CG$11,"Employee",$B$2,"JCJob",$C22,"JCExtra",$D22,"JCCostCode",$E22,"WCCode",$B22,"WCState",$G22,"State",$H22,"PayID",$BD$12,"Units",AL22,"UnionID",$B$3,"UnionLocal",$F22,"UnionClass",$I22,"CertifiedClass",$J22)),0)</f>
        <v>0</v>
      </c>
      <c r="CJ22" s="127">
        <f>IF(AND(NOT(ISBLANK($C22)),NOT(ISBLANK($E22)),$A22="x"),IF(AM22=0,0,[2]!TSImport("PRTime","","Time_NINE","","Date",$CG$11,"Employee",$B$2,"JCJob",$C22,"JCExtra",$D22,"JCCostCode",$E22,"WCCode",$B22,"WCState",$G22,"State",$H22,"PayID",$BE$12,"Units",AM22,"UnionID",$B$3,"UnionLocal",$F22,"UnionClass",$I22,"CertifiedClass",$J22)),0)</f>
        <v>0</v>
      </c>
      <c r="CK22" s="127">
        <f>IF(AND(NOT(ISBLANK($C22)),NOT(ISBLANK($E22)),$A22="x"),IF(AN22=0,0,[2]!TSImport("PRTime","","Time_NINE","","Date",$CG$11,"Employee",$B$2,"JCJob",$C22,"JCExtra",$D22,"JCCostCode",$E22,"WCCode",$B22,"WCState",$G22,"State",$H22,"PayID",$BF$12,"Units",AN22,"UnionID",$B$3,"UnionLocal",$F22,"UnionClass",$I22,"CertifiedClass",$J22)),0)</f>
        <v>0</v>
      </c>
      <c r="CL22" s="128">
        <f>IF(AND(NOT(ISBLANK($C22)),NOT(ISBLANK($E22)),$A22="x"),IF(AO22=0,0,[2]!TSImport("PRTime","","Time_NINE","","Date",$CG$11,"Employee",$B$2,"JCJob",$C22,"JCExtra",$D22,"JCCostCode",$E22,"WCCode",$B22,"WCState",$G22,"State",$H22,"PayID",$BG$12,"Units",AO22,"UnionID",$B$3,"UnionLocal",$F22,"UnionClass",$I22,"CertifiedClass",$J22)),0)</f>
        <v>0</v>
      </c>
      <c r="CM22" s="126">
        <f>IF(AND(NOT(ISBLANK($C22)),NOT(ISBLANK($E22)),$A22="x"),IF(AP22=0,0,[2]!TSImport("PRTime","","Time_NINE","","Date",$CM$11,"Employee",$B$2,"JCJob",$C22,"JCExtra",$D22,"JCCostCode",$E22,"WCCode",$B22,"WCState",$G22,"State",$H22,"PayID",$BB$12,"Units",AP22,"UnionID",$B$3,"UnionLocal",$F22,"UnionClass",$I22,"CertifiedClass",$J22)),0)</f>
        <v>0</v>
      </c>
      <c r="CN22" s="127">
        <f>IF(AND(NOT(ISBLANK($C22)),NOT(ISBLANK($E22)),$A22="x"),IF(AQ22=0,0,[2]!TSImport("PRTime","","Time_NINE","","Date",$CM$11,"Employee",$B$2,"JCJob",$C22,"JCExtra",$D22,"JCCostCode",$E22,"WCCode",$B22,"WCState",$G22,"State",$H22,"PayID",$BC$12,"Units",AQ22,"UnionID",$B$3,"UnionLocal",$F22,"UnionClass",$I22,"CertifiedClass",$J22)),0)</f>
        <v>0</v>
      </c>
      <c r="CO22" s="127">
        <f>IF(AND(NOT(ISBLANK($C22)),NOT(ISBLANK($E22)),$A22="x"),IF(AR22=0,0,[2]!TSImport("PRTime","","Time_NINE","","Date",$CM$11,"Employee",$B$2,"JCJob",$C22,"JCExtra",$D22,"JCCostCode",$E22,"WCCode",$B22,"WCState",$G22,"State",$H22,"PayID",$BD$12,"Units",AR22,"UnionID",$B$3,"UnionLocal",$F22,"UnionClass",$I22,"CertifiedClass",$J22)),0)</f>
        <v>0</v>
      </c>
      <c r="CP22" s="127">
        <f>IF(AND(NOT(ISBLANK($C22)),NOT(ISBLANK($E22)),$A22="x"),IF(AS22=0,0,[2]!TSImport("PRTime","","Time_NINE","","Date",$CM$11,"Employee",$B$2,"JCJob",$C22,"JCExtra",$D22,"JCCostCode",$E22,"WCCode",$B22,"WCState",$G22,"State",$H22,"PayID",$BE$12,"Units",AS22,"UnionID",$B$3,"UnionLocal",$F22,"UnionClass",$I22,"CertifiedClass",$J22)),0)</f>
        <v>0</v>
      </c>
      <c r="CQ22" s="127">
        <f>IF(AND(NOT(ISBLANK($C22)),NOT(ISBLANK($E22)),$A22="x"),IF(AT22=0,0,[2]!TSImport("PRTime","","Time_NINE","","Date",$CM$11,"Employee",$B$2,"JCJob",$C22,"JCExtra",$D22,"JCCostCode",$E22,"WCCode",$B22,"WCState",$G22,"State",$H22,"PayID",$BF$12,"Units",AT22,"UnionID",$B$3,"UnionLocal",$F22,"UnionClass",$I22,"CertifiedClass",$J22)),0)</f>
        <v>0</v>
      </c>
      <c r="CR22" s="128">
        <f>IF(AND(NOT(ISBLANK($C22)),NOT(ISBLANK($E22)),$A22="x"),IF(AU22=0,0,[2]!TSImport("PRTime","","Time_NINE","","Date",$CM$11,"Employee",$B$2,"JCJob",$C22,"JCExtra",$D22,"JCCostCode",$E22,"WCCode",$B22,"WCState",$G22,"State",$H22,"PayID",$BG$12,"Units",AU22,"UnionID",$B$3,"UnionLocal",$F22,"UnionClass",$I22,"CertifiedClass",$J22)),0)</f>
        <v>0</v>
      </c>
      <c r="CS22" s="126">
        <f>IF(AND(NOT(ISBLANK($C22)),NOT(ISBLANK($E22)),$A22="x"),IF(AV22=0,0,[2]!TSImport("PRTime","","Time_NINE","","Date",$CS$11,"Employee",$B$2,"JCJob",$C22,"JCExtra",$D22,"JCCostCode",$E22,"WCCode",$B22,"WCState",$G22,"State",$H22,"PayID",$BB$12,"Units",AV22,"UnionID",$B$3,"UnionLocal",$F22,"UnionClass",$I22,"CertifiedClass",$J22)),0)</f>
        <v>0</v>
      </c>
      <c r="CT22" s="127">
        <f>IF(AND(NOT(ISBLANK($C22)),NOT(ISBLANK($E22)),$A22="x"),IF(AW22=0,0,[2]!TSImport("PRTime","","Time_NINE","","Date",$CS$11,"Employee",$B$2,"JCJob",$C22,"JCExtra",$D22,"JCCostCode",$E22,"WCCode",$B22,"WCState",$G22,"State",$H22,"PayID",$BC$12,"Units",AW22,"UnionID",$B$3,"UnionLocal",$F22,"UnionClass",$I22,"CertifiedClass",$J22)),0)</f>
        <v>0</v>
      </c>
      <c r="CU22" s="127">
        <f>IF(AND(NOT(ISBLANK($C22)),NOT(ISBLANK($E22)),$A22="x"),IF(AX22=0,0,[2]!TSImport("PRTime","","Time_NINE","","Date",$CS$11,"Employee",$B$2,"JCJob",$C22,"JCExtra",$D22,"JCCostCode",$E22,"WCCode",$B22,"WCState",$G22,"State",$H22,"PayID",$BD$12,"Units",AX22,"UnionID",$B$3,"UnionLocal",$F22,"UnionClass",$I22,"CertifiedClass",$J22)),0)</f>
        <v>0</v>
      </c>
      <c r="CV22" s="127">
        <f>IF(AND(NOT(ISBLANK($C22)),NOT(ISBLANK($E22)),$A22="x"),IF(AY22=0,0,[2]!TSImport("PRTime","","Time_NINE","","Date",$CS$11,"Employee",$B$2,"JCJob",$C22,"JCExtra",$D22,"JCCostCode",$E22,"WCCode",$B22,"WCState",$G22,"State",$H22,"PayID",$BE$12,"Units",AY22,"UnionID",$B$3,"UnionLocal",$F22,"UnionClass",$I22,"CertifiedClass",$J22)),0)</f>
        <v>0</v>
      </c>
      <c r="CW22" s="127">
        <f>IF(AND(NOT(ISBLANK($C22)),NOT(ISBLANK($E22)),$A22="x"),IF(AZ22=0,0,[2]!TSImport("PRTime","","Time_NINE","","Date",$CS$11,"Employee",$B$2,"JCJob",$C22,"JCExtra",$D22,"JCCostCode",$E22,"WCCode",$B22,"WCState",$G22,"State",$H22,"PayID",$BF$12,"Units",AZ22,"UnionID",$B$3,"UnionLocal",$F22,"UnionClass",$I22,"CertifiedClass",$J22)),0)</f>
        <v>0</v>
      </c>
      <c r="CX22" s="128">
        <f>IF(AND(NOT(ISBLANK($C22)),NOT(ISBLANK($E22)),$A22="x"),IF(BA22=0,0,[2]!TSImport("PRTime","","Time_NINE","","Date",$CS$11,"Employee",$B$2,"JCJob",$C22,"JCExtra",$D22,"JCCostCode",$E22,"WCCode",$B22,"WCState",$G22,"State",$H22,"PayID",$BG$12,"Units",BA22,"UnionID",$B$3,"UnionLocal",$F22,"UnionClass",$I22,"CertifiedClass",$J22)),0)</f>
        <v>0</v>
      </c>
    </row>
    <row r="23" spans="1:102" ht="39" customHeight="1" x14ac:dyDescent="0.3">
      <c r="A23" s="109" t="str">
        <f t="shared" si="0"/>
        <v/>
      </c>
      <c r="B23" s="300"/>
      <c r="C23" s="206"/>
      <c r="D23" s="199"/>
      <c r="E23" s="206"/>
      <c r="F23" s="206"/>
      <c r="G23" s="206"/>
      <c r="H23" s="206"/>
      <c r="I23" s="249"/>
      <c r="J23" s="250"/>
      <c r="K23" s="251"/>
      <c r="L23" s="200"/>
      <c r="M23" s="201"/>
      <c r="N23" s="201"/>
      <c r="O23" s="201"/>
      <c r="P23" s="201"/>
      <c r="Q23" s="237"/>
      <c r="R23" s="238"/>
      <c r="S23" s="202"/>
      <c r="T23" s="202"/>
      <c r="U23" s="260"/>
      <c r="V23" s="260"/>
      <c r="W23" s="261"/>
      <c r="X23" s="263"/>
      <c r="Y23" s="258"/>
      <c r="Z23" s="258"/>
      <c r="AA23" s="258"/>
      <c r="AB23" s="258"/>
      <c r="AC23" s="259"/>
      <c r="AD23" s="262"/>
      <c r="AE23" s="260"/>
      <c r="AF23" s="260"/>
      <c r="AG23" s="260"/>
      <c r="AH23" s="260"/>
      <c r="AI23" s="261"/>
      <c r="AJ23" s="263"/>
      <c r="AK23" s="258"/>
      <c r="AL23" s="258"/>
      <c r="AM23" s="258"/>
      <c r="AN23" s="258"/>
      <c r="AO23" s="259"/>
      <c r="AP23" s="262"/>
      <c r="AQ23" s="260"/>
      <c r="AR23" s="260"/>
      <c r="AS23" s="260"/>
      <c r="AT23" s="260"/>
      <c r="AU23" s="261"/>
      <c r="AV23" s="263"/>
      <c r="AW23" s="258"/>
      <c r="AX23" s="258"/>
      <c r="AY23" s="258"/>
      <c r="AZ23" s="258"/>
      <c r="BA23" s="259"/>
      <c r="BB23" s="119">
        <f t="shared" si="2"/>
        <v>0</v>
      </c>
      <c r="BC23" s="120">
        <f t="shared" si="3"/>
        <v>0</v>
      </c>
      <c r="BD23" s="120">
        <f t="shared" si="4"/>
        <v>0</v>
      </c>
      <c r="BE23" s="120">
        <f t="shared" si="5"/>
        <v>0</v>
      </c>
      <c r="BF23" s="120">
        <f t="shared" si="6"/>
        <v>0</v>
      </c>
      <c r="BG23" s="154">
        <f t="shared" si="7"/>
        <v>0</v>
      </c>
      <c r="BH23" s="123">
        <f>SUM(TimeSheet347536192444018281322354750220515659613035363650515317116122135[[#This Row],[1]:[4A]])</f>
        <v>0</v>
      </c>
      <c r="BI23" s="126">
        <f>IF(AND(NOT(ISBLANK($C23)),NOT(ISBLANK($E23)),$A23="x"),IF(L23=0,0,[2]!TSImport("PRTime","","Time_NINE","","Date",$BI$11,"Employee",$B$2,"JCJob",$C23,"JCExtra",$D23,"JCCostCode",$E23,"WCCode",$B23,"WCState",$G23,"State",$H23,"PayID",$BB$12,"Units",L23,"UnionID",$B$3,"UnionLocal",$F23,"UnionClass",$I23,"CertifiedClass",$J23)),0)</f>
        <v>0</v>
      </c>
      <c r="BJ23" s="127">
        <f>IF(AND(NOT(ISBLANK($C23)),NOT(ISBLANK($E23)),$A23="x"),IF(M23=0,0,[2]!TSImport("PRTime","","Time_NINE","","Date",$BI$11,"Employee",$B$2,"JCJob",$C23,"JCExtra",$D23,"JCCostCode",$E23,"WCCode",$B23,"WCState",$G23,"State",$H23,"PayID",$BC$12,"Units",M23,"UnionID",$B$3,"UnionLocal",$F23,"UnionClass",$I23,"CertifiedClass",$J23)),0)</f>
        <v>0</v>
      </c>
      <c r="BK23" s="127">
        <f>IF(AND(NOT(ISBLANK($C23)),NOT(ISBLANK($E23)),$A23="x"),IF(N23=0,0,[2]!TSImport("PRTime","","Time_NINE","","Date",$BI$11,"Employee",$B$2,"JCJob",$C23,"JCExtra",$D23,"JCCostCode",$E23,"WCCode",$B23,"WCState",$G23,"State",$H23,"PayID",$BD$12,"Units",N23,"UnionID",$B$3,"UnionLocal",$F23,"UnionClass",$I23,"CertifiedClass",$J23)),0)</f>
        <v>0</v>
      </c>
      <c r="BL23" s="127">
        <f>IF(AND(NOT(ISBLANK($C23)),NOT(ISBLANK($E23)),$A23="x"),IF(O23=0,0,[2]!TSImport("PRTime","","Time_NINE","","Date",$BI$11,"Employee",$B$2,"JCJob",$C23,"JCExtra",$D23,"JCCostCode",$E23,"WCCode",$B23,"WCState",$G23,"State",$H23,"PayID",$BE$12,"Units",O23,"UnionID",$B$3,"UnionLocal",$F23,"UnionClass",$I23,"CertifiedClass",$J23)),0)</f>
        <v>0</v>
      </c>
      <c r="BM23" s="127">
        <f>IF(AND(NOT(ISBLANK($C23)),NOT(ISBLANK($E23)),$A23="x"),IF(P23=0,0,[2]!TSImport("PRTime","","Time_NINE","","Date",$BI$11,"Employee",$B$2,"JCJob",$C23,"JCExtra",$D23,"JCCostCode",$E23,"WCCode",$B23,"WCState",$G23,"State",$H23,"PayID",$BF$12,"Units",P23,"UnionID",$B$3,"UnionLocal",$F23,"UnionClass",$I23,"CertifiedClass",$J23)),0)</f>
        <v>0</v>
      </c>
      <c r="BN23" s="128">
        <f>IF(AND(NOT(ISBLANK($C23)),NOT(ISBLANK($E23)),$A23="x"),IF(Q23=0,0,[2]!TSImport("PRTime","","Time_NINE","","Date",$BI$11,"Employee",$B$2,"JCJob",$C23,"JCExtra",$D23,"JCCostCode",$E23,"WCCode",$B23,"WCState",$G23,"State",$H23,"PayID",$BG$12,"Units",Q23,"UnionID",$B$3,"UnionLocal",$F23,"UnionClass",$I23,"CertifiedClass",$J23)),0)</f>
        <v>0</v>
      </c>
      <c r="BO23" s="126">
        <f>IF(AND(NOT(ISBLANK($C23)),NOT(ISBLANK($E23)),$A23="x"),IF(R23=0,0,[2]!TSImport("PRTime","","Time_NINE","","Date",$BO$11,"Employee",$B$2,"JCJob",$C23,"JCExtra",$D23,"JCCostCode",$E23,"WCCode",$B23,"WCState",$G23,"State",$H23,"PayID",$BB$12,"Units",R23,"UnionID",$B$3,"UnionLocal",$F23,"UnionClass",$I23,"CertifiedClass",$J23)),0)</f>
        <v>0</v>
      </c>
      <c r="BP23" s="127">
        <f>IF(AND(NOT(ISBLANK($C23)),NOT(ISBLANK($E23)),$A23="x"),IF(S23=0,0,[2]!TSImport("PRTime","","Time_NINE","","Date",$BO$11,"Employee",$B$2,"JCJob",$C23,"JCExtra",$D23,"JCCostCode",$E23,"WCCode",$B23,"WCState",$G23,"State",$H23,"PayID",$BC$12,"Units",S23,"UnionID",$B$3,"UnionLocal",$F23,"UnionClass",$I23,"CertifiedClass",$J23)),0)</f>
        <v>0</v>
      </c>
      <c r="BQ23" s="127">
        <f>IF(AND(NOT(ISBLANK($C23)),NOT(ISBLANK($E23)),$A23="x"),IF(T23=0,0,[2]!TSImport("PRTime","","Time_NINE","","Date",$BO$11,"Employee",$B$2,"JCJob",$C23,"JCExtra",$D23,"JCCostCode",$E23,"WCCode",$B23,"WCState",$G23,"State",$H23,"PayID",$BD$12,"Units",T23,"UnionID",$B$3,"UnionLocal",$F23,"UnionClass",$I23,"CertifiedClass",$J23)),0)</f>
        <v>0</v>
      </c>
      <c r="BR23" s="127">
        <f>IF(AND(NOT(ISBLANK($C23)),NOT(ISBLANK($E23)),$A23="x"),IF(U23=0,0,[2]!TSImport("PRTime","","Time_NINE","","Date",$BO$11,"Employee",$B$2,"JCJob",$C23,"JCExtra",$D23,"JCCostCode",$E23,"WCCode",$B23,"WCState",$G23,"State",$H23,"PayID",$BE$12,"Units",U23,"UnionID",$B$3,"UnionLocal",$F23,"UnionClass",$I23,"CertifiedClass",$J23)),0)</f>
        <v>0</v>
      </c>
      <c r="BS23" s="127">
        <f>IF(AND(NOT(ISBLANK($C23)),NOT(ISBLANK($E23)),$A23="x"),IF(V23=0,0,[2]!TSImport("PRTime","","Time_NINE","","Date",$BO$11,"Employee",$B$2,"JCJob",$C23,"JCExtra",$D23,"JCCostCode",$E23,"WCCode",$B23,"WCState",$G23,"State",$H23,"PayID",$BF$12,"Units",V23,"UnionID",$B$3,"UnionLocal",$F23,"UnionClass",$I23,"CertifiedClass",$J23)),0)</f>
        <v>0</v>
      </c>
      <c r="BT23" s="128">
        <f>IF(AND(NOT(ISBLANK($C23)),NOT(ISBLANK($E23)),$A23="x"),IF(W23=0,0,[2]!TSImport("PRTime","","Time_NINE","","Date",$BO$11,"Employee",$B$2,"JCJob",$C23,"JCExtra",$D23,"JCCostCode",$E23,"WCCode",$B23,"WCState",$G23,"State",$H23,"PayID",$BG$12,"Units",W23,"UnionID",$B$3,"UnionLocal",$F23,"UnionClass",$I23,"CertifiedClass",$J23)),0)</f>
        <v>0</v>
      </c>
      <c r="BU23" s="126">
        <f>IF(AND(NOT(ISBLANK($C23)),NOT(ISBLANK($E23)),$A23="x"),IF(X23=0,0,[2]!TSImport("PRTime","","Time_NINE","","Date",$BU$11,"Employee",$B$2,"JCJob",$C23,"JCExtra",$D23,"JCCostCode",$E23,"WCCode",$B23,"WCState",$G23,"State",$H23,"PayID",$BB$12,"Units",X23,"UnionID",$B$3,"UnionLocal",$F23,"UnionClass",$I23,"CertifiedClass",$J23)),0)</f>
        <v>0</v>
      </c>
      <c r="BV23" s="127">
        <f>IF(AND(NOT(ISBLANK($C23)),NOT(ISBLANK($E23)),$A23="x"),IF(Y23=0,0,[2]!TSImport("PRTime","","Time_NINE","","Date",$BU$11,"Employee",$B$2,"JCJob",$C23,"JCExtra",$D23,"JCCostCode",$E23,"WCCode",$B23,"WCState",$G23,"State",$H23,"PayID",$BC$12,"Units",Y23,"UnionID",$B$3,"UnionLocal",$F23,"UnionClass",$I23,"CertifiedClass",$J23)),0)</f>
        <v>0</v>
      </c>
      <c r="BW23" s="127">
        <f>IF(AND(NOT(ISBLANK($C23)),NOT(ISBLANK($E23)),$A23="x"),IF(Z23=0,0,[2]!TSImport("PRTime","","Time_NINE","","Date",$BU$11,"Employee",$B$2,"JCJob",$C23,"JCExtra",$D23,"JCCostCode",$E23,"WCCode",$B23,"WCState",$G23,"State",$H23,"PayID",$BD$12,"Units",Z23,"UnionID",$B$3,"UnionLocal",$F23,"UnionClass",$I23,"CertifiedClass",$J23)),0)</f>
        <v>0</v>
      </c>
      <c r="BX23" s="127">
        <f>IF(AND(NOT(ISBLANK($C23)),NOT(ISBLANK($E23)),$A23="x"),IF(AA23=0,0,[2]!TSImport("PRTime","","Time_NINE","","Date",$BU$11,"Employee",$B$2,"JCJob",$C23,"JCExtra",$D23,"JCCostCode",$E23,"WCCode",$B23,"WCState",$G23,"State",$H23,"PayID",$BE$12,"Units",AA23,"UnionID",$B$3,"UnionLocal",$F23,"UnionClass",$I23,"CertifiedClass",$J23)),0)</f>
        <v>0</v>
      </c>
      <c r="BY23" s="127">
        <f>IF(AND(NOT(ISBLANK($C23)),NOT(ISBLANK($E23)),$A23="x"),IF(AB23=0,0,[2]!TSImport("PRTime","","Time_NINE","","Date",$BU$11,"Employee",$B$2,"JCJob",$C23,"JCExtra",$D23,"JCCostCode",$E23,"WCCode",$B23,"WCState",$G23,"State",$H23,"PayID",$BF$12,"Units",AB23,"UnionID",$B$3,"UnionLocal",$F23,"UnionClass",$I23,"CertifiedClass",$J23)),0)</f>
        <v>0</v>
      </c>
      <c r="BZ23" s="128">
        <f>IF(AND(NOT(ISBLANK($C23)),NOT(ISBLANK($E23)),$A23="x"),IF(AC23=0,0,[2]!TSImport("PRTime","","Time_NINE","","Date",$BU$11,"Employee",$B$2,"JCJob",$C23,"JCExtra",$D23,"JCCostCode",$E23,"WCCode",$B23,"WCState",$G23,"State",$H23,"PayID",$BG$12,"Units",AC23,"UnionID",$B$3,"UnionLocal",$F23,"UnionClass",$I23,"CertifiedClass",$J23)),0)</f>
        <v>0</v>
      </c>
      <c r="CA23" s="126">
        <f>IF(AND(NOT(ISBLANK($C23)),NOT(ISBLANK($E23)),$A23="x"),IF(AD23=0,0,[2]!TSImport("PRTime","","Time_NINE","","Date",$CA$11,"Employee",$B$2,"JCJob",$C23,"JCExtra",$D23,"JCCostCode",$E23,"WCCode",$B23,"WCState",$G23,"State",$H23,"PayID",$BB$12,"Units",AD23,"UnionID",$B$3,"UnionLocal",$F23,"UnionClass",$I23,"CertifiedClass",$J23)),0)</f>
        <v>0</v>
      </c>
      <c r="CB23" s="127">
        <f>IF(AND(NOT(ISBLANK($C23)),NOT(ISBLANK($E23)),$A23="x"),IF(AE23=0,0,[2]!TSImport("PRTime","","Time_NINE","","Date",$CA$11,"Employee",$B$2,"JCJob",$C23,"JCExtra",$D23,"JCCostCode",$E23,"WCCode",$B23,"WCState",$G23,"State",$H23,"PayID",$BC$12,"Units",AE23,"UnionID",$B$3,"UnionLocal",$F23,"UnionClass",$I23,"CertifiedClass",$J23)),0)</f>
        <v>0</v>
      </c>
      <c r="CC23" s="127">
        <f>IF(AND(NOT(ISBLANK($C23)),NOT(ISBLANK($E23)),$A23="x"),IF(AF23=0,0,[2]!TSImport("PRTime","","Time_NINE","","Date",$CA$11,"Employee",$B$2,"JCJob",$C23,"JCExtra",$D23,"JCCostCode",$E23,"WCCode",$B23,"WCState",$G23,"State",$H23,"PayID",$BD$12,"Units",AF23,"UnionID",$B$3,"UnionLocal",$F23,"UnionClass",$I23,"CertifiedClass",$J23)),0)</f>
        <v>0</v>
      </c>
      <c r="CD23" s="127">
        <f>IF(AND(NOT(ISBLANK($C23)),NOT(ISBLANK($E23)),$A23="x"),IF(AG23=0,0,[2]!TSImport("PRTime","","Time_NINE","","Date",$CA$11,"Employee",$B$2,"JCJob",$C23,"JCExtra",$D23,"JCCostCode",$E23,"WCCode",$B23,"WCState",$G23,"State",$H23,"PayID",$BE$12,"Units",AG23,"UnionID",$B$3,"UnionLocal",$F23,"UnionClass",$I23,"CertifiedClass",$J23)),0)</f>
        <v>0</v>
      </c>
      <c r="CE23" s="127">
        <f>IF(AND(NOT(ISBLANK($C23)),NOT(ISBLANK($E23)),$A23="x"),IF(AH23=0,0,[2]!TSImport("PRTime","","Time_NINE","","Date",$CA$11,"Employee",$B$2,"JCJob",$C23,"JCExtra",$D23,"JCCostCode",$E23,"WCCode",$B23,"WCState",$G23,"State",$H23,"PayID",$BF$12,"Units",AH23,"UnionID",$B$3,"UnionLocal",$F23,"UnionClass",$I23,"CertifiedClass",$J23)),0)</f>
        <v>0</v>
      </c>
      <c r="CF23" s="128">
        <f>IF(AND(NOT(ISBLANK($C23)),NOT(ISBLANK($E23)),$A23="x"),IF(AI23=0,0,[2]!TSImport("PRTime","","Time_NINE","","Date",$CA$11,"Employee",$B$2,"JCJob",$C23,"JCExtra",$D23,"JCCostCode",$E23,"WCCode",$B23,"WCState",$G23,"State",$H23,"PayID",$BG$12,"Units",AI23,"UnionID",$B$3,"UnionLocal",$F23,"UnionClass",$I23,"CertifiedClass",$J23)),0)</f>
        <v>0</v>
      </c>
      <c r="CG23" s="126">
        <f>IF(AND(NOT(ISBLANK($C23)),NOT(ISBLANK($E23)),$A23="x"),IF(AJ23=0,0,[2]!TSImport("PRTime","","Time_NINE","","Date",$CG$11,"Employee",$B$2,"JCJob",$C23,"JCExtra",$D23,"JCCostCode",$E23,"WCCode",$B23,"WCState",$G23,"State",$H23,"PayID",$BB$12,"Units",AJ23,"UnionID",$B$3,"UnionLocal",$F23,"UnionClass",$I23,"CertifiedClass",$J23)),0)</f>
        <v>0</v>
      </c>
      <c r="CH23" s="127">
        <f>IF(AND(NOT(ISBLANK($C23)),NOT(ISBLANK($E23)),$A23="x"),IF(AK23=0,0,[2]!TSImport("PRTime","","Time_NINE","","Date",$CG$11,"Employee",$B$2,"JCJob",$C23,"JCExtra",$D23,"JCCostCode",$E23,"WCCode",$B23,"WCState",$G23,"State",$H23,"PayID",$BC$12,"Units",AK23,"UnionID",$B$3,"UnionLocal",$F23,"UnionClass",$I23,"CertifiedClass",$J23)),0)</f>
        <v>0</v>
      </c>
      <c r="CI23" s="127">
        <f>IF(AND(NOT(ISBLANK($C23)),NOT(ISBLANK($E23)),$A23="x"),IF(AL23=0,0,[2]!TSImport("PRTime","","Time_NINE","","Date",$CG$11,"Employee",$B$2,"JCJob",$C23,"JCExtra",$D23,"JCCostCode",$E23,"WCCode",$B23,"WCState",$G23,"State",$H23,"PayID",$BD$12,"Units",AL23,"UnionID",$B$3,"UnionLocal",$F23,"UnionClass",$I23,"CertifiedClass",$J23)),0)</f>
        <v>0</v>
      </c>
      <c r="CJ23" s="127">
        <f>IF(AND(NOT(ISBLANK($C23)),NOT(ISBLANK($E23)),$A23="x"),IF(AM23=0,0,[2]!TSImport("PRTime","","Time_NINE","","Date",$CG$11,"Employee",$B$2,"JCJob",$C23,"JCExtra",$D23,"JCCostCode",$E23,"WCCode",$B23,"WCState",$G23,"State",$H23,"PayID",$BE$12,"Units",AM23,"UnionID",$B$3,"UnionLocal",$F23,"UnionClass",$I23,"CertifiedClass",$J23)),0)</f>
        <v>0</v>
      </c>
      <c r="CK23" s="127">
        <f>IF(AND(NOT(ISBLANK($C23)),NOT(ISBLANK($E23)),$A23="x"),IF(AN23=0,0,[2]!TSImport("PRTime","","Time_NINE","","Date",$CG$11,"Employee",$B$2,"JCJob",$C23,"JCExtra",$D23,"JCCostCode",$E23,"WCCode",$B23,"WCState",$G23,"State",$H23,"PayID",$BF$12,"Units",AN23,"UnionID",$B$3,"UnionLocal",$F23,"UnionClass",$I23,"CertifiedClass",$J23)),0)</f>
        <v>0</v>
      </c>
      <c r="CL23" s="128">
        <f>IF(AND(NOT(ISBLANK($C23)),NOT(ISBLANK($E23)),$A23="x"),IF(AO23=0,0,[2]!TSImport("PRTime","","Time_NINE","","Date",$CG$11,"Employee",$B$2,"JCJob",$C23,"JCExtra",$D23,"JCCostCode",$E23,"WCCode",$B23,"WCState",$G23,"State",$H23,"PayID",$BG$12,"Units",AO23,"UnionID",$B$3,"UnionLocal",$F23,"UnionClass",$I23,"CertifiedClass",$J23)),0)</f>
        <v>0</v>
      </c>
      <c r="CM23" s="126">
        <f>IF(AND(NOT(ISBLANK($C23)),NOT(ISBLANK($E23)),$A23="x"),IF(AP23=0,0,[2]!TSImport("PRTime","","Time_NINE","","Date",$CM$11,"Employee",$B$2,"JCJob",$C23,"JCExtra",$D23,"JCCostCode",$E23,"WCCode",$B23,"WCState",$G23,"State",$H23,"PayID",$BB$12,"Units",AP23,"UnionID",$B$3,"UnionLocal",$F23,"UnionClass",$I23,"CertifiedClass",$J23)),0)</f>
        <v>0</v>
      </c>
      <c r="CN23" s="127">
        <f>IF(AND(NOT(ISBLANK($C23)),NOT(ISBLANK($E23)),$A23="x"),IF(AQ23=0,0,[2]!TSImport("PRTime","","Time_NINE","","Date",$CM$11,"Employee",$B$2,"JCJob",$C23,"JCExtra",$D23,"JCCostCode",$E23,"WCCode",$B23,"WCState",$G23,"State",$H23,"PayID",$BC$12,"Units",AQ23,"UnionID",$B$3,"UnionLocal",$F23,"UnionClass",$I23,"CertifiedClass",$J23)),0)</f>
        <v>0</v>
      </c>
      <c r="CO23" s="127">
        <f>IF(AND(NOT(ISBLANK($C23)),NOT(ISBLANK($E23)),$A23="x"),IF(AR23=0,0,[2]!TSImport("PRTime","","Time_NINE","","Date",$CM$11,"Employee",$B$2,"JCJob",$C23,"JCExtra",$D23,"JCCostCode",$E23,"WCCode",$B23,"WCState",$G23,"State",$H23,"PayID",$BD$12,"Units",AR23,"UnionID",$B$3,"UnionLocal",$F23,"UnionClass",$I23,"CertifiedClass",$J23)),0)</f>
        <v>0</v>
      </c>
      <c r="CP23" s="127">
        <f>IF(AND(NOT(ISBLANK($C23)),NOT(ISBLANK($E23)),$A23="x"),IF(AS23=0,0,[2]!TSImport("PRTime","","Time_NINE","","Date",$CM$11,"Employee",$B$2,"JCJob",$C23,"JCExtra",$D23,"JCCostCode",$E23,"WCCode",$B23,"WCState",$G23,"State",$H23,"PayID",$BE$12,"Units",AS23,"UnionID",$B$3,"UnionLocal",$F23,"UnionClass",$I23,"CertifiedClass",$J23)),0)</f>
        <v>0</v>
      </c>
      <c r="CQ23" s="127">
        <f>IF(AND(NOT(ISBLANK($C23)),NOT(ISBLANK($E23)),$A23="x"),IF(AT23=0,0,[2]!TSImport("PRTime","","Time_NINE","","Date",$CM$11,"Employee",$B$2,"JCJob",$C23,"JCExtra",$D23,"JCCostCode",$E23,"WCCode",$B23,"WCState",$G23,"State",$H23,"PayID",$BF$12,"Units",AT23,"UnionID",$B$3,"UnionLocal",$F23,"UnionClass",$I23,"CertifiedClass",$J23)),0)</f>
        <v>0</v>
      </c>
      <c r="CR23" s="128">
        <f>IF(AND(NOT(ISBLANK($C23)),NOT(ISBLANK($E23)),$A23="x"),IF(AU23=0,0,[2]!TSImport("PRTime","","Time_NINE","","Date",$CM$11,"Employee",$B$2,"JCJob",$C23,"JCExtra",$D23,"JCCostCode",$E23,"WCCode",$B23,"WCState",$G23,"State",$H23,"PayID",$BG$12,"Units",AU23,"UnionID",$B$3,"UnionLocal",$F23,"UnionClass",$I23,"CertifiedClass",$J23)),0)</f>
        <v>0</v>
      </c>
      <c r="CS23" s="126">
        <f>IF(AND(NOT(ISBLANK($C23)),NOT(ISBLANK($E23)),$A23="x"),IF(AV23=0,0,[2]!TSImport("PRTime","","Time_NINE","","Date",$CS$11,"Employee",$B$2,"JCJob",$C23,"JCExtra",$D23,"JCCostCode",$E23,"WCCode",$B23,"WCState",$G23,"State",$H23,"PayID",$BB$12,"Units",AV23,"UnionID",$B$3,"UnionLocal",$F23,"UnionClass",$I23,"CertifiedClass",$J23)),0)</f>
        <v>0</v>
      </c>
      <c r="CT23" s="127">
        <f>IF(AND(NOT(ISBLANK($C23)),NOT(ISBLANK($E23)),$A23="x"),IF(AW23=0,0,[2]!TSImport("PRTime","","Time_NINE","","Date",$CS$11,"Employee",$B$2,"JCJob",$C23,"JCExtra",$D23,"JCCostCode",$E23,"WCCode",$B23,"WCState",$G23,"State",$H23,"PayID",$BC$12,"Units",AW23,"UnionID",$B$3,"UnionLocal",$F23,"UnionClass",$I23,"CertifiedClass",$J23)),0)</f>
        <v>0</v>
      </c>
      <c r="CU23" s="127">
        <f>IF(AND(NOT(ISBLANK($C23)),NOT(ISBLANK($E23)),$A23="x"),IF(AX23=0,0,[2]!TSImport("PRTime","","Time_NINE","","Date",$CS$11,"Employee",$B$2,"JCJob",$C23,"JCExtra",$D23,"JCCostCode",$E23,"WCCode",$B23,"WCState",$G23,"State",$H23,"PayID",$BD$12,"Units",AX23,"UnionID",$B$3,"UnionLocal",$F23,"UnionClass",$I23,"CertifiedClass",$J23)),0)</f>
        <v>0</v>
      </c>
      <c r="CV23" s="127">
        <f>IF(AND(NOT(ISBLANK($C23)),NOT(ISBLANK($E23)),$A23="x"),IF(AY23=0,0,[2]!TSImport("PRTime","","Time_NINE","","Date",$CS$11,"Employee",$B$2,"JCJob",$C23,"JCExtra",$D23,"JCCostCode",$E23,"WCCode",$B23,"WCState",$G23,"State",$H23,"PayID",$BE$12,"Units",AY23,"UnionID",$B$3,"UnionLocal",$F23,"UnionClass",$I23,"CertifiedClass",$J23)),0)</f>
        <v>0</v>
      </c>
      <c r="CW23" s="127">
        <f>IF(AND(NOT(ISBLANK($C23)),NOT(ISBLANK($E23)),$A23="x"),IF(AZ23=0,0,[2]!TSImport("PRTime","","Time_NINE","","Date",$CS$11,"Employee",$B$2,"JCJob",$C23,"JCExtra",$D23,"JCCostCode",$E23,"WCCode",$B23,"WCState",$G23,"State",$H23,"PayID",$BF$12,"Units",AZ23,"UnionID",$B$3,"UnionLocal",$F23,"UnionClass",$I23,"CertifiedClass",$J23)),0)</f>
        <v>0</v>
      </c>
      <c r="CX23" s="128">
        <f>IF(AND(NOT(ISBLANK($C23)),NOT(ISBLANK($E23)),$A23="x"),IF(BA23=0,0,[2]!TSImport("PRTime","","Time_NINE","","Date",$CS$11,"Employee",$B$2,"JCJob",$C23,"JCExtra",$D23,"JCCostCode",$E23,"WCCode",$B23,"WCState",$G23,"State",$H23,"PayID",$BG$12,"Units",BA23,"UnionID",$B$3,"UnionLocal",$F23,"UnionClass",$I23,"CertifiedClass",$J23)),0)</f>
        <v>0</v>
      </c>
    </row>
    <row r="24" spans="1:102" ht="39" customHeight="1" x14ac:dyDescent="0.3">
      <c r="A24" s="317"/>
      <c r="B24" s="318"/>
      <c r="C24" s="319"/>
      <c r="D24" s="320"/>
      <c r="E24" s="318"/>
      <c r="F24" s="318"/>
      <c r="G24" s="318"/>
      <c r="H24" s="318"/>
      <c r="I24" s="318"/>
      <c r="J24" s="318"/>
      <c r="K24" s="318"/>
      <c r="L24" s="321">
        <f>SUBTOTAL(109,TimeSheet347536192444018281322354750220515659613035363650515317116122135[RT1])</f>
        <v>0</v>
      </c>
      <c r="M24" s="322">
        <f>SUBTOTAL(109,TimeSheet347536192444018281322354750220515659613035363650515317116122135[OT1])</f>
        <v>0</v>
      </c>
      <c r="N24" s="322">
        <f>SUBTOTAL(109,TimeSheet347536192444018281322354750220515659613035363650515317116122135[DT1])</f>
        <v>0</v>
      </c>
      <c r="O24" s="322">
        <f>SUBTOTAL(109,TimeSheet347536192444018281322354750220515659613035363650515317116122135[PD1])</f>
        <v>0</v>
      </c>
      <c r="P24" s="322">
        <f>SUBTOTAL(109,TimeSheet347536192444018281322354750220515659613035363650515317116122135[4D1])</f>
        <v>0</v>
      </c>
      <c r="Q24" s="323">
        <f>SUBTOTAL(109,TimeSheet347536192444018281322354750220515659613035363650515317116122135[4A1])</f>
        <v>0</v>
      </c>
      <c r="R24" s="324">
        <f>SUBTOTAL(109,TimeSheet347536192444018281322354750220515659613035363650515317116122135[RT2])</f>
        <v>0</v>
      </c>
      <c r="S24" s="325">
        <f>SUBTOTAL(109,TimeSheet347536192444018281322354750220515659613035363650515317116122135[OT2])</f>
        <v>0</v>
      </c>
      <c r="T24" s="325">
        <f>SUBTOTAL(109,TimeSheet347536192444018281322354750220515659613035363650515317116122135[DT2])</f>
        <v>0</v>
      </c>
      <c r="U24" s="325">
        <f>SUBTOTAL(109,TimeSheet347536192444018281322354750220515659613035363650515317116122135[PD2])</f>
        <v>0</v>
      </c>
      <c r="V24" s="325">
        <f>SUBTOTAL(109,TimeSheet347536192444018281322354750220515659613035363650515317116122135[4D2])</f>
        <v>0</v>
      </c>
      <c r="W24" s="326">
        <f>SUBTOTAL(109,TimeSheet347536192444018281322354750220515659613035363650515317116122135[4A2])</f>
        <v>0</v>
      </c>
      <c r="X24" s="321">
        <f>SUBTOTAL(109,TimeSheet347536192444018281322354750220515659613035363650515317116122135[RT3])</f>
        <v>0</v>
      </c>
      <c r="Y24" s="322">
        <f>SUBTOTAL(109,TimeSheet347536192444018281322354750220515659613035363650515317116122135[OT3])</f>
        <v>0</v>
      </c>
      <c r="Z24" s="322">
        <f>SUBTOTAL(109,TimeSheet347536192444018281322354750220515659613035363650515317116122135[DT3])</f>
        <v>0</v>
      </c>
      <c r="AA24" s="322">
        <f>SUBTOTAL(109,TimeSheet347536192444018281322354750220515659613035363650515317116122135[PD3])</f>
        <v>0</v>
      </c>
      <c r="AB24" s="322">
        <f>SUBTOTAL(109,TimeSheet347536192444018281322354750220515659613035363650515317116122135[4D3])</f>
        <v>0</v>
      </c>
      <c r="AC24" s="323">
        <f>SUBTOTAL(109,TimeSheet347536192444018281322354750220515659613035363650515317116122135[4A3])</f>
        <v>0</v>
      </c>
      <c r="AD24" s="324">
        <f>SUBTOTAL(109,TimeSheet347536192444018281322354750220515659613035363650515317116122135[RT4])</f>
        <v>0</v>
      </c>
      <c r="AE24" s="325">
        <f>SUBTOTAL(109,TimeSheet347536192444018281322354750220515659613035363650515317116122135[OT4])</f>
        <v>0</v>
      </c>
      <c r="AF24" s="325">
        <f>SUBTOTAL(109,TimeSheet347536192444018281322354750220515659613035363650515317116122135[DT4])</f>
        <v>0</v>
      </c>
      <c r="AG24" s="325">
        <f>SUBTOTAL(109,TimeSheet347536192444018281322354750220515659613035363650515317116122135[PD4])</f>
        <v>0</v>
      </c>
      <c r="AH24" s="325">
        <f>SUBTOTAL(109,TimeSheet347536192444018281322354750220515659613035363650515317116122135[4D4])</f>
        <v>0</v>
      </c>
      <c r="AI24" s="326">
        <f>SUBTOTAL(109,TimeSheet347536192444018281322354750220515659613035363650515317116122135[4A4])</f>
        <v>0</v>
      </c>
      <c r="AJ24" s="321">
        <f>SUBTOTAL(109,TimeSheet347536192444018281322354750220515659613035363650515317116122135[RT5])</f>
        <v>0</v>
      </c>
      <c r="AK24" s="322">
        <f>SUBTOTAL(109,TimeSheet347536192444018281322354750220515659613035363650515317116122135[OT5])</f>
        <v>0</v>
      </c>
      <c r="AL24" s="322">
        <f>SUBTOTAL(109,TimeSheet347536192444018281322354750220515659613035363650515317116122135[DT5])</f>
        <v>0</v>
      </c>
      <c r="AM24" s="322">
        <f>SUBTOTAL(109,TimeSheet347536192444018281322354750220515659613035363650515317116122135[PD5])</f>
        <v>0</v>
      </c>
      <c r="AN24" s="322">
        <f>SUBTOTAL(109,TimeSheet347536192444018281322354750220515659613035363650515317116122135[4D5])</f>
        <v>0</v>
      </c>
      <c r="AO24" s="323">
        <f>SUBTOTAL(109,TimeSheet347536192444018281322354750220515659613035363650515317116122135[4A5])</f>
        <v>0</v>
      </c>
      <c r="AP24" s="324">
        <f>SUBTOTAL(109,TimeSheet347536192444018281322354750220515659613035363650515317116122135[RT6])</f>
        <v>0</v>
      </c>
      <c r="AQ24" s="325">
        <f>SUBTOTAL(109,TimeSheet347536192444018281322354750220515659613035363650515317116122135[OT6])</f>
        <v>0</v>
      </c>
      <c r="AR24" s="325">
        <f>SUBTOTAL(109,TimeSheet347536192444018281322354750220515659613035363650515317116122135[DT6])</f>
        <v>0</v>
      </c>
      <c r="AS24" s="325">
        <f>SUBTOTAL(109,TimeSheet347536192444018281322354750220515659613035363650515317116122135[PD6])</f>
        <v>0</v>
      </c>
      <c r="AT24" s="325">
        <f>SUBTOTAL(109,TimeSheet347536192444018281322354750220515659613035363650515317116122135[4D6])</f>
        <v>0</v>
      </c>
      <c r="AU24" s="326">
        <f>SUBTOTAL(109,TimeSheet347536192444018281322354750220515659613035363650515317116122135[4A6])</f>
        <v>0</v>
      </c>
      <c r="AV24" s="321">
        <f>SUBTOTAL(109,TimeSheet347536192444018281322354750220515659613035363650515317116122135[RT7])</f>
        <v>0</v>
      </c>
      <c r="AW24" s="322">
        <f>SUBTOTAL(109,TimeSheet347536192444018281322354750220515659613035363650515317116122135[OT7])</f>
        <v>0</v>
      </c>
      <c r="AX24" s="322">
        <f>SUBTOTAL(109,TimeSheet347536192444018281322354750220515659613035363650515317116122135[DT7])</f>
        <v>0</v>
      </c>
      <c r="AY24" s="322">
        <f>SUBTOTAL(109,TimeSheet347536192444018281322354750220515659613035363650515317116122135[PD7])</f>
        <v>0</v>
      </c>
      <c r="AZ24" s="322">
        <f>SUBTOTAL(109,TimeSheet347536192444018281322354750220515659613035363650515317116122135[4D7])</f>
        <v>0</v>
      </c>
      <c r="BA24" s="323">
        <f>SUBTOTAL(109,TimeSheet347536192444018281322354750220515659613035363650515317116122135[4A7])</f>
        <v>0</v>
      </c>
      <c r="BB24" s="327">
        <f>SUBTOTAL(109,TimeSheet347536192444018281322354750220515659613035363650515317116122135[1])</f>
        <v>0</v>
      </c>
      <c r="BC24" s="328">
        <f>SUBTOTAL(109,TimeSheet347536192444018281322354750220515659613035363650515317116122135[3])</f>
        <v>0</v>
      </c>
      <c r="BD24" s="328">
        <f>SUBTOTAL(109,TimeSheet347536192444018281322354750220515659613035363650515317116122135[2])</f>
        <v>0</v>
      </c>
      <c r="BE24" s="328">
        <f>SUBTOTAL(109,TimeSheet347536192444018281322354750220515659613035363650515317116122135[4])</f>
        <v>0</v>
      </c>
      <c r="BF24" s="328">
        <f>SUBTOTAL(109,TimeSheet347536192444018281322354750220515659613035363650515317116122135[4D])</f>
        <v>0</v>
      </c>
      <c r="BG24" s="329">
        <f>SUBTOTAL(109,TimeSheet347536192444018281322354750220515659613035363650515317116122135[4A])</f>
        <v>0</v>
      </c>
      <c r="BH24" s="330">
        <f>SUBTOTAL(109,TimeSheet347536192444018281322354750220515659613035363650515317116122135[Total])-SUM(TimeSheet347536192444018281322354750220515659613035363650515317116122135[[#Totals],[RT1]:[4A7]])</f>
        <v>0</v>
      </c>
      <c r="BI24" s="331"/>
      <c r="BJ24" s="332"/>
      <c r="BK24" s="332"/>
      <c r="BL24" s="332"/>
      <c r="BM24" s="332"/>
      <c r="BN24" s="333"/>
      <c r="BO24" s="331"/>
      <c r="BP24" s="332"/>
      <c r="BQ24" s="332"/>
      <c r="BR24" s="332"/>
      <c r="BS24" s="332"/>
      <c r="BT24" s="333"/>
      <c r="BU24" s="331"/>
      <c r="BV24" s="332"/>
      <c r="BW24" s="332"/>
      <c r="BX24" s="332"/>
      <c r="BY24" s="332"/>
      <c r="BZ24" s="333"/>
      <c r="CA24" s="331"/>
      <c r="CB24" s="332"/>
      <c r="CC24" s="332"/>
      <c r="CD24" s="332"/>
      <c r="CE24" s="332"/>
      <c r="CF24" s="333"/>
      <c r="CG24" s="331"/>
      <c r="CH24" s="332"/>
      <c r="CI24" s="332"/>
      <c r="CJ24" s="332"/>
      <c r="CK24" s="332"/>
      <c r="CL24" s="333"/>
      <c r="CM24" s="331"/>
      <c r="CN24" s="332"/>
      <c r="CO24" s="332"/>
      <c r="CP24" s="332"/>
      <c r="CQ24" s="332"/>
      <c r="CR24" s="333"/>
      <c r="CS24" s="331"/>
      <c r="CT24" s="332"/>
      <c r="CU24" s="332"/>
      <c r="CV24" s="332"/>
      <c r="CW24" s="332"/>
      <c r="CX24" s="333"/>
    </row>
    <row r="25" spans="1:102" ht="39" customHeight="1" x14ac:dyDescent="0.45">
      <c r="A25" s="173"/>
      <c r="B25" s="28" t="s">
        <v>356</v>
      </c>
      <c r="C25" s="28"/>
      <c r="D25" s="28"/>
      <c r="E25" s="28"/>
      <c r="L25" s="350"/>
      <c r="M25" s="255"/>
      <c r="N25" s="255"/>
      <c r="O25" s="255"/>
      <c r="P25" s="255"/>
      <c r="Q25" s="255"/>
      <c r="R25" s="246"/>
      <c r="S25" s="222"/>
      <c r="T25" s="222"/>
      <c r="U25" s="222"/>
      <c r="V25" s="222"/>
      <c r="W25" s="222"/>
      <c r="X25" s="246"/>
      <c r="Y25" s="197"/>
      <c r="Z25" s="222"/>
      <c r="AA25" s="222"/>
      <c r="AB25" s="222"/>
      <c r="AD25" s="278"/>
      <c r="AJ25" s="278"/>
      <c r="AV25" s="279"/>
      <c r="BB25" s="292"/>
      <c r="BC25" s="292"/>
      <c r="BD25" s="292"/>
      <c r="BE25" s="292"/>
      <c r="BF25" s="292"/>
      <c r="BG25" s="292"/>
    </row>
    <row r="26" spans="1:102" ht="39" customHeight="1" x14ac:dyDescent="0.5">
      <c r="A26" s="174" t="str">
        <f>IF(ISBLANK('[14]Job Details'!A5),"",'[14]Job Details'!A5)</f>
        <v>5/8's Crew</v>
      </c>
      <c r="B26" s="175"/>
      <c r="C26" s="176">
        <f>IF(ISBLANK('[14]Job Details'!B5),"",'[14]Job Details'!B5)</f>
        <v>0</v>
      </c>
      <c r="D26" s="174" t="str">
        <f>IF(ISBLANK('[14]Job Details'!C5),"",'[14]Job Details'!C5)</f>
        <v>4/10's Crew</v>
      </c>
      <c r="E26" s="177">
        <f>IF(ISBLANK('[14]Job Details'!D5),"",'[14]Job Details'!D5)</f>
        <v>0</v>
      </c>
      <c r="F26" s="178" t="str">
        <f>IF(ISBLANK('[14]Job Details'!E5),"",'[14]Job Details'!E5)</f>
        <v>Distribution Crews</v>
      </c>
      <c r="G26" s="270"/>
      <c r="H26" s="224"/>
      <c r="I26" s="223"/>
      <c r="J26" s="222"/>
      <c r="K26" s="222"/>
      <c r="L26" s="255"/>
      <c r="M26" s="255"/>
      <c r="N26" s="309"/>
      <c r="O26" s="266"/>
      <c r="P26" s="310"/>
      <c r="Q26" s="310"/>
      <c r="R26" s="254"/>
      <c r="S26" s="254"/>
      <c r="T26" s="254"/>
      <c r="U26" s="254"/>
      <c r="V26" s="236"/>
      <c r="W26" s="236"/>
      <c r="X26" s="236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1"/>
      <c r="AM26" s="311"/>
      <c r="AN26" s="311"/>
      <c r="AO26" s="311"/>
      <c r="AP26" s="311"/>
      <c r="AQ26" s="311"/>
      <c r="AR26" s="311"/>
      <c r="AS26" s="311"/>
      <c r="AT26" s="311"/>
      <c r="AU26" s="311"/>
      <c r="AV26" s="311"/>
      <c r="AW26" s="311"/>
      <c r="AX26" s="299"/>
      <c r="BB26" s="292"/>
      <c r="BC26" s="292"/>
      <c r="BD26" s="292"/>
      <c r="BE26" s="292"/>
      <c r="BF26" s="292"/>
      <c r="BG26" s="292"/>
    </row>
    <row r="27" spans="1:102" ht="39" customHeight="1" x14ac:dyDescent="0.5">
      <c r="A27" s="179" t="str">
        <f>IF(ISBLANK('[14]Job Details'!A6),"",'[14]Job Details'!A6)</f>
        <v>8 ST</v>
      </c>
      <c r="B27" s="180"/>
      <c r="C27" s="181" t="str">
        <f>IF(ISBLANK('[14]Job Details'!B6),"",'[14]Job Details'!B6)</f>
        <v>10 ST</v>
      </c>
      <c r="D27" s="182" t="str">
        <f>IF(ISBLANK('[14]Job Details'!C6),"",'[14]Job Details'!C6)</f>
        <v>5/8's Crew</v>
      </c>
      <c r="E27" s="181">
        <f>IF(ISBLANK('[14]Job Details'!D6),"",'[14]Job Details'!D6)</f>
        <v>0</v>
      </c>
      <c r="F27" s="183" t="str">
        <f>IF(ISBLANK('[14]Job Details'!E6),"",'[14]Job Details'!E6)</f>
        <v>4/10's Crew</v>
      </c>
      <c r="G27" s="270"/>
      <c r="H27" s="224"/>
      <c r="I27" s="223"/>
      <c r="J27" s="222"/>
      <c r="K27" s="222"/>
      <c r="L27" s="255"/>
      <c r="M27" s="255"/>
      <c r="N27" s="255"/>
      <c r="O27" s="255"/>
      <c r="P27" s="255"/>
      <c r="Q27" s="255"/>
      <c r="R27" s="222"/>
      <c r="AA27" s="298" t="s">
        <v>4127</v>
      </c>
      <c r="AB27" s="272"/>
      <c r="AC27" s="272"/>
      <c r="AD27" s="272"/>
      <c r="AE27" s="272"/>
      <c r="AF27" s="272"/>
      <c r="AG27" s="272"/>
      <c r="AH27" s="272"/>
      <c r="AI27" s="272"/>
      <c r="AJ27" s="272"/>
      <c r="AK27" s="273"/>
      <c r="AL27" s="272"/>
      <c r="AM27" s="272"/>
      <c r="AN27" s="272"/>
      <c r="AO27" s="272"/>
      <c r="AP27" s="272"/>
      <c r="AQ27" s="272"/>
      <c r="AR27" s="272"/>
      <c r="AS27" s="298"/>
      <c r="AT27" s="298"/>
      <c r="AU27" s="298"/>
      <c r="AV27" s="298"/>
      <c r="AW27" s="298"/>
      <c r="AX27" s="298"/>
      <c r="AY27" s="299"/>
      <c r="AZ27" s="299"/>
    </row>
    <row r="28" spans="1:102" ht="39" customHeight="1" x14ac:dyDescent="0.5">
      <c r="A28" s="179" t="str">
        <f>IF(ISBLANK('[14]Job Details'!A7),"",'[14]Job Details'!A7)</f>
        <v>2 OT</v>
      </c>
      <c r="B28" s="180"/>
      <c r="C28" s="181" t="str">
        <f>IF(ISBLANK('[14]Job Details'!B7),"",'[14]Job Details'!B7)</f>
        <v>10+ DT</v>
      </c>
      <c r="D28" s="179" t="str">
        <f>IF(ISBLANK('[14]Job Details'!C7),"",'[14]Job Details'!C7)</f>
        <v>8 ST</v>
      </c>
      <c r="E28" s="181" t="str">
        <f>IF(ISBLANK('[14]Job Details'!D7),"",'[14]Job Details'!D7)</f>
        <v>10 ST</v>
      </c>
      <c r="F28" s="183" t="str">
        <f>IF(ISBLANK('[14]Job Details'!E7),"",'[14]Job Details'!E7)</f>
        <v>Saturday</v>
      </c>
      <c r="G28" s="270"/>
      <c r="H28" s="220" t="s">
        <v>3084</v>
      </c>
      <c r="I28" s="219"/>
      <c r="J28" s="218"/>
      <c r="K28" s="218"/>
      <c r="L28" s="218"/>
      <c r="M28" s="218"/>
      <c r="N28" s="218"/>
      <c r="O28" s="218"/>
      <c r="P28" s="218"/>
      <c r="Q28" s="218"/>
      <c r="R28" s="218"/>
      <c r="S28" s="217"/>
      <c r="T28" s="217"/>
      <c r="U28" s="217"/>
      <c r="V28" s="216"/>
      <c r="AA28" s="298" t="s">
        <v>4128</v>
      </c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</row>
    <row r="29" spans="1:102" ht="39" customHeight="1" x14ac:dyDescent="0.5">
      <c r="A29" s="184" t="str">
        <f>IF(ISBLANK('[14]Job Details'!A8),"",'[14]Job Details'!A8)</f>
        <v>10+ DT</v>
      </c>
      <c r="B29" s="185"/>
      <c r="C29" s="186">
        <f>IF(ISBLANK('[14]Job Details'!B8),"",'[14]Job Details'!B8)</f>
        <v>0</v>
      </c>
      <c r="D29" s="179" t="str">
        <f>IF(ISBLANK('[14]Job Details'!C8),"",'[14]Job Details'!C8)</f>
        <v>8+ DT</v>
      </c>
      <c r="E29" s="181" t="str">
        <f>IF(ISBLANK('[14]Job Details'!D8),"",'[14]Job Details'!D8)</f>
        <v>10+ DT</v>
      </c>
      <c r="F29" s="187" t="str">
        <f>IF(ISBLANK('[14]Job Details'!E8),"",'[14]Job Details'!E8)</f>
        <v>All DT</v>
      </c>
      <c r="G29" s="270"/>
      <c r="H29" s="215" t="s">
        <v>3083</v>
      </c>
      <c r="I29" s="214"/>
      <c r="J29" s="212"/>
      <c r="K29" s="212"/>
      <c r="L29" s="212"/>
      <c r="M29" s="212"/>
      <c r="N29" s="212"/>
      <c r="O29" s="212"/>
      <c r="P29" s="212"/>
      <c r="Q29" s="212"/>
      <c r="R29" s="212"/>
      <c r="S29" s="211"/>
      <c r="T29" s="211"/>
      <c r="U29" s="211"/>
      <c r="V29" s="210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8"/>
    </row>
    <row r="30" spans="1:102" ht="39" customHeight="1" x14ac:dyDescent="0.4">
      <c r="A30" s="188" t="str">
        <f>IF(ISBLANK('[14]Job Details'!A9),"",'[14]Job Details'!A9)</f>
        <v>Saturday</v>
      </c>
      <c r="B30" s="175"/>
      <c r="C30" s="189">
        <f>IF(ISBLANK('[14]Job Details'!B9),"",'[14]Job Details'!B9)</f>
        <v>0</v>
      </c>
      <c r="D30" s="190" t="str">
        <f>IF(ISBLANK('[14]Job Details'!C9),"",'[14]Job Details'!C9)</f>
        <v>Sunday</v>
      </c>
      <c r="E30" s="176">
        <f>IF(ISBLANK('[14]Job Details'!D9),"",'[14]Job Details'!D9)</f>
        <v>0</v>
      </c>
      <c r="F30" s="183" t="str">
        <f>IF(ISBLANK('[14]Job Details'!E9),"",'[14]Job Details'!E9)</f>
        <v>Sunday</v>
      </c>
      <c r="G30" s="270"/>
      <c r="H30" s="215" t="s">
        <v>3082</v>
      </c>
      <c r="I30" s="214"/>
      <c r="J30" s="212"/>
      <c r="K30" s="213"/>
      <c r="L30" s="212"/>
      <c r="M30" s="212"/>
      <c r="N30" s="212"/>
      <c r="O30" s="212"/>
      <c r="P30" s="212"/>
      <c r="Q30" s="212"/>
      <c r="R30" s="212"/>
      <c r="S30" s="211"/>
      <c r="T30" s="211"/>
      <c r="U30" s="211"/>
      <c r="V30" s="210"/>
    </row>
    <row r="31" spans="1:102" ht="39" customHeight="1" x14ac:dyDescent="0.4">
      <c r="A31" s="179" t="str">
        <f>IF(ISBLANK('[14]Job Details'!A10),"",'[14]Job Details'!A10)</f>
        <v>8 OT</v>
      </c>
      <c r="B31" s="180"/>
      <c r="C31" s="181">
        <f>IF(ISBLANK('[14]Job Details'!B10),"",'[14]Job Details'!B10)</f>
        <v>0</v>
      </c>
      <c r="D31" s="191" t="str">
        <f>IF(ISBLANK('[14]Job Details'!C10),"",'[14]Job Details'!C10)</f>
        <v>All DT</v>
      </c>
      <c r="E31" s="181">
        <f>IF(ISBLANK('[14]Job Details'!D10),"",'[14]Job Details'!D10)</f>
        <v>0</v>
      </c>
      <c r="F31" s="187" t="str">
        <f>IF(ISBLANK('[14]Job Details'!E10),"",'[14]Job Details'!E10)</f>
        <v>All DT</v>
      </c>
      <c r="G31" s="270"/>
      <c r="H31" s="270"/>
    </row>
    <row r="32" spans="1:102" ht="39" customHeight="1" x14ac:dyDescent="0.4">
      <c r="A32" s="184" t="str">
        <f>IF(ISBLANK('[14]Job Details'!A11),"",'[14]Job Details'!A11)</f>
        <v>8+DT</v>
      </c>
      <c r="B32" s="185"/>
      <c r="C32" s="186">
        <f>IF(ISBLANK('[14]Job Details'!B11),"",'[14]Job Details'!B11)</f>
        <v>0</v>
      </c>
      <c r="D32" s="192">
        <f>IF(ISBLANK('[14]Job Details'!C11),"",'[14]Job Details'!C11)</f>
        <v>0</v>
      </c>
      <c r="E32" s="186">
        <f>IF(ISBLANK('[14]Job Details'!D11),"",'[14]Job Details'!D11)</f>
        <v>0</v>
      </c>
      <c r="F32" s="193">
        <f>IF(ISBLANK('[14]Job Details'!E11),"",'[14]Job Details'!E11)</f>
        <v>0</v>
      </c>
      <c r="G32" s="270"/>
      <c r="H32" s="270"/>
    </row>
    <row r="33" spans="2:6" s="270" customFormat="1" ht="39" customHeight="1" x14ac:dyDescent="0.3">
      <c r="B33" s="1"/>
      <c r="C33" s="1"/>
      <c r="D33" s="1"/>
      <c r="E33" s="1"/>
      <c r="F33" s="1"/>
    </row>
  </sheetData>
  <sheetProtection formatCells="0" formatColumns="0" formatRows="0" insertColumns="0" insertRows="0" deleteColumns="0" deleteRows="0" selectLockedCells="1"/>
  <mergeCells count="77">
    <mergeCell ref="X4:AC4"/>
    <mergeCell ref="AD4:AI4"/>
    <mergeCell ref="AJ4:AO4"/>
    <mergeCell ref="AP4:AU4"/>
    <mergeCell ref="L3:Q3"/>
    <mergeCell ref="R3:W3"/>
    <mergeCell ref="X3:AC3"/>
    <mergeCell ref="AD3:AI3"/>
    <mergeCell ref="AJ3:AO3"/>
    <mergeCell ref="L7:Q7"/>
    <mergeCell ref="R7:W7"/>
    <mergeCell ref="BB1:BG1"/>
    <mergeCell ref="AV3:BA3"/>
    <mergeCell ref="AV4:BA4"/>
    <mergeCell ref="BB4:BG4"/>
    <mergeCell ref="L5:Q5"/>
    <mergeCell ref="R5:W5"/>
    <mergeCell ref="X5:AC5"/>
    <mergeCell ref="AD5:AI5"/>
    <mergeCell ref="AJ5:AO5"/>
    <mergeCell ref="AP5:AU5"/>
    <mergeCell ref="AV5:BA5"/>
    <mergeCell ref="L4:Q4"/>
    <mergeCell ref="AP3:AU3"/>
    <mergeCell ref="R4:W4"/>
    <mergeCell ref="L6:Q6"/>
    <mergeCell ref="R6:W6"/>
    <mergeCell ref="X6:AC6"/>
    <mergeCell ref="AD6:AI6"/>
    <mergeCell ref="AJ6:AO6"/>
    <mergeCell ref="AV6:BA6"/>
    <mergeCell ref="X7:AC7"/>
    <mergeCell ref="AD7:AI7"/>
    <mergeCell ref="AJ7:AO7"/>
    <mergeCell ref="AV8:BA8"/>
    <mergeCell ref="AP7:AU7"/>
    <mergeCell ref="AV7:BA7"/>
    <mergeCell ref="AP6:AU6"/>
    <mergeCell ref="L8:Q8"/>
    <mergeCell ref="R8:W8"/>
    <mergeCell ref="BB9:BG9"/>
    <mergeCell ref="L9:Q9"/>
    <mergeCell ref="R9:W9"/>
    <mergeCell ref="X9:AC9"/>
    <mergeCell ref="AD9:AI9"/>
    <mergeCell ref="AJ9:AO9"/>
    <mergeCell ref="X8:AC8"/>
    <mergeCell ref="AD8:AI8"/>
    <mergeCell ref="AJ8:AO8"/>
    <mergeCell ref="AP8:AU8"/>
    <mergeCell ref="BI9:CX9"/>
    <mergeCell ref="L10:Q10"/>
    <mergeCell ref="R10:W10"/>
    <mergeCell ref="X10:AC10"/>
    <mergeCell ref="AD10:AI10"/>
    <mergeCell ref="AJ10:AO10"/>
    <mergeCell ref="AP10:AU10"/>
    <mergeCell ref="AV10:BA10"/>
    <mergeCell ref="BB10:BG10"/>
    <mergeCell ref="BI10:CX10"/>
    <mergeCell ref="AP9:AU9"/>
    <mergeCell ref="AV9:BA9"/>
    <mergeCell ref="L11:Q11"/>
    <mergeCell ref="R11:W11"/>
    <mergeCell ref="X11:AC11"/>
    <mergeCell ref="AD11:AI11"/>
    <mergeCell ref="AJ11:AO11"/>
    <mergeCell ref="AP11:AU11"/>
    <mergeCell ref="AV11:BA11"/>
    <mergeCell ref="BB11:BG11"/>
    <mergeCell ref="BI11:BN11"/>
    <mergeCell ref="BO11:BT11"/>
    <mergeCell ref="BU11:BZ11"/>
    <mergeCell ref="CA11:CF11"/>
    <mergeCell ref="CG11:CL11"/>
    <mergeCell ref="CM11:CR11"/>
    <mergeCell ref="CS11:CX11"/>
  </mergeCells>
  <conditionalFormatting sqref="D3 A13:A23">
    <cfRule type="expression" dxfId="321" priority="199">
      <formula>ISBLANK(A3)</formula>
    </cfRule>
  </conditionalFormatting>
  <conditionalFormatting sqref="E1 G1:K1">
    <cfRule type="expression" dxfId="320" priority="197">
      <formula>$A$1="Input Employee Number"</formula>
    </cfRule>
  </conditionalFormatting>
  <conditionalFormatting sqref="BB1:BG1">
    <cfRule type="expression" dxfId="319" priority="196">
      <formula>ISBLANK(BB1)</formula>
    </cfRule>
  </conditionalFormatting>
  <conditionalFormatting sqref="BH24">
    <cfRule type="expression" dxfId="318" priority="194">
      <formula>$BH24&lt;&gt;0</formula>
    </cfRule>
    <cfRule type="expression" dxfId="317" priority="195">
      <formula>$BH24=0</formula>
    </cfRule>
  </conditionalFormatting>
  <conditionalFormatting sqref="L11:BG11">
    <cfRule type="expression" dxfId="316" priority="193">
      <formula>L11&lt;&gt;0</formula>
    </cfRule>
  </conditionalFormatting>
  <conditionalFormatting sqref="E24:H24 F13:H21">
    <cfRule type="expression" dxfId="315" priority="192">
      <formula>AND($BH13&lt;&gt;0,ISBLANK(E13))</formula>
    </cfRule>
  </conditionalFormatting>
  <conditionalFormatting sqref="B2">
    <cfRule type="cellIs" dxfId="314" priority="191" operator="equal">
      <formula>0</formula>
    </cfRule>
  </conditionalFormatting>
  <conditionalFormatting sqref="D3 A13:A23">
    <cfRule type="cellIs" dxfId="313" priority="198" operator="equal">
      <formula>"x"</formula>
    </cfRule>
  </conditionalFormatting>
  <conditionalFormatting sqref="C24">
    <cfRule type="expression" dxfId="312" priority="200">
      <formula>AND($C24=0,BH24&lt;&gt;0)</formula>
    </cfRule>
  </conditionalFormatting>
  <conditionalFormatting sqref="B1:D1">
    <cfRule type="expression" dxfId="311" priority="175">
      <formula>$A$1="Input Employee Number"</formula>
    </cfRule>
  </conditionalFormatting>
  <conditionalFormatting sqref="A1">
    <cfRule type="expression" dxfId="310" priority="174">
      <formula>$A$1="Input Employee Number"</formula>
    </cfRule>
  </conditionalFormatting>
  <conditionalFormatting sqref="B3">
    <cfRule type="containsBlanks" dxfId="309" priority="173">
      <formula>LEN(TRIM(B3))=0</formula>
    </cfRule>
  </conditionalFormatting>
  <conditionalFormatting sqref="B4">
    <cfRule type="containsBlanks" dxfId="308" priority="172">
      <formula>LEN(TRIM(B4))=0</formula>
    </cfRule>
  </conditionalFormatting>
  <conditionalFormatting sqref="E18 E20">
    <cfRule type="expression" dxfId="307" priority="164">
      <formula>AND($BH18&lt;&gt;0,ISBLANK(E18))</formula>
    </cfRule>
  </conditionalFormatting>
  <conditionalFormatting sqref="E20 E14 E18">
    <cfRule type="expression" dxfId="306" priority="163">
      <formula>AND($C14&gt;0,ISBLANK($E14))</formula>
    </cfRule>
  </conditionalFormatting>
  <conditionalFormatting sqref="C20 C18">
    <cfRule type="expression" dxfId="305" priority="165">
      <formula>AND($C18=0,BH18&lt;&gt;0)</formula>
    </cfRule>
  </conditionalFormatting>
  <conditionalFormatting sqref="E14">
    <cfRule type="expression" dxfId="304" priority="162">
      <formula>AND($BH14&lt;&gt;0,ISBLANK(E14))</formula>
    </cfRule>
  </conditionalFormatting>
  <conditionalFormatting sqref="E14">
    <cfRule type="expression" dxfId="303" priority="161">
      <formula>AND($BH14&lt;&gt;0,ISBLANK(E14))</formula>
    </cfRule>
  </conditionalFormatting>
  <conditionalFormatting sqref="E14">
    <cfRule type="expression" dxfId="302" priority="160">
      <formula>AND($C14&gt;0,ISBLANK($E14))</formula>
    </cfRule>
  </conditionalFormatting>
  <conditionalFormatting sqref="P26">
    <cfRule type="expression" dxfId="301" priority="159">
      <formula>AND($BH26&lt;&gt;0,ISBLANK(P26))</formula>
    </cfRule>
  </conditionalFormatting>
  <conditionalFormatting sqref="P26">
    <cfRule type="expression" dxfId="300" priority="158">
      <formula>AND($C26&gt;0,ISBLANK($E26))</formula>
    </cfRule>
  </conditionalFormatting>
  <conditionalFormatting sqref="Q26">
    <cfRule type="expression" dxfId="299" priority="157">
      <formula>AND($BH26&lt;&gt;0,ISBLANK(Q26))</formula>
    </cfRule>
  </conditionalFormatting>
  <conditionalFormatting sqref="Q26">
    <cfRule type="expression" dxfId="298" priority="156">
      <formula>AND($C26&gt;0,ISBLANK($E26))</formula>
    </cfRule>
  </conditionalFormatting>
  <conditionalFormatting sqref="E14">
    <cfRule type="expression" dxfId="297" priority="152">
      <formula>AND($BH14&lt;&gt;0,ISBLANK(E14))</formula>
    </cfRule>
  </conditionalFormatting>
  <conditionalFormatting sqref="B14">
    <cfRule type="expression" dxfId="296" priority="151">
      <formula>AND($BH14&lt;&gt;0,ISBLANK(B14))</formula>
    </cfRule>
  </conditionalFormatting>
  <conditionalFormatting sqref="E14">
    <cfRule type="expression" dxfId="295" priority="150">
      <formula>AND($BH14&lt;&gt;0,ISBLANK(E14))</formula>
    </cfRule>
  </conditionalFormatting>
  <conditionalFormatting sqref="E16">
    <cfRule type="expression" dxfId="294" priority="149">
      <formula>AND($C16&gt;0,ISBLANK($E16))</formula>
    </cfRule>
  </conditionalFormatting>
  <conditionalFormatting sqref="E16">
    <cfRule type="expression" dxfId="293" priority="148">
      <formula>AND($BH16&lt;&gt;0,ISBLANK(E16))</formula>
    </cfRule>
  </conditionalFormatting>
  <conditionalFormatting sqref="E16">
    <cfRule type="expression" dxfId="292" priority="147">
      <formula>AND($C16&gt;0,ISBLANK($E16))</formula>
    </cfRule>
  </conditionalFormatting>
  <conditionalFormatting sqref="E16">
    <cfRule type="expression" dxfId="291" priority="146">
      <formula>AND($BH16&lt;&gt;0,ISBLANK(E16))</formula>
    </cfRule>
  </conditionalFormatting>
  <conditionalFormatting sqref="E16">
    <cfRule type="expression" dxfId="290" priority="145">
      <formula>AND($C16&gt;0,ISBLANK($E16))</formula>
    </cfRule>
  </conditionalFormatting>
  <conditionalFormatting sqref="E16">
    <cfRule type="expression" dxfId="289" priority="144">
      <formula>AND($BH16&lt;&gt;0,ISBLANK(E16))</formula>
    </cfRule>
  </conditionalFormatting>
  <conditionalFormatting sqref="E16">
    <cfRule type="expression" dxfId="288" priority="143">
      <formula>AND($C16&gt;0,ISBLANK($E16))</formula>
    </cfRule>
  </conditionalFormatting>
  <conditionalFormatting sqref="E16">
    <cfRule type="expression" dxfId="287" priority="142">
      <formula>AND($BH16&lt;&gt;0,ISBLANK(E16))</formula>
    </cfRule>
  </conditionalFormatting>
  <conditionalFormatting sqref="E21">
    <cfRule type="expression" dxfId="286" priority="137">
      <formula>AND($BH21&lt;&gt;0,ISBLANK(E21))</formula>
    </cfRule>
  </conditionalFormatting>
  <conditionalFormatting sqref="E21">
    <cfRule type="expression" dxfId="285" priority="136">
      <formula>AND($C21&gt;0,ISBLANK($E21))</formula>
    </cfRule>
  </conditionalFormatting>
  <conditionalFormatting sqref="F23:H23">
    <cfRule type="expression" dxfId="284" priority="126">
      <formula>AND($BH23&lt;&gt;0,ISBLANK(F23))</formula>
    </cfRule>
  </conditionalFormatting>
  <conditionalFormatting sqref="E23">
    <cfRule type="expression" dxfId="283" priority="125">
      <formula>AND($BH23&lt;&gt;0,ISBLANK(E23))</formula>
    </cfRule>
  </conditionalFormatting>
  <conditionalFormatting sqref="E23">
    <cfRule type="expression" dxfId="282" priority="124">
      <formula>AND($C23&gt;0,ISBLANK($E23))</formula>
    </cfRule>
  </conditionalFormatting>
  <conditionalFormatting sqref="B23">
    <cfRule type="expression" dxfId="281" priority="117">
      <formula>AND($BH23&lt;&gt;0,ISBLANK(B23))</formula>
    </cfRule>
  </conditionalFormatting>
  <conditionalFormatting sqref="B23">
    <cfRule type="expression" dxfId="280" priority="116">
      <formula>AND($C23&gt;0,ISBLANK($E23))</formula>
    </cfRule>
  </conditionalFormatting>
  <conditionalFormatting sqref="B23">
    <cfRule type="expression" dxfId="279" priority="115">
      <formula>AND($BH23&lt;&gt;0,ISBLANK(B23))</formula>
    </cfRule>
  </conditionalFormatting>
  <conditionalFormatting sqref="E13">
    <cfRule type="expression" dxfId="278" priority="106">
      <formula>AND($BH13&lt;&gt;0,ISBLANK(E13))</formula>
    </cfRule>
  </conditionalFormatting>
  <conditionalFormatting sqref="E13">
    <cfRule type="expression" dxfId="277" priority="105">
      <formula>AND($C13&gt;0,ISBLANK($E13))</formula>
    </cfRule>
  </conditionalFormatting>
  <conditionalFormatting sqref="E13">
    <cfRule type="expression" dxfId="276" priority="104">
      <formula>AND($BH13&lt;&gt;0,ISBLANK(E13))</formula>
    </cfRule>
  </conditionalFormatting>
  <conditionalFormatting sqref="E13">
    <cfRule type="expression" dxfId="275" priority="103">
      <formula>AND($C13&gt;0,ISBLANK($E13))</formula>
    </cfRule>
  </conditionalFormatting>
  <conditionalFormatting sqref="F1">
    <cfRule type="expression" dxfId="274" priority="91">
      <formula>$A$1="Input Employee Number"</formula>
    </cfRule>
  </conditionalFormatting>
  <conditionalFormatting sqref="C14">
    <cfRule type="expression" dxfId="273" priority="88">
      <formula>AND($BH14&lt;&gt;0,ISBLANK(C14))</formula>
    </cfRule>
  </conditionalFormatting>
  <conditionalFormatting sqref="C14">
    <cfRule type="expression" dxfId="272" priority="87">
      <formula>AND($BH14&lt;&gt;0,ISBLANK(C14))</formula>
    </cfRule>
  </conditionalFormatting>
  <conditionalFormatting sqref="C14">
    <cfRule type="expression" dxfId="271" priority="86">
      <formula>AND($C14&gt;0,ISBLANK($E14))</formula>
    </cfRule>
  </conditionalFormatting>
  <conditionalFormatting sqref="C14">
    <cfRule type="expression" dxfId="270" priority="85">
      <formula>AND($BH14&lt;&gt;0,ISBLANK(C14))</formula>
    </cfRule>
  </conditionalFormatting>
  <conditionalFormatting sqref="C14">
    <cfRule type="expression" dxfId="269" priority="90">
      <formula>AND($BH14&lt;&gt;0,ISBLANK(C14))</formula>
    </cfRule>
  </conditionalFormatting>
  <conditionalFormatting sqref="C14">
    <cfRule type="expression" dxfId="268" priority="89">
      <formula>AND($C14&gt;0,ISBLANK($E14))</formula>
    </cfRule>
  </conditionalFormatting>
  <conditionalFormatting sqref="C14">
    <cfRule type="expression" dxfId="267" priority="84">
      <formula>AND($C14&gt;0,ISBLANK($E14))</formula>
    </cfRule>
  </conditionalFormatting>
  <conditionalFormatting sqref="C14">
    <cfRule type="expression" dxfId="266" priority="83">
      <formula>AND($BH14&lt;&gt;0,ISBLANK(C14))</formula>
    </cfRule>
  </conditionalFormatting>
  <conditionalFormatting sqref="C14">
    <cfRule type="expression" dxfId="265" priority="82">
      <formula>AND($C14&gt;0,ISBLANK($E14))</formula>
    </cfRule>
  </conditionalFormatting>
  <conditionalFormatting sqref="C14">
    <cfRule type="expression" dxfId="264" priority="81">
      <formula>AND($BH14&lt;&gt;0,ISBLANK(C14))</formula>
    </cfRule>
  </conditionalFormatting>
  <conditionalFormatting sqref="C14">
    <cfRule type="expression" dxfId="263" priority="80">
      <formula>AND($C14&gt;0,ISBLANK($E14))</formula>
    </cfRule>
  </conditionalFormatting>
  <conditionalFormatting sqref="E17">
    <cfRule type="expression" dxfId="262" priority="61">
      <formula>AND($BH17&lt;&gt;0,ISBLANK(E17))</formula>
    </cfRule>
  </conditionalFormatting>
  <conditionalFormatting sqref="E17">
    <cfRule type="expression" dxfId="261" priority="60">
      <formula>AND($C17&gt;0,ISBLANK($E17))</formula>
    </cfRule>
  </conditionalFormatting>
  <conditionalFormatting sqref="B17">
    <cfRule type="expression" dxfId="260" priority="59">
      <formula>AND($BH17&lt;&gt;0,ISBLANK(B17))</formula>
    </cfRule>
  </conditionalFormatting>
  <conditionalFormatting sqref="B17">
    <cfRule type="expression" dxfId="259" priority="58">
      <formula>AND($C17&gt;0,ISBLANK($E17))</formula>
    </cfRule>
  </conditionalFormatting>
  <conditionalFormatting sqref="C17">
    <cfRule type="expression" dxfId="258" priority="56">
      <formula>AND($C17&gt;0,ISBLANK($E17))</formula>
    </cfRule>
  </conditionalFormatting>
  <conditionalFormatting sqref="C17">
    <cfRule type="expression" dxfId="257" priority="57">
      <formula>AND($BH17&lt;&gt;0,ISBLANK(C17))</formula>
    </cfRule>
  </conditionalFormatting>
  <conditionalFormatting sqref="B16">
    <cfRule type="expression" dxfId="256" priority="55">
      <formula>AND($BH16&lt;&gt;0,ISBLANK(B16))</formula>
    </cfRule>
  </conditionalFormatting>
  <conditionalFormatting sqref="E19">
    <cfRule type="expression" dxfId="255" priority="54">
      <formula>AND($BH19&lt;&gt;0,ISBLANK(E19))</formula>
    </cfRule>
  </conditionalFormatting>
  <conditionalFormatting sqref="E19">
    <cfRule type="expression" dxfId="254" priority="53">
      <formula>AND($BH19&lt;&gt;0,ISBLANK(E19))</formula>
    </cfRule>
  </conditionalFormatting>
  <conditionalFormatting sqref="E19">
    <cfRule type="expression" dxfId="253" priority="52">
      <formula>AND($C19&gt;0,ISBLANK($E19))</formula>
    </cfRule>
  </conditionalFormatting>
  <conditionalFormatting sqref="C19">
    <cfRule type="expression" dxfId="252" priority="50">
      <formula>AND($C19&gt;0,ISBLANK($E19))</formula>
    </cfRule>
  </conditionalFormatting>
  <conditionalFormatting sqref="C19">
    <cfRule type="expression" dxfId="251" priority="51">
      <formula>AND($BH19&lt;&gt;0,ISBLANK(C19))</formula>
    </cfRule>
  </conditionalFormatting>
  <conditionalFormatting sqref="B18:B19">
    <cfRule type="expression" dxfId="250" priority="49">
      <formula>AND($BH18&lt;&gt;0,ISBLANK(B18))</formula>
    </cfRule>
  </conditionalFormatting>
  <conditionalFormatting sqref="B18:B19">
    <cfRule type="expression" dxfId="249" priority="48">
      <formula>AND($C18&gt;0,ISBLANK($E18))</formula>
    </cfRule>
  </conditionalFormatting>
  <conditionalFormatting sqref="C21">
    <cfRule type="expression" dxfId="248" priority="47">
      <formula>AND($BH21&lt;&gt;0,ISBLANK(C21))</formula>
    </cfRule>
  </conditionalFormatting>
  <conditionalFormatting sqref="C21">
    <cfRule type="expression" dxfId="247" priority="46">
      <formula>AND($C21&gt;0,ISBLANK($E21))</formula>
    </cfRule>
  </conditionalFormatting>
  <conditionalFormatting sqref="B21">
    <cfRule type="expression" dxfId="246" priority="45">
      <formula>AND($BH21&lt;&gt;0,ISBLANK(B21))</formula>
    </cfRule>
  </conditionalFormatting>
  <conditionalFormatting sqref="B21">
    <cfRule type="expression" dxfId="245" priority="44">
      <formula>AND($C21&gt;0,ISBLANK($E21))</formula>
    </cfRule>
  </conditionalFormatting>
  <conditionalFormatting sqref="B20">
    <cfRule type="expression" dxfId="244" priority="43">
      <formula>AND($BH20&lt;&gt;0,ISBLANK(B20))</formula>
    </cfRule>
  </conditionalFormatting>
  <conditionalFormatting sqref="B20">
    <cfRule type="expression" dxfId="243" priority="42">
      <formula>AND($C20&gt;0,ISBLANK($E20))</formula>
    </cfRule>
  </conditionalFormatting>
  <conditionalFormatting sqref="F22:H22">
    <cfRule type="expression" dxfId="242" priority="37">
      <formula>AND($BH22&lt;&gt;0,ISBLANK(F22))</formula>
    </cfRule>
  </conditionalFormatting>
  <conditionalFormatting sqref="E22">
    <cfRule type="expression" dxfId="241" priority="36">
      <formula>AND($BH22&lt;&gt;0,ISBLANK(E22))</formula>
    </cfRule>
  </conditionalFormatting>
  <conditionalFormatting sqref="E22">
    <cfRule type="expression" dxfId="240" priority="35">
      <formula>AND($C22&gt;0,ISBLANK($E22))</formula>
    </cfRule>
  </conditionalFormatting>
  <conditionalFormatting sqref="E15">
    <cfRule type="expression" dxfId="239" priority="34">
      <formula>AND($BH15&lt;&gt;0,ISBLANK(E15))</formula>
    </cfRule>
  </conditionalFormatting>
  <conditionalFormatting sqref="E15">
    <cfRule type="expression" dxfId="238" priority="33">
      <formula>AND($BH15&lt;&gt;0,ISBLANK(E15))</formula>
    </cfRule>
  </conditionalFormatting>
  <conditionalFormatting sqref="E15">
    <cfRule type="expression" dxfId="237" priority="32">
      <formula>AND($C15&gt;0,ISBLANK($E15))</formula>
    </cfRule>
  </conditionalFormatting>
  <conditionalFormatting sqref="B15">
    <cfRule type="expression" dxfId="236" priority="29">
      <formula>AND($BH15&lt;&gt;0,ISBLANK(B15))</formula>
    </cfRule>
  </conditionalFormatting>
  <conditionalFormatting sqref="B15">
    <cfRule type="expression" dxfId="235" priority="28">
      <formula>AND($C15&gt;0,ISBLANK($E15))</formula>
    </cfRule>
  </conditionalFormatting>
  <conditionalFormatting sqref="Q12">
    <cfRule type="expression" dxfId="234" priority="23">
      <formula>AND(L$9&gt;10.5,Q$24=0)</formula>
    </cfRule>
  </conditionalFormatting>
  <conditionalFormatting sqref="P12">
    <cfRule type="expression" dxfId="233" priority="24">
      <formula>AND(L$9&gt;10.5,P$24=0)</formula>
    </cfRule>
  </conditionalFormatting>
  <conditionalFormatting sqref="O12">
    <cfRule type="expression" dxfId="232" priority="25">
      <formula>AND(L$10&gt;0,O$24=0)</formula>
    </cfRule>
  </conditionalFormatting>
  <conditionalFormatting sqref="W12">
    <cfRule type="expression" dxfId="231" priority="21">
      <formula>AND(R$9&gt;10.5,W$24=0)</formula>
    </cfRule>
  </conditionalFormatting>
  <conditionalFormatting sqref="V12">
    <cfRule type="expression" dxfId="230" priority="22">
      <formula>AND(R$9&gt;10.5,V$24=0)</formula>
    </cfRule>
  </conditionalFormatting>
  <conditionalFormatting sqref="U12">
    <cfRule type="expression" dxfId="229" priority="20">
      <formula>AND(R$10&gt;0,U$24=0)</formula>
    </cfRule>
  </conditionalFormatting>
  <conditionalFormatting sqref="AC12">
    <cfRule type="expression" dxfId="228" priority="17">
      <formula>AND(X$9&gt;10.5,AC$24=0)</formula>
    </cfRule>
  </conditionalFormatting>
  <conditionalFormatting sqref="AB12">
    <cfRule type="expression" dxfId="227" priority="18">
      <formula>AND(X$9&gt;10.5,AB$24=0)</formula>
    </cfRule>
  </conditionalFormatting>
  <conditionalFormatting sqref="AA12">
    <cfRule type="expression" dxfId="226" priority="19">
      <formula>AND(X$10&gt;0,AA$24=0)</formula>
    </cfRule>
  </conditionalFormatting>
  <conditionalFormatting sqref="AI12">
    <cfRule type="expression" dxfId="225" priority="15">
      <formula>AND(AD$9&gt;10.5,AI$24=0)</formula>
    </cfRule>
  </conditionalFormatting>
  <conditionalFormatting sqref="AH12">
    <cfRule type="expression" dxfId="224" priority="16">
      <formula>AND(AD$9&gt;10.5,AH$24=0)</formula>
    </cfRule>
  </conditionalFormatting>
  <conditionalFormatting sqref="AG12">
    <cfRule type="expression" dxfId="223" priority="14">
      <formula>AND(AD$10&gt;0,AG$24=0)</formula>
    </cfRule>
  </conditionalFormatting>
  <conditionalFormatting sqref="AO12">
    <cfRule type="expression" dxfId="222" priority="11">
      <formula>AND(AJ$9&gt;10.5,AO$24=0)</formula>
    </cfRule>
  </conditionalFormatting>
  <conditionalFormatting sqref="AN12">
    <cfRule type="expression" dxfId="221" priority="12">
      <formula>AND(AJ$9&gt;10.5,AN$24=0)</formula>
    </cfRule>
  </conditionalFormatting>
  <conditionalFormatting sqref="AM12">
    <cfRule type="expression" dxfId="220" priority="13">
      <formula>AND(AJ$10&gt;0,AM$24=0)</formula>
    </cfRule>
  </conditionalFormatting>
  <conditionalFormatting sqref="AU12">
    <cfRule type="expression" dxfId="219" priority="9">
      <formula>AND(AP$9&gt;10.5,AU$24=0)</formula>
    </cfRule>
  </conditionalFormatting>
  <conditionalFormatting sqref="AT12">
    <cfRule type="expression" dxfId="218" priority="10">
      <formula>AND(AP$9&gt;10.5,AT$24=0)</formula>
    </cfRule>
  </conditionalFormatting>
  <conditionalFormatting sqref="AS12">
    <cfRule type="expression" dxfId="217" priority="8">
      <formula>AND(AP$10&gt;0,AS$24=0)</formula>
    </cfRule>
  </conditionalFormatting>
  <conditionalFormatting sqref="BA12">
    <cfRule type="expression" dxfId="216" priority="5">
      <formula>AND(AV$9&gt;10.5,BA$24=0)</formula>
    </cfRule>
  </conditionalFormatting>
  <conditionalFormatting sqref="AZ12">
    <cfRule type="expression" dxfId="215" priority="6">
      <formula>AND(AV$9&gt;10.5,AZ$24=0)</formula>
    </cfRule>
  </conditionalFormatting>
  <conditionalFormatting sqref="AY12">
    <cfRule type="expression" dxfId="214" priority="7">
      <formula>AND(AV$10&gt;0,AY$24=0)</formula>
    </cfRule>
  </conditionalFormatting>
  <conditionalFormatting sqref="C13">
    <cfRule type="expression" dxfId="213" priority="3">
      <formula>AND($C13&gt;0,ISBLANK($E13))</formula>
    </cfRule>
  </conditionalFormatting>
  <conditionalFormatting sqref="C13">
    <cfRule type="expression" dxfId="212" priority="4">
      <formula>AND($BH13&lt;&gt;0,ISBLANK(C13))</formula>
    </cfRule>
  </conditionalFormatting>
  <conditionalFormatting sqref="C15">
    <cfRule type="expression" dxfId="211" priority="1">
      <formula>AND($C15&gt;0,ISBLANK($E15))</formula>
    </cfRule>
  </conditionalFormatting>
  <conditionalFormatting sqref="C15">
    <cfRule type="expression" dxfId="210" priority="2">
      <formula>AND($BH15&lt;&gt;0,ISBLANK(C15))</formula>
    </cfRule>
  </conditionalFormatting>
  <dataValidations count="2">
    <dataValidation type="textLength" allowBlank="1" showInputMessage="1" showErrorMessage="1" errorTitle="Digits" error="The EE# must be between 4 ad 5 digits" sqref="B2" xr:uid="{00000000-0002-0000-0E00-000000000000}">
      <formula1>4</formula1>
      <formula2>5</formula2>
    </dataValidation>
    <dataValidation allowBlank="1" showInputMessage="1" showErrorMessage="1" sqref="E13:H23" xr:uid="{00000000-0002-0000-0E00-000001000000}"/>
  </dataValidations>
  <pageMargins left="0.25" right="0.25" top="0.75" bottom="0.75" header="0.3" footer="0.3"/>
  <pageSetup paperSize="5" scale="2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Job Incorrect" error="The number entered should be an open job and formatted with dashes ######-##-# " promptTitle="Input in 000000-00-0 Format" xr:uid="{00000000-0002-0000-0E00-000002000000}">
          <x14:formula1>
            <xm:f>'Job List'!$A:$A</xm:f>
          </x14:formula1>
          <xm:sqref>C17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CD5C621B2AE4C9195EC2B1F847ACD" ma:contentTypeVersion="0" ma:contentTypeDescription="Create a new document." ma:contentTypeScope="" ma:versionID="ddef8f9825766e6a10f80344f334d9c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17d892e81a95f4da3038497366031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13B9A-9B4B-4B2D-A370-0A64B7F6F92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37F9DC0-E17E-40CD-BB93-D2BF8ED759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605204-E17C-4458-907A-B0098E1C74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19</vt:i4>
      </vt:variant>
    </vt:vector>
  </HeadingPairs>
  <TitlesOfParts>
    <vt:vector size="34" baseType="lpstr">
      <vt:lpstr>Master Template (9) JOB</vt:lpstr>
      <vt:lpstr>Certified Codes</vt:lpstr>
      <vt:lpstr>Employees</vt:lpstr>
      <vt:lpstr>Job Details</vt:lpstr>
      <vt:lpstr>Job List</vt:lpstr>
      <vt:lpstr>Case</vt:lpstr>
      <vt:lpstr>Sanders</vt:lpstr>
      <vt:lpstr>Eric Schmidt</vt:lpstr>
      <vt:lpstr>Raper </vt:lpstr>
      <vt:lpstr>Cutler</vt:lpstr>
      <vt:lpstr>Peake </vt:lpstr>
      <vt:lpstr>Raunig</vt:lpstr>
      <vt:lpstr>MacKenzie</vt:lpstr>
      <vt:lpstr>Zeulner</vt:lpstr>
      <vt:lpstr>Covey</vt:lpstr>
      <vt:lpstr>'Job Details'!JobNumber</vt:lpstr>
      <vt:lpstr>Case!Print_Area</vt:lpstr>
      <vt:lpstr>Covey!Print_Area</vt:lpstr>
      <vt:lpstr>Cutler!Print_Area</vt:lpstr>
      <vt:lpstr>'Eric Schmidt'!Print_Area</vt:lpstr>
      <vt:lpstr>MacKenzie!Print_Area</vt:lpstr>
      <vt:lpstr>'Master Template (9) JOB'!Print_Area</vt:lpstr>
      <vt:lpstr>'Peake '!Print_Area</vt:lpstr>
      <vt:lpstr>'Raper '!Print_Area</vt:lpstr>
      <vt:lpstr>Raunig!Print_Area</vt:lpstr>
      <vt:lpstr>Sanders!Print_Area</vt:lpstr>
      <vt:lpstr>Zeulner!Print_Area</vt:lpstr>
      <vt:lpstr>'Job Details'!Print_Titles</vt:lpstr>
      <vt:lpstr>'Job Details'!qryJCCategory</vt:lpstr>
      <vt:lpstr>'Job Details'!qryJCExtra</vt:lpstr>
      <vt:lpstr>'Job List'!qryJCJob1</vt:lpstr>
      <vt:lpstr>'Job Details'!qryJCPhase</vt:lpstr>
      <vt:lpstr>'Certified Codes'!qryPRCertifiedclass</vt:lpstr>
      <vt:lpstr>Employees!qryPREmployee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Altman, Whitney</cp:lastModifiedBy>
  <cp:lastPrinted>2015-09-29T21:43:35Z</cp:lastPrinted>
  <dcterms:created xsi:type="dcterms:W3CDTF">2013-08-19T15:17:52Z</dcterms:created>
  <dcterms:modified xsi:type="dcterms:W3CDTF">2022-01-14T15:37:55Z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TimberlineDataFolder">
    <vt:lpwstr>\\WCC-6\Data\golddata</vt:lpwstr>
  </op:property>
  <op:property fmtid="{D5CDD505-2E9C-101B-9397-08002B2CF9AE}" pid="3" name="OC2">
    <vt:lpwstr>-1</vt:lpwstr>
  </op:property>
  <op:property fmtid="{D5CDD505-2E9C-101B-9397-08002B2CF9AE}" pid="4" name="OCVersion">
    <vt:lpwstr>Version 2.04.0082</vt:lpwstr>
  </op:property>
  <op:property fmtid="{D5CDD505-2E9C-101B-9397-08002B2CF9AE}" pid="5" name="PersistentCache">
    <vt:lpwstr>0</vt:lpwstr>
  </op:property>
  <op:property fmtid="{D5CDD505-2E9C-101B-9397-08002B2CF9AE}" pid="6" name="UsesRetain">
    <vt:lpwstr>0</vt:lpwstr>
  </op:property>
  <op:property fmtid="{D5CDD505-2E9C-101B-9397-08002B2CF9AE}" pid="7" name="ContentTypeId">
    <vt:lpwstr>0x0101003AACD5C621B2AE4C9195EC2B1F847ACD</vt:lpwstr>
  </op:property>
  <op:property fmtid="{D5CDD505-2E9C-101B-9397-08002B2CF9AE}" pid="8" name="IsMyDocuments">
    <vt:bool>true</vt:bool>
  </op:property>
  <op:property fmtid="{D5CDD505-2E9C-101B-9397-08002B2CF9AE}" pid="9" name="IgnoreMissingTables">
    <vt:lpwstr>0</vt:lpwstr>
  </op:property>
  <op:property fmtid="{D5CDD505-2E9C-101B-9397-08002B2CF9AE}" pid="10" name="FirstRefresh">
    <vt:lpwstr>Manual</vt:lpwstr>
  </op:property>
  <op:property fmtid="{D5CDD505-2E9C-101B-9397-08002B2CF9AE}" pid="11" name="ndDocumentId">
    <vt:lpwstr>4939-0899-6263</vt:lpwstr>
  </op:property>
</op:Properties>
</file>